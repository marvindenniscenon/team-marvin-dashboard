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pivotCache/pivotCacheDefinition10.xml" ContentType="application/vnd.openxmlformats-officedocument.spreadsheetml.pivotCacheDefinition+xml"/>
  <Override PartName="/xl/pivotCache/pivotCacheRecords10.xml" ContentType="application/vnd.openxmlformats-officedocument.spreadsheetml.pivotCacheRecords+xml"/>
  <Override PartName="/xl/pivotCache/pivotCacheDefinition11.xml" ContentType="application/vnd.openxmlformats-officedocument.spreadsheetml.pivotCacheDefinition+xml"/>
  <Override PartName="/xl/pivotCache/pivotCacheRecords11.xml" ContentType="application/vnd.openxmlformats-officedocument.spreadsheetml.pivotCacheRecords+xml"/>
  <Override PartName="/xl/pivotCache/pivotCacheDefinition12.xml" ContentType="application/vnd.openxmlformats-officedocument.spreadsheetml.pivotCacheDefinition+xml"/>
  <Override PartName="/xl/pivotCache/pivotCacheRecords12.xml" ContentType="application/vnd.openxmlformats-officedocument.spreadsheetml.pivotCacheRecords+xml"/>
  <Override PartName="/xl/pivotCache/pivotCacheDefinition13.xml" ContentType="application/vnd.openxmlformats-officedocument.spreadsheetml.pivotCacheDefinition+xml"/>
  <Override PartName="/xl/pivotCache/pivotCacheRecords13.xml" ContentType="application/vnd.openxmlformats-officedocument.spreadsheetml.pivotCacheRecords+xml"/>
  <Override PartName="/xl/pivotCache/pivotCacheDefinition14.xml" ContentType="application/vnd.openxmlformats-officedocument.spreadsheetml.pivotCacheDefinition+xml"/>
  <Override PartName="/xl/pivotCache/pivotCacheRecords1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27.xml" ContentType="application/vnd.openxmlformats-officedocument.spreadsheetml.pivotTab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12"/>
  <workbookPr updateLinks="always" hidePivotFieldList="1" defaultThemeVersion="166925"/>
  <mc:AlternateContent xmlns:mc="http://schemas.openxmlformats.org/markup-compatibility/2006">
    <mc:Choice Requires="x15">
      <x15ac:absPath xmlns:x15ac="http://schemas.microsoft.com/office/spreadsheetml/2010/11/ac" url="https://d.docs.live.net/ff052a7dc39c17dd/Desktop/Operations Cadence/Attendance 2025/"/>
    </mc:Choice>
  </mc:AlternateContent>
  <xr:revisionPtr revIDLastSave="0" documentId="8_{BA04A228-1557-4F8F-A29F-0C5F2546AE73}" xr6:coauthVersionLast="47" xr6:coauthVersionMax="47" xr10:uidLastSave="{00000000-0000-0000-0000-000000000000}"/>
  <bookViews>
    <workbookView xWindow="-120" yWindow="-120" windowWidth="20730" windowHeight="11040" firstSheet="14" activeTab="22" xr2:uid="{3B0DFBC4-D6EA-4759-B998-222590750341}"/>
  </bookViews>
  <sheets>
    <sheet name="May " sheetId="4" state="hidden" r:id="rId1"/>
    <sheet name="JWeek 1" sheetId="12" state="hidden" r:id="rId2"/>
    <sheet name="May Absenteeism" sheetId="7" state="hidden" r:id="rId3"/>
    <sheet name="May Report" sheetId="5" state="hidden" r:id="rId4"/>
    <sheet name="MWeek 1" sheetId="8" state="hidden" r:id="rId5"/>
    <sheet name="MWeek 2" sheetId="9" state="hidden" r:id="rId6"/>
    <sheet name="JWeek2" sheetId="15" state="hidden" r:id="rId7"/>
    <sheet name="JWeek3" sheetId="20" state="hidden" r:id="rId8"/>
    <sheet name="JWeek4" sheetId="22" state="hidden" r:id="rId9"/>
    <sheet name="June" sheetId="25" r:id="rId10"/>
    <sheet name="July" sheetId="26" r:id="rId11"/>
    <sheet name="July Tardy and Absenteeism" sheetId="43" r:id="rId12"/>
    <sheet name="August" sheetId="41" r:id="rId13"/>
    <sheet name="Trainees" sheetId="27" r:id="rId14"/>
    <sheet name="August Tardy and Absenteeism" sheetId="42" r:id="rId15"/>
    <sheet name="Aug W1" sheetId="28" r:id="rId16"/>
    <sheet name="Aug W2" sheetId="29" r:id="rId17"/>
    <sheet name="Aug W4" sheetId="39" r:id="rId18"/>
    <sheet name="TW1" sheetId="30" r:id="rId19"/>
    <sheet name="Dispute Tracker AUG-1-15" sheetId="48" r:id="rId20"/>
    <sheet name="MWeek 3" sheetId="10" state="hidden" r:id="rId21"/>
    <sheet name="MWeek 4" sheetId="11" state="hidden" r:id="rId22"/>
    <sheet name="Reporting" sheetId="33" r:id="rId23"/>
    <sheet name="OT Tracker" sheetId="35" state="hidden" r:id="rId24"/>
    <sheet name="TW3" sheetId="36" state="hidden" r:id="rId25"/>
    <sheet name="TW2" sheetId="31" state="hidden" r:id="rId26"/>
    <sheet name="Comparative Attendance Report" sheetId="46" r:id="rId27"/>
    <sheet name="Sheet1" sheetId="47" r:id="rId28"/>
    <sheet name="AUGUST EOW" sheetId="45" r:id="rId29"/>
  </sheets>
  <definedNames>
    <definedName name="_xlnm._FilterDatabase" localSheetId="10" hidden="1">July!$A$2:$AV$117</definedName>
    <definedName name="_xlnm._FilterDatabase" localSheetId="9" hidden="1">June!$A$2:$AU$94</definedName>
    <definedName name="_xlnm._FilterDatabase" localSheetId="1" hidden="1">'JWeek 1'!$A$1:$U$98</definedName>
    <definedName name="_xlnm._FilterDatabase" localSheetId="6" hidden="1">JWeek2!$A$1:$R$95</definedName>
    <definedName name="_xlnm._FilterDatabase" localSheetId="7" hidden="1">JWeek3!$A$1:$R$95</definedName>
    <definedName name="_xlnm._FilterDatabase" localSheetId="8" hidden="1">JWeek4!$A$1:$U$93</definedName>
    <definedName name="_xlnm._FilterDatabase" localSheetId="0" hidden="1">'May '!$A$1:$V$98</definedName>
    <definedName name="_xlnm._FilterDatabase" localSheetId="4" hidden="1">'MWeek 1'!$A$1:$U$100</definedName>
    <definedName name="_xlnm._FilterDatabase" localSheetId="5" hidden="1">'MWeek 2'!$A$1:$R$100</definedName>
    <definedName name="_xlnm._FilterDatabase" localSheetId="20" hidden="1">'MWeek 3'!$N$1:$N$103</definedName>
    <definedName name="_xlnm._FilterDatabase" localSheetId="21" hidden="1">'MWeek 4'!$N$1:$N$102</definedName>
    <definedName name="_xlnm._FilterDatabase" localSheetId="13" hidden="1">Trainees!$A$1:$AV$43</definedName>
    <definedName name="_xlnm._FilterDatabase" localSheetId="18" hidden="1">'TW1'!$A$2:$U$2</definedName>
    <definedName name="_xlnm._FilterDatabase" localSheetId="25" hidden="1">'TW2'!$A$2:$W$2</definedName>
    <definedName name="_xlnm._FilterDatabase" localSheetId="11" hidden="1">'July Tardy and Absenteeism'!$A$1:$D$1</definedName>
    <definedName name="_xlnm._FilterDatabase" localSheetId="14" hidden="1">'August Tardy and Absenteeism'!$A$1:$F$1</definedName>
    <definedName name="_xlnm._FilterDatabase" localSheetId="15" hidden="1">'Aug W1'!$A$2:$V$113</definedName>
    <definedName name="_xlnm._FilterDatabase" localSheetId="16" hidden="1">'Aug W2'!$A$2:$X$114</definedName>
    <definedName name="_xlnm._FilterDatabase" localSheetId="12" hidden="1">August!$A$2:$AV$133</definedName>
  </definedNames>
  <calcPr calcId="191028"/>
  <pivotCaches>
    <pivotCache cacheId="3020" r:id="rId30"/>
    <pivotCache cacheId="3021" r:id="rId31"/>
    <pivotCache cacheId="3022" r:id="rId32"/>
    <pivotCache cacheId="3023" r:id="rId33"/>
    <pivotCache cacheId="3024" r:id="rId34"/>
    <pivotCache cacheId="3025" r:id="rId35"/>
    <pivotCache cacheId="3026" r:id="rId36"/>
    <pivotCache cacheId="3027" r:id="rId37"/>
    <pivotCache cacheId="3028" r:id="rId38"/>
    <pivotCache cacheId="3029" r:id="rId39"/>
    <pivotCache cacheId="3030" r:id="rId40"/>
    <pivotCache cacheId="3031" r:id="rId41"/>
    <pivotCache cacheId="3913" r:id="rId42"/>
    <pivotCache cacheId="4026" r:id="rId4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7" i="33" l="1"/>
  <c r="I6" i="33"/>
  <c r="I5" i="33"/>
  <c r="I4" i="33"/>
  <c r="I3" i="33"/>
  <c r="H7" i="33"/>
  <c r="H6" i="33"/>
  <c r="H5" i="33"/>
  <c r="H4" i="33"/>
  <c r="H3" i="33"/>
  <c r="F7" i="33"/>
  <c r="F6" i="33"/>
  <c r="F5" i="33"/>
  <c r="F4" i="33"/>
  <c r="F3" i="33"/>
  <c r="F118" i="29"/>
  <c r="G118" i="29"/>
  <c r="H118" i="29"/>
  <c r="I118" i="29"/>
  <c r="J118" i="29"/>
  <c r="K118" i="29"/>
  <c r="L118" i="29"/>
  <c r="F120" i="29"/>
  <c r="F119" i="29" s="1"/>
  <c r="G120" i="29"/>
  <c r="G119" i="29" s="1"/>
  <c r="H120" i="29"/>
  <c r="H119" i="29" s="1"/>
  <c r="I120" i="29"/>
  <c r="I119" i="29" s="1"/>
  <c r="J120" i="29"/>
  <c r="J119" i="29" s="1"/>
  <c r="K120" i="29"/>
  <c r="K119" i="29" s="1"/>
  <c r="L120" i="29"/>
  <c r="L119" i="29" s="1"/>
  <c r="F121" i="29"/>
  <c r="G121" i="29"/>
  <c r="H121" i="29"/>
  <c r="I121" i="29"/>
  <c r="J121" i="29"/>
  <c r="K121" i="29"/>
  <c r="L121" i="29"/>
  <c r="F122" i="29"/>
  <c r="G122" i="29"/>
  <c r="H122" i="29"/>
  <c r="I122" i="29"/>
  <c r="J122" i="29"/>
  <c r="K122" i="29"/>
  <c r="L122" i="29"/>
  <c r="F128" i="29"/>
  <c r="G128" i="29"/>
  <c r="H128" i="29"/>
  <c r="I128" i="29"/>
  <c r="J128" i="29"/>
  <c r="K128" i="29"/>
  <c r="L128" i="29"/>
  <c r="F129" i="29"/>
  <c r="G129" i="29"/>
  <c r="H129" i="29"/>
  <c r="I129" i="29"/>
  <c r="J129" i="29"/>
  <c r="K129" i="29"/>
  <c r="L129" i="29"/>
  <c r="F130" i="29"/>
  <c r="G130" i="29"/>
  <c r="H130" i="29"/>
  <c r="I130" i="29"/>
  <c r="J130" i="29"/>
  <c r="K130" i="29"/>
  <c r="L130" i="29"/>
  <c r="F131" i="29"/>
  <c r="G131" i="29"/>
  <c r="H131" i="29"/>
  <c r="I131" i="29"/>
  <c r="J131" i="29"/>
  <c r="K131" i="29"/>
  <c r="L131" i="29"/>
  <c r="U4" i="29"/>
  <c r="T4" i="29" s="1"/>
  <c r="Q4" i="29" s="1"/>
  <c r="R4" i="29" s="1"/>
  <c r="S4" i="29" s="1"/>
  <c r="U5" i="29"/>
  <c r="T5" i="29" s="1"/>
  <c r="Q5" i="29" s="1"/>
  <c r="R5" i="29" s="1"/>
  <c r="S5" i="29" s="1"/>
  <c r="U6" i="29"/>
  <c r="T6" i="29" s="1"/>
  <c r="Q6" i="29" s="1"/>
  <c r="R6" i="29" s="1"/>
  <c r="S6" i="29" s="1"/>
  <c r="U7" i="29"/>
  <c r="T7" i="29" s="1"/>
  <c r="Q7" i="29" s="1"/>
  <c r="R7" i="29" s="1"/>
  <c r="S7" i="29" s="1"/>
  <c r="U8" i="29"/>
  <c r="T8" i="29" s="1"/>
  <c r="Q8" i="29" s="1"/>
  <c r="R8" i="29" s="1"/>
  <c r="S8" i="29" s="1"/>
  <c r="U9" i="29"/>
  <c r="T9" i="29" s="1"/>
  <c r="Q9" i="29" s="1"/>
  <c r="R9" i="29" s="1"/>
  <c r="S9" i="29" s="1"/>
  <c r="U10" i="29"/>
  <c r="T10" i="29" s="1"/>
  <c r="Q10" i="29" s="1"/>
  <c r="R10" i="29" s="1"/>
  <c r="S10" i="29" s="1"/>
  <c r="U11" i="29"/>
  <c r="T11" i="29" s="1"/>
  <c r="Q11" i="29" s="1"/>
  <c r="R11" i="29" s="1"/>
  <c r="S11" i="29" s="1"/>
  <c r="U12" i="29"/>
  <c r="T12" i="29" s="1"/>
  <c r="Q12" i="29" s="1"/>
  <c r="R12" i="29" s="1"/>
  <c r="S12" i="29" s="1"/>
  <c r="U13" i="29"/>
  <c r="T13" i="29" s="1"/>
  <c r="Q13" i="29" s="1"/>
  <c r="R13" i="29" s="1"/>
  <c r="S13" i="29" s="1"/>
  <c r="U14" i="29"/>
  <c r="T14" i="29" s="1"/>
  <c r="Q14" i="29" s="1"/>
  <c r="R14" i="29" s="1"/>
  <c r="S14" i="29" s="1"/>
  <c r="U15" i="29"/>
  <c r="T15" i="29" s="1"/>
  <c r="Q15" i="29" s="1"/>
  <c r="R15" i="29" s="1"/>
  <c r="S15" i="29" s="1"/>
  <c r="U16" i="29"/>
  <c r="T16" i="29" s="1"/>
  <c r="Q16" i="29" s="1"/>
  <c r="R16" i="29" s="1"/>
  <c r="S16" i="29" s="1"/>
  <c r="U17" i="29"/>
  <c r="T17" i="29" s="1"/>
  <c r="Q17" i="29" s="1"/>
  <c r="R17" i="29" s="1"/>
  <c r="S17" i="29" s="1"/>
  <c r="U18" i="29"/>
  <c r="T18" i="29" s="1"/>
  <c r="Q18" i="29" s="1"/>
  <c r="R18" i="29" s="1"/>
  <c r="S18" i="29" s="1"/>
  <c r="U19" i="29"/>
  <c r="T19" i="29" s="1"/>
  <c r="Q19" i="29" s="1"/>
  <c r="R19" i="29" s="1"/>
  <c r="S19" i="29" s="1"/>
  <c r="U20" i="29"/>
  <c r="T20" i="29" s="1"/>
  <c r="Q20" i="29" s="1"/>
  <c r="R20" i="29" s="1"/>
  <c r="S20" i="29" s="1"/>
  <c r="U21" i="29"/>
  <c r="T21" i="29" s="1"/>
  <c r="Q21" i="29" s="1"/>
  <c r="R21" i="29" s="1"/>
  <c r="S21" i="29" s="1"/>
  <c r="U22" i="29"/>
  <c r="T22" i="29" s="1"/>
  <c r="Q22" i="29" s="1"/>
  <c r="R22" i="29" s="1"/>
  <c r="S22" i="29" s="1"/>
  <c r="U23" i="29"/>
  <c r="T23" i="29" s="1"/>
  <c r="Q23" i="29" s="1"/>
  <c r="R23" i="29" s="1"/>
  <c r="S23" i="29" s="1"/>
  <c r="U24" i="29"/>
  <c r="T24" i="29" s="1"/>
  <c r="Q24" i="29" s="1"/>
  <c r="R24" i="29" s="1"/>
  <c r="S24" i="29" s="1"/>
  <c r="U25" i="29"/>
  <c r="T25" i="29" s="1"/>
  <c r="Q25" i="29" s="1"/>
  <c r="R25" i="29" s="1"/>
  <c r="S25" i="29" s="1"/>
  <c r="U26" i="29"/>
  <c r="T26" i="29" s="1"/>
  <c r="Q26" i="29" s="1"/>
  <c r="R26" i="29" s="1"/>
  <c r="S26" i="29" s="1"/>
  <c r="U27" i="29"/>
  <c r="T27" i="29" s="1"/>
  <c r="Q27" i="29" s="1"/>
  <c r="R27" i="29" s="1"/>
  <c r="S27" i="29" s="1"/>
  <c r="U28" i="29"/>
  <c r="T28" i="29" s="1"/>
  <c r="Q28" i="29" s="1"/>
  <c r="R28" i="29" s="1"/>
  <c r="S28" i="29" s="1"/>
  <c r="U29" i="29"/>
  <c r="T29" i="29" s="1"/>
  <c r="Q29" i="29" s="1"/>
  <c r="R29" i="29" s="1"/>
  <c r="S29" i="29" s="1"/>
  <c r="U30" i="29"/>
  <c r="T30" i="29" s="1"/>
  <c r="Q30" i="29" s="1"/>
  <c r="R30" i="29" s="1"/>
  <c r="S30" i="29" s="1"/>
  <c r="U31" i="29"/>
  <c r="T31" i="29" s="1"/>
  <c r="Q31" i="29" s="1"/>
  <c r="R31" i="29" s="1"/>
  <c r="S31" i="29" s="1"/>
  <c r="U32" i="29"/>
  <c r="T32" i="29" s="1"/>
  <c r="Q32" i="29" s="1"/>
  <c r="R32" i="29" s="1"/>
  <c r="S32" i="29" s="1"/>
  <c r="U33" i="29"/>
  <c r="T33" i="29" s="1"/>
  <c r="Q33" i="29" s="1"/>
  <c r="R33" i="29" s="1"/>
  <c r="S33" i="29" s="1"/>
  <c r="U34" i="29"/>
  <c r="T34" i="29" s="1"/>
  <c r="Q34" i="29" s="1"/>
  <c r="R34" i="29" s="1"/>
  <c r="S34" i="29" s="1"/>
  <c r="U35" i="29"/>
  <c r="T35" i="29" s="1"/>
  <c r="Q35" i="29" s="1"/>
  <c r="R35" i="29" s="1"/>
  <c r="S35" i="29" s="1"/>
  <c r="U36" i="29"/>
  <c r="T36" i="29" s="1"/>
  <c r="Q36" i="29" s="1"/>
  <c r="R36" i="29" s="1"/>
  <c r="S36" i="29" s="1"/>
  <c r="U37" i="29"/>
  <c r="T37" i="29" s="1"/>
  <c r="Q37" i="29" s="1"/>
  <c r="R37" i="29" s="1"/>
  <c r="S37" i="29" s="1"/>
  <c r="U38" i="29"/>
  <c r="T38" i="29" s="1"/>
  <c r="Q38" i="29" s="1"/>
  <c r="R38" i="29" s="1"/>
  <c r="S38" i="29" s="1"/>
  <c r="U39" i="29"/>
  <c r="T39" i="29" s="1"/>
  <c r="Q39" i="29" s="1"/>
  <c r="R39" i="29" s="1"/>
  <c r="S39" i="29" s="1"/>
  <c r="U40" i="29"/>
  <c r="T40" i="29" s="1"/>
  <c r="Q40" i="29" s="1"/>
  <c r="R40" i="29" s="1"/>
  <c r="S40" i="29" s="1"/>
  <c r="U41" i="29"/>
  <c r="T41" i="29" s="1"/>
  <c r="Q41" i="29" s="1"/>
  <c r="R41" i="29" s="1"/>
  <c r="S41" i="29" s="1"/>
  <c r="U42" i="29"/>
  <c r="T42" i="29" s="1"/>
  <c r="Q42" i="29" s="1"/>
  <c r="R42" i="29" s="1"/>
  <c r="S42" i="29" s="1"/>
  <c r="U43" i="29"/>
  <c r="T43" i="29" s="1"/>
  <c r="Q43" i="29" s="1"/>
  <c r="R43" i="29" s="1"/>
  <c r="S43" i="29" s="1"/>
  <c r="U44" i="29"/>
  <c r="T44" i="29" s="1"/>
  <c r="Q44" i="29" s="1"/>
  <c r="R44" i="29" s="1"/>
  <c r="S44" i="29" s="1"/>
  <c r="U45" i="29"/>
  <c r="T45" i="29" s="1"/>
  <c r="Q45" i="29" s="1"/>
  <c r="R45" i="29" s="1"/>
  <c r="S45" i="29" s="1"/>
  <c r="U46" i="29"/>
  <c r="T46" i="29" s="1"/>
  <c r="Q46" i="29" s="1"/>
  <c r="R46" i="29" s="1"/>
  <c r="S46" i="29" s="1"/>
  <c r="U47" i="29"/>
  <c r="T47" i="29" s="1"/>
  <c r="Q47" i="29" s="1"/>
  <c r="R47" i="29" s="1"/>
  <c r="S47" i="29" s="1"/>
  <c r="U48" i="29"/>
  <c r="T48" i="29" s="1"/>
  <c r="Q48" i="29" s="1"/>
  <c r="R48" i="29" s="1"/>
  <c r="S48" i="29" s="1"/>
  <c r="U49" i="29"/>
  <c r="T49" i="29" s="1"/>
  <c r="Q49" i="29" s="1"/>
  <c r="R49" i="29" s="1"/>
  <c r="S49" i="29" s="1"/>
  <c r="U50" i="29"/>
  <c r="T50" i="29" s="1"/>
  <c r="Q50" i="29" s="1"/>
  <c r="R50" i="29" s="1"/>
  <c r="S50" i="29" s="1"/>
  <c r="U51" i="29"/>
  <c r="T51" i="29" s="1"/>
  <c r="Q51" i="29" s="1"/>
  <c r="R51" i="29" s="1"/>
  <c r="S51" i="29" s="1"/>
  <c r="U52" i="29"/>
  <c r="T52" i="29" s="1"/>
  <c r="Q52" i="29" s="1"/>
  <c r="R52" i="29" s="1"/>
  <c r="S52" i="29" s="1"/>
  <c r="U53" i="29"/>
  <c r="T53" i="29" s="1"/>
  <c r="Q53" i="29" s="1"/>
  <c r="R53" i="29" s="1"/>
  <c r="S53" i="29" s="1"/>
  <c r="U54" i="29"/>
  <c r="T54" i="29" s="1"/>
  <c r="Q54" i="29" s="1"/>
  <c r="R54" i="29" s="1"/>
  <c r="S54" i="29" s="1"/>
  <c r="U55" i="29"/>
  <c r="T55" i="29" s="1"/>
  <c r="Q55" i="29" s="1"/>
  <c r="R55" i="29" s="1"/>
  <c r="S55" i="29" s="1"/>
  <c r="U56" i="29"/>
  <c r="T56" i="29" s="1"/>
  <c r="Q56" i="29" s="1"/>
  <c r="R56" i="29" s="1"/>
  <c r="S56" i="29" s="1"/>
  <c r="U57" i="29"/>
  <c r="T57" i="29" s="1"/>
  <c r="Q57" i="29" s="1"/>
  <c r="R57" i="29" s="1"/>
  <c r="S57" i="29" s="1"/>
  <c r="U58" i="29"/>
  <c r="T58" i="29" s="1"/>
  <c r="Q58" i="29" s="1"/>
  <c r="R58" i="29" s="1"/>
  <c r="S58" i="29" s="1"/>
  <c r="U59" i="29"/>
  <c r="T59" i="29" s="1"/>
  <c r="Q59" i="29" s="1"/>
  <c r="R59" i="29" s="1"/>
  <c r="S59" i="29" s="1"/>
  <c r="U60" i="29"/>
  <c r="T60" i="29" s="1"/>
  <c r="Q60" i="29" s="1"/>
  <c r="R60" i="29" s="1"/>
  <c r="S60" i="29" s="1"/>
  <c r="U61" i="29"/>
  <c r="T61" i="29" s="1"/>
  <c r="Q61" i="29" s="1"/>
  <c r="R61" i="29" s="1"/>
  <c r="S61" i="29" s="1"/>
  <c r="U62" i="29"/>
  <c r="T62" i="29" s="1"/>
  <c r="Q62" i="29" s="1"/>
  <c r="R62" i="29" s="1"/>
  <c r="S62" i="29" s="1"/>
  <c r="U63" i="29"/>
  <c r="T63" i="29" s="1"/>
  <c r="Q63" i="29" s="1"/>
  <c r="R63" i="29" s="1"/>
  <c r="S63" i="29" s="1"/>
  <c r="U64" i="29"/>
  <c r="T64" i="29" s="1"/>
  <c r="Q64" i="29" s="1"/>
  <c r="R64" i="29" s="1"/>
  <c r="S64" i="29" s="1"/>
  <c r="U65" i="29"/>
  <c r="T65" i="29" s="1"/>
  <c r="Q65" i="29" s="1"/>
  <c r="R65" i="29" s="1"/>
  <c r="S65" i="29" s="1"/>
  <c r="U66" i="29"/>
  <c r="T66" i="29" s="1"/>
  <c r="Q66" i="29" s="1"/>
  <c r="R66" i="29" s="1"/>
  <c r="S66" i="29" s="1"/>
  <c r="U67" i="29"/>
  <c r="T67" i="29" s="1"/>
  <c r="Q67" i="29" s="1"/>
  <c r="R67" i="29" s="1"/>
  <c r="S67" i="29" s="1"/>
  <c r="U68" i="29"/>
  <c r="T68" i="29" s="1"/>
  <c r="Q68" i="29" s="1"/>
  <c r="R68" i="29" s="1"/>
  <c r="S68" i="29" s="1"/>
  <c r="U69" i="29"/>
  <c r="T69" i="29" s="1"/>
  <c r="Q69" i="29" s="1"/>
  <c r="R69" i="29" s="1"/>
  <c r="S69" i="29" s="1"/>
  <c r="U70" i="29"/>
  <c r="T70" i="29" s="1"/>
  <c r="Q70" i="29" s="1"/>
  <c r="R70" i="29" s="1"/>
  <c r="S70" i="29" s="1"/>
  <c r="U71" i="29"/>
  <c r="T71" i="29" s="1"/>
  <c r="Q71" i="29" s="1"/>
  <c r="R71" i="29" s="1"/>
  <c r="S71" i="29" s="1"/>
  <c r="U72" i="29"/>
  <c r="T72" i="29" s="1"/>
  <c r="Q72" i="29" s="1"/>
  <c r="R72" i="29" s="1"/>
  <c r="S72" i="29" s="1"/>
  <c r="U73" i="29"/>
  <c r="T73" i="29" s="1"/>
  <c r="Q73" i="29" s="1"/>
  <c r="R73" i="29" s="1"/>
  <c r="S73" i="29" s="1"/>
  <c r="U74" i="29"/>
  <c r="T74" i="29" s="1"/>
  <c r="Q74" i="29" s="1"/>
  <c r="R74" i="29" s="1"/>
  <c r="S74" i="29" s="1"/>
  <c r="U75" i="29"/>
  <c r="T75" i="29" s="1"/>
  <c r="Q75" i="29" s="1"/>
  <c r="R75" i="29" s="1"/>
  <c r="S75" i="29" s="1"/>
  <c r="U76" i="29"/>
  <c r="T76" i="29" s="1"/>
  <c r="Q76" i="29" s="1"/>
  <c r="R76" i="29" s="1"/>
  <c r="S76" i="29" s="1"/>
  <c r="U77" i="29"/>
  <c r="T77" i="29" s="1"/>
  <c r="Q77" i="29" s="1"/>
  <c r="R77" i="29" s="1"/>
  <c r="S77" i="29" s="1"/>
  <c r="U79" i="29"/>
  <c r="T79" i="29" s="1"/>
  <c r="Q79" i="29" s="1"/>
  <c r="R79" i="29" s="1"/>
  <c r="S79" i="29" s="1"/>
  <c r="U80" i="29"/>
  <c r="T80" i="29" s="1"/>
  <c r="Q80" i="29" s="1"/>
  <c r="R80" i="29" s="1"/>
  <c r="S80" i="29" s="1"/>
  <c r="U82" i="29"/>
  <c r="T82" i="29" s="1"/>
  <c r="Q82" i="29" s="1"/>
  <c r="R82" i="29" s="1"/>
  <c r="S82" i="29" s="1"/>
  <c r="U83" i="29"/>
  <c r="T83" i="29" s="1"/>
  <c r="Q83" i="29" s="1"/>
  <c r="R83" i="29" s="1"/>
  <c r="S83" i="29" s="1"/>
  <c r="U84" i="29"/>
  <c r="T84" i="29" s="1"/>
  <c r="Q84" i="29" s="1"/>
  <c r="R84" i="29" s="1"/>
  <c r="S84" i="29" s="1"/>
  <c r="U85" i="29"/>
  <c r="T85" i="29" s="1"/>
  <c r="Q85" i="29" s="1"/>
  <c r="R85" i="29" s="1"/>
  <c r="S85" i="29" s="1"/>
  <c r="U86" i="29"/>
  <c r="T86" i="29" s="1"/>
  <c r="Q86" i="29" s="1"/>
  <c r="R86" i="29" s="1"/>
  <c r="S86" i="29" s="1"/>
  <c r="U87" i="29"/>
  <c r="T87" i="29" s="1"/>
  <c r="Q87" i="29" s="1"/>
  <c r="R87" i="29" s="1"/>
  <c r="S87" i="29" s="1"/>
  <c r="U89" i="29"/>
  <c r="T89" i="29" s="1"/>
  <c r="Q89" i="29" s="1"/>
  <c r="R89" i="29" s="1"/>
  <c r="S89" i="29" s="1"/>
  <c r="U90" i="29"/>
  <c r="T90" i="29" s="1"/>
  <c r="Q90" i="29" s="1"/>
  <c r="R90" i="29" s="1"/>
  <c r="S90" i="29" s="1"/>
  <c r="U91" i="29"/>
  <c r="T91" i="29" s="1"/>
  <c r="Q91" i="29" s="1"/>
  <c r="R91" i="29" s="1"/>
  <c r="S91" i="29" s="1"/>
  <c r="U92" i="29"/>
  <c r="T92" i="29" s="1"/>
  <c r="Q92" i="29" s="1"/>
  <c r="R92" i="29" s="1"/>
  <c r="S92" i="29" s="1"/>
  <c r="U93" i="29"/>
  <c r="T93" i="29" s="1"/>
  <c r="Q93" i="29" s="1"/>
  <c r="R93" i="29" s="1"/>
  <c r="S93" i="29" s="1"/>
  <c r="U94" i="29"/>
  <c r="T94" i="29" s="1"/>
  <c r="Q94" i="29" s="1"/>
  <c r="R94" i="29" s="1"/>
  <c r="S94" i="29" s="1"/>
  <c r="U95" i="29"/>
  <c r="T95" i="29" s="1"/>
  <c r="Q95" i="29" s="1"/>
  <c r="R95" i="29" s="1"/>
  <c r="S95" i="29" s="1"/>
  <c r="U96" i="29"/>
  <c r="T96" i="29" s="1"/>
  <c r="Q96" i="29" s="1"/>
  <c r="R96" i="29" s="1"/>
  <c r="S96" i="29" s="1"/>
  <c r="U97" i="29"/>
  <c r="T97" i="29" s="1"/>
  <c r="Q97" i="29" s="1"/>
  <c r="R97" i="29" s="1"/>
  <c r="S97" i="29" s="1"/>
  <c r="U98" i="29"/>
  <c r="T98" i="29" s="1"/>
  <c r="Q98" i="29" s="1"/>
  <c r="R98" i="29" s="1"/>
  <c r="S98" i="29" s="1"/>
  <c r="U99" i="29"/>
  <c r="T99" i="29" s="1"/>
  <c r="Q99" i="29" s="1"/>
  <c r="R99" i="29" s="1"/>
  <c r="S99" i="29" s="1"/>
  <c r="U100" i="29"/>
  <c r="T100" i="29" s="1"/>
  <c r="Q100" i="29" s="1"/>
  <c r="R100" i="29" s="1"/>
  <c r="S100" i="29" s="1"/>
  <c r="U101" i="29"/>
  <c r="T101" i="29" s="1"/>
  <c r="Q101" i="29" s="1"/>
  <c r="R101" i="29" s="1"/>
  <c r="S101" i="29" s="1"/>
  <c r="U102" i="29"/>
  <c r="T102" i="29" s="1"/>
  <c r="Q102" i="29" s="1"/>
  <c r="R102" i="29" s="1"/>
  <c r="S102" i="29" s="1"/>
  <c r="U103" i="29"/>
  <c r="T103" i="29" s="1"/>
  <c r="Q103" i="29" s="1"/>
  <c r="R103" i="29" s="1"/>
  <c r="S103" i="29" s="1"/>
  <c r="U104" i="29"/>
  <c r="T104" i="29" s="1"/>
  <c r="Q104" i="29" s="1"/>
  <c r="R104" i="29" s="1"/>
  <c r="S104" i="29" s="1"/>
  <c r="U105" i="29"/>
  <c r="T105" i="29" s="1"/>
  <c r="Q105" i="29" s="1"/>
  <c r="R105" i="29" s="1"/>
  <c r="S105" i="29" s="1"/>
  <c r="U106" i="29"/>
  <c r="T106" i="29" s="1"/>
  <c r="Q106" i="29" s="1"/>
  <c r="R106" i="29" s="1"/>
  <c r="S106" i="29" s="1"/>
  <c r="U108" i="29"/>
  <c r="T108" i="29" s="1"/>
  <c r="Q108" i="29" s="1"/>
  <c r="R108" i="29" s="1"/>
  <c r="S108" i="29" s="1"/>
  <c r="U109" i="29"/>
  <c r="T109" i="29" s="1"/>
  <c r="Q109" i="29" s="1"/>
  <c r="R109" i="29" s="1"/>
  <c r="S109" i="29" s="1"/>
  <c r="U110" i="29"/>
  <c r="T110" i="29" s="1"/>
  <c r="Q110" i="29" s="1"/>
  <c r="R110" i="29" s="1"/>
  <c r="S110" i="29" s="1"/>
  <c r="U111" i="29"/>
  <c r="T111" i="29" s="1"/>
  <c r="Q111" i="29" s="1"/>
  <c r="R111" i="29" s="1"/>
  <c r="S111" i="29" s="1"/>
  <c r="U112" i="29"/>
  <c r="T112" i="29" s="1"/>
  <c r="Q112" i="29" s="1"/>
  <c r="R112" i="29" s="1"/>
  <c r="S112" i="29" s="1"/>
  <c r="U113" i="29"/>
  <c r="T113" i="29" s="1"/>
  <c r="Q113" i="29" s="1"/>
  <c r="R113" i="29" s="1"/>
  <c r="S113" i="29" s="1"/>
  <c r="U114" i="29"/>
  <c r="T114" i="29" s="1"/>
  <c r="Q114" i="29" s="1"/>
  <c r="R114" i="29" s="1"/>
  <c r="S114" i="29" s="1"/>
  <c r="P4" i="29"/>
  <c r="P5" i="29"/>
  <c r="P6" i="29"/>
  <c r="P7" i="29"/>
  <c r="P8" i="29"/>
  <c r="P9" i="29"/>
  <c r="P10" i="29"/>
  <c r="P11" i="29"/>
  <c r="P12" i="29"/>
  <c r="P13" i="29"/>
  <c r="P14" i="29"/>
  <c r="P15" i="29"/>
  <c r="P16" i="29"/>
  <c r="P17" i="29"/>
  <c r="P18" i="29"/>
  <c r="P19" i="29"/>
  <c r="P20" i="29"/>
  <c r="P21" i="29"/>
  <c r="P22" i="29"/>
  <c r="P23" i="29"/>
  <c r="P24" i="29"/>
  <c r="P25" i="29"/>
  <c r="P26" i="29"/>
  <c r="P27" i="29"/>
  <c r="P28" i="29"/>
  <c r="P29" i="29"/>
  <c r="P30" i="29"/>
  <c r="P31" i="29"/>
  <c r="P32" i="29"/>
  <c r="P33" i="29"/>
  <c r="P34" i="29"/>
  <c r="P35" i="29"/>
  <c r="P36" i="29"/>
  <c r="P37" i="29"/>
  <c r="P38" i="29"/>
  <c r="P39" i="29"/>
  <c r="P40" i="29"/>
  <c r="P41" i="29"/>
  <c r="P42" i="29"/>
  <c r="P43" i="29"/>
  <c r="P44" i="29"/>
  <c r="P45" i="29"/>
  <c r="P46" i="29"/>
  <c r="P47" i="29"/>
  <c r="P48" i="29"/>
  <c r="P49" i="29"/>
  <c r="P50" i="29"/>
  <c r="P51" i="29"/>
  <c r="P52" i="29"/>
  <c r="P53" i="29"/>
  <c r="P54" i="29"/>
  <c r="P55" i="29"/>
  <c r="P56" i="29"/>
  <c r="P57" i="29"/>
  <c r="P58" i="29"/>
  <c r="P59" i="29"/>
  <c r="P60" i="29"/>
  <c r="P61" i="29"/>
  <c r="P62" i="29"/>
  <c r="P63" i="29"/>
  <c r="P64" i="29"/>
  <c r="P65" i="29"/>
  <c r="P66" i="29"/>
  <c r="P67" i="29"/>
  <c r="P68" i="29"/>
  <c r="P69" i="29"/>
  <c r="P70" i="29"/>
  <c r="P71" i="29"/>
  <c r="P72" i="29"/>
  <c r="P73" i="29"/>
  <c r="P74" i="29"/>
  <c r="P75" i="29"/>
  <c r="P76" i="29"/>
  <c r="P77" i="29"/>
  <c r="P79" i="29"/>
  <c r="P80" i="29"/>
  <c r="P82" i="29"/>
  <c r="P83" i="29"/>
  <c r="P84" i="29"/>
  <c r="P85" i="29"/>
  <c r="P86" i="29"/>
  <c r="P87" i="29"/>
  <c r="P89" i="29"/>
  <c r="P90" i="29"/>
  <c r="P91" i="29"/>
  <c r="P92" i="29"/>
  <c r="P93" i="29"/>
  <c r="P94" i="29"/>
  <c r="P95" i="29"/>
  <c r="P96" i="29"/>
  <c r="P97" i="29"/>
  <c r="P98" i="29"/>
  <c r="P99" i="29"/>
  <c r="P100" i="29"/>
  <c r="P101" i="29"/>
  <c r="P102" i="29"/>
  <c r="P103" i="29"/>
  <c r="P104" i="29"/>
  <c r="P105" i="29"/>
  <c r="P106" i="29"/>
  <c r="P108" i="29"/>
  <c r="P109" i="29"/>
  <c r="P110" i="29"/>
  <c r="P111" i="29"/>
  <c r="P112" i="29"/>
  <c r="P113" i="29"/>
  <c r="P114" i="29"/>
  <c r="N4" i="29"/>
  <c r="N5" i="29"/>
  <c r="N6" i="29"/>
  <c r="N7" i="29"/>
  <c r="N8" i="29"/>
  <c r="N9" i="29"/>
  <c r="N10" i="29"/>
  <c r="N11" i="29"/>
  <c r="N12" i="29"/>
  <c r="N13" i="29"/>
  <c r="N14" i="29"/>
  <c r="N15" i="29"/>
  <c r="N16" i="29"/>
  <c r="N17" i="29"/>
  <c r="N18" i="29"/>
  <c r="N19" i="29"/>
  <c r="N20" i="29"/>
  <c r="N21" i="29"/>
  <c r="N22" i="29"/>
  <c r="N23" i="29"/>
  <c r="N24" i="29"/>
  <c r="N25" i="29"/>
  <c r="N26" i="29"/>
  <c r="N27" i="29"/>
  <c r="N28" i="29"/>
  <c r="N29" i="29"/>
  <c r="N30" i="29"/>
  <c r="N31" i="29"/>
  <c r="N32" i="29"/>
  <c r="N33" i="29"/>
  <c r="N34" i="29"/>
  <c r="N35" i="29"/>
  <c r="N36" i="29"/>
  <c r="N37" i="29"/>
  <c r="N38" i="29"/>
  <c r="N39" i="29"/>
  <c r="N40" i="29"/>
  <c r="N41" i="29"/>
  <c r="N42" i="29"/>
  <c r="N43" i="29"/>
  <c r="N44" i="29"/>
  <c r="N45" i="29"/>
  <c r="N46" i="29"/>
  <c r="N47" i="29"/>
  <c r="N48" i="29"/>
  <c r="N49" i="29"/>
  <c r="N50" i="29"/>
  <c r="N51" i="29"/>
  <c r="N52" i="29"/>
  <c r="N53" i="29"/>
  <c r="N54" i="29"/>
  <c r="N55" i="29"/>
  <c r="N56" i="29"/>
  <c r="N57" i="29"/>
  <c r="N58" i="29"/>
  <c r="N59" i="29"/>
  <c r="N60" i="29"/>
  <c r="N61" i="29"/>
  <c r="N62" i="29"/>
  <c r="N63" i="29"/>
  <c r="N64" i="29"/>
  <c r="N65" i="29"/>
  <c r="N66" i="29"/>
  <c r="N67" i="29"/>
  <c r="N68" i="29"/>
  <c r="N69" i="29"/>
  <c r="N70" i="29"/>
  <c r="N71" i="29"/>
  <c r="N72" i="29"/>
  <c r="N73" i="29"/>
  <c r="N74" i="29"/>
  <c r="N75" i="29"/>
  <c r="N76" i="29"/>
  <c r="N77" i="29"/>
  <c r="N79" i="29"/>
  <c r="N80" i="29"/>
  <c r="N82" i="29"/>
  <c r="N83" i="29"/>
  <c r="N84" i="29"/>
  <c r="N85" i="29"/>
  <c r="N86" i="29"/>
  <c r="N87" i="29"/>
  <c r="N89" i="29"/>
  <c r="N90" i="29"/>
  <c r="N91" i="29"/>
  <c r="N92" i="29"/>
  <c r="N93" i="29"/>
  <c r="N94" i="29"/>
  <c r="N95" i="29"/>
  <c r="N96" i="29"/>
  <c r="N97" i="29"/>
  <c r="N98" i="29"/>
  <c r="N99" i="29"/>
  <c r="N100" i="29"/>
  <c r="N101" i="29"/>
  <c r="N102" i="29"/>
  <c r="N103" i="29"/>
  <c r="N104" i="29"/>
  <c r="N105" i="29"/>
  <c r="N106" i="29"/>
  <c r="N108" i="29"/>
  <c r="N109" i="29"/>
  <c r="N110" i="29"/>
  <c r="N111" i="29"/>
  <c r="N112" i="29"/>
  <c r="N113" i="29"/>
  <c r="N114" i="29"/>
  <c r="O4" i="29"/>
  <c r="O5" i="29"/>
  <c r="O6" i="29"/>
  <c r="O7" i="29"/>
  <c r="O8" i="29"/>
  <c r="O9" i="29"/>
  <c r="O10" i="29"/>
  <c r="O11" i="29"/>
  <c r="O12" i="29"/>
  <c r="O13" i="29"/>
  <c r="O14" i="29"/>
  <c r="O15" i="29"/>
  <c r="O16" i="29"/>
  <c r="O17" i="29"/>
  <c r="O18" i="29"/>
  <c r="O19" i="29"/>
  <c r="O20" i="29"/>
  <c r="O21" i="29"/>
  <c r="O22" i="29"/>
  <c r="O23" i="29"/>
  <c r="O24" i="29"/>
  <c r="O25" i="29"/>
  <c r="O26" i="29"/>
  <c r="O27" i="29"/>
  <c r="O28" i="29"/>
  <c r="O29" i="29"/>
  <c r="O30" i="29"/>
  <c r="O31" i="29"/>
  <c r="O32" i="29"/>
  <c r="O33" i="29"/>
  <c r="O34" i="29"/>
  <c r="O35" i="29"/>
  <c r="O36" i="29"/>
  <c r="O37" i="29"/>
  <c r="O38" i="29"/>
  <c r="O39" i="29"/>
  <c r="O40" i="29"/>
  <c r="O41" i="29"/>
  <c r="O42" i="29"/>
  <c r="O43" i="29"/>
  <c r="O44" i="29"/>
  <c r="O45" i="29"/>
  <c r="O46" i="29"/>
  <c r="O47" i="29"/>
  <c r="O48" i="29"/>
  <c r="O49" i="29"/>
  <c r="O50" i="29"/>
  <c r="O51" i="29"/>
  <c r="O52" i="29"/>
  <c r="O53" i="29"/>
  <c r="O54" i="29"/>
  <c r="O55" i="29"/>
  <c r="O56" i="29"/>
  <c r="O57" i="29"/>
  <c r="O58" i="29"/>
  <c r="O59" i="29"/>
  <c r="O60" i="29"/>
  <c r="O61" i="29"/>
  <c r="O62" i="29"/>
  <c r="O63" i="29"/>
  <c r="O64" i="29"/>
  <c r="O65" i="29"/>
  <c r="O66" i="29"/>
  <c r="O67" i="29"/>
  <c r="O68" i="29"/>
  <c r="O69" i="29"/>
  <c r="O70" i="29"/>
  <c r="O71" i="29"/>
  <c r="O72" i="29"/>
  <c r="O73" i="29"/>
  <c r="O74" i="29"/>
  <c r="O75" i="29"/>
  <c r="O76" i="29"/>
  <c r="O77" i="29"/>
  <c r="O78" i="29"/>
  <c r="O79" i="29"/>
  <c r="O80" i="29"/>
  <c r="O81" i="29"/>
  <c r="O82" i="29"/>
  <c r="O83" i="29"/>
  <c r="O84" i="29"/>
  <c r="O85" i="29"/>
  <c r="O86" i="29"/>
  <c r="O87" i="29"/>
  <c r="O88" i="29"/>
  <c r="O89" i="29"/>
  <c r="O90" i="29"/>
  <c r="O91" i="29"/>
  <c r="O92" i="29"/>
  <c r="O93" i="29"/>
  <c r="O94" i="29"/>
  <c r="O95" i="29"/>
  <c r="O96" i="29"/>
  <c r="O97" i="29"/>
  <c r="O98" i="29"/>
  <c r="O99" i="29"/>
  <c r="O100" i="29"/>
  <c r="O101" i="29"/>
  <c r="O102" i="29"/>
  <c r="O103" i="29"/>
  <c r="O104" i="29"/>
  <c r="O105" i="29"/>
  <c r="O106" i="29"/>
  <c r="O107" i="29"/>
  <c r="O108" i="29"/>
  <c r="O109" i="29"/>
  <c r="O110" i="29"/>
  <c r="O111" i="29"/>
  <c r="O112" i="29"/>
  <c r="O113" i="29"/>
  <c r="O114" i="29"/>
  <c r="O3" i="29"/>
  <c r="M4" i="29"/>
  <c r="M5" i="29"/>
  <c r="M6" i="29"/>
  <c r="M7" i="29"/>
  <c r="M8" i="29"/>
  <c r="M9" i="29"/>
  <c r="M10" i="29"/>
  <c r="M11" i="29"/>
  <c r="M12" i="29"/>
  <c r="M13" i="29"/>
  <c r="M14" i="29"/>
  <c r="M15" i="29"/>
  <c r="M16" i="29"/>
  <c r="M17" i="29"/>
  <c r="M18" i="29"/>
  <c r="M19" i="29"/>
  <c r="M20" i="29"/>
  <c r="M21" i="29"/>
  <c r="M22" i="29"/>
  <c r="M23" i="29"/>
  <c r="M24" i="29"/>
  <c r="M25" i="29"/>
  <c r="M26" i="29"/>
  <c r="M27" i="29"/>
  <c r="M28" i="29"/>
  <c r="M29" i="29"/>
  <c r="M30" i="29"/>
  <c r="M31" i="29"/>
  <c r="M32" i="29"/>
  <c r="M33" i="29"/>
  <c r="M34" i="29"/>
  <c r="M35" i="29"/>
  <c r="M36" i="29"/>
  <c r="M37" i="29"/>
  <c r="M38" i="29"/>
  <c r="M39" i="29"/>
  <c r="M40" i="29"/>
  <c r="M41" i="29"/>
  <c r="M42" i="29"/>
  <c r="M43" i="29"/>
  <c r="M44" i="29"/>
  <c r="M45" i="29"/>
  <c r="M46" i="29"/>
  <c r="M47" i="29"/>
  <c r="M48" i="29"/>
  <c r="M49" i="29"/>
  <c r="M50" i="29"/>
  <c r="M51" i="29"/>
  <c r="M52" i="29"/>
  <c r="M53" i="29"/>
  <c r="M54" i="29"/>
  <c r="M55" i="29"/>
  <c r="M56" i="29"/>
  <c r="M57" i="29"/>
  <c r="M58" i="29"/>
  <c r="M59" i="29"/>
  <c r="M60" i="29"/>
  <c r="M61" i="29"/>
  <c r="M62" i="29"/>
  <c r="M63" i="29"/>
  <c r="M64" i="29"/>
  <c r="M65" i="29"/>
  <c r="M66" i="29"/>
  <c r="M67" i="29"/>
  <c r="M68" i="29"/>
  <c r="M69" i="29"/>
  <c r="M70" i="29"/>
  <c r="M71" i="29"/>
  <c r="M72" i="29"/>
  <c r="M73" i="29"/>
  <c r="M74" i="29"/>
  <c r="M75" i="29"/>
  <c r="M76" i="29"/>
  <c r="M77" i="29"/>
  <c r="M78" i="29"/>
  <c r="N78" i="29" s="1"/>
  <c r="P78" i="29" s="1"/>
  <c r="M79" i="29"/>
  <c r="M80" i="29"/>
  <c r="M81" i="29"/>
  <c r="N81" i="29" s="1"/>
  <c r="P81" i="29" s="1"/>
  <c r="M82" i="29"/>
  <c r="M83" i="29"/>
  <c r="M84" i="29"/>
  <c r="M85" i="29"/>
  <c r="M86" i="29"/>
  <c r="M87" i="29"/>
  <c r="M88" i="29"/>
  <c r="N88" i="29" s="1"/>
  <c r="P88" i="29" s="1"/>
  <c r="M89" i="29"/>
  <c r="M90" i="29"/>
  <c r="M91" i="29"/>
  <c r="M92" i="29"/>
  <c r="M93" i="29"/>
  <c r="M94" i="29"/>
  <c r="M95" i="29"/>
  <c r="M96" i="29"/>
  <c r="M97" i="29"/>
  <c r="M98" i="29"/>
  <c r="M99" i="29"/>
  <c r="M100" i="29"/>
  <c r="M101" i="29"/>
  <c r="M102" i="29"/>
  <c r="M103" i="29"/>
  <c r="M104" i="29"/>
  <c r="M105" i="29"/>
  <c r="M106" i="29"/>
  <c r="M107" i="29"/>
  <c r="N107" i="29" s="1"/>
  <c r="P107" i="29" s="1"/>
  <c r="M108" i="29"/>
  <c r="M109" i="29"/>
  <c r="M110" i="29"/>
  <c r="M111" i="29"/>
  <c r="M112" i="29"/>
  <c r="M113" i="29"/>
  <c r="M114" i="29"/>
  <c r="V4" i="29"/>
  <c r="W4" i="29"/>
  <c r="X4" i="29"/>
  <c r="Y4" i="29"/>
  <c r="V5" i="29"/>
  <c r="W5" i="29"/>
  <c r="X5" i="29"/>
  <c r="Y5" i="29"/>
  <c r="V6" i="29"/>
  <c r="W6" i="29"/>
  <c r="X6" i="29"/>
  <c r="Y6" i="29"/>
  <c r="V7" i="29"/>
  <c r="W7" i="29"/>
  <c r="X7" i="29"/>
  <c r="Y7" i="29"/>
  <c r="V8" i="29"/>
  <c r="W8" i="29"/>
  <c r="X8" i="29"/>
  <c r="Y8" i="29"/>
  <c r="V9" i="29"/>
  <c r="W9" i="29"/>
  <c r="X9" i="29"/>
  <c r="Y9" i="29"/>
  <c r="V10" i="29"/>
  <c r="W10" i="29"/>
  <c r="X10" i="29"/>
  <c r="Y10" i="29"/>
  <c r="V11" i="29"/>
  <c r="W11" i="29"/>
  <c r="X11" i="29"/>
  <c r="Y11" i="29"/>
  <c r="V12" i="29"/>
  <c r="W12" i="29"/>
  <c r="X12" i="29"/>
  <c r="Y12" i="29"/>
  <c r="V13" i="29"/>
  <c r="W13" i="29"/>
  <c r="X13" i="29"/>
  <c r="Y13" i="29"/>
  <c r="V14" i="29"/>
  <c r="W14" i="29"/>
  <c r="X14" i="29"/>
  <c r="Y14" i="29"/>
  <c r="V15" i="29"/>
  <c r="W15" i="29"/>
  <c r="X15" i="29"/>
  <c r="Y15" i="29"/>
  <c r="V16" i="29"/>
  <c r="W16" i="29"/>
  <c r="X16" i="29"/>
  <c r="Y16" i="29"/>
  <c r="V17" i="29"/>
  <c r="W17" i="29"/>
  <c r="X17" i="29"/>
  <c r="Y17" i="29"/>
  <c r="V18" i="29"/>
  <c r="W18" i="29"/>
  <c r="X18" i="29"/>
  <c r="Y18" i="29"/>
  <c r="V19" i="29"/>
  <c r="W19" i="29"/>
  <c r="X19" i="29"/>
  <c r="Y19" i="29"/>
  <c r="V20" i="29"/>
  <c r="W20" i="29"/>
  <c r="X20" i="29"/>
  <c r="Y20" i="29"/>
  <c r="V21" i="29"/>
  <c r="W21" i="29"/>
  <c r="X21" i="29"/>
  <c r="Y21" i="29"/>
  <c r="V22" i="29"/>
  <c r="W22" i="29"/>
  <c r="X22" i="29"/>
  <c r="Y22" i="29"/>
  <c r="V23" i="29"/>
  <c r="W23" i="29"/>
  <c r="X23" i="29"/>
  <c r="Y23" i="29"/>
  <c r="V24" i="29"/>
  <c r="W24" i="29"/>
  <c r="X24" i="29"/>
  <c r="Y24" i="29"/>
  <c r="V25" i="29"/>
  <c r="W25" i="29"/>
  <c r="X25" i="29"/>
  <c r="Y25" i="29"/>
  <c r="V26" i="29"/>
  <c r="W26" i="29"/>
  <c r="X26" i="29"/>
  <c r="Y26" i="29"/>
  <c r="V27" i="29"/>
  <c r="W27" i="29"/>
  <c r="X27" i="29"/>
  <c r="Y27" i="29"/>
  <c r="V28" i="29"/>
  <c r="W28" i="29"/>
  <c r="X28" i="29"/>
  <c r="Y28" i="29"/>
  <c r="V29" i="29"/>
  <c r="W29" i="29"/>
  <c r="X29" i="29"/>
  <c r="Y29" i="29"/>
  <c r="V30" i="29"/>
  <c r="W30" i="29"/>
  <c r="X30" i="29"/>
  <c r="Y30" i="29"/>
  <c r="V31" i="29"/>
  <c r="W31" i="29"/>
  <c r="X31" i="29"/>
  <c r="Y31" i="29"/>
  <c r="V32" i="29"/>
  <c r="W32" i="29"/>
  <c r="X32" i="29"/>
  <c r="Y32" i="29"/>
  <c r="V33" i="29"/>
  <c r="W33" i="29"/>
  <c r="X33" i="29"/>
  <c r="Y33" i="29"/>
  <c r="V34" i="29"/>
  <c r="W34" i="29"/>
  <c r="X34" i="29"/>
  <c r="Y34" i="29"/>
  <c r="V35" i="29"/>
  <c r="W35" i="29"/>
  <c r="X35" i="29"/>
  <c r="Y35" i="29"/>
  <c r="V36" i="29"/>
  <c r="W36" i="29"/>
  <c r="X36" i="29"/>
  <c r="Y36" i="29"/>
  <c r="V37" i="29"/>
  <c r="W37" i="29"/>
  <c r="X37" i="29"/>
  <c r="Y37" i="29"/>
  <c r="V38" i="29"/>
  <c r="W38" i="29"/>
  <c r="X38" i="29"/>
  <c r="Y38" i="29"/>
  <c r="V39" i="29"/>
  <c r="W39" i="29"/>
  <c r="X39" i="29"/>
  <c r="Y39" i="29"/>
  <c r="V40" i="29"/>
  <c r="W40" i="29"/>
  <c r="X40" i="29"/>
  <c r="Y40" i="29"/>
  <c r="V41" i="29"/>
  <c r="W41" i="29"/>
  <c r="X41" i="29"/>
  <c r="Y41" i="29"/>
  <c r="V42" i="29"/>
  <c r="W42" i="29"/>
  <c r="X42" i="29"/>
  <c r="Y42" i="29"/>
  <c r="V43" i="29"/>
  <c r="W43" i="29"/>
  <c r="X43" i="29"/>
  <c r="Y43" i="29"/>
  <c r="V44" i="29"/>
  <c r="W44" i="29"/>
  <c r="X44" i="29"/>
  <c r="Y44" i="29"/>
  <c r="V45" i="29"/>
  <c r="W45" i="29"/>
  <c r="X45" i="29"/>
  <c r="Y45" i="29"/>
  <c r="V46" i="29"/>
  <c r="W46" i="29"/>
  <c r="X46" i="29"/>
  <c r="Y46" i="29"/>
  <c r="V47" i="29"/>
  <c r="W47" i="29"/>
  <c r="X47" i="29"/>
  <c r="Y47" i="29"/>
  <c r="V48" i="29"/>
  <c r="W48" i="29"/>
  <c r="X48" i="29"/>
  <c r="Y48" i="29"/>
  <c r="V49" i="29"/>
  <c r="W49" i="29"/>
  <c r="X49" i="29"/>
  <c r="Y49" i="29"/>
  <c r="V50" i="29"/>
  <c r="W50" i="29"/>
  <c r="X50" i="29"/>
  <c r="Y50" i="29"/>
  <c r="V51" i="29"/>
  <c r="W51" i="29"/>
  <c r="X51" i="29"/>
  <c r="Y51" i="29"/>
  <c r="V52" i="29"/>
  <c r="W52" i="29"/>
  <c r="X52" i="29"/>
  <c r="Y52" i="29"/>
  <c r="V53" i="29"/>
  <c r="W53" i="29"/>
  <c r="X53" i="29"/>
  <c r="Y53" i="29"/>
  <c r="V54" i="29"/>
  <c r="W54" i="29"/>
  <c r="X54" i="29"/>
  <c r="Y54" i="29"/>
  <c r="V55" i="29"/>
  <c r="W55" i="29"/>
  <c r="X55" i="29"/>
  <c r="Y55" i="29"/>
  <c r="V56" i="29"/>
  <c r="W56" i="29"/>
  <c r="X56" i="29"/>
  <c r="Y56" i="29"/>
  <c r="V57" i="29"/>
  <c r="W57" i="29"/>
  <c r="X57" i="29"/>
  <c r="Y57" i="29"/>
  <c r="V58" i="29"/>
  <c r="W58" i="29"/>
  <c r="X58" i="29"/>
  <c r="Y58" i="29"/>
  <c r="V59" i="29"/>
  <c r="W59" i="29"/>
  <c r="X59" i="29"/>
  <c r="Y59" i="29"/>
  <c r="V60" i="29"/>
  <c r="W60" i="29"/>
  <c r="X60" i="29"/>
  <c r="Y60" i="29"/>
  <c r="V61" i="29"/>
  <c r="W61" i="29"/>
  <c r="X61" i="29"/>
  <c r="Y61" i="29"/>
  <c r="V62" i="29"/>
  <c r="W62" i="29"/>
  <c r="X62" i="29"/>
  <c r="Y62" i="29"/>
  <c r="V63" i="29"/>
  <c r="W63" i="29"/>
  <c r="X63" i="29"/>
  <c r="Y63" i="29"/>
  <c r="V64" i="29"/>
  <c r="W64" i="29"/>
  <c r="X64" i="29"/>
  <c r="Y64" i="29"/>
  <c r="V65" i="29"/>
  <c r="W65" i="29"/>
  <c r="X65" i="29"/>
  <c r="Y65" i="29"/>
  <c r="V66" i="29"/>
  <c r="W66" i="29"/>
  <c r="X66" i="29"/>
  <c r="Y66" i="29"/>
  <c r="V67" i="29"/>
  <c r="W67" i="29"/>
  <c r="X67" i="29"/>
  <c r="Y67" i="29"/>
  <c r="V68" i="29"/>
  <c r="W68" i="29"/>
  <c r="X68" i="29"/>
  <c r="Y68" i="29"/>
  <c r="V69" i="29"/>
  <c r="W69" i="29"/>
  <c r="X69" i="29"/>
  <c r="Y69" i="29"/>
  <c r="V70" i="29"/>
  <c r="W70" i="29"/>
  <c r="X70" i="29"/>
  <c r="Y70" i="29"/>
  <c r="V71" i="29"/>
  <c r="W71" i="29"/>
  <c r="X71" i="29"/>
  <c r="Y71" i="29"/>
  <c r="V72" i="29"/>
  <c r="W72" i="29"/>
  <c r="X72" i="29"/>
  <c r="Y72" i="29"/>
  <c r="V73" i="29"/>
  <c r="W73" i="29"/>
  <c r="X73" i="29"/>
  <c r="Y73" i="29"/>
  <c r="V74" i="29"/>
  <c r="W74" i="29"/>
  <c r="X74" i="29"/>
  <c r="Y74" i="29"/>
  <c r="V75" i="29"/>
  <c r="W75" i="29"/>
  <c r="X75" i="29"/>
  <c r="Y75" i="29"/>
  <c r="V76" i="29"/>
  <c r="W76" i="29"/>
  <c r="X76" i="29"/>
  <c r="Y76" i="29"/>
  <c r="V77" i="29"/>
  <c r="W77" i="29"/>
  <c r="X77" i="29"/>
  <c r="Y77" i="29"/>
  <c r="V78" i="29"/>
  <c r="U78" i="29" s="1"/>
  <c r="W78" i="29"/>
  <c r="X78" i="29"/>
  <c r="Y78" i="29"/>
  <c r="V79" i="29"/>
  <c r="W79" i="29"/>
  <c r="X79" i="29"/>
  <c r="Y79" i="29"/>
  <c r="V80" i="29"/>
  <c r="W80" i="29"/>
  <c r="X80" i="29"/>
  <c r="Y80" i="29"/>
  <c r="V81" i="29"/>
  <c r="U81" i="29" s="1"/>
  <c r="W81" i="29"/>
  <c r="X81" i="29"/>
  <c r="Y81" i="29"/>
  <c r="V82" i="29"/>
  <c r="W82" i="29"/>
  <c r="X82" i="29"/>
  <c r="Y82" i="29"/>
  <c r="V83" i="29"/>
  <c r="W83" i="29"/>
  <c r="X83" i="29"/>
  <c r="Y83" i="29"/>
  <c r="V84" i="29"/>
  <c r="W84" i="29"/>
  <c r="X84" i="29"/>
  <c r="Y84" i="29"/>
  <c r="V85" i="29"/>
  <c r="W85" i="29"/>
  <c r="X85" i="29"/>
  <c r="Y85" i="29"/>
  <c r="V86" i="29"/>
  <c r="W86" i="29"/>
  <c r="X86" i="29"/>
  <c r="Y86" i="29"/>
  <c r="V87" i="29"/>
  <c r="W87" i="29"/>
  <c r="X87" i="29"/>
  <c r="Y87" i="29"/>
  <c r="V88" i="29"/>
  <c r="U88" i="29" s="1"/>
  <c r="W88" i="29"/>
  <c r="X88" i="29"/>
  <c r="Y88" i="29"/>
  <c r="V89" i="29"/>
  <c r="W89" i="29"/>
  <c r="X89" i="29"/>
  <c r="Y89" i="29"/>
  <c r="V90" i="29"/>
  <c r="W90" i="29"/>
  <c r="X90" i="29"/>
  <c r="Y90" i="29"/>
  <c r="V91" i="29"/>
  <c r="W91" i="29"/>
  <c r="X91" i="29"/>
  <c r="Y91" i="29"/>
  <c r="V92" i="29"/>
  <c r="W92" i="29"/>
  <c r="X92" i="29"/>
  <c r="Y92" i="29"/>
  <c r="V93" i="29"/>
  <c r="W93" i="29"/>
  <c r="X93" i="29"/>
  <c r="Y93" i="29"/>
  <c r="V94" i="29"/>
  <c r="W94" i="29"/>
  <c r="X94" i="29"/>
  <c r="Y94" i="29"/>
  <c r="V95" i="29"/>
  <c r="W95" i="29"/>
  <c r="X95" i="29"/>
  <c r="Y95" i="29"/>
  <c r="V96" i="29"/>
  <c r="W96" i="29"/>
  <c r="X96" i="29"/>
  <c r="Y96" i="29"/>
  <c r="V97" i="29"/>
  <c r="W97" i="29"/>
  <c r="X97" i="29"/>
  <c r="Y97" i="29"/>
  <c r="V98" i="29"/>
  <c r="W98" i="29"/>
  <c r="X98" i="29"/>
  <c r="Y98" i="29"/>
  <c r="V99" i="29"/>
  <c r="W99" i="29"/>
  <c r="X99" i="29"/>
  <c r="Y99" i="29"/>
  <c r="V100" i="29"/>
  <c r="W100" i="29"/>
  <c r="X100" i="29"/>
  <c r="Y100" i="29"/>
  <c r="V101" i="29"/>
  <c r="W101" i="29"/>
  <c r="X101" i="29"/>
  <c r="Y101" i="29"/>
  <c r="V102" i="29"/>
  <c r="W102" i="29"/>
  <c r="X102" i="29"/>
  <c r="Y102" i="29"/>
  <c r="V103" i="29"/>
  <c r="W103" i="29"/>
  <c r="X103" i="29"/>
  <c r="Y103" i="29"/>
  <c r="V104" i="29"/>
  <c r="W104" i="29"/>
  <c r="X104" i="29"/>
  <c r="Y104" i="29"/>
  <c r="V105" i="29"/>
  <c r="W105" i="29"/>
  <c r="X105" i="29"/>
  <c r="Y105" i="29"/>
  <c r="V106" i="29"/>
  <c r="W106" i="29"/>
  <c r="X106" i="29"/>
  <c r="Y106" i="29"/>
  <c r="V107" i="29"/>
  <c r="U107" i="29" s="1"/>
  <c r="W107" i="29"/>
  <c r="X107" i="29"/>
  <c r="Y107" i="29"/>
  <c r="V108" i="29"/>
  <c r="W108" i="29"/>
  <c r="X108" i="29"/>
  <c r="Y108" i="29"/>
  <c r="V109" i="29"/>
  <c r="W109" i="29"/>
  <c r="X109" i="29"/>
  <c r="Y109" i="29"/>
  <c r="V110" i="29"/>
  <c r="W110" i="29"/>
  <c r="X110" i="29"/>
  <c r="Y110" i="29"/>
  <c r="V111" i="29"/>
  <c r="W111" i="29"/>
  <c r="X111" i="29"/>
  <c r="Y111" i="29"/>
  <c r="V112" i="29"/>
  <c r="W112" i="29"/>
  <c r="X112" i="29"/>
  <c r="Y112" i="29"/>
  <c r="V113" i="29"/>
  <c r="W113" i="29"/>
  <c r="X113" i="29"/>
  <c r="Y113" i="29"/>
  <c r="V114" i="29"/>
  <c r="W114" i="29"/>
  <c r="X114" i="29"/>
  <c r="Y114" i="29"/>
  <c r="Z114" i="29"/>
  <c r="AA114" i="29"/>
  <c r="X3" i="29"/>
  <c r="X4" i="28"/>
  <c r="Y4" i="28"/>
  <c r="Z4" i="28"/>
  <c r="X5" i="28"/>
  <c r="Y5" i="28"/>
  <c r="Z5" i="28"/>
  <c r="X6" i="28"/>
  <c r="Y6" i="28"/>
  <c r="Z6" i="28"/>
  <c r="X7" i="28"/>
  <c r="Y7" i="28"/>
  <c r="Z7" i="28"/>
  <c r="X8" i="28"/>
  <c r="Y8" i="28"/>
  <c r="Z8" i="28"/>
  <c r="X9" i="28"/>
  <c r="Y9" i="28"/>
  <c r="Z9" i="28"/>
  <c r="X10" i="28"/>
  <c r="Y10" i="28"/>
  <c r="Z10" i="28"/>
  <c r="X11" i="28"/>
  <c r="Y11" i="28"/>
  <c r="Z11" i="28"/>
  <c r="X12" i="28"/>
  <c r="Y12" i="28"/>
  <c r="Z12" i="28"/>
  <c r="X13" i="28"/>
  <c r="Y13" i="28"/>
  <c r="Z13" i="28"/>
  <c r="X14" i="28"/>
  <c r="Y14" i="28"/>
  <c r="Z14" i="28"/>
  <c r="X15" i="28"/>
  <c r="Y15" i="28"/>
  <c r="Z15" i="28"/>
  <c r="X16" i="28"/>
  <c r="Y16" i="28"/>
  <c r="Z16" i="28"/>
  <c r="X17" i="28"/>
  <c r="Y17" i="28"/>
  <c r="Z17" i="28"/>
  <c r="X18" i="28"/>
  <c r="Y18" i="28"/>
  <c r="Z18" i="28"/>
  <c r="X19" i="28"/>
  <c r="Y19" i="28"/>
  <c r="Z19" i="28"/>
  <c r="X20" i="28"/>
  <c r="Y20" i="28"/>
  <c r="Z20" i="28"/>
  <c r="X21" i="28"/>
  <c r="Y21" i="28"/>
  <c r="Z21" i="28"/>
  <c r="X22" i="28"/>
  <c r="Y22" i="28"/>
  <c r="Z22" i="28"/>
  <c r="X23" i="28"/>
  <c r="Y23" i="28"/>
  <c r="Z23" i="28"/>
  <c r="X24" i="28"/>
  <c r="Y24" i="28"/>
  <c r="Z24" i="28"/>
  <c r="X25" i="28"/>
  <c r="Y25" i="28"/>
  <c r="Z25" i="28"/>
  <c r="X26" i="28"/>
  <c r="Y26" i="28"/>
  <c r="Z26" i="28"/>
  <c r="X27" i="28"/>
  <c r="Y27" i="28"/>
  <c r="Z27" i="28"/>
  <c r="X28" i="28"/>
  <c r="Y28" i="28"/>
  <c r="Z28" i="28"/>
  <c r="X29" i="28"/>
  <c r="Y29" i="28"/>
  <c r="Z29" i="28"/>
  <c r="X30" i="28"/>
  <c r="Y30" i="28"/>
  <c r="Z30" i="28"/>
  <c r="X31" i="28"/>
  <c r="Y31" i="28"/>
  <c r="Z31" i="28"/>
  <c r="X32" i="28"/>
  <c r="Y32" i="28"/>
  <c r="Z32" i="28"/>
  <c r="X33" i="28"/>
  <c r="Y33" i="28"/>
  <c r="Z33" i="28"/>
  <c r="X34" i="28"/>
  <c r="Y34" i="28"/>
  <c r="Z34" i="28"/>
  <c r="X35" i="28"/>
  <c r="Y35" i="28"/>
  <c r="Z35" i="28"/>
  <c r="X36" i="28"/>
  <c r="Y36" i="28"/>
  <c r="Z36" i="28"/>
  <c r="X37" i="28"/>
  <c r="Y37" i="28"/>
  <c r="Z37" i="28"/>
  <c r="X38" i="28"/>
  <c r="Y38" i="28"/>
  <c r="Z38" i="28"/>
  <c r="X39" i="28"/>
  <c r="Y39" i="28"/>
  <c r="Z39" i="28"/>
  <c r="X40" i="28"/>
  <c r="Y40" i="28"/>
  <c r="Z40" i="28"/>
  <c r="X41" i="28"/>
  <c r="Y41" i="28"/>
  <c r="Z41" i="28"/>
  <c r="X42" i="28"/>
  <c r="Y42" i="28"/>
  <c r="Z42" i="28"/>
  <c r="X43" i="28"/>
  <c r="Y43" i="28"/>
  <c r="Z43" i="28"/>
  <c r="X44" i="28"/>
  <c r="Y44" i="28"/>
  <c r="Z44" i="28"/>
  <c r="X45" i="28"/>
  <c r="Y45" i="28"/>
  <c r="Z45" i="28"/>
  <c r="X46" i="28"/>
  <c r="Y46" i="28"/>
  <c r="Z46" i="28"/>
  <c r="X47" i="28"/>
  <c r="Y47" i="28"/>
  <c r="Z47" i="28"/>
  <c r="X48" i="28"/>
  <c r="Y48" i="28"/>
  <c r="Z48" i="28"/>
  <c r="X49" i="28"/>
  <c r="Y49" i="28"/>
  <c r="Z49" i="28"/>
  <c r="X50" i="28"/>
  <c r="Y50" i="28"/>
  <c r="Z50" i="28"/>
  <c r="X51" i="28"/>
  <c r="Y51" i="28"/>
  <c r="Z51" i="28"/>
  <c r="X52" i="28"/>
  <c r="Y52" i="28"/>
  <c r="Z52" i="28"/>
  <c r="X53" i="28"/>
  <c r="Y53" i="28"/>
  <c r="Z53" i="28"/>
  <c r="X54" i="28"/>
  <c r="Y54" i="28"/>
  <c r="Z54" i="28"/>
  <c r="X55" i="28"/>
  <c r="Y55" i="28"/>
  <c r="Z55" i="28"/>
  <c r="X56" i="28"/>
  <c r="Y56" i="28"/>
  <c r="Z56" i="28"/>
  <c r="X57" i="28"/>
  <c r="Y57" i="28"/>
  <c r="Z57" i="28"/>
  <c r="X58" i="28"/>
  <c r="Y58" i="28"/>
  <c r="Z58" i="28"/>
  <c r="X59" i="28"/>
  <c r="Y59" i="28"/>
  <c r="Z59" i="28"/>
  <c r="X60" i="28"/>
  <c r="Y60" i="28"/>
  <c r="Z60" i="28"/>
  <c r="X61" i="28"/>
  <c r="Y61" i="28"/>
  <c r="Z61" i="28"/>
  <c r="X62" i="28"/>
  <c r="Y62" i="28"/>
  <c r="Z62" i="28"/>
  <c r="X63" i="28"/>
  <c r="Y63" i="28"/>
  <c r="Z63" i="28"/>
  <c r="X64" i="28"/>
  <c r="Y64" i="28"/>
  <c r="Z64" i="28"/>
  <c r="X65" i="28"/>
  <c r="Y65" i="28"/>
  <c r="Z65" i="28"/>
  <c r="X66" i="28"/>
  <c r="Y66" i="28"/>
  <c r="Z66" i="28"/>
  <c r="X67" i="28"/>
  <c r="Y67" i="28"/>
  <c r="Z67" i="28"/>
  <c r="X68" i="28"/>
  <c r="Y68" i="28"/>
  <c r="Z68" i="28"/>
  <c r="X69" i="28"/>
  <c r="Y69" i="28"/>
  <c r="Z69" i="28"/>
  <c r="X70" i="28"/>
  <c r="Y70" i="28"/>
  <c r="Z70" i="28"/>
  <c r="X71" i="28"/>
  <c r="Y71" i="28"/>
  <c r="Z71" i="28"/>
  <c r="X72" i="28"/>
  <c r="Y72" i="28"/>
  <c r="Z72" i="28"/>
  <c r="X73" i="28"/>
  <c r="Y73" i="28"/>
  <c r="Z73" i="28"/>
  <c r="X74" i="28"/>
  <c r="Y74" i="28"/>
  <c r="Z74" i="28"/>
  <c r="X75" i="28"/>
  <c r="Y75" i="28"/>
  <c r="Z75" i="28"/>
  <c r="X76" i="28"/>
  <c r="Y76" i="28"/>
  <c r="Z76" i="28"/>
  <c r="X77" i="28"/>
  <c r="Y77" i="28"/>
  <c r="Z77" i="28"/>
  <c r="X78" i="28"/>
  <c r="Y78" i="28"/>
  <c r="Z78" i="28"/>
  <c r="X79" i="28"/>
  <c r="Y79" i="28"/>
  <c r="Z79" i="28"/>
  <c r="X80" i="28"/>
  <c r="Y80" i="28"/>
  <c r="Z80" i="28"/>
  <c r="X81" i="28"/>
  <c r="Y81" i="28"/>
  <c r="Z81" i="28"/>
  <c r="X82" i="28"/>
  <c r="Y82" i="28"/>
  <c r="Z82" i="28"/>
  <c r="X83" i="28"/>
  <c r="Y83" i="28"/>
  <c r="Z83" i="28"/>
  <c r="X84" i="28"/>
  <c r="Y84" i="28"/>
  <c r="Z84" i="28"/>
  <c r="X85" i="28"/>
  <c r="Y85" i="28"/>
  <c r="Z85" i="28"/>
  <c r="X86" i="28"/>
  <c r="Y86" i="28"/>
  <c r="Z86" i="28"/>
  <c r="X87" i="28"/>
  <c r="Y87" i="28"/>
  <c r="Z87" i="28"/>
  <c r="X88" i="28"/>
  <c r="Y88" i="28"/>
  <c r="Z88" i="28"/>
  <c r="X89" i="28"/>
  <c r="Y89" i="28"/>
  <c r="Z89" i="28"/>
  <c r="X90" i="28"/>
  <c r="Y90" i="28"/>
  <c r="Z90" i="28"/>
  <c r="X91" i="28"/>
  <c r="Y91" i="28"/>
  <c r="Z91" i="28"/>
  <c r="X92" i="28"/>
  <c r="Y92" i="28"/>
  <c r="Z92" i="28"/>
  <c r="X93" i="28"/>
  <c r="Y93" i="28"/>
  <c r="Z93" i="28"/>
  <c r="X94" i="28"/>
  <c r="Y94" i="28"/>
  <c r="Z94" i="28"/>
  <c r="X95" i="28"/>
  <c r="Y95" i="28"/>
  <c r="Z95" i="28"/>
  <c r="X96" i="28"/>
  <c r="Y96" i="28"/>
  <c r="Z96" i="28"/>
  <c r="X97" i="28"/>
  <c r="Y97" i="28"/>
  <c r="Z97" i="28"/>
  <c r="X98" i="28"/>
  <c r="Y98" i="28"/>
  <c r="Z98" i="28"/>
  <c r="X99" i="28"/>
  <c r="Y99" i="28"/>
  <c r="Z99" i="28"/>
  <c r="X100" i="28"/>
  <c r="Y100" i="28"/>
  <c r="Z100" i="28"/>
  <c r="X101" i="28"/>
  <c r="Y101" i="28"/>
  <c r="Z101" i="28"/>
  <c r="X102" i="28"/>
  <c r="Y102" i="28"/>
  <c r="Z102" i="28"/>
  <c r="X103" i="28"/>
  <c r="Y103" i="28"/>
  <c r="Z103" i="28"/>
  <c r="X104" i="28"/>
  <c r="Y104" i="28"/>
  <c r="Z104" i="28"/>
  <c r="X105" i="28"/>
  <c r="Y105" i="28"/>
  <c r="Z105" i="28"/>
  <c r="X106" i="28"/>
  <c r="Y106" i="28"/>
  <c r="Z106" i="28"/>
  <c r="X107" i="28"/>
  <c r="Y107" i="28"/>
  <c r="Z107" i="28"/>
  <c r="X108" i="28"/>
  <c r="Y108" i="28"/>
  <c r="Z108" i="28"/>
  <c r="X109" i="28"/>
  <c r="Y109" i="28"/>
  <c r="Z109" i="28"/>
  <c r="X110" i="28"/>
  <c r="Y110" i="28"/>
  <c r="Z110" i="28"/>
  <c r="X111" i="28"/>
  <c r="Y111" i="28"/>
  <c r="Z111" i="28"/>
  <c r="X112" i="28"/>
  <c r="Y112" i="28"/>
  <c r="Z112" i="28"/>
  <c r="X113" i="28"/>
  <c r="Y113" i="28"/>
  <c r="Z113" i="28"/>
  <c r="X114" i="28"/>
  <c r="Y114" i="28"/>
  <c r="Z114" i="28"/>
  <c r="Z3" i="28"/>
  <c r="Y3" i="28"/>
  <c r="X3" i="28"/>
  <c r="Q4" i="28"/>
  <c r="Q5" i="28"/>
  <c r="Q6" i="28"/>
  <c r="Q7" i="28"/>
  <c r="Q8" i="28"/>
  <c r="Q9" i="28"/>
  <c r="Q10" i="28"/>
  <c r="Q11" i="28"/>
  <c r="Q12" i="28"/>
  <c r="Q13" i="28"/>
  <c r="Q14" i="28"/>
  <c r="Q15" i="28"/>
  <c r="Q16" i="28"/>
  <c r="Q17" i="28"/>
  <c r="Q18" i="28"/>
  <c r="Q19" i="28"/>
  <c r="Q20" i="28"/>
  <c r="Q21" i="28"/>
  <c r="Q22" i="28"/>
  <c r="Q23" i="28"/>
  <c r="Q24" i="28"/>
  <c r="Q25" i="28"/>
  <c r="Q26" i="28"/>
  <c r="Q27" i="28"/>
  <c r="Q28" i="28"/>
  <c r="Q29" i="28"/>
  <c r="Q30" i="28"/>
  <c r="Q31" i="28"/>
  <c r="Q32" i="28"/>
  <c r="Q33" i="28"/>
  <c r="Q34" i="28"/>
  <c r="Q35" i="28"/>
  <c r="Q36" i="28"/>
  <c r="Q37" i="28"/>
  <c r="Q38" i="28"/>
  <c r="Q39" i="28"/>
  <c r="Q40" i="28"/>
  <c r="Q41" i="28"/>
  <c r="Q42" i="28"/>
  <c r="Q43" i="28"/>
  <c r="Q44" i="28"/>
  <c r="Q45" i="28"/>
  <c r="Q46" i="28"/>
  <c r="Q47" i="28"/>
  <c r="Q48" i="28"/>
  <c r="Q49" i="28"/>
  <c r="Q50" i="28"/>
  <c r="Q51" i="28"/>
  <c r="Q52" i="28"/>
  <c r="Q53" i="28"/>
  <c r="Q54" i="28"/>
  <c r="Q55" i="28"/>
  <c r="Q56" i="28"/>
  <c r="Q57" i="28"/>
  <c r="Q58" i="28"/>
  <c r="Q59" i="28"/>
  <c r="Q60" i="28"/>
  <c r="Q61" i="28"/>
  <c r="Q62" i="28"/>
  <c r="Q63" i="28"/>
  <c r="Q64" i="28"/>
  <c r="Q65" i="28"/>
  <c r="Q66" i="28"/>
  <c r="Q67" i="28"/>
  <c r="Q68" i="28"/>
  <c r="Q69" i="28"/>
  <c r="Q70" i="28"/>
  <c r="Q71" i="28"/>
  <c r="Q72" i="28"/>
  <c r="Q73" i="28"/>
  <c r="Q74" i="28"/>
  <c r="Q75" i="28"/>
  <c r="Q76" i="28"/>
  <c r="Q77" i="28"/>
  <c r="Q78" i="28"/>
  <c r="Q79" i="28"/>
  <c r="Q80" i="28"/>
  <c r="Q81" i="28"/>
  <c r="Q82" i="28"/>
  <c r="Q83" i="28"/>
  <c r="Q84" i="28"/>
  <c r="Q85" i="28"/>
  <c r="Q86" i="28"/>
  <c r="Q87" i="28"/>
  <c r="Q88" i="28"/>
  <c r="Q89" i="28"/>
  <c r="Q90" i="28"/>
  <c r="Q91" i="28"/>
  <c r="Q92" i="28"/>
  <c r="Q93" i="28"/>
  <c r="Q94" i="28"/>
  <c r="Q95" i="28"/>
  <c r="Q96" i="28"/>
  <c r="Q97" i="28"/>
  <c r="Q98" i="28"/>
  <c r="Q99" i="28"/>
  <c r="Q100" i="28"/>
  <c r="Q101" i="28"/>
  <c r="Q102" i="28"/>
  <c r="Q103" i="28"/>
  <c r="Q104" i="28"/>
  <c r="Q105" i="28"/>
  <c r="Q106" i="28"/>
  <c r="Q107" i="28"/>
  <c r="Q108" i="28"/>
  <c r="Q109" i="28"/>
  <c r="Q110" i="28"/>
  <c r="Q111" i="28"/>
  <c r="Q112" i="28"/>
  <c r="Q113" i="28"/>
  <c r="Q114" i="28"/>
  <c r="Q3" i="28"/>
  <c r="O4" i="28"/>
  <c r="O5" i="28"/>
  <c r="O6" i="28"/>
  <c r="O7" i="28"/>
  <c r="O8" i="28"/>
  <c r="O9" i="28"/>
  <c r="O10" i="28"/>
  <c r="O11" i="28"/>
  <c r="O12" i="28"/>
  <c r="O13" i="28"/>
  <c r="O14" i="28"/>
  <c r="O15" i="28"/>
  <c r="O16" i="28"/>
  <c r="O17" i="28"/>
  <c r="O18" i="28"/>
  <c r="O19" i="28"/>
  <c r="O20" i="28"/>
  <c r="O21" i="28"/>
  <c r="O22" i="28"/>
  <c r="O23" i="28"/>
  <c r="O24" i="28"/>
  <c r="O25" i="28"/>
  <c r="O26" i="28"/>
  <c r="O27" i="28"/>
  <c r="O28" i="28"/>
  <c r="O29" i="28"/>
  <c r="O30" i="28"/>
  <c r="O31" i="28"/>
  <c r="O32" i="28"/>
  <c r="O33" i="28"/>
  <c r="O34" i="28"/>
  <c r="O35" i="28"/>
  <c r="O36" i="28"/>
  <c r="O37" i="28"/>
  <c r="O38" i="28"/>
  <c r="O39" i="28"/>
  <c r="O40" i="28"/>
  <c r="O41" i="28"/>
  <c r="O42" i="28"/>
  <c r="O43" i="28"/>
  <c r="O44" i="28"/>
  <c r="O45" i="28"/>
  <c r="O46" i="28"/>
  <c r="O47" i="28"/>
  <c r="O48" i="28"/>
  <c r="O49" i="28"/>
  <c r="O50" i="28"/>
  <c r="O51" i="28"/>
  <c r="O52" i="28"/>
  <c r="O53" i="28"/>
  <c r="O54" i="28"/>
  <c r="O55" i="28"/>
  <c r="O56" i="28"/>
  <c r="O57" i="28"/>
  <c r="O58" i="28"/>
  <c r="O59" i="28"/>
  <c r="O60" i="28"/>
  <c r="O61" i="28"/>
  <c r="O62" i="28"/>
  <c r="O63" i="28"/>
  <c r="O64" i="28"/>
  <c r="O65" i="28"/>
  <c r="O66" i="28"/>
  <c r="O67" i="28"/>
  <c r="O68" i="28"/>
  <c r="O69" i="28"/>
  <c r="O70" i="28"/>
  <c r="O71" i="28"/>
  <c r="O72" i="28"/>
  <c r="O73" i="28"/>
  <c r="O74" i="28"/>
  <c r="O75" i="28"/>
  <c r="O76" i="28"/>
  <c r="O77" i="28"/>
  <c r="O78" i="28"/>
  <c r="O79" i="28"/>
  <c r="O80" i="28"/>
  <c r="O81" i="28"/>
  <c r="O82" i="28"/>
  <c r="O83" i="28"/>
  <c r="O84" i="28"/>
  <c r="O85" i="28"/>
  <c r="O86" i="28"/>
  <c r="O87" i="28"/>
  <c r="O88" i="28"/>
  <c r="O89" i="28"/>
  <c r="O90" i="28"/>
  <c r="O91" i="28"/>
  <c r="O92" i="28"/>
  <c r="O93" i="28"/>
  <c r="O94" i="28"/>
  <c r="O95" i="28"/>
  <c r="O96" i="28"/>
  <c r="O97" i="28"/>
  <c r="O98" i="28"/>
  <c r="O99" i="28"/>
  <c r="O100" i="28"/>
  <c r="O101" i="28"/>
  <c r="O102" i="28"/>
  <c r="O103" i="28"/>
  <c r="O104" i="28"/>
  <c r="O105" i="28"/>
  <c r="O106" i="28"/>
  <c r="O107" i="28"/>
  <c r="O108" i="28"/>
  <c r="O109" i="28"/>
  <c r="O110" i="28"/>
  <c r="O111" i="28"/>
  <c r="O112" i="28"/>
  <c r="O113" i="28"/>
  <c r="O114" i="28"/>
  <c r="O3" i="28"/>
  <c r="W4" i="28"/>
  <c r="V4" i="28" s="1"/>
  <c r="S4" i="28" s="1"/>
  <c r="W5" i="28"/>
  <c r="V5" i="28" s="1"/>
  <c r="S5" i="28" s="1"/>
  <c r="W6" i="28"/>
  <c r="V6" i="28" s="1"/>
  <c r="S6" i="28" s="1"/>
  <c r="W7" i="28"/>
  <c r="V7" i="28" s="1"/>
  <c r="S7" i="28" s="1"/>
  <c r="W8" i="28"/>
  <c r="V8" i="28" s="1"/>
  <c r="S8" i="28" s="1"/>
  <c r="W9" i="28"/>
  <c r="V9" i="28" s="1"/>
  <c r="S9" i="28" s="1"/>
  <c r="W10" i="28"/>
  <c r="V10" i="28" s="1"/>
  <c r="S10" i="28" s="1"/>
  <c r="W11" i="28"/>
  <c r="V11" i="28" s="1"/>
  <c r="S11" i="28" s="1"/>
  <c r="W12" i="28"/>
  <c r="V12" i="28" s="1"/>
  <c r="S12" i="28" s="1"/>
  <c r="W13" i="28"/>
  <c r="V13" i="28" s="1"/>
  <c r="S13" i="28" s="1"/>
  <c r="W14" i="28"/>
  <c r="V14" i="28" s="1"/>
  <c r="S14" i="28" s="1"/>
  <c r="W15" i="28"/>
  <c r="V15" i="28" s="1"/>
  <c r="S15" i="28" s="1"/>
  <c r="W16" i="28"/>
  <c r="V16" i="28" s="1"/>
  <c r="S16" i="28" s="1"/>
  <c r="W17" i="28"/>
  <c r="V17" i="28" s="1"/>
  <c r="S17" i="28" s="1"/>
  <c r="W18" i="28"/>
  <c r="V18" i="28" s="1"/>
  <c r="S18" i="28" s="1"/>
  <c r="W19" i="28"/>
  <c r="V19" i="28" s="1"/>
  <c r="S19" i="28" s="1"/>
  <c r="W20" i="28"/>
  <c r="V20" i="28" s="1"/>
  <c r="S20" i="28" s="1"/>
  <c r="W21" i="28"/>
  <c r="V21" i="28" s="1"/>
  <c r="S21" i="28" s="1"/>
  <c r="W22" i="28"/>
  <c r="V22" i="28" s="1"/>
  <c r="S22" i="28" s="1"/>
  <c r="W23" i="28"/>
  <c r="V23" i="28" s="1"/>
  <c r="S23" i="28" s="1"/>
  <c r="W24" i="28"/>
  <c r="V24" i="28" s="1"/>
  <c r="S24" i="28" s="1"/>
  <c r="W25" i="28"/>
  <c r="V25" i="28" s="1"/>
  <c r="S25" i="28" s="1"/>
  <c r="W26" i="28"/>
  <c r="V26" i="28" s="1"/>
  <c r="S26" i="28" s="1"/>
  <c r="W27" i="28"/>
  <c r="V27" i="28" s="1"/>
  <c r="S27" i="28" s="1"/>
  <c r="W28" i="28"/>
  <c r="V28" i="28" s="1"/>
  <c r="S28" i="28" s="1"/>
  <c r="W29" i="28"/>
  <c r="V29" i="28" s="1"/>
  <c r="S29" i="28" s="1"/>
  <c r="W30" i="28"/>
  <c r="V30" i="28" s="1"/>
  <c r="S30" i="28" s="1"/>
  <c r="W31" i="28"/>
  <c r="V31" i="28" s="1"/>
  <c r="S31" i="28" s="1"/>
  <c r="W32" i="28"/>
  <c r="V32" i="28" s="1"/>
  <c r="S32" i="28" s="1"/>
  <c r="W33" i="28"/>
  <c r="V33" i="28" s="1"/>
  <c r="S33" i="28" s="1"/>
  <c r="W34" i="28"/>
  <c r="V34" i="28" s="1"/>
  <c r="S34" i="28" s="1"/>
  <c r="W35" i="28"/>
  <c r="V35" i="28" s="1"/>
  <c r="S35" i="28" s="1"/>
  <c r="W36" i="28"/>
  <c r="V36" i="28" s="1"/>
  <c r="S36" i="28" s="1"/>
  <c r="W37" i="28"/>
  <c r="V37" i="28" s="1"/>
  <c r="S37" i="28" s="1"/>
  <c r="W38" i="28"/>
  <c r="V38" i="28" s="1"/>
  <c r="S38" i="28" s="1"/>
  <c r="W39" i="28"/>
  <c r="V39" i="28" s="1"/>
  <c r="S39" i="28" s="1"/>
  <c r="W40" i="28"/>
  <c r="V40" i="28" s="1"/>
  <c r="S40" i="28" s="1"/>
  <c r="W41" i="28"/>
  <c r="V41" i="28" s="1"/>
  <c r="S41" i="28" s="1"/>
  <c r="W42" i="28"/>
  <c r="V42" i="28" s="1"/>
  <c r="S42" i="28" s="1"/>
  <c r="W43" i="28"/>
  <c r="V43" i="28" s="1"/>
  <c r="S43" i="28" s="1"/>
  <c r="W44" i="28"/>
  <c r="V44" i="28" s="1"/>
  <c r="S44" i="28" s="1"/>
  <c r="W45" i="28"/>
  <c r="V45" i="28" s="1"/>
  <c r="S45" i="28" s="1"/>
  <c r="W46" i="28"/>
  <c r="V46" i="28" s="1"/>
  <c r="S46" i="28" s="1"/>
  <c r="W47" i="28"/>
  <c r="V47" i="28" s="1"/>
  <c r="S47" i="28" s="1"/>
  <c r="W48" i="28"/>
  <c r="V48" i="28" s="1"/>
  <c r="S48" i="28" s="1"/>
  <c r="W49" i="28"/>
  <c r="V49" i="28" s="1"/>
  <c r="S49" i="28" s="1"/>
  <c r="W50" i="28"/>
  <c r="V50" i="28" s="1"/>
  <c r="S50" i="28" s="1"/>
  <c r="W51" i="28"/>
  <c r="V51" i="28" s="1"/>
  <c r="S51" i="28" s="1"/>
  <c r="W52" i="28"/>
  <c r="V52" i="28" s="1"/>
  <c r="S52" i="28" s="1"/>
  <c r="W53" i="28"/>
  <c r="V53" i="28" s="1"/>
  <c r="S53" i="28" s="1"/>
  <c r="W54" i="28"/>
  <c r="V54" i="28" s="1"/>
  <c r="S54" i="28" s="1"/>
  <c r="W55" i="28"/>
  <c r="V55" i="28" s="1"/>
  <c r="S55" i="28" s="1"/>
  <c r="W56" i="28"/>
  <c r="V56" i="28" s="1"/>
  <c r="S56" i="28" s="1"/>
  <c r="W57" i="28"/>
  <c r="V57" i="28" s="1"/>
  <c r="S57" i="28" s="1"/>
  <c r="W58" i="28"/>
  <c r="V58" i="28" s="1"/>
  <c r="S58" i="28" s="1"/>
  <c r="W59" i="28"/>
  <c r="V59" i="28" s="1"/>
  <c r="S59" i="28" s="1"/>
  <c r="W60" i="28"/>
  <c r="V60" i="28" s="1"/>
  <c r="S60" i="28" s="1"/>
  <c r="W61" i="28"/>
  <c r="V61" i="28" s="1"/>
  <c r="S61" i="28" s="1"/>
  <c r="W62" i="28"/>
  <c r="V62" i="28" s="1"/>
  <c r="S62" i="28" s="1"/>
  <c r="W63" i="28"/>
  <c r="V63" i="28" s="1"/>
  <c r="S63" i="28" s="1"/>
  <c r="W64" i="28"/>
  <c r="V64" i="28" s="1"/>
  <c r="S64" i="28" s="1"/>
  <c r="W65" i="28"/>
  <c r="V65" i="28" s="1"/>
  <c r="S65" i="28" s="1"/>
  <c r="W66" i="28"/>
  <c r="V66" i="28" s="1"/>
  <c r="S66" i="28" s="1"/>
  <c r="W67" i="28"/>
  <c r="V67" i="28" s="1"/>
  <c r="S67" i="28" s="1"/>
  <c r="W68" i="28"/>
  <c r="V68" i="28" s="1"/>
  <c r="S68" i="28" s="1"/>
  <c r="W69" i="28"/>
  <c r="V69" i="28" s="1"/>
  <c r="S69" i="28" s="1"/>
  <c r="W70" i="28"/>
  <c r="V70" i="28" s="1"/>
  <c r="S70" i="28" s="1"/>
  <c r="W71" i="28"/>
  <c r="V71" i="28" s="1"/>
  <c r="S71" i="28" s="1"/>
  <c r="W72" i="28"/>
  <c r="V72" i="28" s="1"/>
  <c r="S72" i="28" s="1"/>
  <c r="W73" i="28"/>
  <c r="V73" i="28" s="1"/>
  <c r="S73" i="28" s="1"/>
  <c r="W74" i="28"/>
  <c r="V74" i="28" s="1"/>
  <c r="S74" i="28" s="1"/>
  <c r="W75" i="28"/>
  <c r="V75" i="28" s="1"/>
  <c r="S75" i="28" s="1"/>
  <c r="W76" i="28"/>
  <c r="V76" i="28" s="1"/>
  <c r="S76" i="28" s="1"/>
  <c r="W77" i="28"/>
  <c r="V77" i="28" s="1"/>
  <c r="S77" i="28" s="1"/>
  <c r="W78" i="28"/>
  <c r="V78" i="28" s="1"/>
  <c r="S78" i="28" s="1"/>
  <c r="W79" i="28"/>
  <c r="V79" i="28" s="1"/>
  <c r="S79" i="28" s="1"/>
  <c r="W80" i="28"/>
  <c r="V80" i="28" s="1"/>
  <c r="S80" i="28" s="1"/>
  <c r="W81" i="28"/>
  <c r="V81" i="28" s="1"/>
  <c r="S81" i="28" s="1"/>
  <c r="W82" i="28"/>
  <c r="V82" i="28" s="1"/>
  <c r="S82" i="28" s="1"/>
  <c r="W83" i="28"/>
  <c r="V83" i="28" s="1"/>
  <c r="S83" i="28" s="1"/>
  <c r="W84" i="28"/>
  <c r="V84" i="28" s="1"/>
  <c r="S84" i="28" s="1"/>
  <c r="W85" i="28"/>
  <c r="V85" i="28" s="1"/>
  <c r="S85" i="28" s="1"/>
  <c r="W86" i="28"/>
  <c r="V86" i="28" s="1"/>
  <c r="S86" i="28" s="1"/>
  <c r="W87" i="28"/>
  <c r="V87" i="28" s="1"/>
  <c r="S87" i="28" s="1"/>
  <c r="W88" i="28"/>
  <c r="V88" i="28" s="1"/>
  <c r="S88" i="28" s="1"/>
  <c r="W89" i="28"/>
  <c r="V89" i="28" s="1"/>
  <c r="S89" i="28" s="1"/>
  <c r="W90" i="28"/>
  <c r="V90" i="28" s="1"/>
  <c r="S90" i="28" s="1"/>
  <c r="W91" i="28"/>
  <c r="V91" i="28" s="1"/>
  <c r="S91" i="28" s="1"/>
  <c r="W92" i="28"/>
  <c r="V92" i="28" s="1"/>
  <c r="S92" i="28" s="1"/>
  <c r="W93" i="28"/>
  <c r="V93" i="28" s="1"/>
  <c r="S93" i="28" s="1"/>
  <c r="W94" i="28"/>
  <c r="V94" i="28" s="1"/>
  <c r="S94" i="28" s="1"/>
  <c r="W95" i="28"/>
  <c r="V95" i="28" s="1"/>
  <c r="S95" i="28" s="1"/>
  <c r="W96" i="28"/>
  <c r="V96" i="28" s="1"/>
  <c r="S96" i="28" s="1"/>
  <c r="W97" i="28"/>
  <c r="V97" i="28" s="1"/>
  <c r="S97" i="28" s="1"/>
  <c r="W98" i="28"/>
  <c r="V98" i="28" s="1"/>
  <c r="S98" i="28" s="1"/>
  <c r="W99" i="28"/>
  <c r="V99" i="28" s="1"/>
  <c r="S99" i="28" s="1"/>
  <c r="W100" i="28"/>
  <c r="V100" i="28" s="1"/>
  <c r="S100" i="28" s="1"/>
  <c r="W101" i="28"/>
  <c r="V101" i="28" s="1"/>
  <c r="S101" i="28" s="1"/>
  <c r="W102" i="28"/>
  <c r="V102" i="28" s="1"/>
  <c r="S102" i="28" s="1"/>
  <c r="W103" i="28"/>
  <c r="V103" i="28" s="1"/>
  <c r="S103" i="28" s="1"/>
  <c r="W104" i="28"/>
  <c r="V104" i="28" s="1"/>
  <c r="S104" i="28" s="1"/>
  <c r="W105" i="28"/>
  <c r="V105" i="28" s="1"/>
  <c r="S105" i="28" s="1"/>
  <c r="W106" i="28"/>
  <c r="V106" i="28" s="1"/>
  <c r="S106" i="28" s="1"/>
  <c r="W107" i="28"/>
  <c r="V107" i="28" s="1"/>
  <c r="S107" i="28" s="1"/>
  <c r="W108" i="28"/>
  <c r="V108" i="28" s="1"/>
  <c r="S108" i="28" s="1"/>
  <c r="W109" i="28"/>
  <c r="V109" i="28" s="1"/>
  <c r="S109" i="28" s="1"/>
  <c r="W110" i="28"/>
  <c r="V110" i="28" s="1"/>
  <c r="S110" i="28" s="1"/>
  <c r="W111" i="28"/>
  <c r="V111" i="28" s="1"/>
  <c r="S111" i="28" s="1"/>
  <c r="W112" i="28"/>
  <c r="V112" i="28" s="1"/>
  <c r="S112" i="28" s="1"/>
  <c r="W113" i="28"/>
  <c r="V113" i="28" s="1"/>
  <c r="S113" i="28" s="1"/>
  <c r="W114" i="28"/>
  <c r="V114" i="28" s="1"/>
  <c r="S114" i="28" s="1"/>
  <c r="P4" i="28"/>
  <c r="R4" i="28" s="1"/>
  <c r="P5" i="28"/>
  <c r="R5" i="28" s="1"/>
  <c r="P6" i="28"/>
  <c r="R6" i="28" s="1"/>
  <c r="P7" i="28"/>
  <c r="R7" i="28" s="1"/>
  <c r="P8" i="28"/>
  <c r="R8" i="28" s="1"/>
  <c r="P9" i="28"/>
  <c r="R9" i="28" s="1"/>
  <c r="P10" i="28"/>
  <c r="R10" i="28" s="1"/>
  <c r="P11" i="28"/>
  <c r="R11" i="28" s="1"/>
  <c r="P12" i="28"/>
  <c r="R12" i="28" s="1"/>
  <c r="P13" i="28"/>
  <c r="R13" i="28" s="1"/>
  <c r="P14" i="28"/>
  <c r="R14" i="28" s="1"/>
  <c r="P15" i="28"/>
  <c r="R15" i="28" s="1"/>
  <c r="P16" i="28"/>
  <c r="R16" i="28" s="1"/>
  <c r="P17" i="28"/>
  <c r="R17" i="28" s="1"/>
  <c r="P18" i="28"/>
  <c r="R18" i="28" s="1"/>
  <c r="P19" i="28"/>
  <c r="R19" i="28" s="1"/>
  <c r="P20" i="28"/>
  <c r="R20" i="28" s="1"/>
  <c r="P21" i="28"/>
  <c r="R21" i="28" s="1"/>
  <c r="P22" i="28"/>
  <c r="R22" i="28" s="1"/>
  <c r="P23" i="28"/>
  <c r="R23" i="28" s="1"/>
  <c r="P24" i="28"/>
  <c r="R24" i="28" s="1"/>
  <c r="P25" i="28"/>
  <c r="R25" i="28" s="1"/>
  <c r="P26" i="28"/>
  <c r="R26" i="28" s="1"/>
  <c r="P27" i="28"/>
  <c r="R27" i="28" s="1"/>
  <c r="P28" i="28"/>
  <c r="R28" i="28" s="1"/>
  <c r="P29" i="28"/>
  <c r="R29" i="28" s="1"/>
  <c r="P30" i="28"/>
  <c r="R30" i="28" s="1"/>
  <c r="P31" i="28"/>
  <c r="R31" i="28" s="1"/>
  <c r="P32" i="28"/>
  <c r="R32" i="28" s="1"/>
  <c r="P33" i="28"/>
  <c r="R33" i="28" s="1"/>
  <c r="P34" i="28"/>
  <c r="R34" i="28" s="1"/>
  <c r="P35" i="28"/>
  <c r="R35" i="28" s="1"/>
  <c r="P36" i="28"/>
  <c r="R36" i="28" s="1"/>
  <c r="P37" i="28"/>
  <c r="R37" i="28" s="1"/>
  <c r="P38" i="28"/>
  <c r="R38" i="28" s="1"/>
  <c r="P39" i="28"/>
  <c r="R39" i="28" s="1"/>
  <c r="P40" i="28"/>
  <c r="R40" i="28" s="1"/>
  <c r="P41" i="28"/>
  <c r="R41" i="28" s="1"/>
  <c r="P42" i="28"/>
  <c r="R42" i="28" s="1"/>
  <c r="P43" i="28"/>
  <c r="R43" i="28" s="1"/>
  <c r="P44" i="28"/>
  <c r="R44" i="28" s="1"/>
  <c r="P45" i="28"/>
  <c r="R45" i="28" s="1"/>
  <c r="P46" i="28"/>
  <c r="R46" i="28" s="1"/>
  <c r="P47" i="28"/>
  <c r="R47" i="28" s="1"/>
  <c r="P48" i="28"/>
  <c r="R48" i="28" s="1"/>
  <c r="P49" i="28"/>
  <c r="R49" i="28" s="1"/>
  <c r="P50" i="28"/>
  <c r="R50" i="28" s="1"/>
  <c r="P51" i="28"/>
  <c r="R51" i="28" s="1"/>
  <c r="P52" i="28"/>
  <c r="R52" i="28" s="1"/>
  <c r="P53" i="28"/>
  <c r="R53" i="28" s="1"/>
  <c r="P54" i="28"/>
  <c r="R54" i="28" s="1"/>
  <c r="P55" i="28"/>
  <c r="R55" i="28" s="1"/>
  <c r="P56" i="28"/>
  <c r="R56" i="28" s="1"/>
  <c r="P57" i="28"/>
  <c r="R57" i="28" s="1"/>
  <c r="P58" i="28"/>
  <c r="R58" i="28" s="1"/>
  <c r="P59" i="28"/>
  <c r="R59" i="28" s="1"/>
  <c r="P60" i="28"/>
  <c r="R60" i="28" s="1"/>
  <c r="P61" i="28"/>
  <c r="R61" i="28" s="1"/>
  <c r="P62" i="28"/>
  <c r="R62" i="28" s="1"/>
  <c r="P63" i="28"/>
  <c r="R63" i="28" s="1"/>
  <c r="P64" i="28"/>
  <c r="R64" i="28" s="1"/>
  <c r="P65" i="28"/>
  <c r="R65" i="28" s="1"/>
  <c r="P66" i="28"/>
  <c r="R66" i="28" s="1"/>
  <c r="P67" i="28"/>
  <c r="R67" i="28" s="1"/>
  <c r="P68" i="28"/>
  <c r="R68" i="28" s="1"/>
  <c r="P69" i="28"/>
  <c r="R69" i="28" s="1"/>
  <c r="P70" i="28"/>
  <c r="R70" i="28" s="1"/>
  <c r="P71" i="28"/>
  <c r="R71" i="28" s="1"/>
  <c r="P72" i="28"/>
  <c r="R72" i="28" s="1"/>
  <c r="P73" i="28"/>
  <c r="R73" i="28" s="1"/>
  <c r="P74" i="28"/>
  <c r="R74" i="28" s="1"/>
  <c r="P75" i="28"/>
  <c r="R75" i="28" s="1"/>
  <c r="P76" i="28"/>
  <c r="R76" i="28" s="1"/>
  <c r="P77" i="28"/>
  <c r="R77" i="28" s="1"/>
  <c r="P78" i="28"/>
  <c r="R78" i="28" s="1"/>
  <c r="P79" i="28"/>
  <c r="R79" i="28" s="1"/>
  <c r="P80" i="28"/>
  <c r="R80" i="28" s="1"/>
  <c r="P81" i="28"/>
  <c r="R81" i="28" s="1"/>
  <c r="P82" i="28"/>
  <c r="R82" i="28" s="1"/>
  <c r="P83" i="28"/>
  <c r="R83" i="28" s="1"/>
  <c r="P84" i="28"/>
  <c r="R84" i="28" s="1"/>
  <c r="P85" i="28"/>
  <c r="R85" i="28" s="1"/>
  <c r="P86" i="28"/>
  <c r="R86" i="28" s="1"/>
  <c r="P87" i="28"/>
  <c r="R87" i="28" s="1"/>
  <c r="P88" i="28"/>
  <c r="R88" i="28" s="1"/>
  <c r="P89" i="28"/>
  <c r="R89" i="28" s="1"/>
  <c r="P90" i="28"/>
  <c r="R90" i="28" s="1"/>
  <c r="P91" i="28"/>
  <c r="R91" i="28" s="1"/>
  <c r="P92" i="28"/>
  <c r="R92" i="28" s="1"/>
  <c r="P93" i="28"/>
  <c r="R93" i="28" s="1"/>
  <c r="P94" i="28"/>
  <c r="R94" i="28" s="1"/>
  <c r="P95" i="28"/>
  <c r="R95" i="28" s="1"/>
  <c r="P96" i="28"/>
  <c r="R96" i="28" s="1"/>
  <c r="P97" i="28"/>
  <c r="R97" i="28" s="1"/>
  <c r="P98" i="28"/>
  <c r="R98" i="28" s="1"/>
  <c r="P99" i="28"/>
  <c r="R99" i="28" s="1"/>
  <c r="P100" i="28"/>
  <c r="R100" i="28" s="1"/>
  <c r="P101" i="28"/>
  <c r="R101" i="28" s="1"/>
  <c r="P102" i="28"/>
  <c r="R102" i="28" s="1"/>
  <c r="P103" i="28"/>
  <c r="R103" i="28" s="1"/>
  <c r="P104" i="28"/>
  <c r="R104" i="28" s="1"/>
  <c r="P105" i="28"/>
  <c r="R105" i="28" s="1"/>
  <c r="P106" i="28"/>
  <c r="R106" i="28" s="1"/>
  <c r="P107" i="28"/>
  <c r="R107" i="28" s="1"/>
  <c r="P108" i="28"/>
  <c r="R108" i="28" s="1"/>
  <c r="P109" i="28"/>
  <c r="R109" i="28" s="1"/>
  <c r="P110" i="28"/>
  <c r="R110" i="28" s="1"/>
  <c r="P111" i="28"/>
  <c r="R111" i="28" s="1"/>
  <c r="P112" i="28"/>
  <c r="R112" i="28" s="1"/>
  <c r="P113" i="28"/>
  <c r="R113" i="28" s="1"/>
  <c r="P114" i="28"/>
  <c r="R114" i="28" s="1"/>
  <c r="F118" i="28"/>
  <c r="G118" i="28"/>
  <c r="H118" i="28"/>
  <c r="I118" i="28"/>
  <c r="J118" i="28"/>
  <c r="K118" i="28"/>
  <c r="L118" i="28"/>
  <c r="M118" i="28"/>
  <c r="N118" i="28"/>
  <c r="F120" i="28"/>
  <c r="F119" i="28" s="1"/>
  <c r="G120" i="28"/>
  <c r="G119" i="28" s="1"/>
  <c r="H120" i="28"/>
  <c r="H119" i="28" s="1"/>
  <c r="I120" i="28"/>
  <c r="I119" i="28" s="1"/>
  <c r="J120" i="28"/>
  <c r="J119" i="28" s="1"/>
  <c r="K120" i="28"/>
  <c r="K119" i="28" s="1"/>
  <c r="L120" i="28"/>
  <c r="L119" i="28" s="1"/>
  <c r="M120" i="28"/>
  <c r="M119" i="28" s="1"/>
  <c r="N120" i="28"/>
  <c r="N119" i="28" s="1"/>
  <c r="F121" i="28"/>
  <c r="G121" i="28"/>
  <c r="H121" i="28"/>
  <c r="I121" i="28"/>
  <c r="J121" i="28"/>
  <c r="K121" i="28"/>
  <c r="L121" i="28"/>
  <c r="M121" i="28"/>
  <c r="N121" i="28"/>
  <c r="F122" i="28"/>
  <c r="G122" i="28"/>
  <c r="H122" i="28"/>
  <c r="I122" i="28"/>
  <c r="J122" i="28"/>
  <c r="K122" i="28"/>
  <c r="L122" i="28"/>
  <c r="M122" i="28"/>
  <c r="N122" i="28"/>
  <c r="F128" i="28"/>
  <c r="G128" i="28"/>
  <c r="H128" i="28"/>
  <c r="I128" i="28"/>
  <c r="J128" i="28"/>
  <c r="K128" i="28"/>
  <c r="L128" i="28"/>
  <c r="M128" i="28"/>
  <c r="N128" i="28"/>
  <c r="F129" i="28"/>
  <c r="G129" i="28"/>
  <c r="H129" i="28"/>
  <c r="I129" i="28"/>
  <c r="J129" i="28"/>
  <c r="K129" i="28"/>
  <c r="L129" i="28"/>
  <c r="M129" i="28"/>
  <c r="N129" i="28"/>
  <c r="F130" i="28"/>
  <c r="G130" i="28"/>
  <c r="H130" i="28"/>
  <c r="I130" i="28"/>
  <c r="J130" i="28"/>
  <c r="K130" i="28"/>
  <c r="L130" i="28"/>
  <c r="M130" i="28"/>
  <c r="N130" i="28"/>
  <c r="F131" i="28"/>
  <c r="G131" i="28"/>
  <c r="H131" i="28"/>
  <c r="I131" i="28"/>
  <c r="J131" i="28"/>
  <c r="K131" i="28"/>
  <c r="L131" i="28"/>
  <c r="M131" i="28"/>
  <c r="N131" i="28"/>
  <c r="O118" i="41"/>
  <c r="P118" i="41"/>
  <c r="Q118" i="41"/>
  <c r="R118" i="41"/>
  <c r="S118" i="41"/>
  <c r="T118" i="41"/>
  <c r="U118" i="41"/>
  <c r="O120" i="41"/>
  <c r="O119" i="41" s="1"/>
  <c r="P120" i="41"/>
  <c r="P119" i="41" s="1"/>
  <c r="Q120" i="41"/>
  <c r="Q119" i="41" s="1"/>
  <c r="R120" i="41"/>
  <c r="R119" i="41" s="1"/>
  <c r="S120" i="41"/>
  <c r="S119" i="41" s="1"/>
  <c r="T120" i="41"/>
  <c r="T119" i="41" s="1"/>
  <c r="U120" i="41"/>
  <c r="U119" i="41" s="1"/>
  <c r="O121" i="41"/>
  <c r="P121" i="41"/>
  <c r="Q121" i="41"/>
  <c r="R121" i="41"/>
  <c r="S121" i="41"/>
  <c r="T121" i="41"/>
  <c r="U121" i="41"/>
  <c r="O122" i="41"/>
  <c r="P122" i="41"/>
  <c r="Q122" i="41"/>
  <c r="R122" i="41"/>
  <c r="S122" i="41"/>
  <c r="T122" i="41"/>
  <c r="U122" i="41"/>
  <c r="O128" i="41"/>
  <c r="P128" i="41"/>
  <c r="Q128" i="41"/>
  <c r="R128" i="41"/>
  <c r="S128" i="41"/>
  <c r="T128" i="41"/>
  <c r="U128" i="41"/>
  <c r="O129" i="41"/>
  <c r="P129" i="41"/>
  <c r="Q129" i="41"/>
  <c r="R129" i="41"/>
  <c r="S129" i="41"/>
  <c r="T129" i="41"/>
  <c r="U129" i="41"/>
  <c r="O130" i="41"/>
  <c r="P130" i="41"/>
  <c r="Q130" i="41"/>
  <c r="R130" i="41"/>
  <c r="S130" i="41"/>
  <c r="T130" i="41"/>
  <c r="U130" i="41"/>
  <c r="O131" i="41"/>
  <c r="P131" i="41"/>
  <c r="Q131" i="41"/>
  <c r="R131" i="41"/>
  <c r="S131" i="41"/>
  <c r="T131" i="41"/>
  <c r="U131" i="41"/>
  <c r="I13" i="45"/>
  <c r="H13" i="45"/>
  <c r="G13" i="45"/>
  <c r="F13" i="45"/>
  <c r="E13" i="45"/>
  <c r="D13" i="45"/>
  <c r="I12" i="45"/>
  <c r="H12" i="45"/>
  <c r="G12" i="45"/>
  <c r="F12" i="45"/>
  <c r="E12" i="45"/>
  <c r="D12" i="45"/>
  <c r="I11" i="45"/>
  <c r="H11" i="45"/>
  <c r="G11" i="45"/>
  <c r="F11" i="45"/>
  <c r="E11" i="45"/>
  <c r="D11" i="45"/>
  <c r="I10" i="45"/>
  <c r="H10" i="45"/>
  <c r="G10" i="45"/>
  <c r="F10" i="45"/>
  <c r="E10" i="45"/>
  <c r="D10" i="45"/>
  <c r="G118" i="41"/>
  <c r="H118" i="41"/>
  <c r="I118" i="41"/>
  <c r="J118" i="41"/>
  <c r="K118" i="41"/>
  <c r="L118" i="41"/>
  <c r="M118" i="41"/>
  <c r="N118" i="41"/>
  <c r="V118" i="41"/>
  <c r="W118" i="41"/>
  <c r="X118" i="41"/>
  <c r="Y118" i="41"/>
  <c r="Z118" i="41"/>
  <c r="AA118" i="41"/>
  <c r="AB118" i="41"/>
  <c r="AC118" i="41"/>
  <c r="G131" i="41"/>
  <c r="H131" i="41"/>
  <c r="I131" i="41"/>
  <c r="J131" i="41"/>
  <c r="K131" i="41"/>
  <c r="L131" i="41"/>
  <c r="M131" i="41"/>
  <c r="N131" i="41"/>
  <c r="C10" i="45"/>
  <c r="V131" i="41"/>
  <c r="W131" i="41"/>
  <c r="X131" i="41"/>
  <c r="Y131" i="41"/>
  <c r="E6" i="33" s="1"/>
  <c r="Z131" i="41"/>
  <c r="E7" i="33" s="1"/>
  <c r="AA131" i="41"/>
  <c r="AB131" i="41"/>
  <c r="AC131" i="41"/>
  <c r="G129" i="41"/>
  <c r="H129" i="41"/>
  <c r="I129" i="41"/>
  <c r="J129" i="41"/>
  <c r="K129" i="41"/>
  <c r="L129" i="41"/>
  <c r="M129" i="41"/>
  <c r="N129" i="41"/>
  <c r="V129" i="41"/>
  <c r="W129" i="41"/>
  <c r="X129" i="41"/>
  <c r="Y129" i="41"/>
  <c r="Z129" i="41"/>
  <c r="AA129" i="41"/>
  <c r="AB129" i="41"/>
  <c r="AC129" i="41"/>
  <c r="G128" i="41"/>
  <c r="H128" i="41"/>
  <c r="I128" i="41"/>
  <c r="J128" i="41"/>
  <c r="K128" i="41"/>
  <c r="L128" i="41"/>
  <c r="M128" i="41"/>
  <c r="N128" i="41"/>
  <c r="V128" i="41"/>
  <c r="W128" i="41"/>
  <c r="X128" i="41"/>
  <c r="Y128" i="41"/>
  <c r="Z128" i="41"/>
  <c r="AA128" i="41"/>
  <c r="AB128" i="41"/>
  <c r="G120" i="41"/>
  <c r="O116" i="29"/>
  <c r="N116" i="29"/>
  <c r="AD118" i="41"/>
  <c r="G122" i="41"/>
  <c r="H122" i="41"/>
  <c r="I122" i="41"/>
  <c r="J122" i="41"/>
  <c r="K122" i="41"/>
  <c r="L122" i="41"/>
  <c r="M122" i="41"/>
  <c r="N122" i="41"/>
  <c r="V122" i="41"/>
  <c r="W122" i="41"/>
  <c r="X122" i="41"/>
  <c r="Y122" i="41"/>
  <c r="Z122" i="41"/>
  <c r="AA122" i="41"/>
  <c r="AB122" i="41"/>
  <c r="AC122" i="41"/>
  <c r="AD122" i="41"/>
  <c r="AE122" i="41"/>
  <c r="H120" i="41"/>
  <c r="I120" i="41"/>
  <c r="J120" i="41"/>
  <c r="K120" i="41"/>
  <c r="L120" i="41"/>
  <c r="M120" i="41"/>
  <c r="N120" i="41"/>
  <c r="V120" i="41"/>
  <c r="W120" i="41"/>
  <c r="X120" i="41"/>
  <c r="Y120" i="41"/>
  <c r="Z120" i="41"/>
  <c r="AA120" i="41"/>
  <c r="AB120" i="41"/>
  <c r="AC120" i="41"/>
  <c r="AD120" i="41"/>
  <c r="AC119" i="41"/>
  <c r="G130" i="41"/>
  <c r="H130" i="41"/>
  <c r="I130" i="41"/>
  <c r="J130" i="41"/>
  <c r="K130" i="41"/>
  <c r="L130" i="41"/>
  <c r="M130" i="41"/>
  <c r="N130" i="41"/>
  <c r="V130" i="41"/>
  <c r="W130" i="41"/>
  <c r="X130" i="41"/>
  <c r="Y130" i="41"/>
  <c r="Z130" i="41"/>
  <c r="AA130" i="41"/>
  <c r="E7" i="45"/>
  <c r="F128" i="41"/>
  <c r="F122" i="41"/>
  <c r="F120" i="41"/>
  <c r="F118" i="41"/>
  <c r="F119" i="41" s="1"/>
  <c r="F121" i="41" s="1"/>
  <c r="M3" i="29"/>
  <c r="Z3" i="29"/>
  <c r="F131" i="41"/>
  <c r="F130" i="41"/>
  <c r="F129" i="41"/>
  <c r="E6" i="45"/>
  <c r="E5" i="45"/>
  <c r="E4" i="45"/>
  <c r="E3" i="45"/>
  <c r="E2" i="45"/>
  <c r="Y3" i="29"/>
  <c r="W3" i="29"/>
  <c r="V3" i="29"/>
  <c r="U3" i="29" s="1"/>
  <c r="T3" i="29"/>
  <c r="Q3" i="29"/>
  <c r="N3" i="29"/>
  <c r="AB130" i="41"/>
  <c r="AC130" i="41"/>
  <c r="AD130" i="41"/>
  <c r="AE130" i="41"/>
  <c r="AF130" i="41"/>
  <c r="AG130" i="41"/>
  <c r="AH130" i="41"/>
  <c r="AI130" i="41"/>
  <c r="AJ130" i="41"/>
  <c r="F2" i="45"/>
  <c r="F5" i="45"/>
  <c r="AD129" i="41"/>
  <c r="AE129" i="41"/>
  <c r="AF129" i="41"/>
  <c r="AG129" i="41"/>
  <c r="AH129" i="41"/>
  <c r="AI129" i="41"/>
  <c r="AJ129" i="41"/>
  <c r="D2" i="45"/>
  <c r="D3" i="45"/>
  <c r="D4" i="45"/>
  <c r="D5" i="45"/>
  <c r="AD131" i="41"/>
  <c r="AE131" i="41"/>
  <c r="AF131" i="41"/>
  <c r="AG131" i="41"/>
  <c r="AH131" i="41"/>
  <c r="AI131" i="41"/>
  <c r="AJ131" i="41"/>
  <c r="AC128" i="41"/>
  <c r="AD128" i="41"/>
  <c r="AE128" i="41"/>
  <c r="AF128" i="41"/>
  <c r="AG128" i="41"/>
  <c r="AH128" i="41"/>
  <c r="AI128" i="41"/>
  <c r="AJ128" i="41"/>
  <c r="AF122" i="41"/>
  <c r="AG122" i="41"/>
  <c r="AH122" i="41"/>
  <c r="AI122" i="41"/>
  <c r="AJ122" i="41"/>
  <c r="D106" i="26"/>
  <c r="AE120" i="41"/>
  <c r="AF120" i="41"/>
  <c r="AG120" i="41"/>
  <c r="AH120" i="41"/>
  <c r="AI120" i="41"/>
  <c r="AJ120" i="41"/>
  <c r="AC121" i="41"/>
  <c r="AD119" i="41"/>
  <c r="AE118" i="41"/>
  <c r="AE119" i="41" s="1"/>
  <c r="AE121" i="41" s="1"/>
  <c r="AF118" i="41"/>
  <c r="AF119" i="41" s="1"/>
  <c r="AF121" i="41" s="1"/>
  <c r="AG118" i="41"/>
  <c r="AG119" i="41" s="1"/>
  <c r="AG121" i="41" s="1"/>
  <c r="AH118" i="41"/>
  <c r="AH119" i="41" s="1"/>
  <c r="AH121" i="41" s="1"/>
  <c r="AI118" i="41"/>
  <c r="AI119" i="41" s="1"/>
  <c r="AI121" i="41" s="1"/>
  <c r="AJ118" i="41"/>
  <c r="AJ119" i="41" s="1"/>
  <c r="AJ121" i="41" s="1"/>
  <c r="Q104" i="26"/>
  <c r="G104" i="26"/>
  <c r="D104" i="26"/>
  <c r="AE123" i="41"/>
  <c r="AF123" i="41"/>
  <c r="AF124" i="41" s="1"/>
  <c r="AF125" i="41" s="1"/>
  <c r="AF133" i="41" s="1"/>
  <c r="AG123" i="41"/>
  <c r="AG124" i="41" s="1"/>
  <c r="AG125" i="41" s="1"/>
  <c r="AG133" i="41" s="1"/>
  <c r="AH123" i="41"/>
  <c r="AH124" i="41" s="1"/>
  <c r="AH125" i="41" s="1"/>
  <c r="AH133" i="41" s="1"/>
  <c r="AI123" i="41"/>
  <c r="AI124" i="41" s="1"/>
  <c r="AI125" i="41" s="1"/>
  <c r="AI133" i="41" s="1"/>
  <c r="AJ123" i="41"/>
  <c r="AJ124" i="41" s="1"/>
  <c r="AJ125" i="41" s="1"/>
  <c r="AJ133" i="41" s="1"/>
  <c r="D103" i="26"/>
  <c r="D105" i="26" s="1"/>
  <c r="D102" i="26"/>
  <c r="AA3" i="28"/>
  <c r="W3" i="28"/>
  <c r="V3" i="28" s="1"/>
  <c r="P3" i="28"/>
  <c r="R3" i="28" s="1"/>
  <c r="Y104" i="26"/>
  <c r="AU94" i="26"/>
  <c r="AT21" i="26"/>
  <c r="AS21" i="26"/>
  <c r="AR21" i="26"/>
  <c r="AQ21" i="26"/>
  <c r="AP21" i="26"/>
  <c r="AM21" i="26"/>
  <c r="AK21" i="26"/>
  <c r="AI21" i="26"/>
  <c r="AN4" i="25"/>
  <c r="AN5" i="25"/>
  <c r="AN6" i="25"/>
  <c r="AN7" i="25"/>
  <c r="AN8" i="25"/>
  <c r="AN9" i="25"/>
  <c r="AN10" i="25"/>
  <c r="AN11" i="25"/>
  <c r="AN12" i="25"/>
  <c r="AN13" i="25"/>
  <c r="AN14" i="25"/>
  <c r="AN15" i="25"/>
  <c r="AN16" i="25"/>
  <c r="AN17" i="25"/>
  <c r="AN18" i="25"/>
  <c r="AN19" i="25"/>
  <c r="AN20" i="25"/>
  <c r="AN21" i="25"/>
  <c r="AN22" i="25"/>
  <c r="AN23" i="25"/>
  <c r="AN24" i="25"/>
  <c r="AN25" i="25"/>
  <c r="AN26" i="25"/>
  <c r="AN27" i="25"/>
  <c r="AN28" i="25"/>
  <c r="AN29" i="25"/>
  <c r="AN30" i="25"/>
  <c r="AN31" i="25"/>
  <c r="AN32" i="25"/>
  <c r="AN33" i="25"/>
  <c r="AN34" i="25"/>
  <c r="AN35" i="25"/>
  <c r="AN36" i="25"/>
  <c r="AN37" i="25"/>
  <c r="AN38" i="25"/>
  <c r="AN39" i="25"/>
  <c r="AN40" i="25"/>
  <c r="AN41" i="25"/>
  <c r="AN42" i="25"/>
  <c r="AN43" i="25"/>
  <c r="AN44" i="25"/>
  <c r="AN45" i="25"/>
  <c r="AN46" i="25"/>
  <c r="AN47" i="25"/>
  <c r="AN48" i="25"/>
  <c r="AN49" i="25"/>
  <c r="AN50" i="25"/>
  <c r="AN51" i="25"/>
  <c r="AN52" i="25"/>
  <c r="AN53" i="25"/>
  <c r="AN54" i="25"/>
  <c r="AN55" i="25"/>
  <c r="AN56" i="25"/>
  <c r="AN57" i="25"/>
  <c r="AN58" i="25"/>
  <c r="AN59" i="25"/>
  <c r="AN60" i="25"/>
  <c r="AN61" i="25"/>
  <c r="AN62" i="25"/>
  <c r="AN63" i="25"/>
  <c r="AN64" i="25"/>
  <c r="AN65" i="25"/>
  <c r="AN66" i="25"/>
  <c r="AN67" i="25"/>
  <c r="AN68" i="25"/>
  <c r="AN69" i="25"/>
  <c r="AN70" i="25"/>
  <c r="AN71" i="25"/>
  <c r="AN72" i="25"/>
  <c r="AN73" i="25"/>
  <c r="AN74" i="25"/>
  <c r="AN75" i="25"/>
  <c r="AN76" i="25"/>
  <c r="AN77" i="25"/>
  <c r="AN78" i="25"/>
  <c r="AN79" i="25"/>
  <c r="AN80" i="25"/>
  <c r="AN81" i="25"/>
  <c r="AN82" i="25"/>
  <c r="AN83" i="25"/>
  <c r="AN84" i="25"/>
  <c r="AN85" i="25"/>
  <c r="AN86" i="25"/>
  <c r="AN87" i="25"/>
  <c r="AN88" i="25"/>
  <c r="AN89" i="25"/>
  <c r="AN90" i="25"/>
  <c r="AN91" i="25"/>
  <c r="AN92" i="25"/>
  <c r="AN93" i="25"/>
  <c r="AN94" i="25"/>
  <c r="AD43" i="27"/>
  <c r="AD31" i="27"/>
  <c r="AD30" i="27"/>
  <c r="AH42" i="27"/>
  <c r="AH31" i="27"/>
  <c r="AG30" i="27"/>
  <c r="AH30" i="27"/>
  <c r="AH29" i="27"/>
  <c r="AG104" i="26"/>
  <c r="AF104" i="26"/>
  <c r="E102" i="26"/>
  <c r="F102" i="26"/>
  <c r="G102" i="26"/>
  <c r="H102" i="26"/>
  <c r="I102" i="26"/>
  <c r="J102" i="26"/>
  <c r="K102" i="26"/>
  <c r="L102" i="26"/>
  <c r="M102" i="26"/>
  <c r="N102" i="26"/>
  <c r="O102" i="26"/>
  <c r="P102" i="26"/>
  <c r="Q102" i="26"/>
  <c r="R102" i="26"/>
  <c r="S102" i="26"/>
  <c r="T102" i="26"/>
  <c r="U102" i="26"/>
  <c r="V102" i="26"/>
  <c r="W102" i="26"/>
  <c r="X102" i="26"/>
  <c r="Y102" i="26"/>
  <c r="Z102" i="26"/>
  <c r="AA102" i="26"/>
  <c r="AB102" i="26"/>
  <c r="AC102" i="26"/>
  <c r="AD102" i="26"/>
  <c r="AE102" i="26"/>
  <c r="AF102" i="26"/>
  <c r="AG102" i="26"/>
  <c r="AG103" i="26" s="1"/>
  <c r="AG105" i="26" s="1"/>
  <c r="AH102" i="26"/>
  <c r="E104" i="26"/>
  <c r="F104" i="26"/>
  <c r="H104" i="26"/>
  <c r="I104" i="26"/>
  <c r="J104" i="26"/>
  <c r="K104" i="26"/>
  <c r="L104" i="26"/>
  <c r="M104" i="26"/>
  <c r="N104" i="26"/>
  <c r="O104" i="26"/>
  <c r="P104" i="26"/>
  <c r="R104" i="26"/>
  <c r="S104" i="26"/>
  <c r="T104" i="26"/>
  <c r="U104" i="26"/>
  <c r="V104" i="26"/>
  <c r="W104" i="26"/>
  <c r="X104" i="26"/>
  <c r="Z104" i="26"/>
  <c r="AA104" i="26"/>
  <c r="AB104" i="26"/>
  <c r="AC104" i="26"/>
  <c r="AD104" i="26"/>
  <c r="AE104" i="26"/>
  <c r="AF115" i="26"/>
  <c r="J114" i="39"/>
  <c r="I114" i="39"/>
  <c r="H114" i="39"/>
  <c r="G114" i="39"/>
  <c r="F114" i="39"/>
  <c r="E114" i="39"/>
  <c r="D114" i="39"/>
  <c r="J113" i="39"/>
  <c r="I113" i="39"/>
  <c r="H113" i="39"/>
  <c r="G113" i="39"/>
  <c r="F113" i="39"/>
  <c r="E113" i="39"/>
  <c r="D113" i="39"/>
  <c r="J112" i="39"/>
  <c r="I112" i="39"/>
  <c r="H112" i="39"/>
  <c r="G112" i="39"/>
  <c r="F112" i="39"/>
  <c r="E112" i="39"/>
  <c r="D112" i="39"/>
  <c r="J106" i="39"/>
  <c r="I106" i="39"/>
  <c r="H106" i="39"/>
  <c r="G106" i="39"/>
  <c r="F106" i="39"/>
  <c r="E106" i="39"/>
  <c r="D106" i="39"/>
  <c r="J104" i="39"/>
  <c r="I104" i="39"/>
  <c r="H104" i="39"/>
  <c r="G104" i="39"/>
  <c r="F104" i="39"/>
  <c r="E104" i="39"/>
  <c r="D104" i="39"/>
  <c r="J102" i="39"/>
  <c r="I102" i="39"/>
  <c r="H102" i="39"/>
  <c r="G102" i="39"/>
  <c r="F102" i="39"/>
  <c r="E102" i="39"/>
  <c r="D102" i="39"/>
  <c r="W93" i="39"/>
  <c r="V93" i="39"/>
  <c r="U93" i="39"/>
  <c r="T93" i="39"/>
  <c r="S93" i="39"/>
  <c r="R93" i="39"/>
  <c r="O93" i="39"/>
  <c r="M93" i="39"/>
  <c r="K93" i="39"/>
  <c r="L93" i="39" s="1"/>
  <c r="N93" i="39" s="1"/>
  <c r="W92" i="39"/>
  <c r="V92" i="39"/>
  <c r="U92" i="39"/>
  <c r="T92" i="39"/>
  <c r="S92" i="39"/>
  <c r="R92" i="39"/>
  <c r="O92" i="39"/>
  <c r="M92" i="39"/>
  <c r="K92" i="39"/>
  <c r="L92" i="39" s="1"/>
  <c r="N92" i="39" s="1"/>
  <c r="W91" i="39"/>
  <c r="V91" i="39"/>
  <c r="U91" i="39"/>
  <c r="T91" i="39"/>
  <c r="S91" i="39"/>
  <c r="R91" i="39"/>
  <c r="O91" i="39"/>
  <c r="M91" i="39"/>
  <c r="K91" i="39"/>
  <c r="L91" i="39" s="1"/>
  <c r="N91" i="39" s="1"/>
  <c r="W90" i="39"/>
  <c r="V90" i="39"/>
  <c r="U90" i="39"/>
  <c r="T90" i="39"/>
  <c r="S90" i="39"/>
  <c r="R90" i="39"/>
  <c r="O90" i="39"/>
  <c r="M90" i="39"/>
  <c r="K90" i="39"/>
  <c r="L90" i="39" s="1"/>
  <c r="N90" i="39" s="1"/>
  <c r="W89" i="39"/>
  <c r="V89" i="39"/>
  <c r="U89" i="39"/>
  <c r="T89" i="39"/>
  <c r="S89" i="39"/>
  <c r="R89" i="39"/>
  <c r="O89" i="39"/>
  <c r="M89" i="39"/>
  <c r="K89" i="39"/>
  <c r="L89" i="39" s="1"/>
  <c r="N89" i="39" s="1"/>
  <c r="W88" i="39"/>
  <c r="V88" i="39"/>
  <c r="U88" i="39"/>
  <c r="T88" i="39"/>
  <c r="S88" i="39"/>
  <c r="R88" i="39"/>
  <c r="O88" i="39"/>
  <c r="M88" i="39"/>
  <c r="K88" i="39"/>
  <c r="L88" i="39" s="1"/>
  <c r="N88" i="39" s="1"/>
  <c r="W87" i="39"/>
  <c r="V87" i="39"/>
  <c r="U87" i="39"/>
  <c r="T87" i="39"/>
  <c r="S87" i="39"/>
  <c r="R87" i="39"/>
  <c r="O87" i="39"/>
  <c r="M87" i="39"/>
  <c r="K87" i="39"/>
  <c r="L87" i="39" s="1"/>
  <c r="N87" i="39" s="1"/>
  <c r="W86" i="39"/>
  <c r="V86" i="39"/>
  <c r="U86" i="39"/>
  <c r="T86" i="39"/>
  <c r="S86" i="39"/>
  <c r="R86" i="39"/>
  <c r="O86" i="39"/>
  <c r="M86" i="39"/>
  <c r="K86" i="39"/>
  <c r="L86" i="39" s="1"/>
  <c r="N86" i="39" s="1"/>
  <c r="W85" i="39"/>
  <c r="V85" i="39"/>
  <c r="U85" i="39"/>
  <c r="T85" i="39"/>
  <c r="S85" i="39"/>
  <c r="R85" i="39"/>
  <c r="O85" i="39"/>
  <c r="M85" i="39"/>
  <c r="K85" i="39"/>
  <c r="L85" i="39" s="1"/>
  <c r="N85" i="39" s="1"/>
  <c r="W84" i="39"/>
  <c r="V84" i="39"/>
  <c r="U84" i="39"/>
  <c r="T84" i="39"/>
  <c r="S84" i="39"/>
  <c r="R84" i="39"/>
  <c r="O84" i="39"/>
  <c r="M84" i="39"/>
  <c r="K84" i="39"/>
  <c r="L84" i="39" s="1"/>
  <c r="N84" i="39" s="1"/>
  <c r="W83" i="39"/>
  <c r="V83" i="39"/>
  <c r="U83" i="39"/>
  <c r="T83" i="39"/>
  <c r="S83" i="39"/>
  <c r="R83" i="39"/>
  <c r="O83" i="39"/>
  <c r="M83" i="39"/>
  <c r="K83" i="39"/>
  <c r="L83" i="39" s="1"/>
  <c r="N83" i="39" s="1"/>
  <c r="W82" i="39"/>
  <c r="V82" i="39"/>
  <c r="U82" i="39"/>
  <c r="T82" i="39"/>
  <c r="S82" i="39"/>
  <c r="R82" i="39"/>
  <c r="O82" i="39"/>
  <c r="M82" i="39"/>
  <c r="K82" i="39"/>
  <c r="L82" i="39" s="1"/>
  <c r="N82" i="39" s="1"/>
  <c r="W81" i="39"/>
  <c r="V81" i="39"/>
  <c r="U81" i="39"/>
  <c r="T81" i="39"/>
  <c r="S81" i="39"/>
  <c r="R81" i="39"/>
  <c r="O81" i="39"/>
  <c r="M81" i="39"/>
  <c r="K81" i="39"/>
  <c r="L81" i="39" s="1"/>
  <c r="N81" i="39" s="1"/>
  <c r="W80" i="39"/>
  <c r="V80" i="39"/>
  <c r="U80" i="39"/>
  <c r="T80" i="39"/>
  <c r="S80" i="39"/>
  <c r="R80" i="39"/>
  <c r="O80" i="39"/>
  <c r="M80" i="39"/>
  <c r="K80" i="39"/>
  <c r="L80" i="39" s="1"/>
  <c r="N80" i="39" s="1"/>
  <c r="W79" i="39"/>
  <c r="V79" i="39"/>
  <c r="U79" i="39"/>
  <c r="T79" i="39"/>
  <c r="S79" i="39"/>
  <c r="R79" i="39"/>
  <c r="O79" i="39"/>
  <c r="M79" i="39"/>
  <c r="K79" i="39"/>
  <c r="L79" i="39" s="1"/>
  <c r="N79" i="39" s="1"/>
  <c r="W78" i="39"/>
  <c r="V78" i="39"/>
  <c r="U78" i="39"/>
  <c r="T78" i="39"/>
  <c r="S78" i="39"/>
  <c r="R78" i="39"/>
  <c r="O78" i="39"/>
  <c r="M78" i="39"/>
  <c r="K78" i="39"/>
  <c r="L78" i="39" s="1"/>
  <c r="N78" i="39" s="1"/>
  <c r="W77" i="39"/>
  <c r="V77" i="39"/>
  <c r="U77" i="39"/>
  <c r="T77" i="39"/>
  <c r="S77" i="39"/>
  <c r="R77" i="39"/>
  <c r="O77" i="39"/>
  <c r="M77" i="39"/>
  <c r="K77" i="39"/>
  <c r="L77" i="39" s="1"/>
  <c r="N77" i="39" s="1"/>
  <c r="W76" i="39"/>
  <c r="V76" i="39"/>
  <c r="U76" i="39"/>
  <c r="T76" i="39"/>
  <c r="S76" i="39"/>
  <c r="R76" i="39"/>
  <c r="O76" i="39"/>
  <c r="M76" i="39"/>
  <c r="K76" i="39"/>
  <c r="L76" i="39" s="1"/>
  <c r="N76" i="39" s="1"/>
  <c r="W75" i="39"/>
  <c r="V75" i="39"/>
  <c r="U75" i="39"/>
  <c r="T75" i="39"/>
  <c r="S75" i="39"/>
  <c r="R75" i="39"/>
  <c r="O75" i="39"/>
  <c r="M75" i="39"/>
  <c r="K75" i="39"/>
  <c r="L75" i="39" s="1"/>
  <c r="N75" i="39" s="1"/>
  <c r="W74" i="39"/>
  <c r="V74" i="39"/>
  <c r="U74" i="39"/>
  <c r="T74" i="39"/>
  <c r="S74" i="39"/>
  <c r="R74" i="39"/>
  <c r="O74" i="39"/>
  <c r="M74" i="39"/>
  <c r="K74" i="39"/>
  <c r="L74" i="39" s="1"/>
  <c r="N74" i="39" s="1"/>
  <c r="W73" i="39"/>
  <c r="V73" i="39"/>
  <c r="U73" i="39"/>
  <c r="T73" i="39"/>
  <c r="S73" i="39"/>
  <c r="R73" i="39"/>
  <c r="O73" i="39"/>
  <c r="M73" i="39"/>
  <c r="K73" i="39"/>
  <c r="L73" i="39" s="1"/>
  <c r="N73" i="39" s="1"/>
  <c r="W72" i="39"/>
  <c r="V72" i="39"/>
  <c r="U72" i="39"/>
  <c r="T72" i="39"/>
  <c r="S72" i="39"/>
  <c r="R72" i="39"/>
  <c r="O72" i="39"/>
  <c r="M72" i="39"/>
  <c r="K72" i="39"/>
  <c r="L72" i="39" s="1"/>
  <c r="N72" i="39" s="1"/>
  <c r="W71" i="39"/>
  <c r="V71" i="39"/>
  <c r="U71" i="39"/>
  <c r="T71" i="39"/>
  <c r="S71" i="39"/>
  <c r="R71" i="39"/>
  <c r="O71" i="39"/>
  <c r="M71" i="39"/>
  <c r="K71" i="39"/>
  <c r="L71" i="39" s="1"/>
  <c r="N71" i="39" s="1"/>
  <c r="W70" i="39"/>
  <c r="V70" i="39"/>
  <c r="U70" i="39"/>
  <c r="T70" i="39"/>
  <c r="S70" i="39"/>
  <c r="R70" i="39"/>
  <c r="O70" i="39"/>
  <c r="M70" i="39"/>
  <c r="K70" i="39"/>
  <c r="L70" i="39" s="1"/>
  <c r="N70" i="39" s="1"/>
  <c r="W69" i="39"/>
  <c r="V69" i="39"/>
  <c r="U69" i="39"/>
  <c r="T69" i="39"/>
  <c r="S69" i="39"/>
  <c r="R69" i="39"/>
  <c r="O69" i="39"/>
  <c r="M69" i="39"/>
  <c r="K69" i="39"/>
  <c r="L69" i="39" s="1"/>
  <c r="N69" i="39" s="1"/>
  <c r="W68" i="39"/>
  <c r="V68" i="39"/>
  <c r="U68" i="39"/>
  <c r="T68" i="39"/>
  <c r="S68" i="39"/>
  <c r="R68" i="39"/>
  <c r="O68" i="39"/>
  <c r="M68" i="39"/>
  <c r="K68" i="39"/>
  <c r="L68" i="39" s="1"/>
  <c r="N68" i="39" s="1"/>
  <c r="W67" i="39"/>
  <c r="V67" i="39"/>
  <c r="U67" i="39"/>
  <c r="T67" i="39"/>
  <c r="S67" i="39"/>
  <c r="R67" i="39"/>
  <c r="O67" i="39"/>
  <c r="M67" i="39"/>
  <c r="K67" i="39"/>
  <c r="L67" i="39" s="1"/>
  <c r="N67" i="39" s="1"/>
  <c r="W66" i="39"/>
  <c r="V66" i="39"/>
  <c r="U66" i="39"/>
  <c r="T66" i="39"/>
  <c r="S66" i="39"/>
  <c r="R66" i="39"/>
  <c r="O66" i="39"/>
  <c r="M66" i="39"/>
  <c r="K66" i="39"/>
  <c r="L66" i="39" s="1"/>
  <c r="N66" i="39" s="1"/>
  <c r="W65" i="39"/>
  <c r="V65" i="39"/>
  <c r="U65" i="39"/>
  <c r="T65" i="39"/>
  <c r="S65" i="39"/>
  <c r="R65" i="39"/>
  <c r="O65" i="39"/>
  <c r="M65" i="39"/>
  <c r="K65" i="39"/>
  <c r="L65" i="39" s="1"/>
  <c r="N65" i="39" s="1"/>
  <c r="W64" i="39"/>
  <c r="V64" i="39"/>
  <c r="U64" i="39"/>
  <c r="T64" i="39"/>
  <c r="S64" i="39"/>
  <c r="R64" i="39"/>
  <c r="O64" i="39"/>
  <c r="M64" i="39"/>
  <c r="K64" i="39"/>
  <c r="L64" i="39" s="1"/>
  <c r="N64" i="39" s="1"/>
  <c r="W63" i="39"/>
  <c r="V63" i="39"/>
  <c r="U63" i="39"/>
  <c r="T63" i="39"/>
  <c r="S63" i="39"/>
  <c r="R63" i="39"/>
  <c r="O63" i="39"/>
  <c r="M63" i="39"/>
  <c r="K63" i="39"/>
  <c r="L63" i="39" s="1"/>
  <c r="N63" i="39" s="1"/>
  <c r="W62" i="39"/>
  <c r="V62" i="39"/>
  <c r="U62" i="39"/>
  <c r="T62" i="39"/>
  <c r="S62" i="39"/>
  <c r="R62" i="39"/>
  <c r="O62" i="39"/>
  <c r="M62" i="39"/>
  <c r="K62" i="39"/>
  <c r="L62" i="39" s="1"/>
  <c r="N62" i="39" s="1"/>
  <c r="W61" i="39"/>
  <c r="V61" i="39"/>
  <c r="U61" i="39"/>
  <c r="T61" i="39"/>
  <c r="S61" i="39"/>
  <c r="R61" i="39"/>
  <c r="O61" i="39"/>
  <c r="M61" i="39"/>
  <c r="K61" i="39"/>
  <c r="L61" i="39" s="1"/>
  <c r="N61" i="39" s="1"/>
  <c r="W60" i="39"/>
  <c r="V60" i="39"/>
  <c r="U60" i="39"/>
  <c r="T60" i="39"/>
  <c r="S60" i="39"/>
  <c r="R60" i="39"/>
  <c r="O60" i="39"/>
  <c r="M60" i="39"/>
  <c r="K60" i="39"/>
  <c r="L60" i="39" s="1"/>
  <c r="N60" i="39" s="1"/>
  <c r="W59" i="39"/>
  <c r="V59" i="39"/>
  <c r="U59" i="39"/>
  <c r="T59" i="39"/>
  <c r="S59" i="39"/>
  <c r="R59" i="39"/>
  <c r="O59" i="39"/>
  <c r="M59" i="39"/>
  <c r="K59" i="39"/>
  <c r="L59" i="39" s="1"/>
  <c r="N59" i="39" s="1"/>
  <c r="W58" i="39"/>
  <c r="V58" i="39"/>
  <c r="U58" i="39"/>
  <c r="T58" i="39"/>
  <c r="S58" i="39"/>
  <c r="R58" i="39"/>
  <c r="O58" i="39"/>
  <c r="M58" i="39"/>
  <c r="K58" i="39"/>
  <c r="L58" i="39" s="1"/>
  <c r="N58" i="39" s="1"/>
  <c r="W57" i="39"/>
  <c r="V57" i="39"/>
  <c r="U57" i="39"/>
  <c r="T57" i="39"/>
  <c r="S57" i="39"/>
  <c r="R57" i="39"/>
  <c r="O57" i="39"/>
  <c r="M57" i="39"/>
  <c r="K57" i="39"/>
  <c r="L57" i="39" s="1"/>
  <c r="N57" i="39" s="1"/>
  <c r="W56" i="39"/>
  <c r="V56" i="39"/>
  <c r="U56" i="39"/>
  <c r="T56" i="39"/>
  <c r="S56" i="39"/>
  <c r="R56" i="39"/>
  <c r="O56" i="39"/>
  <c r="M56" i="39"/>
  <c r="K56" i="39"/>
  <c r="L56" i="39" s="1"/>
  <c r="N56" i="39" s="1"/>
  <c r="W55" i="39"/>
  <c r="V55" i="39"/>
  <c r="U55" i="39"/>
  <c r="T55" i="39"/>
  <c r="S55" i="39"/>
  <c r="R55" i="39"/>
  <c r="O55" i="39"/>
  <c r="M55" i="39"/>
  <c r="K55" i="39"/>
  <c r="L55" i="39" s="1"/>
  <c r="N55" i="39" s="1"/>
  <c r="W54" i="39"/>
  <c r="V54" i="39"/>
  <c r="U54" i="39"/>
  <c r="T54" i="39"/>
  <c r="S54" i="39"/>
  <c r="R54" i="39"/>
  <c r="O54" i="39"/>
  <c r="M54" i="39"/>
  <c r="K54" i="39"/>
  <c r="L54" i="39" s="1"/>
  <c r="N54" i="39" s="1"/>
  <c r="W53" i="39"/>
  <c r="V53" i="39"/>
  <c r="U53" i="39"/>
  <c r="T53" i="39"/>
  <c r="S53" i="39"/>
  <c r="R53" i="39"/>
  <c r="O53" i="39"/>
  <c r="M53" i="39"/>
  <c r="K53" i="39"/>
  <c r="L53" i="39" s="1"/>
  <c r="N53" i="39" s="1"/>
  <c r="W52" i="39"/>
  <c r="V52" i="39"/>
  <c r="U52" i="39"/>
  <c r="T52" i="39"/>
  <c r="S52" i="39"/>
  <c r="R52" i="39"/>
  <c r="O52" i="39"/>
  <c r="M52" i="39"/>
  <c r="K52" i="39"/>
  <c r="L52" i="39" s="1"/>
  <c r="N52" i="39" s="1"/>
  <c r="W51" i="39"/>
  <c r="V51" i="39"/>
  <c r="U51" i="39"/>
  <c r="T51" i="39"/>
  <c r="S51" i="39"/>
  <c r="R51" i="39"/>
  <c r="O51" i="39"/>
  <c r="M51" i="39"/>
  <c r="K51" i="39"/>
  <c r="L51" i="39" s="1"/>
  <c r="N51" i="39" s="1"/>
  <c r="W50" i="39"/>
  <c r="V50" i="39"/>
  <c r="U50" i="39"/>
  <c r="T50" i="39"/>
  <c r="S50" i="39"/>
  <c r="R50" i="39"/>
  <c r="O50" i="39"/>
  <c r="M50" i="39"/>
  <c r="K50" i="39"/>
  <c r="L50" i="39" s="1"/>
  <c r="N50" i="39" s="1"/>
  <c r="W49" i="39"/>
  <c r="V49" i="39"/>
  <c r="U49" i="39"/>
  <c r="T49" i="39"/>
  <c r="S49" i="39"/>
  <c r="R49" i="39"/>
  <c r="O49" i="39"/>
  <c r="M49" i="39"/>
  <c r="K49" i="39"/>
  <c r="L49" i="39" s="1"/>
  <c r="N49" i="39" s="1"/>
  <c r="W48" i="39"/>
  <c r="V48" i="39"/>
  <c r="U48" i="39"/>
  <c r="T48" i="39"/>
  <c r="S48" i="39"/>
  <c r="R48" i="39"/>
  <c r="O48" i="39"/>
  <c r="M48" i="39"/>
  <c r="K48" i="39"/>
  <c r="L48" i="39" s="1"/>
  <c r="N48" i="39" s="1"/>
  <c r="W47" i="39"/>
  <c r="V47" i="39"/>
  <c r="U47" i="39"/>
  <c r="T47" i="39"/>
  <c r="S47" i="39"/>
  <c r="R47" i="39"/>
  <c r="O47" i="39"/>
  <c r="M47" i="39"/>
  <c r="K47" i="39"/>
  <c r="L47" i="39" s="1"/>
  <c r="N47" i="39" s="1"/>
  <c r="W46" i="39"/>
  <c r="V46" i="39"/>
  <c r="U46" i="39"/>
  <c r="T46" i="39"/>
  <c r="S46" i="39"/>
  <c r="R46" i="39"/>
  <c r="O46" i="39"/>
  <c r="M46" i="39"/>
  <c r="K46" i="39"/>
  <c r="L46" i="39" s="1"/>
  <c r="N46" i="39" s="1"/>
  <c r="W45" i="39"/>
  <c r="V45" i="39"/>
  <c r="U45" i="39"/>
  <c r="T45" i="39"/>
  <c r="S45" i="39"/>
  <c r="R45" i="39"/>
  <c r="O45" i="39"/>
  <c r="M45" i="39"/>
  <c r="K45" i="39"/>
  <c r="L45" i="39" s="1"/>
  <c r="N45" i="39" s="1"/>
  <c r="W44" i="39"/>
  <c r="V44" i="39"/>
  <c r="U44" i="39"/>
  <c r="T44" i="39"/>
  <c r="S44" i="39"/>
  <c r="R44" i="39"/>
  <c r="O44" i="39"/>
  <c r="M44" i="39"/>
  <c r="K44" i="39"/>
  <c r="L44" i="39" s="1"/>
  <c r="N44" i="39" s="1"/>
  <c r="W43" i="39"/>
  <c r="V43" i="39"/>
  <c r="U43" i="39"/>
  <c r="T43" i="39"/>
  <c r="S43" i="39"/>
  <c r="R43" i="39"/>
  <c r="O43" i="39"/>
  <c r="M43" i="39"/>
  <c r="K43" i="39"/>
  <c r="L43" i="39" s="1"/>
  <c r="N43" i="39" s="1"/>
  <c r="W42" i="39"/>
  <c r="V42" i="39"/>
  <c r="U42" i="39"/>
  <c r="T42" i="39"/>
  <c r="S42" i="39"/>
  <c r="R42" i="39"/>
  <c r="O42" i="39"/>
  <c r="M42" i="39"/>
  <c r="K42" i="39"/>
  <c r="L42" i="39" s="1"/>
  <c r="N42" i="39" s="1"/>
  <c r="W41" i="39"/>
  <c r="V41" i="39"/>
  <c r="U41" i="39"/>
  <c r="T41" i="39"/>
  <c r="S41" i="39"/>
  <c r="R41" i="39"/>
  <c r="O41" i="39"/>
  <c r="M41" i="39"/>
  <c r="K41" i="39"/>
  <c r="L41" i="39" s="1"/>
  <c r="N41" i="39" s="1"/>
  <c r="W40" i="39"/>
  <c r="V40" i="39"/>
  <c r="U40" i="39"/>
  <c r="T40" i="39"/>
  <c r="S40" i="39"/>
  <c r="R40" i="39"/>
  <c r="O40" i="39"/>
  <c r="M40" i="39"/>
  <c r="K40" i="39"/>
  <c r="L40" i="39" s="1"/>
  <c r="N40" i="39" s="1"/>
  <c r="W39" i="39"/>
  <c r="V39" i="39"/>
  <c r="U39" i="39"/>
  <c r="T39" i="39"/>
  <c r="S39" i="39"/>
  <c r="R39" i="39"/>
  <c r="O39" i="39"/>
  <c r="M39" i="39"/>
  <c r="K39" i="39"/>
  <c r="L39" i="39" s="1"/>
  <c r="N39" i="39" s="1"/>
  <c r="W38" i="39"/>
  <c r="V38" i="39"/>
  <c r="U38" i="39"/>
  <c r="T38" i="39"/>
  <c r="S38" i="39"/>
  <c r="R38" i="39"/>
  <c r="O38" i="39"/>
  <c r="M38" i="39"/>
  <c r="K38" i="39"/>
  <c r="L38" i="39" s="1"/>
  <c r="N38" i="39" s="1"/>
  <c r="W37" i="39"/>
  <c r="V37" i="39"/>
  <c r="U37" i="39"/>
  <c r="T37" i="39"/>
  <c r="S37" i="39"/>
  <c r="R37" i="39"/>
  <c r="O37" i="39"/>
  <c r="M37" i="39"/>
  <c r="K37" i="39"/>
  <c r="L37" i="39" s="1"/>
  <c r="N37" i="39" s="1"/>
  <c r="W36" i="39"/>
  <c r="V36" i="39"/>
  <c r="U36" i="39"/>
  <c r="T36" i="39"/>
  <c r="S36" i="39"/>
  <c r="R36" i="39"/>
  <c r="O36" i="39"/>
  <c r="M36" i="39"/>
  <c r="K36" i="39"/>
  <c r="L36" i="39" s="1"/>
  <c r="N36" i="39" s="1"/>
  <c r="W35" i="39"/>
  <c r="V35" i="39"/>
  <c r="U35" i="39"/>
  <c r="T35" i="39"/>
  <c r="S35" i="39"/>
  <c r="R35" i="39"/>
  <c r="O35" i="39"/>
  <c r="M35" i="39"/>
  <c r="K35" i="39"/>
  <c r="L35" i="39" s="1"/>
  <c r="N35" i="39" s="1"/>
  <c r="W34" i="39"/>
  <c r="V34" i="39"/>
  <c r="U34" i="39"/>
  <c r="T34" i="39"/>
  <c r="S34" i="39"/>
  <c r="R34" i="39"/>
  <c r="O34" i="39"/>
  <c r="M34" i="39"/>
  <c r="K34" i="39"/>
  <c r="L34" i="39" s="1"/>
  <c r="N34" i="39" s="1"/>
  <c r="W33" i="39"/>
  <c r="V33" i="39"/>
  <c r="U33" i="39"/>
  <c r="T33" i="39"/>
  <c r="S33" i="39"/>
  <c r="R33" i="39"/>
  <c r="O33" i="39"/>
  <c r="M33" i="39"/>
  <c r="K33" i="39"/>
  <c r="L33" i="39" s="1"/>
  <c r="N33" i="39" s="1"/>
  <c r="W32" i="39"/>
  <c r="V32" i="39"/>
  <c r="U32" i="39"/>
  <c r="T32" i="39"/>
  <c r="S32" i="39"/>
  <c r="R32" i="39"/>
  <c r="O32" i="39"/>
  <c r="M32" i="39"/>
  <c r="K32" i="39"/>
  <c r="L32" i="39" s="1"/>
  <c r="N32" i="39" s="1"/>
  <c r="W31" i="39"/>
  <c r="V31" i="39"/>
  <c r="U31" i="39"/>
  <c r="T31" i="39"/>
  <c r="S31" i="39"/>
  <c r="R31" i="39"/>
  <c r="O31" i="39"/>
  <c r="M31" i="39"/>
  <c r="K31" i="39"/>
  <c r="L31" i="39" s="1"/>
  <c r="N31" i="39" s="1"/>
  <c r="W30" i="39"/>
  <c r="V30" i="39"/>
  <c r="U30" i="39"/>
  <c r="T30" i="39"/>
  <c r="S30" i="39"/>
  <c r="R30" i="39"/>
  <c r="O30" i="39"/>
  <c r="M30" i="39"/>
  <c r="K30" i="39"/>
  <c r="L30" i="39" s="1"/>
  <c r="N30" i="39" s="1"/>
  <c r="W29" i="39"/>
  <c r="V29" i="39"/>
  <c r="U29" i="39"/>
  <c r="T29" i="39"/>
  <c r="S29" i="39"/>
  <c r="R29" i="39"/>
  <c r="O29" i="39"/>
  <c r="M29" i="39"/>
  <c r="K29" i="39"/>
  <c r="L29" i="39" s="1"/>
  <c r="N29" i="39" s="1"/>
  <c r="W28" i="39"/>
  <c r="V28" i="39"/>
  <c r="U28" i="39"/>
  <c r="T28" i="39"/>
  <c r="S28" i="39"/>
  <c r="R28" i="39"/>
  <c r="O28" i="39"/>
  <c r="M28" i="39"/>
  <c r="K28" i="39"/>
  <c r="L28" i="39" s="1"/>
  <c r="N28" i="39" s="1"/>
  <c r="W27" i="39"/>
  <c r="V27" i="39"/>
  <c r="U27" i="39"/>
  <c r="T27" i="39"/>
  <c r="S27" i="39"/>
  <c r="R27" i="39"/>
  <c r="O27" i="39"/>
  <c r="M27" i="39"/>
  <c r="K27" i="39"/>
  <c r="L27" i="39" s="1"/>
  <c r="N27" i="39" s="1"/>
  <c r="W26" i="39"/>
  <c r="V26" i="39"/>
  <c r="U26" i="39"/>
  <c r="T26" i="39"/>
  <c r="S26" i="39"/>
  <c r="R26" i="39"/>
  <c r="O26" i="39"/>
  <c r="M26" i="39"/>
  <c r="K26" i="39"/>
  <c r="L26" i="39" s="1"/>
  <c r="N26" i="39" s="1"/>
  <c r="W25" i="39"/>
  <c r="V25" i="39"/>
  <c r="U25" i="39"/>
  <c r="T25" i="39"/>
  <c r="S25" i="39"/>
  <c r="R25" i="39"/>
  <c r="O25" i="39"/>
  <c r="M25" i="39"/>
  <c r="K25" i="39"/>
  <c r="L25" i="39" s="1"/>
  <c r="N25" i="39" s="1"/>
  <c r="W24" i="39"/>
  <c r="V24" i="39"/>
  <c r="U24" i="39"/>
  <c r="T24" i="39"/>
  <c r="S24" i="39"/>
  <c r="R24" i="39"/>
  <c r="O24" i="39"/>
  <c r="M24" i="39"/>
  <c r="K24" i="39"/>
  <c r="L24" i="39" s="1"/>
  <c r="N24" i="39" s="1"/>
  <c r="W23" i="39"/>
  <c r="V23" i="39"/>
  <c r="U23" i="39"/>
  <c r="T23" i="39"/>
  <c r="S23" i="39"/>
  <c r="R23" i="39"/>
  <c r="O23" i="39"/>
  <c r="M23" i="39"/>
  <c r="K23" i="39"/>
  <c r="L23" i="39" s="1"/>
  <c r="N23" i="39" s="1"/>
  <c r="W22" i="39"/>
  <c r="V22" i="39"/>
  <c r="U22" i="39"/>
  <c r="T22" i="39"/>
  <c r="S22" i="39"/>
  <c r="R22" i="39"/>
  <c r="O22" i="39"/>
  <c r="M22" i="39"/>
  <c r="K22" i="39"/>
  <c r="L22" i="39" s="1"/>
  <c r="N22" i="39" s="1"/>
  <c r="W21" i="39"/>
  <c r="V21" i="39"/>
  <c r="U21" i="39"/>
  <c r="T21" i="39"/>
  <c r="S21" i="39"/>
  <c r="R21" i="39"/>
  <c r="O21" i="39"/>
  <c r="M21" i="39"/>
  <c r="K21" i="39"/>
  <c r="L21" i="39" s="1"/>
  <c r="N21" i="39" s="1"/>
  <c r="W20" i="39"/>
  <c r="V20" i="39"/>
  <c r="U20" i="39"/>
  <c r="T20" i="39"/>
  <c r="S20" i="39"/>
  <c r="R20" i="39"/>
  <c r="O20" i="39"/>
  <c r="M20" i="39"/>
  <c r="K20" i="39"/>
  <c r="L20" i="39" s="1"/>
  <c r="N20" i="39" s="1"/>
  <c r="W19" i="39"/>
  <c r="V19" i="39"/>
  <c r="U19" i="39"/>
  <c r="T19" i="39"/>
  <c r="S19" i="39"/>
  <c r="R19" i="39"/>
  <c r="O19" i="39"/>
  <c r="M19" i="39"/>
  <c r="K19" i="39"/>
  <c r="L19" i="39" s="1"/>
  <c r="N19" i="39" s="1"/>
  <c r="W18" i="39"/>
  <c r="V18" i="39"/>
  <c r="U18" i="39"/>
  <c r="T18" i="39"/>
  <c r="S18" i="39"/>
  <c r="R18" i="39"/>
  <c r="O18" i="39"/>
  <c r="M18" i="39"/>
  <c r="K18" i="39"/>
  <c r="L18" i="39" s="1"/>
  <c r="N18" i="39" s="1"/>
  <c r="W17" i="39"/>
  <c r="V17" i="39"/>
  <c r="U17" i="39"/>
  <c r="T17" i="39"/>
  <c r="S17" i="39"/>
  <c r="R17" i="39"/>
  <c r="O17" i="39"/>
  <c r="M17" i="39"/>
  <c r="K17" i="39"/>
  <c r="L17" i="39" s="1"/>
  <c r="N17" i="39" s="1"/>
  <c r="W16" i="39"/>
  <c r="V16" i="39"/>
  <c r="U16" i="39"/>
  <c r="T16" i="39"/>
  <c r="S16" i="39"/>
  <c r="R16" i="39"/>
  <c r="O16" i="39"/>
  <c r="M16" i="39"/>
  <c r="K16" i="39"/>
  <c r="L16" i="39" s="1"/>
  <c r="N16" i="39" s="1"/>
  <c r="W15" i="39"/>
  <c r="V15" i="39"/>
  <c r="U15" i="39"/>
  <c r="T15" i="39"/>
  <c r="S15" i="39"/>
  <c r="R15" i="39"/>
  <c r="O15" i="39"/>
  <c r="M15" i="39"/>
  <c r="K15" i="39"/>
  <c r="L15" i="39" s="1"/>
  <c r="N15" i="39" s="1"/>
  <c r="W14" i="39"/>
  <c r="V14" i="39"/>
  <c r="U14" i="39"/>
  <c r="T14" i="39"/>
  <c r="S14" i="39"/>
  <c r="R14" i="39"/>
  <c r="O14" i="39"/>
  <c r="M14" i="39"/>
  <c r="K14" i="39"/>
  <c r="L14" i="39" s="1"/>
  <c r="N14" i="39" s="1"/>
  <c r="W13" i="39"/>
  <c r="V13" i="39"/>
  <c r="U13" i="39"/>
  <c r="T13" i="39"/>
  <c r="S13" i="39"/>
  <c r="R13" i="39"/>
  <c r="O13" i="39"/>
  <c r="M13" i="39"/>
  <c r="K13" i="39"/>
  <c r="L13" i="39" s="1"/>
  <c r="N13" i="39" s="1"/>
  <c r="W12" i="39"/>
  <c r="V12" i="39"/>
  <c r="U12" i="39"/>
  <c r="T12" i="39"/>
  <c r="S12" i="39"/>
  <c r="R12" i="39"/>
  <c r="O12" i="39"/>
  <c r="M12" i="39"/>
  <c r="K12" i="39"/>
  <c r="L12" i="39" s="1"/>
  <c r="N12" i="39" s="1"/>
  <c r="W11" i="39"/>
  <c r="V11" i="39"/>
  <c r="U11" i="39"/>
  <c r="T11" i="39"/>
  <c r="S11" i="39"/>
  <c r="R11" i="39"/>
  <c r="O11" i="39"/>
  <c r="M11" i="39"/>
  <c r="K11" i="39"/>
  <c r="L11" i="39" s="1"/>
  <c r="N11" i="39" s="1"/>
  <c r="W10" i="39"/>
  <c r="V10" i="39"/>
  <c r="U10" i="39"/>
  <c r="T10" i="39"/>
  <c r="S10" i="39"/>
  <c r="R10" i="39"/>
  <c r="O10" i="39"/>
  <c r="M10" i="39"/>
  <c r="K10" i="39"/>
  <c r="L10" i="39" s="1"/>
  <c r="N10" i="39" s="1"/>
  <c r="W9" i="39"/>
  <c r="V9" i="39"/>
  <c r="U9" i="39"/>
  <c r="T9" i="39"/>
  <c r="S9" i="39"/>
  <c r="R9" i="39"/>
  <c r="O9" i="39"/>
  <c r="M9" i="39"/>
  <c r="K9" i="39"/>
  <c r="L9" i="39" s="1"/>
  <c r="N9" i="39" s="1"/>
  <c r="W8" i="39"/>
  <c r="V8" i="39"/>
  <c r="U8" i="39"/>
  <c r="T8" i="39"/>
  <c r="S8" i="39"/>
  <c r="R8" i="39"/>
  <c r="O8" i="39"/>
  <c r="M8" i="39"/>
  <c r="K8" i="39"/>
  <c r="L8" i="39" s="1"/>
  <c r="N8" i="39" s="1"/>
  <c r="W7" i="39"/>
  <c r="V7" i="39"/>
  <c r="U7" i="39"/>
  <c r="T7" i="39"/>
  <c r="S7" i="39"/>
  <c r="R7" i="39"/>
  <c r="O7" i="39"/>
  <c r="M7" i="39"/>
  <c r="K7" i="39"/>
  <c r="L7" i="39" s="1"/>
  <c r="N7" i="39" s="1"/>
  <c r="W6" i="39"/>
  <c r="V6" i="39"/>
  <c r="U6" i="39"/>
  <c r="T6" i="39"/>
  <c r="S6" i="39"/>
  <c r="R6" i="39"/>
  <c r="O6" i="39"/>
  <c r="M6" i="39"/>
  <c r="K6" i="39"/>
  <c r="L6" i="39" s="1"/>
  <c r="N6" i="39" s="1"/>
  <c r="W5" i="39"/>
  <c r="V5" i="39"/>
  <c r="U5" i="39"/>
  <c r="T5" i="39"/>
  <c r="S5" i="39"/>
  <c r="R5" i="39"/>
  <c r="O5" i="39"/>
  <c r="M5" i="39"/>
  <c r="K5" i="39"/>
  <c r="L5" i="39" s="1"/>
  <c r="N5" i="39" s="1"/>
  <c r="W4" i="39"/>
  <c r="V4" i="39"/>
  <c r="U4" i="39"/>
  <c r="T4" i="39"/>
  <c r="S4" i="39"/>
  <c r="R4" i="39"/>
  <c r="O4" i="39"/>
  <c r="M4" i="39"/>
  <c r="K4" i="39"/>
  <c r="L4" i="39" s="1"/>
  <c r="N4" i="39" s="1"/>
  <c r="W3" i="39"/>
  <c r="W94" i="39" s="1"/>
  <c r="V3" i="39"/>
  <c r="V94" i="39" s="1"/>
  <c r="U3" i="39"/>
  <c r="U94" i="39" s="1"/>
  <c r="T3" i="39"/>
  <c r="T94" i="39" s="1"/>
  <c r="S3" i="39"/>
  <c r="S94" i="39" s="1"/>
  <c r="R3" i="39"/>
  <c r="R94" i="39" s="1"/>
  <c r="O3" i="39"/>
  <c r="M3" i="39"/>
  <c r="M94" i="39" s="1"/>
  <c r="K3" i="39"/>
  <c r="E106" i="26"/>
  <c r="F106" i="26"/>
  <c r="G106" i="26"/>
  <c r="H106" i="26"/>
  <c r="I106" i="26"/>
  <c r="J106" i="26"/>
  <c r="K106" i="26"/>
  <c r="L106" i="26"/>
  <c r="M106" i="26"/>
  <c r="N106" i="26"/>
  <c r="O106" i="26"/>
  <c r="P106" i="26"/>
  <c r="Q106" i="26"/>
  <c r="R106" i="26"/>
  <c r="S106" i="26"/>
  <c r="T106" i="26"/>
  <c r="U106" i="26"/>
  <c r="V106" i="26"/>
  <c r="W106" i="26"/>
  <c r="X106" i="26"/>
  <c r="Y106" i="26"/>
  <c r="Z106" i="26"/>
  <c r="AA106" i="26"/>
  <c r="AB106" i="26"/>
  <c r="AC106" i="26"/>
  <c r="AD106" i="26"/>
  <c r="AE106" i="26"/>
  <c r="AF106" i="26"/>
  <c r="AG106" i="26"/>
  <c r="AH106" i="26"/>
  <c r="AH104" i="26"/>
  <c r="AD32" i="27"/>
  <c r="AD28" i="27"/>
  <c r="AD29" i="27" s="1"/>
  <c r="AD38" i="27"/>
  <c r="AD39" i="27"/>
  <c r="AD40" i="27"/>
  <c r="AD41" i="27"/>
  <c r="H41" i="27"/>
  <c r="H40" i="27"/>
  <c r="H39" i="27"/>
  <c r="H38" i="27"/>
  <c r="H32" i="27"/>
  <c r="H33" i="27" s="1"/>
  <c r="H30" i="27"/>
  <c r="H28" i="27"/>
  <c r="H29" i="27" s="1"/>
  <c r="G41" i="27"/>
  <c r="G40" i="27"/>
  <c r="G39" i="27"/>
  <c r="G38" i="27"/>
  <c r="G32" i="27"/>
  <c r="G33" i="27" s="1"/>
  <c r="G30" i="27"/>
  <c r="G28" i="27"/>
  <c r="G29" i="27" s="1"/>
  <c r="F41" i="27"/>
  <c r="F40" i="27"/>
  <c r="F39" i="27"/>
  <c r="F38" i="27"/>
  <c r="F32" i="27"/>
  <c r="F33" i="27" s="1"/>
  <c r="F30" i="27"/>
  <c r="F28" i="27"/>
  <c r="F29" i="27" s="1"/>
  <c r="E41" i="27"/>
  <c r="E40" i="27"/>
  <c r="E39" i="27"/>
  <c r="E38" i="27"/>
  <c r="E32" i="27"/>
  <c r="E33" i="27" s="1"/>
  <c r="E30" i="27"/>
  <c r="E28" i="27"/>
  <c r="E29" i="27" s="1"/>
  <c r="D41" i="27"/>
  <c r="D40" i="27"/>
  <c r="D39" i="27"/>
  <c r="D38" i="27"/>
  <c r="D32" i="27"/>
  <c r="D33" i="27" s="1"/>
  <c r="D30" i="27"/>
  <c r="D28" i="27"/>
  <c r="D29" i="27" s="1"/>
  <c r="G3" i="35"/>
  <c r="AA103" i="26"/>
  <c r="AA105" i="26" s="1"/>
  <c r="AB103" i="26"/>
  <c r="AB105" i="26" s="1"/>
  <c r="AC103" i="26"/>
  <c r="AC105" i="26" s="1"/>
  <c r="AD103" i="26"/>
  <c r="AD105" i="26" s="1"/>
  <c r="AE103" i="26"/>
  <c r="AE105" i="26" s="1"/>
  <c r="AF103" i="26"/>
  <c r="AF105" i="26" s="1"/>
  <c r="AH103" i="26"/>
  <c r="AH105" i="26" s="1"/>
  <c r="AB112" i="26"/>
  <c r="AC112" i="26"/>
  <c r="AD112" i="26"/>
  <c r="AE112" i="26"/>
  <c r="AF112" i="26"/>
  <c r="AG112" i="26"/>
  <c r="AH112" i="26"/>
  <c r="AA112" i="26"/>
  <c r="AA113" i="26"/>
  <c r="AA114" i="26"/>
  <c r="AB114" i="26"/>
  <c r="AC114" i="26"/>
  <c r="AD114" i="26"/>
  <c r="AE114" i="26"/>
  <c r="AF114" i="26"/>
  <c r="AG114" i="26"/>
  <c r="AH114" i="26"/>
  <c r="AB113" i="26"/>
  <c r="AC113" i="26"/>
  <c r="AD113" i="26"/>
  <c r="AE113" i="26"/>
  <c r="AF113" i="26"/>
  <c r="AG113" i="26"/>
  <c r="AH113" i="26"/>
  <c r="W27" i="36"/>
  <c r="V27" i="36"/>
  <c r="U27" i="36"/>
  <c r="T27" i="36"/>
  <c r="S27" i="36"/>
  <c r="R27" i="36"/>
  <c r="M29" i="36"/>
  <c r="L29" i="36"/>
  <c r="Q27" i="36"/>
  <c r="O27" i="36"/>
  <c r="P27" i="36"/>
  <c r="N27" i="36"/>
  <c r="M27" i="36"/>
  <c r="L27" i="36"/>
  <c r="K4" i="36"/>
  <c r="M4" i="36"/>
  <c r="L4" i="36" s="1"/>
  <c r="N4" i="36"/>
  <c r="T4" i="36"/>
  <c r="S4" i="36" s="1"/>
  <c r="U4" i="36"/>
  <c r="V4" i="36"/>
  <c r="W4" i="36"/>
  <c r="K5" i="36"/>
  <c r="M5" i="36"/>
  <c r="L5" i="36" s="1"/>
  <c r="N5" i="36"/>
  <c r="T5" i="36"/>
  <c r="S5" i="36" s="1"/>
  <c r="U5" i="36"/>
  <c r="V5" i="36"/>
  <c r="W5" i="36"/>
  <c r="K6" i="36"/>
  <c r="M6" i="36"/>
  <c r="L6" i="36" s="1"/>
  <c r="N6" i="36"/>
  <c r="T6" i="36"/>
  <c r="S6" i="36" s="1"/>
  <c r="U6" i="36"/>
  <c r="V6" i="36"/>
  <c r="W6" i="36"/>
  <c r="K7" i="36"/>
  <c r="M7" i="36"/>
  <c r="L7" i="36" s="1"/>
  <c r="N7" i="36"/>
  <c r="T7" i="36"/>
  <c r="S7" i="36" s="1"/>
  <c r="U7" i="36"/>
  <c r="V7" i="36"/>
  <c r="W7" i="36"/>
  <c r="K8" i="36"/>
  <c r="M8" i="36"/>
  <c r="L8" i="36" s="1"/>
  <c r="N8" i="36"/>
  <c r="T8" i="36"/>
  <c r="S8" i="36" s="1"/>
  <c r="U8" i="36"/>
  <c r="V8" i="36"/>
  <c r="W8" i="36"/>
  <c r="K9" i="36"/>
  <c r="M9" i="36"/>
  <c r="L9" i="36" s="1"/>
  <c r="N9" i="36"/>
  <c r="T9" i="36"/>
  <c r="S9" i="36" s="1"/>
  <c r="U9" i="36"/>
  <c r="V9" i="36"/>
  <c r="W9" i="36"/>
  <c r="K10" i="36"/>
  <c r="M10" i="36"/>
  <c r="L10" i="36" s="1"/>
  <c r="N10" i="36"/>
  <c r="T10" i="36"/>
  <c r="S10" i="36" s="1"/>
  <c r="U10" i="36"/>
  <c r="V10" i="36"/>
  <c r="W10" i="36"/>
  <c r="K11" i="36"/>
  <c r="M11" i="36"/>
  <c r="L11" i="36" s="1"/>
  <c r="N11" i="36"/>
  <c r="T11" i="36"/>
  <c r="S11" i="36" s="1"/>
  <c r="U11" i="36"/>
  <c r="V11" i="36"/>
  <c r="W11" i="36"/>
  <c r="K12" i="36"/>
  <c r="M12" i="36"/>
  <c r="L12" i="36" s="1"/>
  <c r="N12" i="36"/>
  <c r="T12" i="36"/>
  <c r="S12" i="36" s="1"/>
  <c r="U12" i="36"/>
  <c r="V12" i="36"/>
  <c r="W12" i="36"/>
  <c r="K13" i="36"/>
  <c r="M13" i="36"/>
  <c r="L13" i="36" s="1"/>
  <c r="N13" i="36"/>
  <c r="T13" i="36"/>
  <c r="S13" i="36" s="1"/>
  <c r="U13" i="36"/>
  <c r="V13" i="36"/>
  <c r="W13" i="36"/>
  <c r="K14" i="36"/>
  <c r="M14" i="36"/>
  <c r="L14" i="36" s="1"/>
  <c r="N14" i="36"/>
  <c r="T14" i="36"/>
  <c r="S14" i="36" s="1"/>
  <c r="U14" i="36"/>
  <c r="V14" i="36"/>
  <c r="W14" i="36"/>
  <c r="K15" i="36"/>
  <c r="M15" i="36"/>
  <c r="L15" i="36" s="1"/>
  <c r="N15" i="36"/>
  <c r="T15" i="36"/>
  <c r="S15" i="36" s="1"/>
  <c r="U15" i="36"/>
  <c r="V15" i="36"/>
  <c r="W15" i="36"/>
  <c r="K16" i="36"/>
  <c r="M16" i="36"/>
  <c r="L16" i="36" s="1"/>
  <c r="N16" i="36"/>
  <c r="T16" i="36"/>
  <c r="S16" i="36" s="1"/>
  <c r="U16" i="36"/>
  <c r="V16" i="36"/>
  <c r="W16" i="36"/>
  <c r="K17" i="36"/>
  <c r="M17" i="36"/>
  <c r="L17" i="36" s="1"/>
  <c r="N17" i="36"/>
  <c r="T17" i="36"/>
  <c r="S17" i="36" s="1"/>
  <c r="U17" i="36"/>
  <c r="V17" i="36"/>
  <c r="W17" i="36"/>
  <c r="K18" i="36"/>
  <c r="M18" i="36"/>
  <c r="L18" i="36" s="1"/>
  <c r="N18" i="36"/>
  <c r="T18" i="36"/>
  <c r="S18" i="36" s="1"/>
  <c r="U18" i="36"/>
  <c r="V18" i="36"/>
  <c r="W18" i="36"/>
  <c r="K19" i="36"/>
  <c r="M19" i="36"/>
  <c r="L19" i="36" s="1"/>
  <c r="N19" i="36"/>
  <c r="T19" i="36"/>
  <c r="S19" i="36" s="1"/>
  <c r="U19" i="36"/>
  <c r="V19" i="36"/>
  <c r="W19" i="36"/>
  <c r="K20" i="36"/>
  <c r="M20" i="36"/>
  <c r="L20" i="36" s="1"/>
  <c r="N20" i="36"/>
  <c r="T20" i="36"/>
  <c r="S20" i="36" s="1"/>
  <c r="U20" i="36"/>
  <c r="V20" i="36"/>
  <c r="W20" i="36"/>
  <c r="K21" i="36"/>
  <c r="M21" i="36"/>
  <c r="L21" i="36" s="1"/>
  <c r="N21" i="36"/>
  <c r="T21" i="36"/>
  <c r="S21" i="36" s="1"/>
  <c r="U21" i="36"/>
  <c r="V21" i="36"/>
  <c r="W21" i="36"/>
  <c r="K22" i="36"/>
  <c r="M22" i="36"/>
  <c r="L22" i="36" s="1"/>
  <c r="N22" i="36"/>
  <c r="T22" i="36"/>
  <c r="S22" i="36" s="1"/>
  <c r="U22" i="36"/>
  <c r="V22" i="36"/>
  <c r="W22" i="36"/>
  <c r="K23" i="36"/>
  <c r="M23" i="36"/>
  <c r="L23" i="36" s="1"/>
  <c r="N23" i="36"/>
  <c r="T23" i="36"/>
  <c r="S23" i="36" s="1"/>
  <c r="U23" i="36"/>
  <c r="V23" i="36"/>
  <c r="W23" i="36"/>
  <c r="K24" i="36"/>
  <c r="M24" i="36"/>
  <c r="L24" i="36" s="1"/>
  <c r="N24" i="36"/>
  <c r="T24" i="36"/>
  <c r="S24" i="36" s="1"/>
  <c r="U24" i="36"/>
  <c r="V24" i="36"/>
  <c r="W24" i="36"/>
  <c r="K25" i="36"/>
  <c r="M25" i="36"/>
  <c r="L25" i="36" s="1"/>
  <c r="N25" i="36"/>
  <c r="T25" i="36"/>
  <c r="S25" i="36" s="1"/>
  <c r="U25" i="36"/>
  <c r="V25" i="36"/>
  <c r="W25" i="36"/>
  <c r="K26" i="36"/>
  <c r="M26" i="36"/>
  <c r="L26" i="36" s="1"/>
  <c r="N26" i="36"/>
  <c r="T26" i="36"/>
  <c r="S26" i="36" s="1"/>
  <c r="U26" i="36"/>
  <c r="V26" i="36"/>
  <c r="W26" i="36"/>
  <c r="W3" i="36"/>
  <c r="V3" i="36"/>
  <c r="U3" i="36"/>
  <c r="T3" i="36"/>
  <c r="S3" i="36"/>
  <c r="M3" i="36"/>
  <c r="K3" i="36"/>
  <c r="R3" i="36"/>
  <c r="O3" i="36" s="1"/>
  <c r="J41" i="36"/>
  <c r="I41" i="36"/>
  <c r="H41" i="36"/>
  <c r="G41" i="36"/>
  <c r="F41" i="36"/>
  <c r="E41" i="36"/>
  <c r="D41" i="36"/>
  <c r="J40" i="36"/>
  <c r="I40" i="36"/>
  <c r="H40" i="36"/>
  <c r="G40" i="36"/>
  <c r="F40" i="36"/>
  <c r="E40" i="36"/>
  <c r="D40" i="36"/>
  <c r="J39" i="36"/>
  <c r="I39" i="36"/>
  <c r="H39" i="36"/>
  <c r="G39" i="36"/>
  <c r="F39" i="36"/>
  <c r="E39" i="36"/>
  <c r="D39" i="36"/>
  <c r="J38" i="36"/>
  <c r="I38" i="36"/>
  <c r="H38" i="36"/>
  <c r="G38" i="36"/>
  <c r="F38" i="36"/>
  <c r="E38" i="36"/>
  <c r="D38" i="36"/>
  <c r="J32" i="36"/>
  <c r="J33" i="36" s="1"/>
  <c r="I32" i="36"/>
  <c r="I33" i="36" s="1"/>
  <c r="H32" i="36"/>
  <c r="H33" i="36" s="1"/>
  <c r="G32" i="36"/>
  <c r="G33" i="36" s="1"/>
  <c r="F32" i="36"/>
  <c r="F33" i="36" s="1"/>
  <c r="E32" i="36"/>
  <c r="E33" i="36" s="1"/>
  <c r="D32" i="36"/>
  <c r="D33" i="36" s="1"/>
  <c r="J30" i="36"/>
  <c r="I30" i="36"/>
  <c r="H30" i="36"/>
  <c r="G30" i="36"/>
  <c r="F30" i="36"/>
  <c r="E30" i="36"/>
  <c r="D30" i="36"/>
  <c r="J28" i="36"/>
  <c r="J29" i="36" s="1"/>
  <c r="I28" i="36"/>
  <c r="I29" i="36" s="1"/>
  <c r="H28" i="36"/>
  <c r="H29" i="36" s="1"/>
  <c r="G28" i="36"/>
  <c r="G29" i="36" s="1"/>
  <c r="F28" i="36"/>
  <c r="F29" i="36" s="1"/>
  <c r="E28" i="36"/>
  <c r="E29" i="36" s="1"/>
  <c r="D28" i="36"/>
  <c r="D29" i="36" s="1"/>
  <c r="AA115" i="26"/>
  <c r="G21" i="35"/>
  <c r="G4" i="35"/>
  <c r="G5" i="35"/>
  <c r="G6" i="35"/>
  <c r="G7" i="35"/>
  <c r="G8" i="35"/>
  <c r="G9" i="35"/>
  <c r="G10" i="35"/>
  <c r="G11" i="35"/>
  <c r="G12" i="35"/>
  <c r="G13" i="35"/>
  <c r="G14" i="35"/>
  <c r="G15" i="35"/>
  <c r="G16" i="35"/>
  <c r="G17" i="35"/>
  <c r="G18" i="35"/>
  <c r="G19" i="35"/>
  <c r="G20" i="35"/>
  <c r="G22" i="35"/>
  <c r="G23" i="35"/>
  <c r="G24" i="35"/>
  <c r="G25" i="35"/>
  <c r="G26" i="35"/>
  <c r="G27" i="35"/>
  <c r="G28" i="35"/>
  <c r="G29" i="35"/>
  <c r="G30" i="35"/>
  <c r="Z28" i="27"/>
  <c r="AA28" i="27"/>
  <c r="Y28" i="27"/>
  <c r="Z103" i="26"/>
  <c r="Z105" i="26" s="1"/>
  <c r="Y103" i="26"/>
  <c r="Y105" i="26" s="1"/>
  <c r="X103" i="26"/>
  <c r="X105" i="26" s="1"/>
  <c r="AT84" i="26"/>
  <c r="AS84" i="26"/>
  <c r="AR84" i="26"/>
  <c r="AQ84" i="26"/>
  <c r="AP84" i="26"/>
  <c r="AM84" i="26"/>
  <c r="AK84" i="26"/>
  <c r="AI84" i="26"/>
  <c r="AT18" i="26"/>
  <c r="AS18" i="26"/>
  <c r="AR18" i="26"/>
  <c r="AQ18" i="26"/>
  <c r="AP18" i="26"/>
  <c r="AM18" i="26"/>
  <c r="AK18" i="26"/>
  <c r="AI18" i="26"/>
  <c r="I38" i="27"/>
  <c r="J38" i="27"/>
  <c r="K38" i="27"/>
  <c r="L38" i="27"/>
  <c r="M38" i="27"/>
  <c r="N38" i="27"/>
  <c r="O38" i="27"/>
  <c r="P38" i="27"/>
  <c r="Q38" i="27"/>
  <c r="R38" i="27"/>
  <c r="I39" i="27"/>
  <c r="J39" i="27"/>
  <c r="K39" i="27"/>
  <c r="L39" i="27"/>
  <c r="M39" i="27"/>
  <c r="N39" i="27"/>
  <c r="O39" i="27"/>
  <c r="P39" i="27"/>
  <c r="Q39" i="27"/>
  <c r="R39" i="27"/>
  <c r="I40" i="27"/>
  <c r="J40" i="27"/>
  <c r="K40" i="27"/>
  <c r="L40" i="27"/>
  <c r="M40" i="27"/>
  <c r="N40" i="27"/>
  <c r="O40" i="27"/>
  <c r="P40" i="27"/>
  <c r="Q40" i="27"/>
  <c r="R40" i="27"/>
  <c r="I41" i="27"/>
  <c r="J41" i="27"/>
  <c r="K41" i="27"/>
  <c r="L41" i="27"/>
  <c r="M41" i="27"/>
  <c r="N41" i="27"/>
  <c r="O41" i="27"/>
  <c r="P41" i="27"/>
  <c r="Q41" i="27"/>
  <c r="R41" i="27"/>
  <c r="T41" i="27"/>
  <c r="S41" i="27"/>
  <c r="U41" i="27"/>
  <c r="V41" i="27"/>
  <c r="W41" i="27"/>
  <c r="X41" i="27"/>
  <c r="Y41" i="27"/>
  <c r="Z41" i="27"/>
  <c r="AA41" i="27"/>
  <c r="AB41" i="27"/>
  <c r="AC41" i="27"/>
  <c r="AE41" i="27"/>
  <c r="AF41" i="27"/>
  <c r="AG41" i="27"/>
  <c r="AH41" i="27"/>
  <c r="S40" i="27"/>
  <c r="T40" i="27"/>
  <c r="U40" i="27"/>
  <c r="V40" i="27"/>
  <c r="W40" i="27"/>
  <c r="X40" i="27"/>
  <c r="Y40" i="27"/>
  <c r="Z40" i="27"/>
  <c r="AA40" i="27"/>
  <c r="AB40" i="27"/>
  <c r="AC40" i="27"/>
  <c r="AE40" i="27"/>
  <c r="AF40" i="27"/>
  <c r="AG40" i="27"/>
  <c r="AH40" i="27"/>
  <c r="S39" i="27"/>
  <c r="T39" i="27"/>
  <c r="U39" i="27"/>
  <c r="V39" i="27"/>
  <c r="W39" i="27"/>
  <c r="X39" i="27"/>
  <c r="Y39" i="27"/>
  <c r="Z39" i="27"/>
  <c r="AA39" i="27"/>
  <c r="AB39" i="27"/>
  <c r="AC39" i="27"/>
  <c r="AE39" i="27"/>
  <c r="AF39" i="27"/>
  <c r="AG39" i="27"/>
  <c r="AH39" i="27"/>
  <c r="V38" i="27"/>
  <c r="W38" i="27"/>
  <c r="X38" i="27"/>
  <c r="Y38" i="27"/>
  <c r="Z38" i="27"/>
  <c r="AA38" i="27"/>
  <c r="AB38" i="27"/>
  <c r="AC38" i="27"/>
  <c r="AE38" i="27"/>
  <c r="AF38" i="27"/>
  <c r="AG38" i="27"/>
  <c r="AH38" i="27"/>
  <c r="S38" i="27"/>
  <c r="T38" i="27"/>
  <c r="U38" i="27"/>
  <c r="Q32" i="27"/>
  <c r="Q33" i="27" s="1"/>
  <c r="R32" i="27"/>
  <c r="R33" i="27" s="1"/>
  <c r="S32" i="27"/>
  <c r="S33" i="27" s="1"/>
  <c r="T32" i="27"/>
  <c r="T33" i="27" s="1"/>
  <c r="U32" i="27"/>
  <c r="U33" i="27" s="1"/>
  <c r="V32" i="27"/>
  <c r="V33" i="27" s="1"/>
  <c r="W32" i="27"/>
  <c r="W33" i="27" s="1"/>
  <c r="X32" i="27"/>
  <c r="X33" i="27" s="1"/>
  <c r="Y32" i="27"/>
  <c r="Y33" i="27" s="1"/>
  <c r="Z32" i="27"/>
  <c r="Z33" i="27" s="1"/>
  <c r="AA32" i="27"/>
  <c r="AA33" i="27" s="1"/>
  <c r="AB32" i="27"/>
  <c r="AB33" i="27" s="1"/>
  <c r="AC32" i="27"/>
  <c r="AC33" i="27" s="1"/>
  <c r="AE32" i="27"/>
  <c r="AE33" i="27" s="1"/>
  <c r="AF32" i="27"/>
  <c r="AF33" i="27" s="1"/>
  <c r="AG32" i="27"/>
  <c r="AG33" i="27" s="1"/>
  <c r="AH32" i="27"/>
  <c r="AH33" i="27" s="1"/>
  <c r="Q30" i="27"/>
  <c r="R30" i="27"/>
  <c r="S30" i="27"/>
  <c r="T30" i="27"/>
  <c r="U30" i="27"/>
  <c r="V30" i="27"/>
  <c r="W30" i="27"/>
  <c r="X30" i="27"/>
  <c r="Y30" i="27"/>
  <c r="Z30" i="27"/>
  <c r="AA30" i="27"/>
  <c r="AB30" i="27"/>
  <c r="AC30" i="27"/>
  <c r="AE30" i="27"/>
  <c r="AF30" i="27"/>
  <c r="S28" i="27"/>
  <c r="S29" i="27" s="1"/>
  <c r="R28" i="27"/>
  <c r="R29" i="27" s="1"/>
  <c r="Q28" i="27"/>
  <c r="Q29" i="27" s="1"/>
  <c r="Q31" i="27" s="1"/>
  <c r="T28" i="27"/>
  <c r="T29" i="27" s="1"/>
  <c r="U28" i="27"/>
  <c r="U29" i="27" s="1"/>
  <c r="V28" i="27"/>
  <c r="V29" i="27" s="1"/>
  <c r="W28" i="27"/>
  <c r="W29" i="27" s="1"/>
  <c r="X28" i="27"/>
  <c r="X29" i="27" s="1"/>
  <c r="Y29" i="27"/>
  <c r="Z29" i="27"/>
  <c r="AA29" i="27"/>
  <c r="AB28" i="27"/>
  <c r="AB29" i="27" s="1"/>
  <c r="AC28" i="27"/>
  <c r="AC29" i="27" s="1"/>
  <c r="AE28" i="27"/>
  <c r="AE29" i="27" s="1"/>
  <c r="AF28" i="27"/>
  <c r="AF29" i="27" s="1"/>
  <c r="AG28" i="27"/>
  <c r="AG29" i="27" s="1"/>
  <c r="AG31" i="27" s="1"/>
  <c r="AH28" i="27"/>
  <c r="R112" i="26"/>
  <c r="AR8" i="26"/>
  <c r="AK11" i="26"/>
  <c r="E103" i="26"/>
  <c r="E105" i="26" s="1"/>
  <c r="F103" i="26"/>
  <c r="F105" i="26" s="1"/>
  <c r="G103" i="26"/>
  <c r="G105" i="26" s="1"/>
  <c r="H103" i="26"/>
  <c r="H105" i="26" s="1"/>
  <c r="I103" i="26"/>
  <c r="I105" i="26" s="1"/>
  <c r="J103" i="26"/>
  <c r="J105" i="26" s="1"/>
  <c r="K103" i="26"/>
  <c r="K105" i="26" s="1"/>
  <c r="L103" i="26"/>
  <c r="L105" i="26" s="1"/>
  <c r="M103" i="26"/>
  <c r="M105" i="26" s="1"/>
  <c r="N103" i="26"/>
  <c r="N105" i="26" s="1"/>
  <c r="O103" i="26"/>
  <c r="O105" i="26" s="1"/>
  <c r="P103" i="26"/>
  <c r="P105" i="26" s="1"/>
  <c r="Q103" i="26"/>
  <c r="Q105" i="26" s="1"/>
  <c r="S103" i="26"/>
  <c r="S105" i="26" s="1"/>
  <c r="T103" i="26"/>
  <c r="T105" i="26" s="1"/>
  <c r="U103" i="26"/>
  <c r="U105" i="26" s="1"/>
  <c r="V103" i="26"/>
  <c r="V105" i="26" s="1"/>
  <c r="W103" i="26"/>
  <c r="W105" i="26" s="1"/>
  <c r="AB115" i="26"/>
  <c r="AC115" i="26"/>
  <c r="AD115" i="26"/>
  <c r="AE115" i="26"/>
  <c r="AG115" i="26"/>
  <c r="AH115" i="26"/>
  <c r="D115" i="26"/>
  <c r="AO41" i="25"/>
  <c r="M29" i="31"/>
  <c r="L29" i="31"/>
  <c r="W4" i="31"/>
  <c r="W5" i="31"/>
  <c r="W6" i="31"/>
  <c r="W7" i="31"/>
  <c r="W8" i="31"/>
  <c r="W9" i="31"/>
  <c r="W10" i="31"/>
  <c r="W11" i="31"/>
  <c r="W12" i="31"/>
  <c r="W13" i="31"/>
  <c r="W14" i="31"/>
  <c r="W15" i="31"/>
  <c r="W16" i="31"/>
  <c r="W17" i="31"/>
  <c r="W18" i="31"/>
  <c r="W19" i="31"/>
  <c r="W20" i="31"/>
  <c r="W21" i="31"/>
  <c r="W22" i="31"/>
  <c r="W23" i="31"/>
  <c r="W24" i="31"/>
  <c r="W25" i="31"/>
  <c r="W26" i="31"/>
  <c r="W3" i="31"/>
  <c r="U4" i="31"/>
  <c r="V4" i="31"/>
  <c r="U5" i="31"/>
  <c r="V5" i="31"/>
  <c r="U6" i="31"/>
  <c r="V6" i="31"/>
  <c r="U7" i="31"/>
  <c r="V7" i="31"/>
  <c r="U8" i="31"/>
  <c r="V8" i="31"/>
  <c r="U9" i="31"/>
  <c r="V9" i="31"/>
  <c r="U10" i="31"/>
  <c r="V10" i="31"/>
  <c r="U11" i="31"/>
  <c r="V11" i="31"/>
  <c r="U12" i="31"/>
  <c r="V12" i="31"/>
  <c r="U13" i="31"/>
  <c r="V13" i="31"/>
  <c r="U14" i="31"/>
  <c r="V14" i="31"/>
  <c r="U15" i="31"/>
  <c r="V15" i="31"/>
  <c r="U16" i="31"/>
  <c r="V16" i="31"/>
  <c r="U17" i="31"/>
  <c r="V17" i="31"/>
  <c r="U18" i="31"/>
  <c r="V18" i="31"/>
  <c r="U19" i="31"/>
  <c r="V19" i="31"/>
  <c r="U20" i="31"/>
  <c r="V20" i="31"/>
  <c r="U21" i="31"/>
  <c r="V21" i="31"/>
  <c r="U22" i="31"/>
  <c r="V22" i="31"/>
  <c r="U23" i="31"/>
  <c r="V23" i="31"/>
  <c r="U24" i="31"/>
  <c r="V24" i="31"/>
  <c r="U25" i="31"/>
  <c r="V25" i="31"/>
  <c r="U26" i="31"/>
  <c r="V26" i="31"/>
  <c r="V3" i="31"/>
  <c r="U3" i="31"/>
  <c r="T22" i="31"/>
  <c r="T23" i="31"/>
  <c r="T24" i="31"/>
  <c r="T25" i="31"/>
  <c r="T26" i="31"/>
  <c r="T4" i="31"/>
  <c r="T5" i="31"/>
  <c r="T6" i="31"/>
  <c r="T7" i="31"/>
  <c r="T8" i="31"/>
  <c r="T9" i="31"/>
  <c r="T10" i="31"/>
  <c r="T11" i="31"/>
  <c r="T12" i="31"/>
  <c r="T13" i="31"/>
  <c r="T14" i="31"/>
  <c r="T15" i="31"/>
  <c r="T16" i="31"/>
  <c r="T17" i="31"/>
  <c r="T18" i="31"/>
  <c r="T19" i="31"/>
  <c r="T20" i="31"/>
  <c r="T21" i="31"/>
  <c r="T3" i="31"/>
  <c r="S4" i="31"/>
  <c r="S5" i="31"/>
  <c r="S6" i="31"/>
  <c r="S7" i="31"/>
  <c r="S8" i="31"/>
  <c r="S9" i="31"/>
  <c r="S10" i="31"/>
  <c r="S11" i="31"/>
  <c r="S12" i="31"/>
  <c r="S13" i="31"/>
  <c r="S14" i="31"/>
  <c r="S15" i="31"/>
  <c r="S16" i="31"/>
  <c r="S17" i="31"/>
  <c r="S18" i="31"/>
  <c r="S19" i="31"/>
  <c r="S20" i="31"/>
  <c r="S21" i="31"/>
  <c r="S22" i="31"/>
  <c r="S23" i="31"/>
  <c r="S24" i="31"/>
  <c r="S25" i="31"/>
  <c r="S26" i="31"/>
  <c r="S3" i="31"/>
  <c r="R26" i="31"/>
  <c r="O26" i="31"/>
  <c r="M26" i="31"/>
  <c r="K26" i="31"/>
  <c r="L26" i="31" s="1"/>
  <c r="N26" i="31" s="1"/>
  <c r="R25" i="31"/>
  <c r="O25" i="31"/>
  <c r="M25" i="31"/>
  <c r="K25" i="31"/>
  <c r="L25" i="31" s="1"/>
  <c r="N25" i="31" s="1"/>
  <c r="R24" i="31"/>
  <c r="O24" i="31"/>
  <c r="M24" i="31"/>
  <c r="K24" i="31"/>
  <c r="L24" i="31" s="1"/>
  <c r="N24" i="31" s="1"/>
  <c r="R23" i="31"/>
  <c r="O23" i="31"/>
  <c r="M23" i="31"/>
  <c r="K23" i="31"/>
  <c r="L23" i="31" s="1"/>
  <c r="N23" i="31" s="1"/>
  <c r="R22" i="31"/>
  <c r="O22" i="31"/>
  <c r="M22" i="31"/>
  <c r="K22" i="31"/>
  <c r="L22" i="31" s="1"/>
  <c r="N22" i="31" s="1"/>
  <c r="R21" i="31"/>
  <c r="O21" i="31"/>
  <c r="M21" i="31"/>
  <c r="K21" i="31"/>
  <c r="L21" i="31" s="1"/>
  <c r="N21" i="31" s="1"/>
  <c r="R20" i="31"/>
  <c r="O20" i="31"/>
  <c r="M20" i="31"/>
  <c r="K20" i="31"/>
  <c r="L20" i="31" s="1"/>
  <c r="N20" i="31" s="1"/>
  <c r="R19" i="31"/>
  <c r="O19" i="31"/>
  <c r="M19" i="31"/>
  <c r="K19" i="31"/>
  <c r="L19" i="31" s="1"/>
  <c r="N19" i="31" s="1"/>
  <c r="R18" i="31"/>
  <c r="O18" i="31"/>
  <c r="M18" i="31"/>
  <c r="K18" i="31"/>
  <c r="L18" i="31" s="1"/>
  <c r="N18" i="31" s="1"/>
  <c r="R17" i="31"/>
  <c r="O17" i="31"/>
  <c r="M17" i="31"/>
  <c r="K17" i="31"/>
  <c r="L17" i="31" s="1"/>
  <c r="N17" i="31" s="1"/>
  <c r="R16" i="31"/>
  <c r="O16" i="31"/>
  <c r="M16" i="31"/>
  <c r="K16" i="31"/>
  <c r="L16" i="31" s="1"/>
  <c r="N16" i="31" s="1"/>
  <c r="R15" i="31"/>
  <c r="O15" i="31"/>
  <c r="M15" i="31"/>
  <c r="K15" i="31"/>
  <c r="L15" i="31" s="1"/>
  <c r="N15" i="31" s="1"/>
  <c r="R14" i="31"/>
  <c r="O14" i="31"/>
  <c r="M14" i="31"/>
  <c r="K14" i="31"/>
  <c r="L14" i="31" s="1"/>
  <c r="N14" i="31" s="1"/>
  <c r="R13" i="31"/>
  <c r="O13" i="31"/>
  <c r="M13" i="31"/>
  <c r="K13" i="31"/>
  <c r="L13" i="31" s="1"/>
  <c r="N13" i="31" s="1"/>
  <c r="R12" i="31"/>
  <c r="O12" i="31"/>
  <c r="M12" i="31"/>
  <c r="K12" i="31"/>
  <c r="L12" i="31" s="1"/>
  <c r="N12" i="31" s="1"/>
  <c r="R11" i="31"/>
  <c r="O11" i="31"/>
  <c r="M11" i="31"/>
  <c r="K11" i="31"/>
  <c r="L11" i="31" s="1"/>
  <c r="N11" i="31" s="1"/>
  <c r="R10" i="31"/>
  <c r="O10" i="31"/>
  <c r="M10" i="31"/>
  <c r="K10" i="31"/>
  <c r="L10" i="31" s="1"/>
  <c r="N10" i="31" s="1"/>
  <c r="R9" i="31"/>
  <c r="O9" i="31"/>
  <c r="M9" i="31"/>
  <c r="K9" i="31"/>
  <c r="L9" i="31" s="1"/>
  <c r="N9" i="31" s="1"/>
  <c r="R8" i="31"/>
  <c r="O8" i="31"/>
  <c r="M8" i="31"/>
  <c r="K8" i="31"/>
  <c r="L8" i="31" s="1"/>
  <c r="N8" i="31" s="1"/>
  <c r="R7" i="31"/>
  <c r="O7" i="31"/>
  <c r="M7" i="31"/>
  <c r="K7" i="31"/>
  <c r="L7" i="31" s="1"/>
  <c r="N7" i="31" s="1"/>
  <c r="R6" i="31"/>
  <c r="O6" i="31"/>
  <c r="M6" i="31"/>
  <c r="K6" i="31"/>
  <c r="L6" i="31" s="1"/>
  <c r="N6" i="31" s="1"/>
  <c r="R5" i="31"/>
  <c r="O5" i="31"/>
  <c r="M5" i="31"/>
  <c r="K5" i="31"/>
  <c r="L5" i="31" s="1"/>
  <c r="N5" i="31" s="1"/>
  <c r="R4" i="31"/>
  <c r="O4" i="31"/>
  <c r="M4" i="31"/>
  <c r="K4" i="31"/>
  <c r="L4" i="31" s="1"/>
  <c r="N4" i="31" s="1"/>
  <c r="R3" i="31"/>
  <c r="O3" i="31"/>
  <c r="M3" i="31"/>
  <c r="M27" i="31" s="1"/>
  <c r="K3" i="31"/>
  <c r="L3" i="31" s="1"/>
  <c r="K29" i="30"/>
  <c r="J29" i="30"/>
  <c r="O27" i="30"/>
  <c r="N27" i="30"/>
  <c r="K27" i="30"/>
  <c r="L27" i="30"/>
  <c r="J27" i="30"/>
  <c r="I4" i="30"/>
  <c r="K4" i="30"/>
  <c r="J4" i="30" s="1"/>
  <c r="L4" i="30"/>
  <c r="R4" i="30"/>
  <c r="Q4" i="30" s="1"/>
  <c r="S4" i="30"/>
  <c r="T4" i="30"/>
  <c r="U4" i="30"/>
  <c r="I5" i="30"/>
  <c r="K5" i="30"/>
  <c r="J5" i="30" s="1"/>
  <c r="L5" i="30"/>
  <c r="R5" i="30"/>
  <c r="Q5" i="30" s="1"/>
  <c r="S5" i="30"/>
  <c r="T5" i="30"/>
  <c r="U5" i="30"/>
  <c r="I6" i="30"/>
  <c r="K6" i="30"/>
  <c r="J6" i="30" s="1"/>
  <c r="L6" i="30"/>
  <c r="R6" i="30"/>
  <c r="Q6" i="30" s="1"/>
  <c r="S6" i="30"/>
  <c r="T6" i="30"/>
  <c r="U6" i="30"/>
  <c r="I7" i="30"/>
  <c r="K7" i="30"/>
  <c r="J7" i="30" s="1"/>
  <c r="L7" i="30"/>
  <c r="R7" i="30"/>
  <c r="Q7" i="30" s="1"/>
  <c r="S7" i="30"/>
  <c r="T7" i="30"/>
  <c r="U7" i="30"/>
  <c r="I8" i="30"/>
  <c r="K8" i="30"/>
  <c r="J8" i="30" s="1"/>
  <c r="L8" i="30"/>
  <c r="R8" i="30"/>
  <c r="Q8" i="30" s="1"/>
  <c r="S8" i="30"/>
  <c r="T8" i="30"/>
  <c r="U8" i="30"/>
  <c r="I9" i="30"/>
  <c r="K9" i="30"/>
  <c r="J9" i="30" s="1"/>
  <c r="L9" i="30"/>
  <c r="R9" i="30"/>
  <c r="Q9" i="30" s="1"/>
  <c r="S9" i="30"/>
  <c r="T9" i="30"/>
  <c r="U9" i="30"/>
  <c r="I10" i="30"/>
  <c r="K10" i="30"/>
  <c r="J10" i="30" s="1"/>
  <c r="L10" i="30"/>
  <c r="R10" i="30"/>
  <c r="Q10" i="30" s="1"/>
  <c r="S10" i="30"/>
  <c r="T10" i="30"/>
  <c r="U10" i="30"/>
  <c r="I11" i="30"/>
  <c r="K11" i="30"/>
  <c r="J11" i="30" s="1"/>
  <c r="L11" i="30"/>
  <c r="R11" i="30"/>
  <c r="Q11" i="30" s="1"/>
  <c r="S11" i="30"/>
  <c r="T11" i="30"/>
  <c r="U11" i="30"/>
  <c r="I12" i="30"/>
  <c r="K12" i="30"/>
  <c r="J12" i="30" s="1"/>
  <c r="L12" i="30"/>
  <c r="R12" i="30"/>
  <c r="Q12" i="30" s="1"/>
  <c r="S12" i="30"/>
  <c r="T12" i="30"/>
  <c r="U12" i="30"/>
  <c r="I13" i="30"/>
  <c r="K13" i="30"/>
  <c r="J13" i="30" s="1"/>
  <c r="L13" i="30"/>
  <c r="R13" i="30"/>
  <c r="Q13" i="30" s="1"/>
  <c r="S13" i="30"/>
  <c r="T13" i="30"/>
  <c r="U13" i="30"/>
  <c r="I14" i="30"/>
  <c r="K14" i="30"/>
  <c r="J14" i="30" s="1"/>
  <c r="L14" i="30"/>
  <c r="R14" i="30"/>
  <c r="Q14" i="30" s="1"/>
  <c r="S14" i="30"/>
  <c r="T14" i="30"/>
  <c r="U14" i="30"/>
  <c r="I15" i="30"/>
  <c r="K15" i="30"/>
  <c r="J15" i="30" s="1"/>
  <c r="L15" i="30"/>
  <c r="R15" i="30"/>
  <c r="Q15" i="30" s="1"/>
  <c r="S15" i="30"/>
  <c r="T15" i="30"/>
  <c r="U15" i="30"/>
  <c r="I16" i="30"/>
  <c r="K16" i="30"/>
  <c r="J16" i="30" s="1"/>
  <c r="L16" i="30"/>
  <c r="R16" i="30"/>
  <c r="Q16" i="30" s="1"/>
  <c r="S16" i="30"/>
  <c r="T16" i="30"/>
  <c r="U16" i="30"/>
  <c r="I17" i="30"/>
  <c r="K17" i="30"/>
  <c r="J17" i="30" s="1"/>
  <c r="L17" i="30"/>
  <c r="R17" i="30"/>
  <c r="Q17" i="30" s="1"/>
  <c r="S17" i="30"/>
  <c r="T17" i="30"/>
  <c r="U17" i="30"/>
  <c r="I18" i="30"/>
  <c r="K18" i="30"/>
  <c r="J18" i="30" s="1"/>
  <c r="L18" i="30"/>
  <c r="R18" i="30"/>
  <c r="Q18" i="30" s="1"/>
  <c r="S18" i="30"/>
  <c r="T18" i="30"/>
  <c r="U18" i="30"/>
  <c r="I19" i="30"/>
  <c r="K19" i="30"/>
  <c r="J19" i="30" s="1"/>
  <c r="L19" i="30"/>
  <c r="R19" i="30"/>
  <c r="Q19" i="30" s="1"/>
  <c r="S19" i="30"/>
  <c r="T19" i="30"/>
  <c r="U19" i="30"/>
  <c r="I20" i="30"/>
  <c r="K20" i="30"/>
  <c r="J20" i="30" s="1"/>
  <c r="L20" i="30"/>
  <c r="R20" i="30"/>
  <c r="Q20" i="30" s="1"/>
  <c r="S20" i="30"/>
  <c r="T20" i="30"/>
  <c r="U20" i="30"/>
  <c r="I21" i="30"/>
  <c r="K21" i="30"/>
  <c r="J21" i="30" s="1"/>
  <c r="L21" i="30"/>
  <c r="R21" i="30"/>
  <c r="Q21" i="30" s="1"/>
  <c r="S21" i="30"/>
  <c r="T21" i="30"/>
  <c r="U21" i="30"/>
  <c r="I22" i="30"/>
  <c r="K22" i="30"/>
  <c r="J22" i="30" s="1"/>
  <c r="L22" i="30"/>
  <c r="R22" i="30"/>
  <c r="Q22" i="30" s="1"/>
  <c r="S22" i="30"/>
  <c r="T22" i="30"/>
  <c r="U22" i="30"/>
  <c r="I23" i="30"/>
  <c r="K23" i="30"/>
  <c r="J23" i="30" s="1"/>
  <c r="L23" i="30"/>
  <c r="R23" i="30"/>
  <c r="Q23" i="30" s="1"/>
  <c r="S23" i="30"/>
  <c r="T23" i="30"/>
  <c r="U23" i="30"/>
  <c r="I24" i="30"/>
  <c r="K24" i="30"/>
  <c r="J24" i="30" s="1"/>
  <c r="L24" i="30"/>
  <c r="R24" i="30"/>
  <c r="Q24" i="30" s="1"/>
  <c r="S24" i="30"/>
  <c r="T24" i="30"/>
  <c r="U24" i="30"/>
  <c r="I25" i="30"/>
  <c r="K25" i="30"/>
  <c r="J25" i="30" s="1"/>
  <c r="L25" i="30"/>
  <c r="R25" i="30"/>
  <c r="Q25" i="30" s="1"/>
  <c r="S25" i="30"/>
  <c r="T25" i="30"/>
  <c r="U25" i="30"/>
  <c r="I26" i="30"/>
  <c r="K26" i="30"/>
  <c r="J26" i="30" s="1"/>
  <c r="L26" i="30"/>
  <c r="R26" i="30"/>
  <c r="Q26" i="30" s="1"/>
  <c r="S26" i="30"/>
  <c r="T26" i="30"/>
  <c r="U26" i="30"/>
  <c r="Q3" i="30"/>
  <c r="U3" i="30"/>
  <c r="T3" i="30"/>
  <c r="S3" i="30"/>
  <c r="R3" i="30"/>
  <c r="K3" i="30"/>
  <c r="I3" i="30"/>
  <c r="P3" i="30"/>
  <c r="M3" i="30"/>
  <c r="J3" i="30"/>
  <c r="L3" i="30" s="1"/>
  <c r="AI4" i="27"/>
  <c r="AK4" i="27"/>
  <c r="AJ4" i="27" s="1"/>
  <c r="AL4" i="27"/>
  <c r="AR4" i="27"/>
  <c r="AQ4" i="27" s="1"/>
  <c r="AS4" i="27"/>
  <c r="AT4" i="27"/>
  <c r="AU4" i="27"/>
  <c r="AI5" i="27"/>
  <c r="AK5" i="27"/>
  <c r="AJ5" i="27" s="1"/>
  <c r="AL5" i="27"/>
  <c r="AR5" i="27"/>
  <c r="AQ5" i="27" s="1"/>
  <c r="AS5" i="27"/>
  <c r="AT5" i="27"/>
  <c r="AU5" i="27"/>
  <c r="AI6" i="27"/>
  <c r="AK6" i="27"/>
  <c r="AJ6" i="27" s="1"/>
  <c r="AL6" i="27"/>
  <c r="AR6" i="27"/>
  <c r="AQ6" i="27" s="1"/>
  <c r="AS6" i="27"/>
  <c r="AT6" i="27"/>
  <c r="AU6" i="27"/>
  <c r="AI7" i="27"/>
  <c r="AK7" i="27"/>
  <c r="AJ7" i="27" s="1"/>
  <c r="AL7" i="27"/>
  <c r="AR7" i="27"/>
  <c r="AQ7" i="27" s="1"/>
  <c r="AS7" i="27"/>
  <c r="AT7" i="27"/>
  <c r="AU7" i="27"/>
  <c r="AI8" i="27"/>
  <c r="AK8" i="27"/>
  <c r="AJ8" i="27" s="1"/>
  <c r="AL8" i="27"/>
  <c r="AR8" i="27"/>
  <c r="AQ8" i="27" s="1"/>
  <c r="AS8" i="27"/>
  <c r="AT8" i="27"/>
  <c r="AU8" i="27"/>
  <c r="AI9" i="27"/>
  <c r="AK9" i="27"/>
  <c r="AJ9" i="27" s="1"/>
  <c r="AL9" i="27"/>
  <c r="AR9" i="27"/>
  <c r="AQ9" i="27" s="1"/>
  <c r="AS9" i="27"/>
  <c r="AT9" i="27"/>
  <c r="AU9" i="27"/>
  <c r="AI10" i="27"/>
  <c r="AK10" i="27"/>
  <c r="AJ10" i="27" s="1"/>
  <c r="AL10" i="27"/>
  <c r="AR10" i="27"/>
  <c r="AQ10" i="27" s="1"/>
  <c r="AS10" i="27"/>
  <c r="AT10" i="27"/>
  <c r="AU10" i="27"/>
  <c r="AI11" i="27"/>
  <c r="AK11" i="27"/>
  <c r="AJ11" i="27" s="1"/>
  <c r="AL11" i="27"/>
  <c r="AR11" i="27"/>
  <c r="AQ11" i="27" s="1"/>
  <c r="AS11" i="27"/>
  <c r="AT11" i="27"/>
  <c r="AU11" i="27"/>
  <c r="AI12" i="27"/>
  <c r="AK12" i="27"/>
  <c r="AJ12" i="27" s="1"/>
  <c r="AL12" i="27"/>
  <c r="AR12" i="27"/>
  <c r="AQ12" i="27" s="1"/>
  <c r="AS12" i="27"/>
  <c r="AT12" i="27"/>
  <c r="AU12" i="27"/>
  <c r="AI13" i="27"/>
  <c r="AK13" i="27"/>
  <c r="AJ13" i="27" s="1"/>
  <c r="AL13" i="27"/>
  <c r="AR13" i="27"/>
  <c r="AQ13" i="27" s="1"/>
  <c r="AS13" i="27"/>
  <c r="AT13" i="27"/>
  <c r="AU13" i="27"/>
  <c r="AI14" i="27"/>
  <c r="AK14" i="27"/>
  <c r="AJ14" i="27" s="1"/>
  <c r="AL14" i="27"/>
  <c r="AR14" i="27"/>
  <c r="AQ14" i="27" s="1"/>
  <c r="AS14" i="27"/>
  <c r="AT14" i="27"/>
  <c r="AU14" i="27"/>
  <c r="AI15" i="27"/>
  <c r="AK15" i="27"/>
  <c r="AJ15" i="27" s="1"/>
  <c r="AL15" i="27"/>
  <c r="AR15" i="27"/>
  <c r="AQ15" i="27" s="1"/>
  <c r="AS15" i="27"/>
  <c r="AT15" i="27"/>
  <c r="AU15" i="27"/>
  <c r="AI16" i="27"/>
  <c r="AK16" i="27"/>
  <c r="AJ16" i="27" s="1"/>
  <c r="AL16" i="27"/>
  <c r="AR16" i="27"/>
  <c r="AQ16" i="27" s="1"/>
  <c r="AS16" i="27"/>
  <c r="AT16" i="27"/>
  <c r="AU16" i="27"/>
  <c r="AI17" i="27"/>
  <c r="AK17" i="27"/>
  <c r="AJ17" i="27" s="1"/>
  <c r="AL17" i="27"/>
  <c r="AR17" i="27"/>
  <c r="AQ17" i="27" s="1"/>
  <c r="AS17" i="27"/>
  <c r="AT17" i="27"/>
  <c r="AU17" i="27"/>
  <c r="AI18" i="27"/>
  <c r="AK18" i="27"/>
  <c r="AJ18" i="27" s="1"/>
  <c r="AL18" i="27"/>
  <c r="AR18" i="27"/>
  <c r="AQ18" i="27" s="1"/>
  <c r="AS18" i="27"/>
  <c r="AT18" i="27"/>
  <c r="AU18" i="27"/>
  <c r="AI19" i="27"/>
  <c r="AK19" i="27"/>
  <c r="AJ19" i="27" s="1"/>
  <c r="AL19" i="27"/>
  <c r="AR19" i="27"/>
  <c r="AQ19" i="27" s="1"/>
  <c r="AS19" i="27"/>
  <c r="AT19" i="27"/>
  <c r="AU19" i="27"/>
  <c r="AI20" i="27"/>
  <c r="AK20" i="27"/>
  <c r="AJ20" i="27" s="1"/>
  <c r="AL20" i="27"/>
  <c r="AR20" i="27"/>
  <c r="AQ20" i="27" s="1"/>
  <c r="AS20" i="27"/>
  <c r="AT20" i="27"/>
  <c r="AU20" i="27"/>
  <c r="AI21" i="27"/>
  <c r="AK21" i="27"/>
  <c r="AJ21" i="27" s="1"/>
  <c r="AL21" i="27"/>
  <c r="AR21" i="27"/>
  <c r="AQ21" i="27" s="1"/>
  <c r="AS21" i="27"/>
  <c r="AT21" i="27"/>
  <c r="AU21" i="27"/>
  <c r="AI22" i="27"/>
  <c r="AK22" i="27"/>
  <c r="AJ22" i="27" s="1"/>
  <c r="AL22" i="27"/>
  <c r="AR22" i="27"/>
  <c r="AQ22" i="27" s="1"/>
  <c r="AS22" i="27"/>
  <c r="AT22" i="27"/>
  <c r="AU22" i="27"/>
  <c r="AI23" i="27"/>
  <c r="AK23" i="27"/>
  <c r="AJ23" i="27" s="1"/>
  <c r="AL23" i="27"/>
  <c r="AR23" i="27"/>
  <c r="AQ23" i="27" s="1"/>
  <c r="AS23" i="27"/>
  <c r="AT23" i="27"/>
  <c r="AU23" i="27"/>
  <c r="AI24" i="27"/>
  <c r="AK24" i="27"/>
  <c r="AJ24" i="27" s="1"/>
  <c r="AL24" i="27"/>
  <c r="AR24" i="27"/>
  <c r="AQ24" i="27" s="1"/>
  <c r="AS24" i="27"/>
  <c r="AT24" i="27"/>
  <c r="AU24" i="27"/>
  <c r="AI25" i="27"/>
  <c r="AI30" i="27" s="1"/>
  <c r="AK25" i="27"/>
  <c r="AJ25" i="27" s="1"/>
  <c r="AL25" i="27"/>
  <c r="AR25" i="27"/>
  <c r="AQ25" i="27" s="1"/>
  <c r="AS25" i="27"/>
  <c r="AT25" i="27"/>
  <c r="AU25" i="27"/>
  <c r="AI26" i="27"/>
  <c r="AK26" i="27"/>
  <c r="AJ26" i="27" s="1"/>
  <c r="AL26" i="27"/>
  <c r="AR26" i="27"/>
  <c r="AQ26" i="27" s="1"/>
  <c r="AS26" i="27"/>
  <c r="AT26" i="27"/>
  <c r="AU26" i="27"/>
  <c r="I32" i="27"/>
  <c r="J32" i="27"/>
  <c r="K32" i="27"/>
  <c r="L32" i="27"/>
  <c r="M32" i="27"/>
  <c r="N32" i="27"/>
  <c r="O32" i="27"/>
  <c r="P32" i="27"/>
  <c r="I30" i="27"/>
  <c r="J30" i="27"/>
  <c r="K30" i="27"/>
  <c r="L30" i="27"/>
  <c r="M30" i="27"/>
  <c r="N30" i="27"/>
  <c r="O30" i="27"/>
  <c r="P30" i="27"/>
  <c r="I28" i="27"/>
  <c r="I29" i="27" s="1"/>
  <c r="I31" i="27" s="1"/>
  <c r="J28" i="27"/>
  <c r="J29" i="27" s="1"/>
  <c r="J31" i="27" s="1"/>
  <c r="K28" i="27"/>
  <c r="K29" i="27" s="1"/>
  <c r="K31" i="27" s="1"/>
  <c r="L28" i="27"/>
  <c r="L29" i="27" s="1"/>
  <c r="L31" i="27" s="1"/>
  <c r="M28" i="27"/>
  <c r="M29" i="27" s="1"/>
  <c r="M31" i="27" s="1"/>
  <c r="N28" i="27"/>
  <c r="N29" i="27" s="1"/>
  <c r="N31" i="27" s="1"/>
  <c r="O28" i="27"/>
  <c r="O29" i="27" s="1"/>
  <c r="O31" i="27" s="1"/>
  <c r="P28" i="27"/>
  <c r="P29" i="27" s="1"/>
  <c r="P31" i="27" s="1"/>
  <c r="AT3" i="27"/>
  <c r="AS3" i="27"/>
  <c r="AR3" i="27"/>
  <c r="AQ3" i="27"/>
  <c r="AP3" i="27"/>
  <c r="AM3" i="27"/>
  <c r="AK3" i="27"/>
  <c r="AI3" i="27"/>
  <c r="E114" i="26"/>
  <c r="F114" i="26"/>
  <c r="G114" i="26"/>
  <c r="H114" i="26"/>
  <c r="I114" i="26"/>
  <c r="J114" i="26"/>
  <c r="K114" i="26"/>
  <c r="L114" i="26"/>
  <c r="M114" i="26"/>
  <c r="N114" i="26"/>
  <c r="O114" i="26"/>
  <c r="P114" i="26"/>
  <c r="Q114" i="26"/>
  <c r="R114" i="26"/>
  <c r="S114" i="26"/>
  <c r="T114" i="26"/>
  <c r="U114" i="26"/>
  <c r="V114" i="26"/>
  <c r="W114" i="26"/>
  <c r="X114" i="26"/>
  <c r="Y114" i="26"/>
  <c r="Z114" i="26"/>
  <c r="E113" i="26"/>
  <c r="F113" i="26"/>
  <c r="G113" i="26"/>
  <c r="H113" i="26"/>
  <c r="I113" i="26"/>
  <c r="J113" i="26"/>
  <c r="K113" i="26"/>
  <c r="L113" i="26"/>
  <c r="M113" i="26"/>
  <c r="N113" i="26"/>
  <c r="O113" i="26"/>
  <c r="P113" i="26"/>
  <c r="Q113" i="26"/>
  <c r="R113" i="26"/>
  <c r="S113" i="26"/>
  <c r="T113" i="26"/>
  <c r="U113" i="26"/>
  <c r="V113" i="26"/>
  <c r="W113" i="26"/>
  <c r="X113" i="26"/>
  <c r="Y113" i="26"/>
  <c r="Z113" i="26"/>
  <c r="D114" i="26"/>
  <c r="D113" i="26"/>
  <c r="Z112" i="26"/>
  <c r="Z115" i="26"/>
  <c r="Y112" i="26"/>
  <c r="Y115" i="26"/>
  <c r="X112" i="26"/>
  <c r="X115" i="26"/>
  <c r="W112" i="26"/>
  <c r="W115" i="26"/>
  <c r="V112" i="26"/>
  <c r="V115" i="26"/>
  <c r="U112" i="26"/>
  <c r="U115" i="26"/>
  <c r="T112" i="26"/>
  <c r="T115" i="26"/>
  <c r="S112" i="26"/>
  <c r="S115" i="26"/>
  <c r="Q112" i="26"/>
  <c r="Q115" i="26"/>
  <c r="P112" i="26"/>
  <c r="P115" i="26"/>
  <c r="O112" i="26"/>
  <c r="O115" i="26"/>
  <c r="N112" i="26"/>
  <c r="N115" i="26"/>
  <c r="M112" i="26"/>
  <c r="M115" i="26"/>
  <c r="L112" i="26"/>
  <c r="L115" i="26"/>
  <c r="K112" i="26"/>
  <c r="K115" i="26"/>
  <c r="J112" i="26"/>
  <c r="J115" i="26"/>
  <c r="I112" i="26"/>
  <c r="I115" i="26"/>
  <c r="H112" i="26"/>
  <c r="H115" i="26"/>
  <c r="G112" i="26"/>
  <c r="G115" i="26"/>
  <c r="F112" i="26"/>
  <c r="F115" i="26"/>
  <c r="E112" i="26"/>
  <c r="E115" i="26"/>
  <c r="D112" i="26"/>
  <c r="AR4" i="26"/>
  <c r="AT3" i="26"/>
  <c r="AS3" i="26"/>
  <c r="AR3" i="26"/>
  <c r="AQ3" i="26"/>
  <c r="AM3" i="26" s="1"/>
  <c r="AP3" i="26"/>
  <c r="AK3" i="26"/>
  <c r="AI3" i="26"/>
  <c r="AI5" i="26"/>
  <c r="AI29" i="26"/>
  <c r="AI66" i="26"/>
  <c r="AI4" i="26"/>
  <c r="AI6" i="26"/>
  <c r="AI7" i="26"/>
  <c r="AI8" i="26"/>
  <c r="AI9" i="26"/>
  <c r="AI10" i="26"/>
  <c r="AI11" i="26"/>
  <c r="AI12" i="26"/>
  <c r="AI13" i="26"/>
  <c r="AI14" i="26"/>
  <c r="AI15" i="26"/>
  <c r="AI16" i="26"/>
  <c r="AI17" i="26"/>
  <c r="AI28" i="26"/>
  <c r="AI19" i="26"/>
  <c r="AI20" i="26"/>
  <c r="AI22" i="26"/>
  <c r="AI23" i="26"/>
  <c r="AI24" i="26"/>
  <c r="AI25" i="26"/>
  <c r="AI26" i="26"/>
  <c r="AI27" i="26"/>
  <c r="AI30" i="26"/>
  <c r="AI31" i="26"/>
  <c r="AI32" i="26"/>
  <c r="AI33" i="26"/>
  <c r="AI34" i="26"/>
  <c r="AI35" i="26"/>
  <c r="AI36" i="26"/>
  <c r="AI42" i="26"/>
  <c r="AI37" i="26"/>
  <c r="AI38" i="26"/>
  <c r="AI39" i="26"/>
  <c r="AI40" i="26"/>
  <c r="AI41" i="26"/>
  <c r="AI43" i="26"/>
  <c r="AI44" i="26"/>
  <c r="AI45" i="26"/>
  <c r="AI46" i="26"/>
  <c r="AI47" i="26"/>
  <c r="AI48" i="26"/>
  <c r="AI49" i="26"/>
  <c r="AI50" i="26"/>
  <c r="AI51" i="26"/>
  <c r="AI52" i="26"/>
  <c r="AI53" i="26"/>
  <c r="AI54" i="26"/>
  <c r="AI55" i="26"/>
  <c r="AI56" i="26"/>
  <c r="AI57" i="26"/>
  <c r="AI68" i="26"/>
  <c r="AI58" i="26"/>
  <c r="AI59" i="26"/>
  <c r="AI60" i="26"/>
  <c r="AI61" i="26"/>
  <c r="AI62" i="26"/>
  <c r="AI63" i="26"/>
  <c r="AI64" i="26"/>
  <c r="AI65" i="26"/>
  <c r="AI67" i="26"/>
  <c r="AI69" i="26"/>
  <c r="AI70" i="26"/>
  <c r="AI71" i="26"/>
  <c r="AI72" i="26"/>
  <c r="AI79" i="26"/>
  <c r="AI73" i="26"/>
  <c r="AI74" i="26"/>
  <c r="AI75" i="26"/>
  <c r="AI76" i="26"/>
  <c r="AI77" i="26"/>
  <c r="AI78" i="26"/>
  <c r="AI80" i="26"/>
  <c r="AI81" i="26"/>
  <c r="AI82" i="26"/>
  <c r="AI83" i="26"/>
  <c r="AI85" i="26"/>
  <c r="AI86" i="26"/>
  <c r="AI87" i="26"/>
  <c r="AI88" i="26"/>
  <c r="AI89" i="26"/>
  <c r="AI90" i="26"/>
  <c r="AI91" i="26"/>
  <c r="AI92" i="26"/>
  <c r="AI93" i="26"/>
  <c r="AU93" i="26"/>
  <c r="AT93" i="26"/>
  <c r="AS93" i="26"/>
  <c r="AR93" i="26"/>
  <c r="AQ93" i="26" s="1"/>
  <c r="AM93" i="26" s="1"/>
  <c r="AK93" i="26"/>
  <c r="AT92" i="26"/>
  <c r="AS92" i="26"/>
  <c r="AR92" i="26"/>
  <c r="AQ92" i="26" s="1"/>
  <c r="AM92" i="26" s="1"/>
  <c r="AK92" i="26"/>
  <c r="AU92" i="26"/>
  <c r="AU91" i="26"/>
  <c r="AT91" i="26"/>
  <c r="AS91" i="26"/>
  <c r="AR91" i="26"/>
  <c r="AQ91" i="26" s="1"/>
  <c r="AM91" i="26" s="1"/>
  <c r="AK91" i="26"/>
  <c r="AT90" i="26"/>
  <c r="AS90" i="26"/>
  <c r="AR90" i="26"/>
  <c r="AQ90" i="26" s="1"/>
  <c r="AM90" i="26" s="1"/>
  <c r="AK90" i="26"/>
  <c r="AT89" i="26"/>
  <c r="AS89" i="26"/>
  <c r="AR89" i="26"/>
  <c r="AQ89" i="26" s="1"/>
  <c r="AM89" i="26" s="1"/>
  <c r="AK89" i="26"/>
  <c r="AT88" i="26"/>
  <c r="AS88" i="26"/>
  <c r="AR88" i="26"/>
  <c r="AQ88" i="26" s="1"/>
  <c r="AM88" i="26" s="1"/>
  <c r="AK88" i="26"/>
  <c r="AT87" i="26"/>
  <c r="AS87" i="26"/>
  <c r="AR87" i="26"/>
  <c r="AQ87" i="26" s="1"/>
  <c r="AM87" i="26" s="1"/>
  <c r="AK87" i="26"/>
  <c r="AT86" i="26"/>
  <c r="AS86" i="26"/>
  <c r="AR86" i="26"/>
  <c r="AQ86" i="26" s="1"/>
  <c r="AM86" i="26" s="1"/>
  <c r="AK86" i="26"/>
  <c r="AU85" i="26"/>
  <c r="AT85" i="26"/>
  <c r="AS85" i="26"/>
  <c r="AR85" i="26"/>
  <c r="AQ85" i="26" s="1"/>
  <c r="AM85" i="26" s="1"/>
  <c r="AK85" i="26"/>
  <c r="AT83" i="26"/>
  <c r="AS83" i="26"/>
  <c r="AR83" i="26"/>
  <c r="AQ83" i="26" s="1"/>
  <c r="AM83" i="26" s="1"/>
  <c r="AK83" i="26"/>
  <c r="AU83" i="26"/>
  <c r="AT82" i="26"/>
  <c r="AS82" i="26"/>
  <c r="AR82" i="26"/>
  <c r="AQ82" i="26" s="1"/>
  <c r="AM82" i="26" s="1"/>
  <c r="AK82" i="26"/>
  <c r="AU81" i="26"/>
  <c r="AT81" i="26"/>
  <c r="AS81" i="26"/>
  <c r="AR81" i="26"/>
  <c r="AQ81" i="26" s="1"/>
  <c r="AM81" i="26" s="1"/>
  <c r="AK81" i="26"/>
  <c r="AT80" i="26"/>
  <c r="AS80" i="26"/>
  <c r="AR80" i="26"/>
  <c r="AQ80" i="26" s="1"/>
  <c r="AM80" i="26" s="1"/>
  <c r="AK80" i="26"/>
  <c r="AU80" i="26"/>
  <c r="AT78" i="26"/>
  <c r="AS78" i="26"/>
  <c r="AR78" i="26"/>
  <c r="AQ78" i="26" s="1"/>
  <c r="AM78" i="26" s="1"/>
  <c r="AK78" i="26"/>
  <c r="AT77" i="26"/>
  <c r="AS77" i="26"/>
  <c r="AR77" i="26"/>
  <c r="AQ77" i="26" s="1"/>
  <c r="AM77" i="26" s="1"/>
  <c r="AK77" i="26"/>
  <c r="AU76" i="26"/>
  <c r="AT76" i="26"/>
  <c r="AS76" i="26"/>
  <c r="AR76" i="26"/>
  <c r="AQ76" i="26" s="1"/>
  <c r="AM76" i="26" s="1"/>
  <c r="AK76" i="26"/>
  <c r="AT75" i="26"/>
  <c r="AS75" i="26"/>
  <c r="AR75" i="26"/>
  <c r="AQ75" i="26" s="1"/>
  <c r="AM75" i="26" s="1"/>
  <c r="AK75" i="26"/>
  <c r="AU75" i="26"/>
  <c r="AU74" i="26"/>
  <c r="AT74" i="26"/>
  <c r="AS74" i="26"/>
  <c r="AR74" i="26"/>
  <c r="AQ74" i="26" s="1"/>
  <c r="AM74" i="26" s="1"/>
  <c r="AK74" i="26"/>
  <c r="AT73" i="26"/>
  <c r="AS73" i="26"/>
  <c r="AR73" i="26"/>
  <c r="AQ73" i="26" s="1"/>
  <c r="AM73" i="26" s="1"/>
  <c r="AK73" i="26"/>
  <c r="AT79" i="26"/>
  <c r="AS79" i="26"/>
  <c r="AR79" i="26"/>
  <c r="AQ79" i="26" s="1"/>
  <c r="AM79" i="26" s="1"/>
  <c r="AK79" i="26"/>
  <c r="AU79" i="26"/>
  <c r="AT72" i="26"/>
  <c r="AS72" i="26"/>
  <c r="AR72" i="26"/>
  <c r="AQ72" i="26" s="1"/>
  <c r="AM72" i="26" s="1"/>
  <c r="AK72" i="26"/>
  <c r="AU72" i="26"/>
  <c r="AT71" i="26"/>
  <c r="AS71" i="26"/>
  <c r="AR71" i="26"/>
  <c r="AQ71" i="26" s="1"/>
  <c r="AM71" i="26" s="1"/>
  <c r="AK71" i="26"/>
  <c r="AT70" i="26"/>
  <c r="AS70" i="26"/>
  <c r="AR70" i="26"/>
  <c r="AQ70" i="26" s="1"/>
  <c r="AM70" i="26" s="1"/>
  <c r="AK70" i="26"/>
  <c r="AT69" i="26"/>
  <c r="AS69" i="26"/>
  <c r="AR69" i="26"/>
  <c r="AQ69" i="26" s="1"/>
  <c r="AM69" i="26" s="1"/>
  <c r="AK69" i="26"/>
  <c r="AU69" i="26"/>
  <c r="AU67" i="26"/>
  <c r="AT67" i="26"/>
  <c r="AS67" i="26"/>
  <c r="AR67" i="26"/>
  <c r="AQ67" i="26" s="1"/>
  <c r="AM67" i="26" s="1"/>
  <c r="AK67" i="26"/>
  <c r="AT66" i="26"/>
  <c r="AS66" i="26"/>
  <c r="AR66" i="26"/>
  <c r="AQ66" i="26" s="1"/>
  <c r="AM66" i="26" s="1"/>
  <c r="AK66" i="26"/>
  <c r="AU66" i="26"/>
  <c r="AT65" i="26"/>
  <c r="AS65" i="26"/>
  <c r="AR65" i="26"/>
  <c r="AQ65" i="26" s="1"/>
  <c r="AM65" i="26" s="1"/>
  <c r="AK65" i="26"/>
  <c r="AU64" i="26"/>
  <c r="AT64" i="26"/>
  <c r="AS64" i="26"/>
  <c r="AR64" i="26"/>
  <c r="AQ64" i="26" s="1"/>
  <c r="AM64" i="26" s="1"/>
  <c r="AK64" i="26"/>
  <c r="AT63" i="26"/>
  <c r="AS63" i="26"/>
  <c r="AR63" i="26"/>
  <c r="AQ63" i="26" s="1"/>
  <c r="AM63" i="26" s="1"/>
  <c r="AK63" i="26"/>
  <c r="AU63" i="26"/>
  <c r="AT62" i="26"/>
  <c r="AS62" i="26"/>
  <c r="AR62" i="26"/>
  <c r="AQ62" i="26" s="1"/>
  <c r="AM62" i="26" s="1"/>
  <c r="AK62" i="26"/>
  <c r="AT61" i="26"/>
  <c r="AS61" i="26"/>
  <c r="AR61" i="26"/>
  <c r="AQ61" i="26" s="1"/>
  <c r="AM61" i="26" s="1"/>
  <c r="AK61" i="26"/>
  <c r="AT60" i="26"/>
  <c r="AS60" i="26"/>
  <c r="AR60" i="26"/>
  <c r="AQ60" i="26" s="1"/>
  <c r="AM60" i="26" s="1"/>
  <c r="AK60" i="26"/>
  <c r="AT59" i="26"/>
  <c r="AS59" i="26"/>
  <c r="AR59" i="26"/>
  <c r="AQ59" i="26" s="1"/>
  <c r="AM59" i="26" s="1"/>
  <c r="AK59" i="26"/>
  <c r="AU59" i="26"/>
  <c r="AT58" i="26"/>
  <c r="AS58" i="26"/>
  <c r="AR58" i="26"/>
  <c r="AQ58" i="26" s="1"/>
  <c r="AM58" i="26" s="1"/>
  <c r="AK58" i="26"/>
  <c r="AU58" i="26"/>
  <c r="AT68" i="26"/>
  <c r="AS68" i="26"/>
  <c r="AR68" i="26"/>
  <c r="AQ68" i="26" s="1"/>
  <c r="AM68" i="26" s="1"/>
  <c r="AK68" i="26"/>
  <c r="AT57" i="26"/>
  <c r="AS57" i="26"/>
  <c r="AR57" i="26"/>
  <c r="AQ57" i="26" s="1"/>
  <c r="AM57" i="26" s="1"/>
  <c r="AK57" i="26"/>
  <c r="AU57" i="26"/>
  <c r="AT56" i="26"/>
  <c r="AS56" i="26"/>
  <c r="AR56" i="26"/>
  <c r="AQ56" i="26" s="1"/>
  <c r="AM56" i="26" s="1"/>
  <c r="AK56" i="26"/>
  <c r="AU56" i="26"/>
  <c r="AT55" i="26"/>
  <c r="AS55" i="26"/>
  <c r="AR55" i="26"/>
  <c r="AQ55" i="26" s="1"/>
  <c r="AM55" i="26" s="1"/>
  <c r="AK55" i="26"/>
  <c r="AT54" i="26"/>
  <c r="AS54" i="26"/>
  <c r="AR54" i="26"/>
  <c r="AQ54" i="26" s="1"/>
  <c r="AK54" i="26"/>
  <c r="AU53" i="26"/>
  <c r="AT53" i="26"/>
  <c r="AS53" i="26"/>
  <c r="AR53" i="26"/>
  <c r="AQ53" i="26" s="1"/>
  <c r="AM53" i="26" s="1"/>
  <c r="AK53" i="26"/>
  <c r="AT52" i="26"/>
  <c r="AS52" i="26"/>
  <c r="AR52" i="26"/>
  <c r="AQ52" i="26" s="1"/>
  <c r="AM52" i="26" s="1"/>
  <c r="AK52" i="26"/>
  <c r="AT51" i="26"/>
  <c r="AS51" i="26"/>
  <c r="AR51" i="26"/>
  <c r="AQ51" i="26" s="1"/>
  <c r="AM51" i="26" s="1"/>
  <c r="AK51" i="26"/>
  <c r="AT50" i="26"/>
  <c r="AS50" i="26"/>
  <c r="AR50" i="26"/>
  <c r="AQ50" i="26" s="1"/>
  <c r="AM50" i="26" s="1"/>
  <c r="AK50" i="26"/>
  <c r="AU50" i="26"/>
  <c r="AU49" i="26"/>
  <c r="AT49" i="26"/>
  <c r="AS49" i="26"/>
  <c r="AR49" i="26"/>
  <c r="AQ49" i="26" s="1"/>
  <c r="AM49" i="26" s="1"/>
  <c r="AK49" i="26"/>
  <c r="AT48" i="26"/>
  <c r="AS48" i="26"/>
  <c r="AR48" i="26"/>
  <c r="AQ48" i="26" s="1"/>
  <c r="AM48" i="26" s="1"/>
  <c r="AK48" i="26"/>
  <c r="AT47" i="26"/>
  <c r="AS47" i="26"/>
  <c r="AR47" i="26"/>
  <c r="AQ47" i="26" s="1"/>
  <c r="AM47" i="26" s="1"/>
  <c r="AK47" i="26"/>
  <c r="AU46" i="26"/>
  <c r="AT46" i="26"/>
  <c r="AS46" i="26"/>
  <c r="AR46" i="26"/>
  <c r="AQ46" i="26" s="1"/>
  <c r="AM46" i="26" s="1"/>
  <c r="AK46" i="26"/>
  <c r="AU45" i="26"/>
  <c r="AT45" i="26"/>
  <c r="AS45" i="26"/>
  <c r="AR45" i="26"/>
  <c r="AQ45" i="26" s="1"/>
  <c r="AM45" i="26" s="1"/>
  <c r="AK45" i="26"/>
  <c r="AU44" i="26"/>
  <c r="AT44" i="26"/>
  <c r="AS44" i="26"/>
  <c r="AR44" i="26"/>
  <c r="AQ44" i="26" s="1"/>
  <c r="AM44" i="26" s="1"/>
  <c r="AK44" i="26"/>
  <c r="AT43" i="26"/>
  <c r="AS43" i="26"/>
  <c r="AR43" i="26"/>
  <c r="AQ43" i="26" s="1"/>
  <c r="AM43" i="26" s="1"/>
  <c r="AK43" i="26"/>
  <c r="AT41" i="26"/>
  <c r="AS41" i="26"/>
  <c r="AR41" i="26"/>
  <c r="AQ41" i="26" s="1"/>
  <c r="AM41" i="26" s="1"/>
  <c r="AK41" i="26"/>
  <c r="AT40" i="26"/>
  <c r="AS40" i="26"/>
  <c r="AR40" i="26"/>
  <c r="AQ40" i="26" s="1"/>
  <c r="AM40" i="26" s="1"/>
  <c r="AK40" i="26"/>
  <c r="AU40" i="26"/>
  <c r="AT39" i="26"/>
  <c r="AS39" i="26"/>
  <c r="AR39" i="26"/>
  <c r="AQ39" i="26" s="1"/>
  <c r="AM39" i="26" s="1"/>
  <c r="AK39" i="26"/>
  <c r="AT38" i="26"/>
  <c r="AS38" i="26"/>
  <c r="AR38" i="26"/>
  <c r="AQ38" i="26" s="1"/>
  <c r="AM38" i="26" s="1"/>
  <c r="AK38" i="26"/>
  <c r="AU37" i="26"/>
  <c r="AT37" i="26"/>
  <c r="AS37" i="26"/>
  <c r="AR37" i="26"/>
  <c r="AQ37" i="26" s="1"/>
  <c r="AM37" i="26" s="1"/>
  <c r="AK37" i="26"/>
  <c r="AU42" i="26"/>
  <c r="AT42" i="26"/>
  <c r="AS42" i="26"/>
  <c r="AR42" i="26"/>
  <c r="AQ42" i="26" s="1"/>
  <c r="AM42" i="26" s="1"/>
  <c r="AK42" i="26"/>
  <c r="AU36" i="26"/>
  <c r="AT36" i="26"/>
  <c r="AS36" i="26"/>
  <c r="AR36" i="26"/>
  <c r="AQ36" i="26" s="1"/>
  <c r="AM36" i="26" s="1"/>
  <c r="AK36" i="26"/>
  <c r="AT35" i="26"/>
  <c r="AS35" i="26"/>
  <c r="AR35" i="26"/>
  <c r="AQ35" i="26" s="1"/>
  <c r="AM35" i="26" s="1"/>
  <c r="AK35" i="26"/>
  <c r="AT34" i="26"/>
  <c r="AS34" i="26"/>
  <c r="AR34" i="26"/>
  <c r="AQ34" i="26" s="1"/>
  <c r="AM34" i="26" s="1"/>
  <c r="AK34" i="26"/>
  <c r="AU34" i="26"/>
  <c r="AT33" i="26"/>
  <c r="AS33" i="26"/>
  <c r="AR33" i="26"/>
  <c r="AQ33" i="26" s="1"/>
  <c r="AM33" i="26" s="1"/>
  <c r="AK33" i="26"/>
  <c r="AU33" i="26"/>
  <c r="AT32" i="26"/>
  <c r="AS32" i="26"/>
  <c r="AR32" i="26"/>
  <c r="AQ32" i="26" s="1"/>
  <c r="AM32" i="26" s="1"/>
  <c r="AK32" i="26"/>
  <c r="AT31" i="26"/>
  <c r="AS31" i="26"/>
  <c r="AR31" i="26"/>
  <c r="AQ31" i="26" s="1"/>
  <c r="AM31" i="26" s="1"/>
  <c r="AK31" i="26"/>
  <c r="AU30" i="26"/>
  <c r="AT30" i="26"/>
  <c r="AS30" i="26"/>
  <c r="AR30" i="26"/>
  <c r="AQ30" i="26" s="1"/>
  <c r="AM30" i="26" s="1"/>
  <c r="AK30" i="26"/>
  <c r="AT29" i="26"/>
  <c r="AS29" i="26"/>
  <c r="AR29" i="26"/>
  <c r="AQ29" i="26" s="1"/>
  <c r="AM29" i="26" s="1"/>
  <c r="AK29" i="26"/>
  <c r="AU29" i="26"/>
  <c r="AT27" i="26"/>
  <c r="AS27" i="26"/>
  <c r="AR27" i="26"/>
  <c r="AQ27" i="26" s="1"/>
  <c r="AM27" i="26" s="1"/>
  <c r="AK27" i="26"/>
  <c r="AU27" i="26"/>
  <c r="AT26" i="26"/>
  <c r="AS26" i="26"/>
  <c r="AR26" i="26"/>
  <c r="AQ26" i="26" s="1"/>
  <c r="AM26" i="26" s="1"/>
  <c r="AK26" i="26"/>
  <c r="AT25" i="26"/>
  <c r="AS25" i="26"/>
  <c r="AR25" i="26"/>
  <c r="AQ25" i="26" s="1"/>
  <c r="AM25" i="26" s="1"/>
  <c r="AK25" i="26"/>
  <c r="AU25" i="26"/>
  <c r="AT24" i="26"/>
  <c r="AS24" i="26"/>
  <c r="AR24" i="26"/>
  <c r="AQ24" i="26" s="1"/>
  <c r="AM24" i="26" s="1"/>
  <c r="AK24" i="26"/>
  <c r="AT23" i="26"/>
  <c r="AS23" i="26"/>
  <c r="AR23" i="26"/>
  <c r="AQ23" i="26" s="1"/>
  <c r="AM23" i="26" s="1"/>
  <c r="AK23" i="26"/>
  <c r="AT22" i="26"/>
  <c r="AS22" i="26"/>
  <c r="AR22" i="26"/>
  <c r="AQ22" i="26" s="1"/>
  <c r="AM22" i="26" s="1"/>
  <c r="AK22" i="26"/>
  <c r="AU20" i="26"/>
  <c r="AT20" i="26"/>
  <c r="AS20" i="26"/>
  <c r="AR20" i="26"/>
  <c r="AQ20" i="26" s="1"/>
  <c r="AM20" i="26" s="1"/>
  <c r="AK20" i="26"/>
  <c r="AU19" i="26"/>
  <c r="AT19" i="26"/>
  <c r="AS19" i="26"/>
  <c r="AR19" i="26"/>
  <c r="AQ19" i="26" s="1"/>
  <c r="AM19" i="26" s="1"/>
  <c r="AK19" i="26"/>
  <c r="AT28" i="26"/>
  <c r="AS28" i="26"/>
  <c r="AR28" i="26"/>
  <c r="AQ28" i="26" s="1"/>
  <c r="AM28" i="26" s="1"/>
  <c r="AK28" i="26"/>
  <c r="AU28" i="26"/>
  <c r="AU17" i="26"/>
  <c r="AT17" i="26"/>
  <c r="AS17" i="26"/>
  <c r="AR17" i="26"/>
  <c r="AQ17" i="26" s="1"/>
  <c r="AM17" i="26" s="1"/>
  <c r="AK17" i="26"/>
  <c r="AT16" i="26"/>
  <c r="AS16" i="26"/>
  <c r="AR16" i="26"/>
  <c r="AQ16" i="26" s="1"/>
  <c r="AM16" i="26" s="1"/>
  <c r="AK16" i="26"/>
  <c r="AT15" i="26"/>
  <c r="AS15" i="26"/>
  <c r="AR15" i="26"/>
  <c r="AQ15" i="26" s="1"/>
  <c r="AM15" i="26" s="1"/>
  <c r="AK15" i="26"/>
  <c r="AU14" i="26"/>
  <c r="AT14" i="26"/>
  <c r="AS14" i="26"/>
  <c r="AR14" i="26"/>
  <c r="AQ14" i="26" s="1"/>
  <c r="AM14" i="26" s="1"/>
  <c r="AK14" i="26"/>
  <c r="AT13" i="26"/>
  <c r="AS13" i="26"/>
  <c r="AR13" i="26"/>
  <c r="AQ13" i="26" s="1"/>
  <c r="AM13" i="26" s="1"/>
  <c r="AK13" i="26"/>
  <c r="AU13" i="26"/>
  <c r="AT12" i="26"/>
  <c r="AS12" i="26"/>
  <c r="AR12" i="26"/>
  <c r="AQ12" i="26" s="1"/>
  <c r="AM12" i="26" s="1"/>
  <c r="AK12" i="26"/>
  <c r="AT11" i="26"/>
  <c r="AS11" i="26"/>
  <c r="AR11" i="26"/>
  <c r="AQ11" i="26" s="1"/>
  <c r="AM11" i="26" s="1"/>
  <c r="AT10" i="26"/>
  <c r="AS10" i="26"/>
  <c r="AR10" i="26"/>
  <c r="AQ10" i="26" s="1"/>
  <c r="AM10" i="26" s="1"/>
  <c r="AK10" i="26"/>
  <c r="AU9" i="26"/>
  <c r="AT9" i="26"/>
  <c r="AS9" i="26"/>
  <c r="AR9" i="26"/>
  <c r="AQ9" i="26" s="1"/>
  <c r="AM9" i="26" s="1"/>
  <c r="AK9" i="26"/>
  <c r="AT8" i="26"/>
  <c r="AS8" i="26"/>
  <c r="AQ8" i="26"/>
  <c r="AM8" i="26" s="1"/>
  <c r="AK8" i="26"/>
  <c r="AT7" i="26"/>
  <c r="AS7" i="26"/>
  <c r="AR7" i="26"/>
  <c r="AQ7" i="26" s="1"/>
  <c r="AM7" i="26" s="1"/>
  <c r="AK7" i="26"/>
  <c r="AU6" i="26"/>
  <c r="AT6" i="26"/>
  <c r="AS6" i="26"/>
  <c r="AR6" i="26"/>
  <c r="AQ6" i="26" s="1"/>
  <c r="AM6" i="26" s="1"/>
  <c r="AK6" i="26"/>
  <c r="AT5" i="26"/>
  <c r="AS5" i="26"/>
  <c r="AR5" i="26"/>
  <c r="AQ5" i="26" s="1"/>
  <c r="AM5" i="26" s="1"/>
  <c r="AK5" i="26"/>
  <c r="AU5" i="26"/>
  <c r="AT4" i="26"/>
  <c r="AS4" i="26"/>
  <c r="AQ4" i="26"/>
  <c r="AM4" i="26" s="1"/>
  <c r="AK4" i="26"/>
  <c r="AU4" i="26"/>
  <c r="AR22" i="25"/>
  <c r="AS4" i="25"/>
  <c r="AS5" i="25"/>
  <c r="AS6" i="25"/>
  <c r="AS7" i="25"/>
  <c r="AS8" i="25"/>
  <c r="AS9" i="25"/>
  <c r="AS10" i="25"/>
  <c r="AS11" i="25"/>
  <c r="AS12" i="25"/>
  <c r="AS13" i="25"/>
  <c r="AS14" i="25"/>
  <c r="AS15" i="25"/>
  <c r="AS16" i="25"/>
  <c r="AS17" i="25"/>
  <c r="AS18" i="25"/>
  <c r="AS19" i="25"/>
  <c r="AS20" i="25"/>
  <c r="AS21" i="25"/>
  <c r="AS22" i="25"/>
  <c r="AS23" i="25"/>
  <c r="AS24" i="25"/>
  <c r="AS25" i="25"/>
  <c r="AS26" i="25"/>
  <c r="AS27" i="25"/>
  <c r="AS28" i="25"/>
  <c r="AS29" i="25"/>
  <c r="AS30" i="25"/>
  <c r="AS31" i="25"/>
  <c r="AS32" i="25"/>
  <c r="AS33" i="25"/>
  <c r="AS34" i="25"/>
  <c r="AS35" i="25"/>
  <c r="AS36" i="25"/>
  <c r="AS37" i="25"/>
  <c r="AS38" i="25"/>
  <c r="AS39" i="25"/>
  <c r="AS40" i="25"/>
  <c r="AS41" i="25"/>
  <c r="AS42" i="25"/>
  <c r="AS43" i="25"/>
  <c r="AS44" i="25"/>
  <c r="AS45" i="25"/>
  <c r="AS46" i="25"/>
  <c r="AS47" i="25"/>
  <c r="AS48" i="25"/>
  <c r="AS49" i="25"/>
  <c r="AS50" i="25"/>
  <c r="AS51" i="25"/>
  <c r="AS52" i="25"/>
  <c r="AS53" i="25"/>
  <c r="AS54" i="25"/>
  <c r="AS55" i="25"/>
  <c r="AS56" i="25"/>
  <c r="AS57" i="25"/>
  <c r="AS58" i="25"/>
  <c r="AS59" i="25"/>
  <c r="AS60" i="25"/>
  <c r="AS61" i="25"/>
  <c r="AS62" i="25"/>
  <c r="AS63" i="25"/>
  <c r="AS64" i="25"/>
  <c r="AS65" i="25"/>
  <c r="AS66" i="25"/>
  <c r="AS67" i="25"/>
  <c r="AS68" i="25"/>
  <c r="AS69" i="25"/>
  <c r="AS70" i="25"/>
  <c r="AS71" i="25"/>
  <c r="AS72" i="25"/>
  <c r="AS73" i="25"/>
  <c r="AS74" i="25"/>
  <c r="AS75" i="25"/>
  <c r="AS76" i="25"/>
  <c r="AS77" i="25"/>
  <c r="AS78" i="25"/>
  <c r="AS79" i="25"/>
  <c r="AS80" i="25"/>
  <c r="AS81" i="25"/>
  <c r="AS82" i="25"/>
  <c r="AS83" i="25"/>
  <c r="AS84" i="25"/>
  <c r="AS85" i="25"/>
  <c r="AS86" i="25"/>
  <c r="AS87" i="25"/>
  <c r="AS88" i="25"/>
  <c r="AS89" i="25"/>
  <c r="AS90" i="25"/>
  <c r="AS91" i="25"/>
  <c r="AS92" i="25"/>
  <c r="AS93" i="25"/>
  <c r="AS94" i="25"/>
  <c r="AS3" i="25"/>
  <c r="AT6" i="25"/>
  <c r="AT7" i="25"/>
  <c r="AT9" i="25"/>
  <c r="AT14" i="25"/>
  <c r="AT19" i="25"/>
  <c r="AT20" i="25"/>
  <c r="AT23" i="25"/>
  <c r="AT27" i="25"/>
  <c r="AT31" i="25"/>
  <c r="AT36" i="25"/>
  <c r="AT43" i="25"/>
  <c r="AT44" i="25"/>
  <c r="AT45" i="25"/>
  <c r="AT46" i="25"/>
  <c r="AT48" i="25"/>
  <c r="AT49" i="25"/>
  <c r="AT53" i="25"/>
  <c r="AT54" i="25"/>
  <c r="AT62" i="25"/>
  <c r="AT63" i="25"/>
  <c r="AT66" i="25"/>
  <c r="AT67" i="25"/>
  <c r="AT69" i="25"/>
  <c r="AT78" i="25"/>
  <c r="AT79" i="25"/>
  <c r="AT82" i="25"/>
  <c r="AT86" i="25"/>
  <c r="AT89" i="25"/>
  <c r="AT91" i="25"/>
  <c r="AT92" i="25"/>
  <c r="AT94" i="25"/>
  <c r="AT3" i="25"/>
  <c r="AQ4" i="25"/>
  <c r="AO4" i="25" s="1"/>
  <c r="AQ5" i="25"/>
  <c r="AO5" i="25" s="1"/>
  <c r="AQ6" i="25"/>
  <c r="AO6" i="25" s="1"/>
  <c r="AQ7" i="25"/>
  <c r="AO7" i="25" s="1"/>
  <c r="AQ8" i="25"/>
  <c r="AO8" i="25" s="1"/>
  <c r="AQ9" i="25"/>
  <c r="AO9" i="25" s="1"/>
  <c r="AQ10" i="25"/>
  <c r="AO10" i="25" s="1"/>
  <c r="AQ11" i="25"/>
  <c r="AO11" i="25" s="1"/>
  <c r="AQ12" i="25"/>
  <c r="AO12" i="25" s="1"/>
  <c r="AQ13" i="25"/>
  <c r="AO13" i="25" s="1"/>
  <c r="AQ14" i="25"/>
  <c r="AO14" i="25" s="1"/>
  <c r="AQ15" i="25"/>
  <c r="AO15" i="25" s="1"/>
  <c r="AQ16" i="25"/>
  <c r="AO16" i="25" s="1"/>
  <c r="AQ17" i="25"/>
  <c r="AO17" i="25" s="1"/>
  <c r="AQ18" i="25"/>
  <c r="AO18" i="25" s="1"/>
  <c r="AQ19" i="25"/>
  <c r="AO19" i="25" s="1"/>
  <c r="AQ20" i="25"/>
  <c r="AO20" i="25" s="1"/>
  <c r="AQ21" i="25"/>
  <c r="AO21" i="25" s="1"/>
  <c r="AQ22" i="25"/>
  <c r="AO22" i="25" s="1"/>
  <c r="AQ23" i="25"/>
  <c r="AO23" i="25" s="1"/>
  <c r="AQ24" i="25"/>
  <c r="AO24" i="25" s="1"/>
  <c r="AQ25" i="25"/>
  <c r="AO25" i="25" s="1"/>
  <c r="AQ26" i="25"/>
  <c r="AO26" i="25" s="1"/>
  <c r="AQ27" i="25"/>
  <c r="AO27" i="25" s="1"/>
  <c r="AQ28" i="25"/>
  <c r="AO28" i="25" s="1"/>
  <c r="AQ29" i="25"/>
  <c r="AO29" i="25" s="1"/>
  <c r="AQ30" i="25"/>
  <c r="AO30" i="25" s="1"/>
  <c r="AQ31" i="25"/>
  <c r="AO31" i="25" s="1"/>
  <c r="AQ32" i="25"/>
  <c r="AO32" i="25" s="1"/>
  <c r="AQ33" i="25"/>
  <c r="AO33" i="25" s="1"/>
  <c r="AQ34" i="25"/>
  <c r="AO34" i="25" s="1"/>
  <c r="AQ35" i="25"/>
  <c r="AO35" i="25" s="1"/>
  <c r="AQ36" i="25"/>
  <c r="AO36" i="25" s="1"/>
  <c r="AQ37" i="25"/>
  <c r="AO37" i="25" s="1"/>
  <c r="AQ38" i="25"/>
  <c r="AO38" i="25" s="1"/>
  <c r="AQ39" i="25"/>
  <c r="AO39" i="25" s="1"/>
  <c r="AQ40" i="25"/>
  <c r="AO40" i="25" s="1"/>
  <c r="AQ41" i="25"/>
  <c r="AQ42" i="25"/>
  <c r="AO42" i="25" s="1"/>
  <c r="AQ43" i="25"/>
  <c r="AO43" i="25" s="1"/>
  <c r="AQ44" i="25"/>
  <c r="AO44" i="25" s="1"/>
  <c r="AQ45" i="25"/>
  <c r="AO45" i="25" s="1"/>
  <c r="AQ46" i="25"/>
  <c r="AO46" i="25" s="1"/>
  <c r="AQ47" i="25"/>
  <c r="AO47" i="25" s="1"/>
  <c r="AQ48" i="25"/>
  <c r="AO48" i="25" s="1"/>
  <c r="AQ49" i="25"/>
  <c r="AO49" i="25" s="1"/>
  <c r="AQ50" i="25"/>
  <c r="AO50" i="25" s="1"/>
  <c r="AQ51" i="25"/>
  <c r="AO51" i="25" s="1"/>
  <c r="AQ52" i="25"/>
  <c r="AO52" i="25" s="1"/>
  <c r="AQ53" i="25"/>
  <c r="AO53" i="25" s="1"/>
  <c r="AQ54" i="25"/>
  <c r="AO54" i="25" s="1"/>
  <c r="AQ55" i="25"/>
  <c r="AO55" i="25" s="1"/>
  <c r="AQ56" i="25"/>
  <c r="AO56" i="25" s="1"/>
  <c r="AQ57" i="25"/>
  <c r="AO57" i="25" s="1"/>
  <c r="AQ58" i="25"/>
  <c r="AO58" i="25" s="1"/>
  <c r="AQ59" i="25"/>
  <c r="AO59" i="25" s="1"/>
  <c r="AQ60" i="25"/>
  <c r="AO60" i="25" s="1"/>
  <c r="AQ61" i="25"/>
  <c r="AO61" i="25" s="1"/>
  <c r="AQ62" i="25"/>
  <c r="AO62" i="25" s="1"/>
  <c r="AQ63" i="25"/>
  <c r="AO63" i="25" s="1"/>
  <c r="AQ64" i="25"/>
  <c r="AO64" i="25" s="1"/>
  <c r="AQ65" i="25"/>
  <c r="AO65" i="25" s="1"/>
  <c r="AQ66" i="25"/>
  <c r="AO66" i="25" s="1"/>
  <c r="AQ67" i="25"/>
  <c r="AO67" i="25" s="1"/>
  <c r="AQ68" i="25"/>
  <c r="AO68" i="25" s="1"/>
  <c r="AQ69" i="25"/>
  <c r="AO69" i="25" s="1"/>
  <c r="AQ70" i="25"/>
  <c r="AO70" i="25" s="1"/>
  <c r="AQ71" i="25"/>
  <c r="AO71" i="25" s="1"/>
  <c r="AQ72" i="25"/>
  <c r="AO72" i="25" s="1"/>
  <c r="AQ73" i="25"/>
  <c r="AO73" i="25" s="1"/>
  <c r="AQ74" i="25"/>
  <c r="AO74" i="25" s="1"/>
  <c r="AQ75" i="25"/>
  <c r="AO75" i="25" s="1"/>
  <c r="AQ76" i="25"/>
  <c r="AO76" i="25" s="1"/>
  <c r="AQ77" i="25"/>
  <c r="AO77" i="25" s="1"/>
  <c r="AQ78" i="25"/>
  <c r="AO78" i="25" s="1"/>
  <c r="AQ79" i="25"/>
  <c r="AO79" i="25" s="1"/>
  <c r="AQ80" i="25"/>
  <c r="AO80" i="25" s="1"/>
  <c r="AQ81" i="25"/>
  <c r="AO81" i="25" s="1"/>
  <c r="AQ82" i="25"/>
  <c r="AO82" i="25" s="1"/>
  <c r="AQ83" i="25"/>
  <c r="AO83" i="25" s="1"/>
  <c r="AQ84" i="25"/>
  <c r="AO84" i="25" s="1"/>
  <c r="AQ85" i="25"/>
  <c r="AO85" i="25" s="1"/>
  <c r="AQ86" i="25"/>
  <c r="AO86" i="25" s="1"/>
  <c r="AQ87" i="25"/>
  <c r="AO87" i="25" s="1"/>
  <c r="AQ88" i="25"/>
  <c r="AO88" i="25" s="1"/>
  <c r="AQ89" i="25"/>
  <c r="AO89" i="25" s="1"/>
  <c r="AQ90" i="25"/>
  <c r="AO90" i="25" s="1"/>
  <c r="AQ91" i="25"/>
  <c r="AO91" i="25" s="1"/>
  <c r="AQ92" i="25"/>
  <c r="AO92" i="25" s="1"/>
  <c r="AQ93" i="25"/>
  <c r="AO93" i="25" s="1"/>
  <c r="AQ94" i="25"/>
  <c r="AO94" i="25" s="1"/>
  <c r="AQ3" i="25"/>
  <c r="AO3" i="25" s="1"/>
  <c r="AR4" i="25"/>
  <c r="AR5" i="25"/>
  <c r="AR6" i="25"/>
  <c r="AR7" i="25"/>
  <c r="AR8" i="25"/>
  <c r="AR9" i="25"/>
  <c r="AR10" i="25"/>
  <c r="AR11" i="25"/>
  <c r="AR12" i="25"/>
  <c r="AR13" i="25"/>
  <c r="AR14" i="25"/>
  <c r="AR15" i="25"/>
  <c r="AR16" i="25"/>
  <c r="AR17" i="25"/>
  <c r="AR18" i="25"/>
  <c r="AR19" i="25"/>
  <c r="AR20" i="25"/>
  <c r="AR21" i="25"/>
  <c r="AR23" i="25"/>
  <c r="AR24" i="25"/>
  <c r="AR25" i="25"/>
  <c r="AR26" i="25"/>
  <c r="AR27" i="25"/>
  <c r="AR28" i="25"/>
  <c r="AR29" i="25"/>
  <c r="AR30" i="25"/>
  <c r="AR31" i="25"/>
  <c r="AR32" i="25"/>
  <c r="AR33" i="25"/>
  <c r="AR34" i="25"/>
  <c r="AR35" i="25"/>
  <c r="AR36" i="25"/>
  <c r="AR37" i="25"/>
  <c r="AR38" i="25"/>
  <c r="AR39" i="25"/>
  <c r="AR40" i="25"/>
  <c r="AR41" i="25"/>
  <c r="AR42" i="25"/>
  <c r="AR43" i="25"/>
  <c r="AR44" i="25"/>
  <c r="AR45" i="25"/>
  <c r="AR46" i="25"/>
  <c r="AR47" i="25"/>
  <c r="AR48" i="25"/>
  <c r="AR49" i="25"/>
  <c r="AR50" i="25"/>
  <c r="AR51" i="25"/>
  <c r="AR52" i="25"/>
  <c r="AR53" i="25"/>
  <c r="AR54" i="25"/>
  <c r="AR55" i="25"/>
  <c r="AR56" i="25"/>
  <c r="AR57" i="25"/>
  <c r="AR58" i="25"/>
  <c r="AR59" i="25"/>
  <c r="AR60" i="25"/>
  <c r="AR61" i="25"/>
  <c r="AR62" i="25"/>
  <c r="AR63" i="25"/>
  <c r="AR64" i="25"/>
  <c r="AR65" i="25"/>
  <c r="AR66" i="25"/>
  <c r="AR67" i="25"/>
  <c r="AR68" i="25"/>
  <c r="AR69" i="25"/>
  <c r="AR70" i="25"/>
  <c r="AR71" i="25"/>
  <c r="AR72" i="25"/>
  <c r="AR73" i="25"/>
  <c r="AR74" i="25"/>
  <c r="AR75" i="25"/>
  <c r="AR76" i="25"/>
  <c r="AR77" i="25"/>
  <c r="AR78" i="25"/>
  <c r="AR79" i="25"/>
  <c r="AR80" i="25"/>
  <c r="AR81" i="25"/>
  <c r="AR82" i="25"/>
  <c r="AR83" i="25"/>
  <c r="AR84" i="25"/>
  <c r="AR85" i="25"/>
  <c r="AR86" i="25"/>
  <c r="AR87" i="25"/>
  <c r="AR88" i="25"/>
  <c r="AR89" i="25"/>
  <c r="AR90" i="25"/>
  <c r="AR91" i="25"/>
  <c r="AR92" i="25"/>
  <c r="AR93" i="25"/>
  <c r="AR94" i="25"/>
  <c r="AR3" i="25"/>
  <c r="AI4" i="25"/>
  <c r="AI5" i="25"/>
  <c r="AI6" i="25"/>
  <c r="AJ6" i="25" s="1"/>
  <c r="AI7" i="25"/>
  <c r="AJ7" i="25" s="1"/>
  <c r="AI8" i="25"/>
  <c r="AI9" i="25"/>
  <c r="AJ9" i="25" s="1"/>
  <c r="AI10" i="25"/>
  <c r="AI11" i="25"/>
  <c r="AI12" i="25"/>
  <c r="AI13" i="25"/>
  <c r="AI14" i="25"/>
  <c r="AJ14" i="25" s="1"/>
  <c r="AI15" i="25"/>
  <c r="AI16" i="25"/>
  <c r="AI17" i="25"/>
  <c r="AI18" i="25"/>
  <c r="AI19" i="25"/>
  <c r="AJ19" i="25" s="1"/>
  <c r="AI20" i="25"/>
  <c r="AJ20" i="25" s="1"/>
  <c r="AI21" i="25"/>
  <c r="AI22" i="25"/>
  <c r="AI23" i="25"/>
  <c r="AJ23" i="25" s="1"/>
  <c r="AI24" i="25"/>
  <c r="AI25" i="25"/>
  <c r="AI26" i="25"/>
  <c r="AI27" i="25"/>
  <c r="AJ27" i="25" s="1"/>
  <c r="AI28" i="25"/>
  <c r="AI29" i="25"/>
  <c r="AI30" i="25"/>
  <c r="AI31" i="25"/>
  <c r="AJ31" i="25" s="1"/>
  <c r="AI32" i="25"/>
  <c r="AI33" i="25"/>
  <c r="AI34" i="25"/>
  <c r="AI35" i="25"/>
  <c r="AI36" i="25"/>
  <c r="AJ36" i="25" s="1"/>
  <c r="AI37" i="25"/>
  <c r="AI38" i="25"/>
  <c r="AI39" i="25"/>
  <c r="AI40" i="25"/>
  <c r="AI41" i="25"/>
  <c r="AI42" i="25"/>
  <c r="AI43" i="25"/>
  <c r="AJ43" i="25" s="1"/>
  <c r="AI44" i="25"/>
  <c r="AJ44" i="25" s="1"/>
  <c r="AI45" i="25"/>
  <c r="AJ45" i="25" s="1"/>
  <c r="AI46" i="25"/>
  <c r="AJ46" i="25" s="1"/>
  <c r="AI47" i="25"/>
  <c r="AI48" i="25"/>
  <c r="AJ48" i="25" s="1"/>
  <c r="AI49" i="25"/>
  <c r="AJ49" i="25" s="1"/>
  <c r="AI50" i="25"/>
  <c r="AI51" i="25"/>
  <c r="AI52" i="25"/>
  <c r="AI53" i="25"/>
  <c r="AJ53" i="25" s="1"/>
  <c r="AI54" i="25"/>
  <c r="AJ54" i="25" s="1"/>
  <c r="AI55" i="25"/>
  <c r="AI56" i="25"/>
  <c r="AI57" i="25"/>
  <c r="AI58" i="25"/>
  <c r="AI59" i="25"/>
  <c r="AI60" i="25"/>
  <c r="AI61" i="25"/>
  <c r="AI62" i="25"/>
  <c r="AJ62" i="25" s="1"/>
  <c r="AI63" i="25"/>
  <c r="AJ63" i="25" s="1"/>
  <c r="AI64" i="25"/>
  <c r="AI65" i="25"/>
  <c r="AI66" i="25"/>
  <c r="AJ66" i="25" s="1"/>
  <c r="AI67" i="25"/>
  <c r="AJ67" i="25" s="1"/>
  <c r="AI68" i="25"/>
  <c r="AI69" i="25"/>
  <c r="AJ69" i="25" s="1"/>
  <c r="AI70" i="25"/>
  <c r="AI71" i="25"/>
  <c r="AI72" i="25"/>
  <c r="AI73" i="25"/>
  <c r="AI74" i="25"/>
  <c r="AI75" i="25"/>
  <c r="AI76" i="25"/>
  <c r="AI77" i="25"/>
  <c r="AI78" i="25"/>
  <c r="AJ78" i="25" s="1"/>
  <c r="AI79" i="25"/>
  <c r="AJ79" i="25" s="1"/>
  <c r="AI80" i="25"/>
  <c r="AI81" i="25"/>
  <c r="AI82" i="25"/>
  <c r="AJ82" i="25" s="1"/>
  <c r="AI83" i="25"/>
  <c r="AI84" i="25"/>
  <c r="AI85" i="25"/>
  <c r="AI86" i="25"/>
  <c r="AJ86" i="25" s="1"/>
  <c r="AI87" i="25"/>
  <c r="AI88" i="25"/>
  <c r="AI89" i="25"/>
  <c r="AJ89" i="25" s="1"/>
  <c r="AI90" i="25"/>
  <c r="AI91" i="25"/>
  <c r="AJ91" i="25" s="1"/>
  <c r="AI92" i="25"/>
  <c r="AJ92" i="25" s="1"/>
  <c r="AI93" i="25"/>
  <c r="AI94" i="25"/>
  <c r="AJ94" i="25" s="1"/>
  <c r="AH4" i="25"/>
  <c r="AT4" i="25" s="1"/>
  <c r="AH5" i="25"/>
  <c r="AT5" i="25" s="1"/>
  <c r="AH8" i="25"/>
  <c r="AT8" i="25" s="1"/>
  <c r="AH10" i="25"/>
  <c r="AT10" i="25" s="1"/>
  <c r="AH11" i="25"/>
  <c r="AH12" i="25"/>
  <c r="AH13" i="25"/>
  <c r="AJ13" i="25" s="1"/>
  <c r="AH15" i="25"/>
  <c r="AT15" i="25" s="1"/>
  <c r="AH16" i="25"/>
  <c r="AT16" i="25" s="1"/>
  <c r="AH17" i="25"/>
  <c r="AH18" i="25"/>
  <c r="AT18" i="25" s="1"/>
  <c r="AH21" i="25"/>
  <c r="AT21" i="25" s="1"/>
  <c r="AH22" i="25"/>
  <c r="AT22" i="25" s="1"/>
  <c r="AH24" i="25"/>
  <c r="AT24" i="25" s="1"/>
  <c r="AH25" i="25"/>
  <c r="AH26" i="25"/>
  <c r="AT26" i="25" s="1"/>
  <c r="AH28" i="25"/>
  <c r="AH29" i="25"/>
  <c r="AT29" i="25" s="1"/>
  <c r="AH30" i="25"/>
  <c r="AT30" i="25" s="1"/>
  <c r="AH32" i="25"/>
  <c r="AT32" i="25" s="1"/>
  <c r="AH33" i="25"/>
  <c r="AH34" i="25"/>
  <c r="AT34" i="25" s="1"/>
  <c r="AH35" i="25"/>
  <c r="AT35" i="25" s="1"/>
  <c r="AH37" i="25"/>
  <c r="AT37" i="25" s="1"/>
  <c r="AH38" i="25"/>
  <c r="AT38" i="25" s="1"/>
  <c r="AH39" i="25"/>
  <c r="AT39" i="25" s="1"/>
  <c r="AH40" i="25"/>
  <c r="AT40" i="25" s="1"/>
  <c r="AH41" i="25"/>
  <c r="AH42" i="25"/>
  <c r="AT42" i="25" s="1"/>
  <c r="AH47" i="25"/>
  <c r="AT47" i="25" s="1"/>
  <c r="AH50" i="25"/>
  <c r="AT50" i="25" s="1"/>
  <c r="AH51" i="25"/>
  <c r="AT51" i="25" s="1"/>
  <c r="AH52" i="25"/>
  <c r="AT52" i="25" s="1"/>
  <c r="AH55" i="25"/>
  <c r="AT55" i="25" s="1"/>
  <c r="AH56" i="25"/>
  <c r="AT56" i="25" s="1"/>
  <c r="AH57" i="25"/>
  <c r="AH58" i="25"/>
  <c r="AT58" i="25" s="1"/>
  <c r="AH59" i="25"/>
  <c r="AT59" i="25" s="1"/>
  <c r="AH60" i="25"/>
  <c r="AT60" i="25" s="1"/>
  <c r="AH61" i="25"/>
  <c r="AT61" i="25" s="1"/>
  <c r="AH64" i="25"/>
  <c r="AT64" i="25" s="1"/>
  <c r="AH65" i="25"/>
  <c r="AH68" i="25"/>
  <c r="AT68" i="25" s="1"/>
  <c r="AH70" i="25"/>
  <c r="AT70" i="25" s="1"/>
  <c r="AH71" i="25"/>
  <c r="AT71" i="25" s="1"/>
  <c r="AH72" i="25"/>
  <c r="AT72" i="25" s="1"/>
  <c r="AH73" i="25"/>
  <c r="AH74" i="25"/>
  <c r="AT74" i="25" s="1"/>
  <c r="AH75" i="25"/>
  <c r="AT75" i="25" s="1"/>
  <c r="AH76" i="25"/>
  <c r="AT76" i="25" s="1"/>
  <c r="AH77" i="25"/>
  <c r="AT77" i="25" s="1"/>
  <c r="AH80" i="25"/>
  <c r="AT80" i="25" s="1"/>
  <c r="AH81" i="25"/>
  <c r="AT81" i="25" s="1"/>
  <c r="AH83" i="25"/>
  <c r="AT83" i="25" s="1"/>
  <c r="AH84" i="25"/>
  <c r="AT84" i="25" s="1"/>
  <c r="AH85" i="25"/>
  <c r="AT85" i="25" s="1"/>
  <c r="AH87" i="25"/>
  <c r="AT87" i="25" s="1"/>
  <c r="AH88" i="25"/>
  <c r="AT88" i="25" s="1"/>
  <c r="AH90" i="25"/>
  <c r="AT90" i="25" s="1"/>
  <c r="AH93" i="25"/>
  <c r="AT93" i="25" s="1"/>
  <c r="AI3" i="25"/>
  <c r="AJ3" i="25" s="1"/>
  <c r="G6" i="33" l="1"/>
  <c r="G5" i="33"/>
  <c r="G3" i="33"/>
  <c r="C13" i="45"/>
  <c r="E5" i="33"/>
  <c r="C11" i="45"/>
  <c r="E3" i="33"/>
  <c r="G4" i="33"/>
  <c r="C12" i="45"/>
  <c r="E4" i="33"/>
  <c r="G7" i="33"/>
  <c r="L123" i="29"/>
  <c r="L124" i="29" s="1"/>
  <c r="L125" i="29" s="1"/>
  <c r="K123" i="29"/>
  <c r="K124" i="29" s="1"/>
  <c r="K125" i="29" s="1"/>
  <c r="J123" i="29"/>
  <c r="J124" i="29" s="1"/>
  <c r="J125" i="29" s="1"/>
  <c r="I123" i="29"/>
  <c r="I124" i="29" s="1"/>
  <c r="I125" i="29" s="1"/>
  <c r="H123" i="29"/>
  <c r="H124" i="29" s="1"/>
  <c r="H125" i="29" s="1"/>
  <c r="G123" i="29"/>
  <c r="G124" i="29" s="1"/>
  <c r="G125" i="29" s="1"/>
  <c r="F123" i="29"/>
  <c r="F124" i="29" s="1"/>
  <c r="F125" i="29" s="1"/>
  <c r="T88" i="29"/>
  <c r="Q88" i="29" s="1"/>
  <c r="R88" i="29" s="1"/>
  <c r="S88" i="29" s="1"/>
  <c r="T107" i="29"/>
  <c r="Q107" i="29" s="1"/>
  <c r="R107" i="29" s="1"/>
  <c r="S107" i="29" s="1"/>
  <c r="T81" i="29"/>
  <c r="Q81" i="29" s="1"/>
  <c r="R81" i="29" s="1"/>
  <c r="S81" i="29" s="1"/>
  <c r="T78" i="29"/>
  <c r="Z113" i="29"/>
  <c r="AA113" i="29"/>
  <c r="Z112" i="29"/>
  <c r="AA112" i="29"/>
  <c r="Z111" i="29"/>
  <c r="AA111" i="29"/>
  <c r="Z110" i="29"/>
  <c r="AA110" i="29"/>
  <c r="Z109" i="29"/>
  <c r="AA109" i="29"/>
  <c r="Z108" i="29"/>
  <c r="AA108" i="29"/>
  <c r="Z107" i="29"/>
  <c r="AA107" i="29"/>
  <c r="Z106" i="29"/>
  <c r="AA106" i="29"/>
  <c r="Z105" i="29"/>
  <c r="AA105" i="29"/>
  <c r="Z104" i="29"/>
  <c r="AA104" i="29"/>
  <c r="Z103" i="29"/>
  <c r="AA103" i="29"/>
  <c r="Z102" i="29"/>
  <c r="AA102" i="29"/>
  <c r="Z101" i="29"/>
  <c r="AA101" i="29"/>
  <c r="Z100" i="29"/>
  <c r="AA100" i="29"/>
  <c r="Z99" i="29"/>
  <c r="AA99" i="29"/>
  <c r="Z98" i="29"/>
  <c r="AA98" i="29"/>
  <c r="Z97" i="29"/>
  <c r="AA97" i="29"/>
  <c r="Z96" i="29"/>
  <c r="AA96" i="29"/>
  <c r="Z95" i="29"/>
  <c r="AA95" i="29"/>
  <c r="Z94" i="29"/>
  <c r="AA94" i="29"/>
  <c r="Z93" i="29"/>
  <c r="AA93" i="29"/>
  <c r="Z92" i="29"/>
  <c r="AA92" i="29"/>
  <c r="Z91" i="29"/>
  <c r="AA91" i="29"/>
  <c r="Z90" i="29"/>
  <c r="AA90" i="29"/>
  <c r="Z89" i="29"/>
  <c r="AA89" i="29"/>
  <c r="Z88" i="29"/>
  <c r="AA88" i="29"/>
  <c r="Z87" i="29"/>
  <c r="AA87" i="29"/>
  <c r="Z86" i="29"/>
  <c r="AA86" i="29"/>
  <c r="Z85" i="29"/>
  <c r="AA85" i="29"/>
  <c r="Z84" i="29"/>
  <c r="AA84" i="29"/>
  <c r="Z83" i="29"/>
  <c r="AA83" i="29"/>
  <c r="Z82" i="29"/>
  <c r="AA82" i="29"/>
  <c r="Z81" i="29"/>
  <c r="AA81" i="29"/>
  <c r="Z80" i="29"/>
  <c r="AA80" i="29"/>
  <c r="Z79" i="29"/>
  <c r="AA79" i="29"/>
  <c r="Z78" i="29"/>
  <c r="AA78" i="29"/>
  <c r="Z77" i="29"/>
  <c r="AA77" i="29"/>
  <c r="Z76" i="29"/>
  <c r="AA76" i="29"/>
  <c r="Z75" i="29"/>
  <c r="AA75" i="29"/>
  <c r="Z74" i="29"/>
  <c r="AA74" i="29"/>
  <c r="Z73" i="29"/>
  <c r="AA73" i="29"/>
  <c r="Z72" i="29"/>
  <c r="AA72" i="29"/>
  <c r="Z71" i="29"/>
  <c r="AA71" i="29"/>
  <c r="Z70" i="29"/>
  <c r="AA70" i="29"/>
  <c r="Z69" i="29"/>
  <c r="AA69" i="29"/>
  <c r="Z68" i="29"/>
  <c r="AA68" i="29"/>
  <c r="Z67" i="29"/>
  <c r="AA67" i="29"/>
  <c r="Z66" i="29"/>
  <c r="AA66" i="29"/>
  <c r="Z65" i="29"/>
  <c r="AA65" i="29"/>
  <c r="Z64" i="29"/>
  <c r="AA64" i="29"/>
  <c r="Z63" i="29"/>
  <c r="AA63" i="29"/>
  <c r="Z62" i="29"/>
  <c r="AA62" i="29"/>
  <c r="Z61" i="29"/>
  <c r="AA61" i="29"/>
  <c r="Z60" i="29"/>
  <c r="AA60" i="29"/>
  <c r="Z59" i="29"/>
  <c r="AA59" i="29"/>
  <c r="Z58" i="29"/>
  <c r="AA58" i="29"/>
  <c r="Z57" i="29"/>
  <c r="AA57" i="29"/>
  <c r="Z56" i="29"/>
  <c r="AA56" i="29"/>
  <c r="Z55" i="29"/>
  <c r="AA55" i="29"/>
  <c r="Z54" i="29"/>
  <c r="AA54" i="29"/>
  <c r="Z53" i="29"/>
  <c r="AA53" i="29"/>
  <c r="Z52" i="29"/>
  <c r="AA52" i="29"/>
  <c r="Z51" i="29"/>
  <c r="AA51" i="29"/>
  <c r="Z50" i="29"/>
  <c r="AA50" i="29"/>
  <c r="Z49" i="29"/>
  <c r="AA49" i="29"/>
  <c r="Z48" i="29"/>
  <c r="AA48" i="29"/>
  <c r="Z47" i="29"/>
  <c r="AA47" i="29"/>
  <c r="Z46" i="29"/>
  <c r="AA46" i="29"/>
  <c r="Z45" i="29"/>
  <c r="AA45" i="29"/>
  <c r="Z44" i="29"/>
  <c r="AA44" i="29"/>
  <c r="Z43" i="29"/>
  <c r="AA43" i="29"/>
  <c r="Z42" i="29"/>
  <c r="AA42" i="29"/>
  <c r="Z41" i="29"/>
  <c r="AA41" i="29"/>
  <c r="Z40" i="29"/>
  <c r="AA40" i="29"/>
  <c r="Z39" i="29"/>
  <c r="AA39" i="29"/>
  <c r="Z38" i="29"/>
  <c r="AA38" i="29"/>
  <c r="Z37" i="29"/>
  <c r="AA37" i="29"/>
  <c r="Z36" i="29"/>
  <c r="AA36" i="29"/>
  <c r="Z35" i="29"/>
  <c r="AA35" i="29"/>
  <c r="Z34" i="29"/>
  <c r="AA34" i="29"/>
  <c r="Z33" i="29"/>
  <c r="AA33" i="29"/>
  <c r="Z32" i="29"/>
  <c r="AA32" i="29"/>
  <c r="Z31" i="29"/>
  <c r="AA31" i="29"/>
  <c r="Z30" i="29"/>
  <c r="AA30" i="29"/>
  <c r="Z29" i="29"/>
  <c r="AA29" i="29"/>
  <c r="Z28" i="29"/>
  <c r="AA28" i="29"/>
  <c r="Z27" i="29"/>
  <c r="AA27" i="29"/>
  <c r="Z26" i="29"/>
  <c r="AA26" i="29"/>
  <c r="Z25" i="29"/>
  <c r="AA25" i="29"/>
  <c r="Z24" i="29"/>
  <c r="AA24" i="29"/>
  <c r="Z23" i="29"/>
  <c r="AA23" i="29"/>
  <c r="Z22" i="29"/>
  <c r="AA22" i="29"/>
  <c r="Z21" i="29"/>
  <c r="AA21" i="29"/>
  <c r="Z20" i="29"/>
  <c r="AA20" i="29"/>
  <c r="Z19" i="29"/>
  <c r="AA19" i="29"/>
  <c r="Z18" i="29"/>
  <c r="AA18" i="29"/>
  <c r="Z17" i="29"/>
  <c r="AA17" i="29"/>
  <c r="Z16" i="29"/>
  <c r="AA16" i="29"/>
  <c r="Z15" i="29"/>
  <c r="AA15" i="29"/>
  <c r="Z14" i="29"/>
  <c r="AA14" i="29"/>
  <c r="Z13" i="29"/>
  <c r="AA13" i="29"/>
  <c r="Z12" i="29"/>
  <c r="AA12" i="29"/>
  <c r="Z11" i="29"/>
  <c r="AA11" i="29"/>
  <c r="Z10" i="29"/>
  <c r="AA10" i="29"/>
  <c r="Z9" i="29"/>
  <c r="AA9" i="29"/>
  <c r="Z8" i="29"/>
  <c r="AA8" i="29"/>
  <c r="Z7" i="29"/>
  <c r="AA7" i="29"/>
  <c r="Z6" i="29"/>
  <c r="AA6" i="29"/>
  <c r="Z5" i="29"/>
  <c r="Z4" i="29"/>
  <c r="AA4" i="29"/>
  <c r="T114" i="28"/>
  <c r="U114" i="28" s="1"/>
  <c r="T113" i="28"/>
  <c r="U113" i="28" s="1"/>
  <c r="T112" i="28"/>
  <c r="U112" i="28" s="1"/>
  <c r="T111" i="28"/>
  <c r="U111" i="28" s="1"/>
  <c r="T110" i="28"/>
  <c r="U110" i="28" s="1"/>
  <c r="T109" i="28"/>
  <c r="U109" i="28" s="1"/>
  <c r="T108" i="28"/>
  <c r="U108" i="28" s="1"/>
  <c r="T107" i="28"/>
  <c r="U107" i="28" s="1"/>
  <c r="T106" i="28"/>
  <c r="U106" i="28" s="1"/>
  <c r="T105" i="28"/>
  <c r="U105" i="28" s="1"/>
  <c r="T104" i="28"/>
  <c r="U104" i="28" s="1"/>
  <c r="T103" i="28"/>
  <c r="U103" i="28" s="1"/>
  <c r="T102" i="28"/>
  <c r="U102" i="28" s="1"/>
  <c r="T101" i="28"/>
  <c r="U101" i="28" s="1"/>
  <c r="T100" i="28"/>
  <c r="U100" i="28" s="1"/>
  <c r="T99" i="28"/>
  <c r="U99" i="28" s="1"/>
  <c r="T98" i="28"/>
  <c r="U98" i="28" s="1"/>
  <c r="T97" i="28"/>
  <c r="U97" i="28" s="1"/>
  <c r="T96" i="28"/>
  <c r="U96" i="28" s="1"/>
  <c r="T95" i="28"/>
  <c r="U95" i="28" s="1"/>
  <c r="T94" i="28"/>
  <c r="U94" i="28" s="1"/>
  <c r="T93" i="28"/>
  <c r="U93" i="28" s="1"/>
  <c r="T92" i="28"/>
  <c r="U92" i="28" s="1"/>
  <c r="T91" i="28"/>
  <c r="U91" i="28" s="1"/>
  <c r="T90" i="28"/>
  <c r="U90" i="28" s="1"/>
  <c r="T89" i="28"/>
  <c r="U89" i="28" s="1"/>
  <c r="T88" i="28"/>
  <c r="U88" i="28" s="1"/>
  <c r="T87" i="28"/>
  <c r="U87" i="28" s="1"/>
  <c r="T86" i="28"/>
  <c r="U86" i="28" s="1"/>
  <c r="T85" i="28"/>
  <c r="U85" i="28" s="1"/>
  <c r="T84" i="28"/>
  <c r="U84" i="28" s="1"/>
  <c r="T83" i="28"/>
  <c r="U83" i="28" s="1"/>
  <c r="T82" i="28"/>
  <c r="U82" i="28" s="1"/>
  <c r="T81" i="28"/>
  <c r="U81" i="28" s="1"/>
  <c r="T80" i="28"/>
  <c r="U80" i="28" s="1"/>
  <c r="T79" i="28"/>
  <c r="U79" i="28" s="1"/>
  <c r="T78" i="28"/>
  <c r="U78" i="28" s="1"/>
  <c r="T77" i="28"/>
  <c r="U77" i="28" s="1"/>
  <c r="T76" i="28"/>
  <c r="U76" i="28" s="1"/>
  <c r="T75" i="28"/>
  <c r="U75" i="28" s="1"/>
  <c r="T74" i="28"/>
  <c r="U74" i="28" s="1"/>
  <c r="T73" i="28"/>
  <c r="U73" i="28" s="1"/>
  <c r="T72" i="28"/>
  <c r="U72" i="28" s="1"/>
  <c r="T71" i="28"/>
  <c r="U71" i="28" s="1"/>
  <c r="T70" i="28"/>
  <c r="U70" i="28" s="1"/>
  <c r="T69" i="28"/>
  <c r="U69" i="28" s="1"/>
  <c r="T68" i="28"/>
  <c r="U68" i="28" s="1"/>
  <c r="T67" i="28"/>
  <c r="U67" i="28" s="1"/>
  <c r="T66" i="28"/>
  <c r="U66" i="28" s="1"/>
  <c r="T65" i="28"/>
  <c r="U65" i="28" s="1"/>
  <c r="T64" i="28"/>
  <c r="U64" i="28" s="1"/>
  <c r="T63" i="28"/>
  <c r="U63" i="28" s="1"/>
  <c r="T62" i="28"/>
  <c r="U62" i="28" s="1"/>
  <c r="T61" i="28"/>
  <c r="U61" i="28" s="1"/>
  <c r="T60" i="28"/>
  <c r="U60" i="28" s="1"/>
  <c r="T59" i="28"/>
  <c r="U59" i="28" s="1"/>
  <c r="T58" i="28"/>
  <c r="U58" i="28" s="1"/>
  <c r="T57" i="28"/>
  <c r="U57" i="28" s="1"/>
  <c r="T56" i="28"/>
  <c r="U56" i="28" s="1"/>
  <c r="T55" i="28"/>
  <c r="U55" i="28" s="1"/>
  <c r="T54" i="28"/>
  <c r="U54" i="28" s="1"/>
  <c r="T53" i="28"/>
  <c r="U53" i="28" s="1"/>
  <c r="T52" i="28"/>
  <c r="U52" i="28" s="1"/>
  <c r="T51" i="28"/>
  <c r="U51" i="28" s="1"/>
  <c r="T50" i="28"/>
  <c r="U50" i="28" s="1"/>
  <c r="T49" i="28"/>
  <c r="U49" i="28" s="1"/>
  <c r="T48" i="28"/>
  <c r="U48" i="28" s="1"/>
  <c r="T47" i="28"/>
  <c r="U47" i="28" s="1"/>
  <c r="T46" i="28"/>
  <c r="U46" i="28" s="1"/>
  <c r="T45" i="28"/>
  <c r="U45" i="28" s="1"/>
  <c r="T44" i="28"/>
  <c r="U44" i="28" s="1"/>
  <c r="T43" i="28"/>
  <c r="U43" i="28" s="1"/>
  <c r="T42" i="28"/>
  <c r="U42" i="28" s="1"/>
  <c r="T41" i="28"/>
  <c r="U41" i="28" s="1"/>
  <c r="T40" i="28"/>
  <c r="U40" i="28" s="1"/>
  <c r="T39" i="28"/>
  <c r="U39" i="28" s="1"/>
  <c r="T38" i="28"/>
  <c r="U38" i="28" s="1"/>
  <c r="T37" i="28"/>
  <c r="U37" i="28" s="1"/>
  <c r="T36" i="28"/>
  <c r="U36" i="28" s="1"/>
  <c r="T35" i="28"/>
  <c r="U35" i="28" s="1"/>
  <c r="T34" i="28"/>
  <c r="U34" i="28" s="1"/>
  <c r="T33" i="28"/>
  <c r="U33" i="28" s="1"/>
  <c r="T32" i="28"/>
  <c r="U32" i="28" s="1"/>
  <c r="T31" i="28"/>
  <c r="U31" i="28" s="1"/>
  <c r="T30" i="28"/>
  <c r="U30" i="28" s="1"/>
  <c r="T29" i="28"/>
  <c r="U29" i="28" s="1"/>
  <c r="T28" i="28"/>
  <c r="U28" i="28" s="1"/>
  <c r="T27" i="28"/>
  <c r="U27" i="28" s="1"/>
  <c r="T26" i="28"/>
  <c r="U26" i="28" s="1"/>
  <c r="T25" i="28"/>
  <c r="U25" i="28" s="1"/>
  <c r="T24" i="28"/>
  <c r="U24" i="28" s="1"/>
  <c r="T23" i="28"/>
  <c r="U23" i="28" s="1"/>
  <c r="T22" i="28"/>
  <c r="U22" i="28" s="1"/>
  <c r="T21" i="28"/>
  <c r="U21" i="28" s="1"/>
  <c r="T20" i="28"/>
  <c r="U20" i="28" s="1"/>
  <c r="T19" i="28"/>
  <c r="U19" i="28" s="1"/>
  <c r="T18" i="28"/>
  <c r="U18" i="28" s="1"/>
  <c r="T17" i="28"/>
  <c r="U17" i="28" s="1"/>
  <c r="T16" i="28"/>
  <c r="U16" i="28" s="1"/>
  <c r="T15" i="28"/>
  <c r="U15" i="28" s="1"/>
  <c r="T14" i="28"/>
  <c r="U14" i="28" s="1"/>
  <c r="T13" i="28"/>
  <c r="U13" i="28" s="1"/>
  <c r="T12" i="28"/>
  <c r="U12" i="28" s="1"/>
  <c r="T11" i="28"/>
  <c r="U11" i="28" s="1"/>
  <c r="T10" i="28"/>
  <c r="U10" i="28" s="1"/>
  <c r="T9" i="28"/>
  <c r="U9" i="28" s="1"/>
  <c r="T8" i="28"/>
  <c r="U8" i="28" s="1"/>
  <c r="T7" i="28"/>
  <c r="U7" i="28" s="1"/>
  <c r="T6" i="28"/>
  <c r="U6" i="28" s="1"/>
  <c r="T5" i="28"/>
  <c r="U5" i="28" s="1"/>
  <c r="T4" i="28"/>
  <c r="U4" i="28" s="1"/>
  <c r="N123" i="28"/>
  <c r="N124" i="28" s="1"/>
  <c r="N125" i="28" s="1"/>
  <c r="M123" i="28"/>
  <c r="M124" i="28" s="1"/>
  <c r="M125" i="28" s="1"/>
  <c r="L123" i="28"/>
  <c r="L124" i="28" s="1"/>
  <c r="L125" i="28" s="1"/>
  <c r="K123" i="28"/>
  <c r="K124" i="28" s="1"/>
  <c r="K125" i="28" s="1"/>
  <c r="J123" i="28"/>
  <c r="J124" i="28" s="1"/>
  <c r="J125" i="28" s="1"/>
  <c r="I123" i="28"/>
  <c r="I124" i="28" s="1"/>
  <c r="I125" i="28" s="1"/>
  <c r="H123" i="28"/>
  <c r="H124" i="28" s="1"/>
  <c r="H125" i="28" s="1"/>
  <c r="G123" i="28"/>
  <c r="G124" i="28" s="1"/>
  <c r="G125" i="28" s="1"/>
  <c r="F123" i="28"/>
  <c r="F124" i="28" s="1"/>
  <c r="F125" i="28" s="1"/>
  <c r="U123" i="41"/>
  <c r="U124" i="41" s="1"/>
  <c r="U125" i="41" s="1"/>
  <c r="T123" i="41"/>
  <c r="T124" i="41" s="1"/>
  <c r="T125" i="41" s="1"/>
  <c r="S123" i="41"/>
  <c r="S124" i="41" s="1"/>
  <c r="S125" i="41" s="1"/>
  <c r="R123" i="41"/>
  <c r="R124" i="41" s="1"/>
  <c r="R125" i="41" s="1"/>
  <c r="Q123" i="41"/>
  <c r="Q124" i="41" s="1"/>
  <c r="Q125" i="41" s="1"/>
  <c r="P123" i="41"/>
  <c r="P124" i="41" s="1"/>
  <c r="P125" i="41" s="1"/>
  <c r="O123" i="41"/>
  <c r="O124" i="41" s="1"/>
  <c r="O125" i="41" s="1"/>
  <c r="AD121" i="41"/>
  <c r="AB119" i="41"/>
  <c r="AB121" i="41" s="1"/>
  <c r="AA119" i="41"/>
  <c r="Z119" i="41"/>
  <c r="Y119" i="41"/>
  <c r="X119" i="41"/>
  <c r="W119" i="41"/>
  <c r="V119" i="41"/>
  <c r="N119" i="41"/>
  <c r="M119" i="41"/>
  <c r="L119" i="41"/>
  <c r="K119" i="41"/>
  <c r="J119" i="41"/>
  <c r="I119" i="41"/>
  <c r="H119" i="41"/>
  <c r="G119" i="41"/>
  <c r="U115" i="29"/>
  <c r="M115" i="29"/>
  <c r="O115" i="29"/>
  <c r="AE124" i="41"/>
  <c r="AE125" i="41" s="1"/>
  <c r="AE133" i="41" s="1"/>
  <c r="AD123" i="41"/>
  <c r="AD124" i="41" s="1"/>
  <c r="AD125" i="41" s="1"/>
  <c r="AD133" i="41" s="1"/>
  <c r="AC123" i="41"/>
  <c r="AC124" i="41" s="1"/>
  <c r="AC125" i="41" s="1"/>
  <c r="AC133" i="41" s="1"/>
  <c r="AB123" i="41"/>
  <c r="AB124" i="41" s="1"/>
  <c r="AB125" i="41" s="1"/>
  <c r="AB133" i="41" s="1"/>
  <c r="Z123" i="41"/>
  <c r="Z124" i="41" s="1"/>
  <c r="D7" i="33" s="1"/>
  <c r="Y123" i="41"/>
  <c r="Y124" i="41" s="1"/>
  <c r="D6" i="33" s="1"/>
  <c r="N123" i="41"/>
  <c r="N124" i="41" s="1"/>
  <c r="N125" i="41" s="1"/>
  <c r="N133" i="41" s="1"/>
  <c r="M123" i="41"/>
  <c r="M124" i="41" s="1"/>
  <c r="M125" i="41" s="1"/>
  <c r="M133" i="41" s="1"/>
  <c r="L123" i="41"/>
  <c r="L124" i="41" s="1"/>
  <c r="L125" i="41" s="1"/>
  <c r="L133" i="41" s="1"/>
  <c r="K123" i="41"/>
  <c r="K124" i="41" s="1"/>
  <c r="K125" i="41" s="1"/>
  <c r="K133" i="41" s="1"/>
  <c r="J123" i="41"/>
  <c r="J124" i="41" s="1"/>
  <c r="J125" i="41" s="1"/>
  <c r="J133" i="41" s="1"/>
  <c r="I123" i="41"/>
  <c r="I124" i="41" s="1"/>
  <c r="I125" i="41" s="1"/>
  <c r="I133" i="41" s="1"/>
  <c r="H123" i="41"/>
  <c r="H124" i="41" s="1"/>
  <c r="H125" i="41" s="1"/>
  <c r="H133" i="41" s="1"/>
  <c r="G123" i="41"/>
  <c r="G124" i="41" s="1"/>
  <c r="G125" i="41" s="1"/>
  <c r="G133" i="41" s="1"/>
  <c r="AA123" i="41"/>
  <c r="AA124" i="41" s="1"/>
  <c r="AA125" i="41" s="1"/>
  <c r="AA133" i="41" s="1"/>
  <c r="X123" i="41"/>
  <c r="X124" i="41" s="1"/>
  <c r="D5" i="33" s="1"/>
  <c r="V123" i="41"/>
  <c r="V124" i="41" s="1"/>
  <c r="D3" i="33" s="1"/>
  <c r="W123" i="41"/>
  <c r="W124" i="41" s="1"/>
  <c r="D4" i="33" s="1"/>
  <c r="AA121" i="41"/>
  <c r="Z121" i="41"/>
  <c r="Y121" i="41"/>
  <c r="X121" i="41"/>
  <c r="W121" i="41"/>
  <c r="V121" i="41"/>
  <c r="N121" i="41"/>
  <c r="N126" i="41" s="1"/>
  <c r="M121" i="41"/>
  <c r="M126" i="41" s="1"/>
  <c r="L121" i="41"/>
  <c r="L126" i="41" s="1"/>
  <c r="K121" i="41"/>
  <c r="K126" i="41" s="1"/>
  <c r="J121" i="41"/>
  <c r="J126" i="41" s="1"/>
  <c r="I121" i="41"/>
  <c r="I126" i="41" s="1"/>
  <c r="H121" i="41"/>
  <c r="H126" i="41" s="1"/>
  <c r="G121" i="41"/>
  <c r="G126" i="41" s="1"/>
  <c r="D7" i="45"/>
  <c r="F7" i="45"/>
  <c r="F123" i="41"/>
  <c r="F124" i="41" s="1"/>
  <c r="F125" i="41" s="1"/>
  <c r="P3" i="29"/>
  <c r="AA3" i="29"/>
  <c r="AA5" i="29"/>
  <c r="C6" i="45"/>
  <c r="D6" i="45"/>
  <c r="F6" i="45"/>
  <c r="F4" i="45"/>
  <c r="F3" i="45"/>
  <c r="R3" i="29"/>
  <c r="C4" i="45"/>
  <c r="AJ126" i="41"/>
  <c r="AI126" i="41"/>
  <c r="AH126" i="41"/>
  <c r="AG126" i="41"/>
  <c r="AF126" i="41"/>
  <c r="AE126" i="41"/>
  <c r="AD126" i="41"/>
  <c r="AD132" i="41" s="1"/>
  <c r="AC126" i="41"/>
  <c r="AC132" i="41" s="1"/>
  <c r="AB126" i="41"/>
  <c r="AB132" i="41" s="1"/>
  <c r="AA126" i="41"/>
  <c r="AA132" i="41" s="1"/>
  <c r="AU21" i="26"/>
  <c r="AJ21" i="26"/>
  <c r="AL21" i="26" s="1"/>
  <c r="AN21" i="26"/>
  <c r="AO21" i="26" s="1"/>
  <c r="R115" i="26"/>
  <c r="R103" i="26"/>
  <c r="R105" i="26" s="1"/>
  <c r="AH107" i="26"/>
  <c r="AG107" i="26"/>
  <c r="AD107" i="26"/>
  <c r="AC107" i="26"/>
  <c r="AB107" i="26"/>
  <c r="AA107" i="26"/>
  <c r="Z107" i="26"/>
  <c r="Y107" i="26"/>
  <c r="X107" i="26"/>
  <c r="W107" i="26"/>
  <c r="V107" i="26"/>
  <c r="U107" i="26"/>
  <c r="T107" i="26"/>
  <c r="S107" i="26"/>
  <c r="R107" i="26"/>
  <c r="Q107" i="26"/>
  <c r="P107" i="26"/>
  <c r="O107" i="26"/>
  <c r="N107" i="26"/>
  <c r="M107" i="26"/>
  <c r="L107" i="26"/>
  <c r="K107" i="26"/>
  <c r="J107" i="26"/>
  <c r="I107" i="26"/>
  <c r="H107" i="26"/>
  <c r="G107" i="26"/>
  <c r="F107" i="26"/>
  <c r="AF107" i="26"/>
  <c r="AH35" i="27"/>
  <c r="AH36" i="27" s="1"/>
  <c r="AH34" i="27"/>
  <c r="AG35" i="27"/>
  <c r="AG36" i="27" s="1"/>
  <c r="AG34" i="27"/>
  <c r="AF35" i="27"/>
  <c r="AF34" i="27"/>
  <c r="AC35" i="27"/>
  <c r="AC34" i="27"/>
  <c r="AB35" i="27"/>
  <c r="AB34" i="27"/>
  <c r="AA35" i="27"/>
  <c r="AA34" i="27"/>
  <c r="Z35" i="27"/>
  <c r="Z34" i="27"/>
  <c r="Y35" i="27"/>
  <c r="Y34" i="27"/>
  <c r="X35" i="27"/>
  <c r="X34" i="27"/>
  <c r="W35" i="27"/>
  <c r="W34" i="27"/>
  <c r="V35" i="27"/>
  <c r="V34" i="27"/>
  <c r="U35" i="27"/>
  <c r="U34" i="27"/>
  <c r="T35" i="27"/>
  <c r="T34" i="27"/>
  <c r="S35" i="27"/>
  <c r="S34" i="27"/>
  <c r="R35" i="27"/>
  <c r="R34" i="27"/>
  <c r="Q35" i="27"/>
  <c r="Q36" i="27" s="1"/>
  <c r="Q43" i="27" s="1"/>
  <c r="Q34" i="27"/>
  <c r="E35" i="27"/>
  <c r="E34" i="27"/>
  <c r="F35" i="27"/>
  <c r="F34" i="27"/>
  <c r="G35" i="27"/>
  <c r="G34" i="27"/>
  <c r="H35" i="27"/>
  <c r="H34" i="27"/>
  <c r="AD33" i="27"/>
  <c r="K94" i="39"/>
  <c r="L3" i="39"/>
  <c r="O94" i="39"/>
  <c r="P4" i="39"/>
  <c r="Q4" i="39" s="1"/>
  <c r="P5" i="39"/>
  <c r="Q5" i="39" s="1"/>
  <c r="P6" i="39"/>
  <c r="Q6" i="39" s="1"/>
  <c r="P7" i="39"/>
  <c r="Q7" i="39" s="1"/>
  <c r="P8" i="39"/>
  <c r="Q8" i="39" s="1"/>
  <c r="P9" i="39"/>
  <c r="Q9" i="39" s="1"/>
  <c r="P10" i="39"/>
  <c r="Q10" i="39" s="1"/>
  <c r="P11" i="39"/>
  <c r="Q11" i="39" s="1"/>
  <c r="P12" i="39"/>
  <c r="Q12" i="39" s="1"/>
  <c r="P13" i="39"/>
  <c r="Q13" i="39" s="1"/>
  <c r="P14" i="39"/>
  <c r="Q14" i="39" s="1"/>
  <c r="P15" i="39"/>
  <c r="Q15" i="39" s="1"/>
  <c r="P16" i="39"/>
  <c r="Q16" i="39" s="1"/>
  <c r="P17" i="39"/>
  <c r="Q17" i="39" s="1"/>
  <c r="P18" i="39"/>
  <c r="Q18" i="39" s="1"/>
  <c r="P19" i="39"/>
  <c r="Q19" i="39" s="1"/>
  <c r="P20" i="39"/>
  <c r="Q20" i="39" s="1"/>
  <c r="P21" i="39"/>
  <c r="Q21" i="39" s="1"/>
  <c r="P22" i="39"/>
  <c r="Q22" i="39" s="1"/>
  <c r="P23" i="39"/>
  <c r="Q23" i="39" s="1"/>
  <c r="P24" i="39"/>
  <c r="Q24" i="39" s="1"/>
  <c r="P25" i="39"/>
  <c r="Q25" i="39" s="1"/>
  <c r="P26" i="39"/>
  <c r="Q26" i="39" s="1"/>
  <c r="P27" i="39"/>
  <c r="Q27" i="39" s="1"/>
  <c r="P28" i="39"/>
  <c r="Q28" i="39" s="1"/>
  <c r="P29" i="39"/>
  <c r="Q29" i="39" s="1"/>
  <c r="P30" i="39"/>
  <c r="Q30" i="39" s="1"/>
  <c r="P31" i="39"/>
  <c r="Q31" i="39" s="1"/>
  <c r="P32" i="39"/>
  <c r="Q32" i="39" s="1"/>
  <c r="P33" i="39"/>
  <c r="Q33" i="39" s="1"/>
  <c r="P34" i="39"/>
  <c r="Q34" i="39" s="1"/>
  <c r="P35" i="39"/>
  <c r="Q35" i="39" s="1"/>
  <c r="P36" i="39"/>
  <c r="Q36" i="39" s="1"/>
  <c r="P37" i="39"/>
  <c r="Q37" i="39" s="1"/>
  <c r="P38" i="39"/>
  <c r="Q38" i="39" s="1"/>
  <c r="P39" i="39"/>
  <c r="Q39" i="39" s="1"/>
  <c r="P40" i="39"/>
  <c r="Q40" i="39" s="1"/>
  <c r="P41" i="39"/>
  <c r="Q41" i="39" s="1"/>
  <c r="P42" i="39"/>
  <c r="Q42" i="39" s="1"/>
  <c r="P43" i="39"/>
  <c r="Q43" i="39" s="1"/>
  <c r="P44" i="39"/>
  <c r="Q44" i="39" s="1"/>
  <c r="P45" i="39"/>
  <c r="Q45" i="39" s="1"/>
  <c r="P46" i="39"/>
  <c r="Q46" i="39" s="1"/>
  <c r="P47" i="39"/>
  <c r="Q47" i="39" s="1"/>
  <c r="P48" i="39"/>
  <c r="Q48" i="39" s="1"/>
  <c r="P49" i="39"/>
  <c r="Q49" i="39" s="1"/>
  <c r="P50" i="39"/>
  <c r="Q50" i="39" s="1"/>
  <c r="P51" i="39"/>
  <c r="Q51" i="39" s="1"/>
  <c r="P52" i="39"/>
  <c r="Q52" i="39" s="1"/>
  <c r="P53" i="39"/>
  <c r="Q53" i="39" s="1"/>
  <c r="P54" i="39"/>
  <c r="Q54" i="39" s="1"/>
  <c r="P55" i="39"/>
  <c r="Q55" i="39" s="1"/>
  <c r="P56" i="39"/>
  <c r="Q56" i="39" s="1"/>
  <c r="P57" i="39"/>
  <c r="Q57" i="39" s="1"/>
  <c r="P58" i="39"/>
  <c r="Q58" i="39" s="1"/>
  <c r="P59" i="39"/>
  <c r="Q59" i="39" s="1"/>
  <c r="P60" i="39"/>
  <c r="Q60" i="39" s="1"/>
  <c r="P61" i="39"/>
  <c r="Q61" i="39" s="1"/>
  <c r="P62" i="39"/>
  <c r="Q62" i="39" s="1"/>
  <c r="P63" i="39"/>
  <c r="Q63" i="39" s="1"/>
  <c r="P64" i="39"/>
  <c r="Q64" i="39" s="1"/>
  <c r="P65" i="39"/>
  <c r="Q65" i="39" s="1"/>
  <c r="P66" i="39"/>
  <c r="Q66" i="39" s="1"/>
  <c r="P67" i="39"/>
  <c r="Q67" i="39" s="1"/>
  <c r="P68" i="39"/>
  <c r="Q68" i="39" s="1"/>
  <c r="P69" i="39"/>
  <c r="Q69" i="39" s="1"/>
  <c r="P70" i="39"/>
  <c r="Q70" i="39" s="1"/>
  <c r="P71" i="39"/>
  <c r="Q71" i="39" s="1"/>
  <c r="P72" i="39"/>
  <c r="Q72" i="39" s="1"/>
  <c r="P73" i="39"/>
  <c r="Q73" i="39" s="1"/>
  <c r="P74" i="39"/>
  <c r="Q74" i="39" s="1"/>
  <c r="P75" i="39"/>
  <c r="Q75" i="39" s="1"/>
  <c r="P76" i="39"/>
  <c r="Q76" i="39" s="1"/>
  <c r="P77" i="39"/>
  <c r="Q77" i="39" s="1"/>
  <c r="P78" i="39"/>
  <c r="Q78" i="39" s="1"/>
  <c r="P79" i="39"/>
  <c r="Q79" i="39" s="1"/>
  <c r="P80" i="39"/>
  <c r="Q80" i="39" s="1"/>
  <c r="P81" i="39"/>
  <c r="Q81" i="39" s="1"/>
  <c r="P82" i="39"/>
  <c r="Q82" i="39" s="1"/>
  <c r="P83" i="39"/>
  <c r="Q83" i="39" s="1"/>
  <c r="P84" i="39"/>
  <c r="Q84" i="39" s="1"/>
  <c r="P85" i="39"/>
  <c r="Q85" i="39" s="1"/>
  <c r="P86" i="39"/>
  <c r="Q86" i="39" s="1"/>
  <c r="P87" i="39"/>
  <c r="Q87" i="39" s="1"/>
  <c r="P88" i="39"/>
  <c r="Q88" i="39" s="1"/>
  <c r="P89" i="39"/>
  <c r="Q89" i="39" s="1"/>
  <c r="P90" i="39"/>
  <c r="Q90" i="39" s="1"/>
  <c r="P91" i="39"/>
  <c r="Q91" i="39" s="1"/>
  <c r="P92" i="39"/>
  <c r="Q92" i="39" s="1"/>
  <c r="P93" i="39"/>
  <c r="Q93" i="39" s="1"/>
  <c r="D115" i="39"/>
  <c r="D103" i="39"/>
  <c r="E115" i="39"/>
  <c r="E103" i="39"/>
  <c r="F115" i="39"/>
  <c r="F103" i="39"/>
  <c r="G115" i="39"/>
  <c r="G103" i="39"/>
  <c r="H115" i="39"/>
  <c r="H103" i="39"/>
  <c r="I115" i="39"/>
  <c r="I103" i="39"/>
  <c r="J115" i="39"/>
  <c r="J103" i="39"/>
  <c r="D107" i="39"/>
  <c r="D108" i="39" s="1"/>
  <c r="D109" i="39" s="1"/>
  <c r="E107" i="39"/>
  <c r="E108" i="39" s="1"/>
  <c r="E109" i="39" s="1"/>
  <c r="F107" i="39"/>
  <c r="F108" i="39" s="1"/>
  <c r="F109" i="39" s="1"/>
  <c r="G107" i="39"/>
  <c r="G108" i="39" s="1"/>
  <c r="G109" i="39" s="1"/>
  <c r="H107" i="39"/>
  <c r="H108" i="39" s="1"/>
  <c r="H109" i="39" s="1"/>
  <c r="I107" i="39"/>
  <c r="I108" i="39" s="1"/>
  <c r="I109" i="39" s="1"/>
  <c r="J107" i="39"/>
  <c r="J108" i="39" s="1"/>
  <c r="J109" i="39" s="1"/>
  <c r="AE107" i="26"/>
  <c r="AE109" i="26" s="1"/>
  <c r="AE117" i="26" s="1"/>
  <c r="AE35" i="27"/>
  <c r="AE34" i="27"/>
  <c r="H31" i="27"/>
  <c r="G31" i="27"/>
  <c r="F31" i="27"/>
  <c r="E31" i="27"/>
  <c r="D31" i="27"/>
  <c r="D35" i="27"/>
  <c r="D36" i="27" s="1"/>
  <c r="D34" i="27"/>
  <c r="AJ3" i="26"/>
  <c r="AL3" i="26" s="1"/>
  <c r="R26" i="36"/>
  <c r="O26" i="36" s="1"/>
  <c r="P26" i="36" s="1"/>
  <c r="Q26" i="36" s="1"/>
  <c r="R25" i="36"/>
  <c r="O25" i="36" s="1"/>
  <c r="P25" i="36" s="1"/>
  <c r="Q25" i="36" s="1"/>
  <c r="R24" i="36"/>
  <c r="O24" i="36" s="1"/>
  <c r="P24" i="36" s="1"/>
  <c r="Q24" i="36" s="1"/>
  <c r="R23" i="36"/>
  <c r="O23" i="36" s="1"/>
  <c r="P23" i="36" s="1"/>
  <c r="Q23" i="36" s="1"/>
  <c r="R22" i="36"/>
  <c r="O22" i="36" s="1"/>
  <c r="P22" i="36" s="1"/>
  <c r="Q22" i="36" s="1"/>
  <c r="R21" i="36"/>
  <c r="O21" i="36" s="1"/>
  <c r="P21" i="36" s="1"/>
  <c r="Q21" i="36" s="1"/>
  <c r="R20" i="36"/>
  <c r="O20" i="36" s="1"/>
  <c r="P20" i="36" s="1"/>
  <c r="Q20" i="36" s="1"/>
  <c r="R19" i="36"/>
  <c r="O19" i="36" s="1"/>
  <c r="P19" i="36" s="1"/>
  <c r="Q19" i="36" s="1"/>
  <c r="R18" i="36"/>
  <c r="O18" i="36" s="1"/>
  <c r="P18" i="36" s="1"/>
  <c r="Q18" i="36" s="1"/>
  <c r="R17" i="36"/>
  <c r="O17" i="36" s="1"/>
  <c r="P17" i="36" s="1"/>
  <c r="Q17" i="36" s="1"/>
  <c r="R16" i="36"/>
  <c r="O16" i="36" s="1"/>
  <c r="P16" i="36" s="1"/>
  <c r="Q16" i="36" s="1"/>
  <c r="R15" i="36"/>
  <c r="O15" i="36" s="1"/>
  <c r="P15" i="36" s="1"/>
  <c r="Q15" i="36" s="1"/>
  <c r="R14" i="36"/>
  <c r="O14" i="36" s="1"/>
  <c r="P14" i="36" s="1"/>
  <c r="Q14" i="36" s="1"/>
  <c r="R13" i="36"/>
  <c r="O13" i="36" s="1"/>
  <c r="P13" i="36" s="1"/>
  <c r="Q13" i="36" s="1"/>
  <c r="R12" i="36"/>
  <c r="O12" i="36" s="1"/>
  <c r="P12" i="36" s="1"/>
  <c r="Q12" i="36" s="1"/>
  <c r="R11" i="36"/>
  <c r="O11" i="36" s="1"/>
  <c r="P11" i="36" s="1"/>
  <c r="Q11" i="36" s="1"/>
  <c r="R10" i="36"/>
  <c r="O10" i="36" s="1"/>
  <c r="P10" i="36" s="1"/>
  <c r="Q10" i="36" s="1"/>
  <c r="R9" i="36"/>
  <c r="O9" i="36" s="1"/>
  <c r="P9" i="36" s="1"/>
  <c r="Q9" i="36" s="1"/>
  <c r="R8" i="36"/>
  <c r="O8" i="36" s="1"/>
  <c r="P8" i="36" s="1"/>
  <c r="Q8" i="36" s="1"/>
  <c r="R7" i="36"/>
  <c r="O7" i="36" s="1"/>
  <c r="P7" i="36" s="1"/>
  <c r="Q7" i="36" s="1"/>
  <c r="R6" i="36"/>
  <c r="O6" i="36" s="1"/>
  <c r="P6" i="36" s="1"/>
  <c r="Q6" i="36" s="1"/>
  <c r="R5" i="36"/>
  <c r="O5" i="36" s="1"/>
  <c r="P5" i="36" s="1"/>
  <c r="Q5" i="36" s="1"/>
  <c r="R4" i="36"/>
  <c r="O4" i="36" s="1"/>
  <c r="P4" i="36" s="1"/>
  <c r="Q4" i="36" s="1"/>
  <c r="L3" i="36"/>
  <c r="N3" i="36" s="1"/>
  <c r="P3" i="36"/>
  <c r="Q3" i="36" s="1"/>
  <c r="D31" i="36"/>
  <c r="E31" i="36"/>
  <c r="F31" i="36"/>
  <c r="G31" i="36"/>
  <c r="H31" i="36"/>
  <c r="I31" i="36"/>
  <c r="J31" i="36"/>
  <c r="D35" i="36"/>
  <c r="D36" i="36" s="1"/>
  <c r="D34" i="36"/>
  <c r="E35" i="36"/>
  <c r="E36" i="36" s="1"/>
  <c r="E34" i="36"/>
  <c r="F35" i="36"/>
  <c r="F36" i="36" s="1"/>
  <c r="F34" i="36"/>
  <c r="G35" i="36"/>
  <c r="G36" i="36" s="1"/>
  <c r="G34" i="36"/>
  <c r="H35" i="36"/>
  <c r="H34" i="36"/>
  <c r="I35" i="36"/>
  <c r="I34" i="36"/>
  <c r="J35" i="36"/>
  <c r="J36" i="36" s="1"/>
  <c r="J34" i="36"/>
  <c r="AA108" i="26"/>
  <c r="Y108" i="26"/>
  <c r="Z108" i="26"/>
  <c r="AU84" i="26"/>
  <c r="AJ84" i="26"/>
  <c r="AL84" i="26" s="1"/>
  <c r="AN84" i="26"/>
  <c r="AO84" i="26" s="1"/>
  <c r="AU18" i="26"/>
  <c r="AJ18" i="26"/>
  <c r="AL18" i="26" s="1"/>
  <c r="AN18" i="26"/>
  <c r="AO18" i="26" s="1"/>
  <c r="X108" i="26"/>
  <c r="D107" i="26"/>
  <c r="U108" i="26"/>
  <c r="AF31" i="27"/>
  <c r="AE31" i="27"/>
  <c r="AC31" i="27"/>
  <c r="AB31" i="27"/>
  <c r="AA31" i="27"/>
  <c r="Z31" i="27"/>
  <c r="Y31" i="27"/>
  <c r="X31" i="27"/>
  <c r="W31" i="27"/>
  <c r="V31" i="27"/>
  <c r="U31" i="27"/>
  <c r="T31" i="27"/>
  <c r="S31" i="27"/>
  <c r="Q42" i="27"/>
  <c r="R31" i="27"/>
  <c r="AI41" i="27"/>
  <c r="AI40" i="27"/>
  <c r="AI39" i="27"/>
  <c r="AI38" i="27"/>
  <c r="AI32" i="27"/>
  <c r="AI33" i="27" s="1"/>
  <c r="AI28" i="27"/>
  <c r="AI29" i="27" s="1"/>
  <c r="AI31" i="27" s="1"/>
  <c r="AP54" i="26"/>
  <c r="AM54" i="26"/>
  <c r="AN3" i="26"/>
  <c r="AB108" i="26"/>
  <c r="W108" i="26"/>
  <c r="V108" i="26"/>
  <c r="T108" i="26"/>
  <c r="S108" i="26"/>
  <c r="R108" i="26"/>
  <c r="E107" i="26"/>
  <c r="P33" i="27"/>
  <c r="O33" i="27"/>
  <c r="N33" i="27"/>
  <c r="M33" i="27"/>
  <c r="L33" i="27"/>
  <c r="K33" i="27"/>
  <c r="J33" i="27"/>
  <c r="I33" i="27"/>
  <c r="L27" i="31"/>
  <c r="N3" i="31"/>
  <c r="N27" i="31" s="1"/>
  <c r="P3" i="31"/>
  <c r="P4" i="31"/>
  <c r="P5" i="31"/>
  <c r="P6" i="31"/>
  <c r="P7" i="31"/>
  <c r="P8" i="31"/>
  <c r="P9" i="31"/>
  <c r="P10" i="31"/>
  <c r="P11" i="31"/>
  <c r="P12" i="31"/>
  <c r="P13" i="31"/>
  <c r="P14" i="31"/>
  <c r="P15" i="31"/>
  <c r="P16" i="31"/>
  <c r="P17" i="31"/>
  <c r="P18" i="31"/>
  <c r="P19" i="31"/>
  <c r="P20" i="31"/>
  <c r="P21" i="31"/>
  <c r="P22" i="31"/>
  <c r="P23" i="31"/>
  <c r="P24" i="31"/>
  <c r="P25" i="31"/>
  <c r="P26" i="31"/>
  <c r="P26" i="30"/>
  <c r="M26" i="30" s="1"/>
  <c r="N26" i="30" s="1"/>
  <c r="O26" i="30" s="1"/>
  <c r="P25" i="30"/>
  <c r="M25" i="30" s="1"/>
  <c r="N25" i="30" s="1"/>
  <c r="O25" i="30" s="1"/>
  <c r="P24" i="30"/>
  <c r="M24" i="30" s="1"/>
  <c r="N24" i="30" s="1"/>
  <c r="O24" i="30" s="1"/>
  <c r="P23" i="30"/>
  <c r="M23" i="30" s="1"/>
  <c r="N23" i="30" s="1"/>
  <c r="O23" i="30" s="1"/>
  <c r="P22" i="30"/>
  <c r="M22" i="30" s="1"/>
  <c r="N22" i="30" s="1"/>
  <c r="O22" i="30" s="1"/>
  <c r="P21" i="30"/>
  <c r="M21" i="30" s="1"/>
  <c r="N21" i="30" s="1"/>
  <c r="O21" i="30" s="1"/>
  <c r="P20" i="30"/>
  <c r="M20" i="30" s="1"/>
  <c r="N20" i="30" s="1"/>
  <c r="O20" i="30" s="1"/>
  <c r="P19" i="30"/>
  <c r="M19" i="30" s="1"/>
  <c r="N19" i="30" s="1"/>
  <c r="O19" i="30" s="1"/>
  <c r="P18" i="30"/>
  <c r="M18" i="30" s="1"/>
  <c r="N18" i="30" s="1"/>
  <c r="O18" i="30" s="1"/>
  <c r="P17" i="30"/>
  <c r="M17" i="30" s="1"/>
  <c r="N17" i="30" s="1"/>
  <c r="O17" i="30" s="1"/>
  <c r="P16" i="30"/>
  <c r="M16" i="30" s="1"/>
  <c r="N16" i="30" s="1"/>
  <c r="O16" i="30" s="1"/>
  <c r="P15" i="30"/>
  <c r="M15" i="30" s="1"/>
  <c r="N15" i="30" s="1"/>
  <c r="O15" i="30" s="1"/>
  <c r="P14" i="30"/>
  <c r="M14" i="30" s="1"/>
  <c r="N14" i="30" s="1"/>
  <c r="O14" i="30" s="1"/>
  <c r="P13" i="30"/>
  <c r="M13" i="30" s="1"/>
  <c r="N13" i="30" s="1"/>
  <c r="O13" i="30" s="1"/>
  <c r="P12" i="30"/>
  <c r="M12" i="30" s="1"/>
  <c r="N12" i="30" s="1"/>
  <c r="O12" i="30" s="1"/>
  <c r="P11" i="30"/>
  <c r="M11" i="30" s="1"/>
  <c r="N11" i="30" s="1"/>
  <c r="O11" i="30" s="1"/>
  <c r="P10" i="30"/>
  <c r="M10" i="30" s="1"/>
  <c r="N10" i="30" s="1"/>
  <c r="O10" i="30" s="1"/>
  <c r="P9" i="30"/>
  <c r="M9" i="30" s="1"/>
  <c r="N9" i="30" s="1"/>
  <c r="O9" i="30" s="1"/>
  <c r="P8" i="30"/>
  <c r="M8" i="30" s="1"/>
  <c r="N8" i="30" s="1"/>
  <c r="O8" i="30" s="1"/>
  <c r="P7" i="30"/>
  <c r="M7" i="30" s="1"/>
  <c r="N7" i="30" s="1"/>
  <c r="O7" i="30" s="1"/>
  <c r="P6" i="30"/>
  <c r="M6" i="30" s="1"/>
  <c r="N6" i="30" s="1"/>
  <c r="O6" i="30" s="1"/>
  <c r="P5" i="30"/>
  <c r="M5" i="30" s="1"/>
  <c r="N5" i="30" s="1"/>
  <c r="O5" i="30" s="1"/>
  <c r="P4" i="30"/>
  <c r="M4" i="30" s="1"/>
  <c r="N4" i="30" s="1"/>
  <c r="O4" i="30" s="1"/>
  <c r="N3" i="30"/>
  <c r="O3" i="30" s="1"/>
  <c r="AP26" i="27"/>
  <c r="AM26" i="27" s="1"/>
  <c r="AN26" i="27" s="1"/>
  <c r="AO26" i="27" s="1"/>
  <c r="AP25" i="27"/>
  <c r="AM25" i="27" s="1"/>
  <c r="AN25" i="27" s="1"/>
  <c r="AO25" i="27" s="1"/>
  <c r="AP24" i="27"/>
  <c r="AM24" i="27" s="1"/>
  <c r="AN24" i="27" s="1"/>
  <c r="AO24" i="27" s="1"/>
  <c r="AP23" i="27"/>
  <c r="AM23" i="27" s="1"/>
  <c r="AN23" i="27" s="1"/>
  <c r="AO23" i="27" s="1"/>
  <c r="AP22" i="27"/>
  <c r="AM22" i="27" s="1"/>
  <c r="AN22" i="27" s="1"/>
  <c r="AO22" i="27" s="1"/>
  <c r="AP21" i="27"/>
  <c r="AM21" i="27" s="1"/>
  <c r="AN21" i="27" s="1"/>
  <c r="AO21" i="27" s="1"/>
  <c r="AP20" i="27"/>
  <c r="AM20" i="27" s="1"/>
  <c r="AN20" i="27" s="1"/>
  <c r="AO20" i="27" s="1"/>
  <c r="AP19" i="27"/>
  <c r="AM19" i="27" s="1"/>
  <c r="AN19" i="27" s="1"/>
  <c r="AO19" i="27" s="1"/>
  <c r="AP18" i="27"/>
  <c r="AM18" i="27" s="1"/>
  <c r="AN18" i="27" s="1"/>
  <c r="AO18" i="27" s="1"/>
  <c r="AP17" i="27"/>
  <c r="AM17" i="27" s="1"/>
  <c r="AN17" i="27" s="1"/>
  <c r="AO17" i="27" s="1"/>
  <c r="AP16" i="27"/>
  <c r="AM16" i="27" s="1"/>
  <c r="AN16" i="27" s="1"/>
  <c r="AO16" i="27" s="1"/>
  <c r="AP15" i="27"/>
  <c r="AM15" i="27" s="1"/>
  <c r="AN15" i="27" s="1"/>
  <c r="AO15" i="27" s="1"/>
  <c r="AP14" i="27"/>
  <c r="AM14" i="27" s="1"/>
  <c r="AN14" i="27" s="1"/>
  <c r="AO14" i="27" s="1"/>
  <c r="AP13" i="27"/>
  <c r="AM13" i="27" s="1"/>
  <c r="AN13" i="27" s="1"/>
  <c r="AO13" i="27" s="1"/>
  <c r="AP12" i="27"/>
  <c r="AM12" i="27" s="1"/>
  <c r="AN12" i="27" s="1"/>
  <c r="AO12" i="27" s="1"/>
  <c r="AP11" i="27"/>
  <c r="AM11" i="27" s="1"/>
  <c r="AN11" i="27" s="1"/>
  <c r="AO11" i="27" s="1"/>
  <c r="AP10" i="27"/>
  <c r="AM10" i="27" s="1"/>
  <c r="AN10" i="27" s="1"/>
  <c r="AO10" i="27" s="1"/>
  <c r="AP9" i="27"/>
  <c r="AM9" i="27" s="1"/>
  <c r="AN9" i="27" s="1"/>
  <c r="AO9" i="27" s="1"/>
  <c r="AP8" i="27"/>
  <c r="AM8" i="27" s="1"/>
  <c r="AN8" i="27" s="1"/>
  <c r="AO8" i="27" s="1"/>
  <c r="AP7" i="27"/>
  <c r="AM7" i="27" s="1"/>
  <c r="AN7" i="27" s="1"/>
  <c r="AO7" i="27" s="1"/>
  <c r="AP6" i="27"/>
  <c r="AM6" i="27" s="1"/>
  <c r="AN6" i="27" s="1"/>
  <c r="AO6" i="27" s="1"/>
  <c r="AP5" i="27"/>
  <c r="AM5" i="27" s="1"/>
  <c r="AN5" i="27" s="1"/>
  <c r="AO5" i="27" s="1"/>
  <c r="AP4" i="27"/>
  <c r="AM4" i="27" s="1"/>
  <c r="AN4" i="27" s="1"/>
  <c r="AO4" i="27" s="1"/>
  <c r="AU3" i="27"/>
  <c r="AJ3" i="27"/>
  <c r="AL3" i="27" s="1"/>
  <c r="AN3" i="27"/>
  <c r="AO3" i="27" s="1"/>
  <c r="AJ93" i="26"/>
  <c r="AL93" i="26" s="1"/>
  <c r="AJ92" i="26"/>
  <c r="AL92" i="26" s="1"/>
  <c r="AJ91" i="26"/>
  <c r="AL91" i="26" s="1"/>
  <c r="AJ90" i="26"/>
  <c r="AL90" i="26" s="1"/>
  <c r="AJ89" i="26"/>
  <c r="AL89" i="26" s="1"/>
  <c r="AU88" i="26"/>
  <c r="AJ88" i="26"/>
  <c r="AL88" i="26" s="1"/>
  <c r="AU87" i="26"/>
  <c r="AJ87" i="26"/>
  <c r="AL87" i="26" s="1"/>
  <c r="AU86" i="26"/>
  <c r="AJ86" i="26"/>
  <c r="AL86" i="26" s="1"/>
  <c r="AJ85" i="26"/>
  <c r="AL85" i="26" s="1"/>
  <c r="AJ83" i="26"/>
  <c r="AL83" i="26" s="1"/>
  <c r="AU82" i="26"/>
  <c r="AJ82" i="26"/>
  <c r="AL82" i="26" s="1"/>
  <c r="AJ81" i="26"/>
  <c r="AL81" i="26" s="1"/>
  <c r="AJ80" i="26"/>
  <c r="AL80" i="26" s="1"/>
  <c r="AU78" i="26"/>
  <c r="AJ78" i="26"/>
  <c r="AL78" i="26" s="1"/>
  <c r="AU77" i="26"/>
  <c r="AJ77" i="26"/>
  <c r="AL77" i="26" s="1"/>
  <c r="AJ76" i="26"/>
  <c r="AL76" i="26" s="1"/>
  <c r="AJ75" i="26"/>
  <c r="AL75" i="26" s="1"/>
  <c r="AJ74" i="26"/>
  <c r="AL74" i="26" s="1"/>
  <c r="AU73" i="26"/>
  <c r="AJ73" i="26"/>
  <c r="AL73" i="26" s="1"/>
  <c r="AJ79" i="26"/>
  <c r="AL79" i="26" s="1"/>
  <c r="AJ72" i="26"/>
  <c r="AL72" i="26" s="1"/>
  <c r="AU71" i="26"/>
  <c r="AJ71" i="26"/>
  <c r="AL71" i="26" s="1"/>
  <c r="AU70" i="26"/>
  <c r="AJ70" i="26"/>
  <c r="AL70" i="26" s="1"/>
  <c r="AJ69" i="26"/>
  <c r="AL69" i="26" s="1"/>
  <c r="AJ67" i="26"/>
  <c r="AL67" i="26" s="1"/>
  <c r="AU65" i="26"/>
  <c r="AJ65" i="26"/>
  <c r="AL65" i="26" s="1"/>
  <c r="AJ64" i="26"/>
  <c r="AL64" i="26" s="1"/>
  <c r="AJ63" i="26"/>
  <c r="AL63" i="26" s="1"/>
  <c r="AU62" i="26"/>
  <c r="AJ62" i="26"/>
  <c r="AL62" i="26" s="1"/>
  <c r="AU61" i="26"/>
  <c r="AJ61" i="26"/>
  <c r="AL61" i="26" s="1"/>
  <c r="AU60" i="26"/>
  <c r="AJ60" i="26"/>
  <c r="AL60" i="26" s="1"/>
  <c r="AJ59" i="26"/>
  <c r="AL59" i="26" s="1"/>
  <c r="AJ58" i="26"/>
  <c r="AL58" i="26" s="1"/>
  <c r="AU68" i="26"/>
  <c r="AJ68" i="26"/>
  <c r="AL68" i="26" s="1"/>
  <c r="AJ57" i="26"/>
  <c r="AL57" i="26" s="1"/>
  <c r="AJ56" i="26"/>
  <c r="AL56" i="26" s="1"/>
  <c r="AU55" i="26"/>
  <c r="AJ55" i="26"/>
  <c r="AL55" i="26" s="1"/>
  <c r="AU54" i="26"/>
  <c r="AJ54" i="26"/>
  <c r="AL54" i="26" s="1"/>
  <c r="AJ53" i="26"/>
  <c r="AL53" i="26" s="1"/>
  <c r="AJ52" i="26"/>
  <c r="AL52" i="26" s="1"/>
  <c r="AU51" i="26"/>
  <c r="AJ51" i="26"/>
  <c r="AL51" i="26" s="1"/>
  <c r="AJ50" i="26"/>
  <c r="AL50" i="26" s="1"/>
  <c r="AJ49" i="26"/>
  <c r="AL49" i="26" s="1"/>
  <c r="AU48" i="26"/>
  <c r="AJ48" i="26"/>
  <c r="AL48" i="26" s="1"/>
  <c r="AJ47" i="26"/>
  <c r="AL47" i="26" s="1"/>
  <c r="AJ46" i="26"/>
  <c r="AL46" i="26" s="1"/>
  <c r="AJ45" i="26"/>
  <c r="AL45" i="26" s="1"/>
  <c r="AJ44" i="26"/>
  <c r="AL44" i="26" s="1"/>
  <c r="AU43" i="26"/>
  <c r="AJ43" i="26"/>
  <c r="AL43" i="26" s="1"/>
  <c r="AJ41" i="26"/>
  <c r="AL41" i="26" s="1"/>
  <c r="AJ40" i="26"/>
  <c r="AL40" i="26" s="1"/>
  <c r="AJ39" i="26"/>
  <c r="AL39" i="26" s="1"/>
  <c r="AU38" i="26"/>
  <c r="AJ38" i="26"/>
  <c r="AL38" i="26" s="1"/>
  <c r="AJ37" i="26"/>
  <c r="AL37" i="26" s="1"/>
  <c r="AJ42" i="26"/>
  <c r="AL42" i="26" s="1"/>
  <c r="AJ36" i="26"/>
  <c r="AL36" i="26" s="1"/>
  <c r="AU35" i="26"/>
  <c r="AJ35" i="26"/>
  <c r="AL35" i="26" s="1"/>
  <c r="AJ34" i="26"/>
  <c r="AL34" i="26" s="1"/>
  <c r="AJ33" i="26"/>
  <c r="AL33" i="26" s="1"/>
  <c r="AU32" i="26"/>
  <c r="AJ32" i="26"/>
  <c r="AL32" i="26" s="1"/>
  <c r="AU31" i="26"/>
  <c r="AJ31" i="26"/>
  <c r="AL31" i="26" s="1"/>
  <c r="AJ30" i="26"/>
  <c r="AL30" i="26" s="1"/>
  <c r="AJ27" i="26"/>
  <c r="AL27" i="26" s="1"/>
  <c r="AU26" i="26"/>
  <c r="AJ26" i="26"/>
  <c r="AL26" i="26" s="1"/>
  <c r="AJ25" i="26"/>
  <c r="AL25" i="26" s="1"/>
  <c r="AJ24" i="26"/>
  <c r="AL24" i="26" s="1"/>
  <c r="AU23" i="26"/>
  <c r="AJ23" i="26"/>
  <c r="AL23" i="26" s="1"/>
  <c r="AU22" i="26"/>
  <c r="AJ22" i="26"/>
  <c r="AL22" i="26" s="1"/>
  <c r="AJ20" i="26"/>
  <c r="AL20" i="26" s="1"/>
  <c r="AJ19" i="26"/>
  <c r="AL19" i="26" s="1"/>
  <c r="AJ28" i="26"/>
  <c r="AL28" i="26" s="1"/>
  <c r="AJ17" i="26"/>
  <c r="AL17" i="26" s="1"/>
  <c r="AU16" i="26"/>
  <c r="AJ16" i="26"/>
  <c r="AL16" i="26" s="1"/>
  <c r="AU15" i="26"/>
  <c r="AJ15" i="26"/>
  <c r="AL15" i="26" s="1"/>
  <c r="AJ14" i="26"/>
  <c r="AL14" i="26" s="1"/>
  <c r="AJ13" i="26"/>
  <c r="AL13" i="26" s="1"/>
  <c r="AJ12" i="26"/>
  <c r="AL12" i="26" s="1"/>
  <c r="AJ11" i="26"/>
  <c r="AL11" i="26" s="1"/>
  <c r="AJ10" i="26"/>
  <c r="AL10" i="26" s="1"/>
  <c r="AJ9" i="26"/>
  <c r="AL9" i="26" s="1"/>
  <c r="AU8" i="26"/>
  <c r="AJ8" i="26"/>
  <c r="AL8" i="26" s="1"/>
  <c r="AU7" i="26"/>
  <c r="AJ7" i="26"/>
  <c r="AL7" i="26" s="1"/>
  <c r="AJ6" i="26"/>
  <c r="AL6" i="26" s="1"/>
  <c r="AJ4" i="26"/>
  <c r="AL4" i="26" s="1"/>
  <c r="AJ66" i="26"/>
  <c r="AL66" i="26" s="1"/>
  <c r="AJ29" i="26"/>
  <c r="AL29" i="26" s="1"/>
  <c r="AJ5" i="26"/>
  <c r="AL5" i="26" s="1"/>
  <c r="AU3" i="26"/>
  <c r="AO3" i="26"/>
  <c r="AP52" i="26"/>
  <c r="AN52" i="26" s="1"/>
  <c r="AO52" i="26" s="1"/>
  <c r="AP47" i="26"/>
  <c r="AP72" i="26"/>
  <c r="AP41" i="26"/>
  <c r="AP4" i="26"/>
  <c r="AP57" i="26"/>
  <c r="AP27" i="26"/>
  <c r="AN27" i="26" s="1"/>
  <c r="AO27" i="26" s="1"/>
  <c r="AP93" i="26"/>
  <c r="AP6" i="26"/>
  <c r="AP13" i="26"/>
  <c r="AP20" i="26"/>
  <c r="AP34" i="26"/>
  <c r="AP63" i="26"/>
  <c r="AP46" i="26"/>
  <c r="AN46" i="26" s="1"/>
  <c r="AO46" i="26" s="1"/>
  <c r="AP69" i="26"/>
  <c r="AP78" i="26"/>
  <c r="AP14" i="26"/>
  <c r="AN14" i="26" s="1"/>
  <c r="AO14" i="26" s="1"/>
  <c r="AP30" i="26"/>
  <c r="AN30" i="26" s="1"/>
  <c r="AO30" i="26" s="1"/>
  <c r="AP55" i="26"/>
  <c r="AP85" i="26"/>
  <c r="AN85" i="26" s="1"/>
  <c r="AO85" i="26" s="1"/>
  <c r="AU11" i="26"/>
  <c r="AU90" i="26"/>
  <c r="AP8" i="26"/>
  <c r="AP11" i="26"/>
  <c r="AP70" i="26"/>
  <c r="AP79" i="26"/>
  <c r="AP81" i="26"/>
  <c r="AN81" i="26" s="1"/>
  <c r="AO81" i="26" s="1"/>
  <c r="AP19" i="26"/>
  <c r="AN19" i="26" s="1"/>
  <c r="AO19" i="26" s="1"/>
  <c r="AP22" i="26"/>
  <c r="AP25" i="26"/>
  <c r="AP35" i="26"/>
  <c r="AP38" i="26"/>
  <c r="AP64" i="26"/>
  <c r="AN64" i="26" s="1"/>
  <c r="AO64" i="26" s="1"/>
  <c r="AP76" i="26"/>
  <c r="AN76" i="26" s="1"/>
  <c r="AO76" i="26" s="1"/>
  <c r="AP80" i="26"/>
  <c r="AN80" i="26" s="1"/>
  <c r="AO80" i="26" s="1"/>
  <c r="AP15" i="26"/>
  <c r="AU39" i="26"/>
  <c r="AP71" i="26"/>
  <c r="AP73" i="26"/>
  <c r="AP37" i="26"/>
  <c r="AP82" i="26"/>
  <c r="AP88" i="26"/>
  <c r="AN88" i="26" s="1"/>
  <c r="AO88" i="26" s="1"/>
  <c r="AP92" i="26"/>
  <c r="AN4" i="26"/>
  <c r="AO4" i="26" s="1"/>
  <c r="AP68" i="26"/>
  <c r="AP90" i="26"/>
  <c r="AN6" i="26"/>
  <c r="AO6" i="26" s="1"/>
  <c r="AP43" i="26"/>
  <c r="AP50" i="26"/>
  <c r="AP56" i="26"/>
  <c r="AP60" i="26"/>
  <c r="AP86" i="26"/>
  <c r="AP89" i="26"/>
  <c r="AP10" i="26"/>
  <c r="AP24" i="26"/>
  <c r="AP48" i="26"/>
  <c r="AN54" i="26"/>
  <c r="AO54" i="26" s="1"/>
  <c r="AP67" i="26"/>
  <c r="AN67" i="26" s="1"/>
  <c r="AO67" i="26" s="1"/>
  <c r="AP75" i="26"/>
  <c r="AN92" i="26"/>
  <c r="AO92" i="26" s="1"/>
  <c r="AP39" i="26"/>
  <c r="AN39" i="26" s="1"/>
  <c r="AO39" i="26" s="1"/>
  <c r="AP40" i="26"/>
  <c r="AN40" i="26" s="1"/>
  <c r="AO40" i="26" s="1"/>
  <c r="AP83" i="26"/>
  <c r="AN93" i="26"/>
  <c r="AO93" i="26" s="1"/>
  <c r="AP9" i="26"/>
  <c r="AN9" i="26" s="1"/>
  <c r="AO9" i="26" s="1"/>
  <c r="AU52" i="26"/>
  <c r="AP59" i="26"/>
  <c r="AP62" i="26"/>
  <c r="AP74" i="26"/>
  <c r="AP7" i="26"/>
  <c r="AN7" i="26" s="1"/>
  <c r="AO7" i="26" s="1"/>
  <c r="AP17" i="26"/>
  <c r="AN17" i="26" s="1"/>
  <c r="AO17" i="26" s="1"/>
  <c r="AP23" i="26"/>
  <c r="AP36" i="26"/>
  <c r="AN36" i="26" s="1"/>
  <c r="AO36" i="26" s="1"/>
  <c r="AP42" i="26"/>
  <c r="AN42" i="26" s="1"/>
  <c r="AO42" i="26" s="1"/>
  <c r="AP45" i="26"/>
  <c r="AN45" i="26" s="1"/>
  <c r="AO45" i="26" s="1"/>
  <c r="AP58" i="26"/>
  <c r="AP65" i="26"/>
  <c r="AP66" i="26"/>
  <c r="AN66" i="26" s="1"/>
  <c r="AO66" i="26" s="1"/>
  <c r="AP77" i="26"/>
  <c r="AN77" i="26" s="1"/>
  <c r="AO77" i="26" s="1"/>
  <c r="AU89" i="26"/>
  <c r="AP91" i="26"/>
  <c r="AN91" i="26" s="1"/>
  <c r="AO91" i="26" s="1"/>
  <c r="AP12" i="26"/>
  <c r="AP32" i="26"/>
  <c r="AU41" i="26"/>
  <c r="AU47" i="26"/>
  <c r="AP61" i="26"/>
  <c r="AN69" i="26"/>
  <c r="AO69" i="26" s="1"/>
  <c r="AP87" i="26"/>
  <c r="AU12" i="26"/>
  <c r="AU24" i="26"/>
  <c r="AP33" i="26"/>
  <c r="AP28" i="26"/>
  <c r="AP31" i="26"/>
  <c r="AN31" i="26" s="1"/>
  <c r="AO31" i="26" s="1"/>
  <c r="AP5" i="26"/>
  <c r="AP16" i="26"/>
  <c r="AP29" i="26"/>
  <c r="AP44" i="26"/>
  <c r="AN44" i="26" s="1"/>
  <c r="AO44" i="26" s="1"/>
  <c r="AP26" i="26"/>
  <c r="AP51" i="26"/>
  <c r="AU10" i="26"/>
  <c r="AP49" i="26"/>
  <c r="AN49" i="26" s="1"/>
  <c r="AO49" i="26" s="1"/>
  <c r="AP53" i="26"/>
  <c r="AN53" i="26" s="1"/>
  <c r="AO53" i="26" s="1"/>
  <c r="AN63" i="26"/>
  <c r="AO63" i="26" s="1"/>
  <c r="AJ11" i="25"/>
  <c r="AJ12" i="25"/>
  <c r="AJ28" i="25"/>
  <c r="AJ33" i="25"/>
  <c r="AK66" i="25"/>
  <c r="AL66" i="25" s="1"/>
  <c r="AM66" i="25" s="1"/>
  <c r="AK50" i="25"/>
  <c r="AK58" i="25"/>
  <c r="AK10" i="25"/>
  <c r="AK90" i="25"/>
  <c r="AK82" i="25"/>
  <c r="AL82" i="25" s="1"/>
  <c r="AM82" i="25" s="1"/>
  <c r="AK74" i="25"/>
  <c r="AK42" i="25"/>
  <c r="AK34" i="25"/>
  <c r="AK26" i="25"/>
  <c r="AK18" i="25"/>
  <c r="AK35" i="25"/>
  <c r="AK93" i="25"/>
  <c r="AK61" i="25"/>
  <c r="AK29" i="25"/>
  <c r="AK5" i="25"/>
  <c r="AT11" i="25"/>
  <c r="AJ57" i="25"/>
  <c r="AJ41" i="25"/>
  <c r="AK94" i="25"/>
  <c r="AL94" i="25" s="1"/>
  <c r="AM94" i="25" s="1"/>
  <c r="AK86" i="25"/>
  <c r="AL86" i="25" s="1"/>
  <c r="AM86" i="25" s="1"/>
  <c r="AK78" i="25"/>
  <c r="AL78" i="25" s="1"/>
  <c r="AM78" i="25" s="1"/>
  <c r="AK70" i="25"/>
  <c r="AK62" i="25"/>
  <c r="AL62" i="25" s="1"/>
  <c r="AM62" i="25" s="1"/>
  <c r="AK54" i="25"/>
  <c r="AL54" i="25" s="1"/>
  <c r="AM54" i="25" s="1"/>
  <c r="AK46" i="25"/>
  <c r="AL46" i="25" s="1"/>
  <c r="AM46" i="25" s="1"/>
  <c r="AK38" i="25"/>
  <c r="AK30" i="25"/>
  <c r="AK22" i="25"/>
  <c r="AK14" i="25"/>
  <c r="AL14" i="25" s="1"/>
  <c r="AM14" i="25" s="1"/>
  <c r="AK6" i="25"/>
  <c r="AL6" i="25" s="1"/>
  <c r="AM6" i="25" s="1"/>
  <c r="AK77" i="25"/>
  <c r="AK21" i="25"/>
  <c r="AJ17" i="25"/>
  <c r="AK88" i="25"/>
  <c r="AK80" i="25"/>
  <c r="AK72" i="25"/>
  <c r="AK64" i="25"/>
  <c r="AK56" i="25"/>
  <c r="AK48" i="25"/>
  <c r="AL48" i="25" s="1"/>
  <c r="AM48" i="25" s="1"/>
  <c r="AK40" i="25"/>
  <c r="AK32" i="25"/>
  <c r="AK24" i="25"/>
  <c r="AK16" i="25"/>
  <c r="AK8" i="25"/>
  <c r="AK92" i="25"/>
  <c r="AL92" i="25" s="1"/>
  <c r="AM92" i="25" s="1"/>
  <c r="AK84" i="25"/>
  <c r="AK76" i="25"/>
  <c r="AK68" i="25"/>
  <c r="AK60" i="25"/>
  <c r="AK52" i="25"/>
  <c r="AK44" i="25"/>
  <c r="AL44" i="25" s="1"/>
  <c r="AM44" i="25" s="1"/>
  <c r="AK36" i="25"/>
  <c r="AL36" i="25" s="1"/>
  <c r="AM36" i="25" s="1"/>
  <c r="AK28" i="25"/>
  <c r="AK20" i="25"/>
  <c r="AL20" i="25" s="1"/>
  <c r="AM20" i="25" s="1"/>
  <c r="AK12" i="25"/>
  <c r="AK4" i="25"/>
  <c r="AK53" i="25"/>
  <c r="AL53" i="25" s="1"/>
  <c r="AM53" i="25" s="1"/>
  <c r="AJ65" i="25"/>
  <c r="AN3" i="25"/>
  <c r="AK3" i="25" s="1"/>
  <c r="AL3" i="25" s="1"/>
  <c r="AM3" i="25" s="1"/>
  <c r="AK87" i="25"/>
  <c r="AK79" i="25"/>
  <c r="AL79" i="25" s="1"/>
  <c r="AM79" i="25" s="1"/>
  <c r="AK71" i="25"/>
  <c r="AK63" i="25"/>
  <c r="AL63" i="25" s="1"/>
  <c r="AM63" i="25" s="1"/>
  <c r="AK55" i="25"/>
  <c r="AK47" i="25"/>
  <c r="AK39" i="25"/>
  <c r="AK31" i="25"/>
  <c r="AL31" i="25" s="1"/>
  <c r="AM31" i="25" s="1"/>
  <c r="AK23" i="25"/>
  <c r="AL23" i="25" s="1"/>
  <c r="AM23" i="25" s="1"/>
  <c r="AK15" i="25"/>
  <c r="AK7" i="25"/>
  <c r="AL7" i="25" s="1"/>
  <c r="AM7" i="25" s="1"/>
  <c r="AK91" i="25"/>
  <c r="AL91" i="25" s="1"/>
  <c r="AM91" i="25" s="1"/>
  <c r="AK83" i="25"/>
  <c r="AK75" i="25"/>
  <c r="AK67" i="25"/>
  <c r="AL67" i="25" s="1"/>
  <c r="AM67" i="25" s="1"/>
  <c r="AK59" i="25"/>
  <c r="AK51" i="25"/>
  <c r="AK43" i="25"/>
  <c r="AL43" i="25" s="1"/>
  <c r="AM43" i="25" s="1"/>
  <c r="AK27" i="25"/>
  <c r="AL27" i="25" s="1"/>
  <c r="AM27" i="25" s="1"/>
  <c r="AK19" i="25"/>
  <c r="AL19" i="25" s="1"/>
  <c r="AM19" i="25" s="1"/>
  <c r="AK11" i="25"/>
  <c r="AL11" i="25" s="1"/>
  <c r="AM11" i="25" s="1"/>
  <c r="AK69" i="25"/>
  <c r="AL69" i="25" s="1"/>
  <c r="AM69" i="25" s="1"/>
  <c r="AK37" i="25"/>
  <c r="AK13" i="25"/>
  <c r="AL13" i="25" s="1"/>
  <c r="AM13" i="25" s="1"/>
  <c r="AK85" i="25"/>
  <c r="AK45" i="25"/>
  <c r="AL45" i="25" s="1"/>
  <c r="AM45" i="25" s="1"/>
  <c r="AJ73" i="25"/>
  <c r="AJ25" i="25"/>
  <c r="AK89" i="25"/>
  <c r="AL89" i="25" s="1"/>
  <c r="AM89" i="25" s="1"/>
  <c r="AK81" i="25"/>
  <c r="AK73" i="25"/>
  <c r="AK65" i="25"/>
  <c r="AK57" i="25"/>
  <c r="AK49" i="25"/>
  <c r="AL49" i="25" s="1"/>
  <c r="AM49" i="25" s="1"/>
  <c r="AK41" i="25"/>
  <c r="AK33" i="25"/>
  <c r="AL33" i="25" s="1"/>
  <c r="AM33" i="25" s="1"/>
  <c r="AK25" i="25"/>
  <c r="AK17" i="25"/>
  <c r="AK9" i="25"/>
  <c r="AL9" i="25" s="1"/>
  <c r="AM9" i="25" s="1"/>
  <c r="AT73" i="25"/>
  <c r="AT65" i="25"/>
  <c r="AT57" i="25"/>
  <c r="AT41" i="25"/>
  <c r="AT33" i="25"/>
  <c r="AT25" i="25"/>
  <c r="AT17" i="25"/>
  <c r="AJ24" i="25"/>
  <c r="AT13" i="25"/>
  <c r="AT28" i="25"/>
  <c r="AT12" i="25"/>
  <c r="AJ52" i="25"/>
  <c r="AJ60" i="25"/>
  <c r="AJ15" i="25"/>
  <c r="AJ47" i="25"/>
  <c r="AJ55" i="25"/>
  <c r="AJ39" i="25"/>
  <c r="AJ76" i="25"/>
  <c r="AJ81" i="25"/>
  <c r="AJ71" i="25"/>
  <c r="AL71" i="25" s="1"/>
  <c r="AM71" i="25" s="1"/>
  <c r="AJ93" i="25"/>
  <c r="AJ21" i="25"/>
  <c r="AL21" i="25" s="1"/>
  <c r="AM21" i="25" s="1"/>
  <c r="AJ77" i="25"/>
  <c r="AJ29" i="25"/>
  <c r="AJ5" i="25"/>
  <c r="AJ61" i="25"/>
  <c r="AJ37" i="25"/>
  <c r="AJ80" i="25"/>
  <c r="AJ32" i="25"/>
  <c r="AJ68" i="25"/>
  <c r="AJ56" i="25"/>
  <c r="AJ40" i="25"/>
  <c r="AJ8" i="25"/>
  <c r="AJ88" i="25"/>
  <c r="AJ75" i="25"/>
  <c r="AJ64" i="25"/>
  <c r="AJ16" i="25"/>
  <c r="AJ85" i="25"/>
  <c r="AJ51" i="25"/>
  <c r="AJ84" i="25"/>
  <c r="AJ35" i="25"/>
  <c r="AJ83" i="25"/>
  <c r="AJ72" i="25"/>
  <c r="AJ59" i="25"/>
  <c r="AJ18" i="25"/>
  <c r="AJ87" i="25"/>
  <c r="AJ74" i="25"/>
  <c r="AJ26" i="25"/>
  <c r="AJ50" i="25"/>
  <c r="AJ34" i="25"/>
  <c r="AJ58" i="25"/>
  <c r="AJ42" i="25"/>
  <c r="AJ10" i="25"/>
  <c r="AJ22" i="25"/>
  <c r="AJ70" i="25"/>
  <c r="AJ90" i="25"/>
  <c r="AJ30" i="25"/>
  <c r="AL30" i="25" s="1"/>
  <c r="AM30" i="25" s="1"/>
  <c r="AJ38" i="25"/>
  <c r="AJ4" i="25"/>
  <c r="Z125" i="41" l="1"/>
  <c r="F126" i="29"/>
  <c r="F133" i="29"/>
  <c r="G126" i="29"/>
  <c r="G133" i="29"/>
  <c r="H126" i="29"/>
  <c r="H133" i="29"/>
  <c r="I126" i="29"/>
  <c r="I133" i="29"/>
  <c r="J126" i="29"/>
  <c r="J133" i="29"/>
  <c r="K126" i="29"/>
  <c r="K133" i="29"/>
  <c r="L126" i="29"/>
  <c r="L133" i="29"/>
  <c r="Q78" i="29"/>
  <c r="T115" i="29"/>
  <c r="F126" i="28"/>
  <c r="F133" i="28"/>
  <c r="G126" i="28"/>
  <c r="G133" i="28"/>
  <c r="H126" i="28"/>
  <c r="H133" i="28"/>
  <c r="I126" i="28"/>
  <c r="I133" i="28"/>
  <c r="J126" i="28"/>
  <c r="J133" i="28"/>
  <c r="K126" i="28"/>
  <c r="K133" i="28"/>
  <c r="L126" i="28"/>
  <c r="L133" i="28"/>
  <c r="M126" i="28"/>
  <c r="M133" i="28"/>
  <c r="N126" i="28"/>
  <c r="N133" i="28"/>
  <c r="O126" i="41"/>
  <c r="O133" i="41"/>
  <c r="P126" i="41"/>
  <c r="P133" i="41"/>
  <c r="Q126" i="41"/>
  <c r="Q133" i="41"/>
  <c r="R126" i="41"/>
  <c r="R133" i="41"/>
  <c r="S126" i="41"/>
  <c r="S133" i="41"/>
  <c r="T126" i="41"/>
  <c r="T133" i="41"/>
  <c r="U126" i="41"/>
  <c r="U133" i="41"/>
  <c r="N115" i="29"/>
  <c r="P115" i="29"/>
  <c r="Y125" i="41"/>
  <c r="G127" i="41"/>
  <c r="G132" i="41"/>
  <c r="H127" i="41"/>
  <c r="H132" i="41"/>
  <c r="I127" i="41"/>
  <c r="I132" i="41"/>
  <c r="J127" i="41"/>
  <c r="J132" i="41"/>
  <c r="K127" i="41"/>
  <c r="K132" i="41"/>
  <c r="L127" i="41"/>
  <c r="L132" i="41"/>
  <c r="M127" i="41"/>
  <c r="M132" i="41"/>
  <c r="N127" i="41"/>
  <c r="N132" i="41"/>
  <c r="AA127" i="41"/>
  <c r="X125" i="41"/>
  <c r="X133" i="41" s="1"/>
  <c r="S3" i="29"/>
  <c r="C2" i="45"/>
  <c r="C3" i="45"/>
  <c r="C5" i="45"/>
  <c r="C7" i="45"/>
  <c r="W125" i="41"/>
  <c r="W133" i="41" s="1"/>
  <c r="V125" i="41"/>
  <c r="V133" i="41" s="1"/>
  <c r="F126" i="41"/>
  <c r="F127" i="41" s="1"/>
  <c r="F133" i="41"/>
  <c r="H6" i="45"/>
  <c r="AE127" i="41"/>
  <c r="AE132" i="41"/>
  <c r="AF127" i="41"/>
  <c r="AF132" i="41"/>
  <c r="AG127" i="41"/>
  <c r="AG132" i="41"/>
  <c r="AH127" i="41"/>
  <c r="AH132" i="41"/>
  <c r="AI127" i="41"/>
  <c r="AI132" i="41"/>
  <c r="AJ127" i="41"/>
  <c r="AJ132" i="41"/>
  <c r="AB127" i="41"/>
  <c r="AC127" i="41"/>
  <c r="AD127" i="41"/>
  <c r="I35" i="27"/>
  <c r="I36" i="27" s="1"/>
  <c r="I43" i="27" s="1"/>
  <c r="I34" i="27"/>
  <c r="J35" i="27"/>
  <c r="J36" i="27" s="1"/>
  <c r="J43" i="27" s="1"/>
  <c r="J34" i="27"/>
  <c r="K35" i="27"/>
  <c r="K36" i="27" s="1"/>
  <c r="K43" i="27" s="1"/>
  <c r="K34" i="27"/>
  <c r="L35" i="27"/>
  <c r="L36" i="27" s="1"/>
  <c r="L43" i="27" s="1"/>
  <c r="L34" i="27"/>
  <c r="M35" i="27"/>
  <c r="M36" i="27" s="1"/>
  <c r="M43" i="27" s="1"/>
  <c r="M34" i="27"/>
  <c r="N35" i="27"/>
  <c r="N36" i="27" s="1"/>
  <c r="N43" i="27" s="1"/>
  <c r="N34" i="27"/>
  <c r="O35" i="27"/>
  <c r="O36" i="27" s="1"/>
  <c r="O43" i="27" s="1"/>
  <c r="O34" i="27"/>
  <c r="P35" i="27"/>
  <c r="P36" i="27" s="1"/>
  <c r="P43" i="27" s="1"/>
  <c r="P34" i="27"/>
  <c r="AD34" i="27"/>
  <c r="AD35" i="27"/>
  <c r="AD36" i="27" s="1"/>
  <c r="H36" i="27"/>
  <c r="H43" i="27" s="1"/>
  <c r="G36" i="27"/>
  <c r="G43" i="27" s="1"/>
  <c r="F36" i="27"/>
  <c r="F43" i="27" s="1"/>
  <c r="E36" i="27"/>
  <c r="E43" i="27" s="1"/>
  <c r="R36" i="27"/>
  <c r="R43" i="27" s="1"/>
  <c r="S36" i="27"/>
  <c r="S43" i="27" s="1"/>
  <c r="T36" i="27"/>
  <c r="U36" i="27"/>
  <c r="U43" i="27" s="1"/>
  <c r="V36" i="27"/>
  <c r="V43" i="27" s="1"/>
  <c r="W36" i="27"/>
  <c r="W43" i="27" s="1"/>
  <c r="X36" i="27"/>
  <c r="X43" i="27" s="1"/>
  <c r="Y36" i="27"/>
  <c r="Y43" i="27" s="1"/>
  <c r="Z36" i="27"/>
  <c r="Z43" i="27" s="1"/>
  <c r="AA36" i="27"/>
  <c r="AA43" i="27" s="1"/>
  <c r="AB36" i="27"/>
  <c r="AB43" i="27" s="1"/>
  <c r="AC36" i="27"/>
  <c r="AC43" i="27" s="1"/>
  <c r="AF36" i="27"/>
  <c r="AG43" i="27"/>
  <c r="AG37" i="27"/>
  <c r="AG42" i="27"/>
  <c r="AH43" i="27"/>
  <c r="AH37" i="27"/>
  <c r="J117" i="39"/>
  <c r="I117" i="39"/>
  <c r="H117" i="39"/>
  <c r="G117" i="39"/>
  <c r="F117" i="39"/>
  <c r="E117" i="39"/>
  <c r="D117" i="39"/>
  <c r="J105" i="39"/>
  <c r="J110" i="39" s="1"/>
  <c r="I105" i="39"/>
  <c r="I110" i="39" s="1"/>
  <c r="H105" i="39"/>
  <c r="H110" i="39" s="1"/>
  <c r="G105" i="39"/>
  <c r="G110" i="39" s="1"/>
  <c r="F105" i="39"/>
  <c r="F110" i="39" s="1"/>
  <c r="E105" i="39"/>
  <c r="E110" i="39" s="1"/>
  <c r="D105" i="39"/>
  <c r="D110" i="39" s="1"/>
  <c r="L94" i="39"/>
  <c r="N3" i="39"/>
  <c r="AC109" i="26"/>
  <c r="AC117" i="26" s="1"/>
  <c r="AC108" i="26"/>
  <c r="AF109" i="26"/>
  <c r="AF117" i="26" s="1"/>
  <c r="AF108" i="26"/>
  <c r="AG109" i="26"/>
  <c r="AG108" i="26"/>
  <c r="AH109" i="26"/>
  <c r="AH108" i="26"/>
  <c r="AE108" i="26"/>
  <c r="AD37" i="27"/>
  <c r="AI35" i="27"/>
  <c r="AI36" i="27" s="1"/>
  <c r="AI34" i="27"/>
  <c r="AE36" i="27"/>
  <c r="AD109" i="26"/>
  <c r="AD117" i="26" s="1"/>
  <c r="AD108" i="26"/>
  <c r="H37" i="27"/>
  <c r="H42" i="27"/>
  <c r="G37" i="27"/>
  <c r="G42" i="27"/>
  <c r="F37" i="27"/>
  <c r="F42" i="27"/>
  <c r="E37" i="27"/>
  <c r="E42" i="27"/>
  <c r="D37" i="27"/>
  <c r="D42" i="27"/>
  <c r="D43" i="27"/>
  <c r="AB109" i="26"/>
  <c r="AB117" i="26" s="1"/>
  <c r="J37" i="36"/>
  <c r="J42" i="36"/>
  <c r="J43" i="36"/>
  <c r="I36" i="36"/>
  <c r="I43" i="36"/>
  <c r="H36" i="36"/>
  <c r="H43" i="36"/>
  <c r="G37" i="36"/>
  <c r="G42" i="36"/>
  <c r="G43" i="36"/>
  <c r="F37" i="36"/>
  <c r="F42" i="36"/>
  <c r="F43" i="36"/>
  <c r="E37" i="36"/>
  <c r="E42" i="36"/>
  <c r="E43" i="36"/>
  <c r="D43" i="36"/>
  <c r="D37" i="36"/>
  <c r="D42" i="36"/>
  <c r="AA109" i="26"/>
  <c r="AA117" i="26" s="1"/>
  <c r="Z42" i="27"/>
  <c r="Q108" i="26"/>
  <c r="Q109" i="26" s="1"/>
  <c r="Q117" i="26" s="1"/>
  <c r="O108" i="26"/>
  <c r="O109" i="26" s="1"/>
  <c r="O117" i="26" s="1"/>
  <c r="P108" i="26"/>
  <c r="P109" i="26" s="1"/>
  <c r="P117" i="26" s="1"/>
  <c r="E108" i="26"/>
  <c r="E109" i="26" s="1"/>
  <c r="E117" i="26" s="1"/>
  <c r="F108" i="26"/>
  <c r="F109" i="26" s="1"/>
  <c r="F117" i="26" s="1"/>
  <c r="G108" i="26"/>
  <c r="G109" i="26" s="1"/>
  <c r="G117" i="26" s="1"/>
  <c r="H108" i="26"/>
  <c r="H109" i="26" s="1"/>
  <c r="H117" i="26" s="1"/>
  <c r="I108" i="26"/>
  <c r="I109" i="26" s="1"/>
  <c r="I117" i="26" s="1"/>
  <c r="J108" i="26"/>
  <c r="J109" i="26" s="1"/>
  <c r="J117" i="26" s="1"/>
  <c r="K108" i="26"/>
  <c r="K109" i="26" s="1"/>
  <c r="K117" i="26" s="1"/>
  <c r="L108" i="26"/>
  <c r="L109" i="26" s="1"/>
  <c r="L117" i="26" s="1"/>
  <c r="M108" i="26"/>
  <c r="M109" i="26" s="1"/>
  <c r="M117" i="26" s="1"/>
  <c r="N108" i="26"/>
  <c r="N109" i="26" s="1"/>
  <c r="N117" i="26" s="1"/>
  <c r="R109" i="26"/>
  <c r="R117" i="26" s="1"/>
  <c r="S109" i="26"/>
  <c r="S117" i="26" s="1"/>
  <c r="T109" i="26"/>
  <c r="T117" i="26" s="1"/>
  <c r="V109" i="26"/>
  <c r="V117" i="26" s="1"/>
  <c r="W109" i="26"/>
  <c r="W117" i="26" s="1"/>
  <c r="U109" i="26"/>
  <c r="U117" i="26" s="1"/>
  <c r="Z109" i="26"/>
  <c r="Z117" i="26" s="1"/>
  <c r="D108" i="26"/>
  <c r="D109" i="26" s="1"/>
  <c r="D117" i="26" s="1"/>
  <c r="Y109" i="26"/>
  <c r="Y117" i="26" s="1"/>
  <c r="R37" i="27"/>
  <c r="R42" i="27"/>
  <c r="S37" i="27"/>
  <c r="Q37" i="27"/>
  <c r="U37" i="27"/>
  <c r="U42" i="27"/>
  <c r="V37" i="27"/>
  <c r="V42" i="27"/>
  <c r="W37" i="27"/>
  <c r="W42" i="27"/>
  <c r="X37" i="27"/>
  <c r="X42" i="27"/>
  <c r="Y37" i="27"/>
  <c r="Y42" i="27"/>
  <c r="Z37" i="27"/>
  <c r="AA37" i="27"/>
  <c r="AA42" i="27"/>
  <c r="AB37" i="27"/>
  <c r="AB42" i="27"/>
  <c r="AC37" i="27"/>
  <c r="AC42" i="27"/>
  <c r="T42" i="27"/>
  <c r="S42" i="27"/>
  <c r="I37" i="27"/>
  <c r="I42" i="27"/>
  <c r="J37" i="27"/>
  <c r="J42" i="27"/>
  <c r="K37" i="27"/>
  <c r="K42" i="27"/>
  <c r="L37" i="27"/>
  <c r="L42" i="27"/>
  <c r="M37" i="27"/>
  <c r="M42" i="27"/>
  <c r="N37" i="27"/>
  <c r="N42" i="27"/>
  <c r="O37" i="27"/>
  <c r="O42" i="27"/>
  <c r="P37" i="27"/>
  <c r="P42" i="27"/>
  <c r="E110" i="26"/>
  <c r="E116" i="26" s="1"/>
  <c r="F110" i="26"/>
  <c r="F116" i="26" s="1"/>
  <c r="G110" i="26"/>
  <c r="G116" i="26" s="1"/>
  <c r="H110" i="26"/>
  <c r="H116" i="26" s="1"/>
  <c r="I110" i="26"/>
  <c r="I116" i="26" s="1"/>
  <c r="J110" i="26"/>
  <c r="J116" i="26" s="1"/>
  <c r="K110" i="26"/>
  <c r="K116" i="26" s="1"/>
  <c r="L110" i="26"/>
  <c r="L116" i="26" s="1"/>
  <c r="M110" i="26"/>
  <c r="M116" i="26" s="1"/>
  <c r="N110" i="26"/>
  <c r="N116" i="26" s="1"/>
  <c r="O110" i="26"/>
  <c r="O116" i="26" s="1"/>
  <c r="P110" i="26"/>
  <c r="P116" i="26" s="1"/>
  <c r="R110" i="26"/>
  <c r="R116" i="26" s="1"/>
  <c r="S110" i="26"/>
  <c r="S116" i="26" s="1"/>
  <c r="T110" i="26"/>
  <c r="T116" i="26" s="1"/>
  <c r="U110" i="26"/>
  <c r="U116" i="26" s="1"/>
  <c r="V110" i="26"/>
  <c r="V116" i="26" s="1"/>
  <c r="W110" i="26"/>
  <c r="W116" i="26" s="1"/>
  <c r="Y110" i="26"/>
  <c r="Y116" i="26" s="1"/>
  <c r="AD110" i="26"/>
  <c r="AE110" i="26"/>
  <c r="AF110" i="26"/>
  <c r="AF116" i="26"/>
  <c r="AG110" i="26"/>
  <c r="AG111" i="26" s="1"/>
  <c r="AG116" i="26"/>
  <c r="AH110" i="26"/>
  <c r="AH111" i="26" s="1"/>
  <c r="AH116" i="26"/>
  <c r="Q110" i="26"/>
  <c r="Q116" i="26" s="1"/>
  <c r="D110" i="26"/>
  <c r="D111" i="26" s="1"/>
  <c r="D116" i="26"/>
  <c r="Q26" i="31"/>
  <c r="Q25" i="31"/>
  <c r="Q24" i="31"/>
  <c r="Q23" i="31"/>
  <c r="Q22" i="31"/>
  <c r="Q21" i="31"/>
  <c r="Q20" i="31"/>
  <c r="Q19" i="31"/>
  <c r="Q18" i="31"/>
  <c r="Q17" i="31"/>
  <c r="Q16" i="31"/>
  <c r="Q15" i="31"/>
  <c r="Q14" i="31"/>
  <c r="Q13" i="31"/>
  <c r="Q12" i="31"/>
  <c r="Q11" i="31"/>
  <c r="Q10" i="31"/>
  <c r="Q9" i="31"/>
  <c r="Q8" i="31"/>
  <c r="Q7" i="31"/>
  <c r="Q6" i="31"/>
  <c r="Q5" i="31"/>
  <c r="Q4" i="31"/>
  <c r="P27" i="31"/>
  <c r="Q3" i="31"/>
  <c r="Q27" i="31" s="1"/>
  <c r="AN8" i="26"/>
  <c r="AN35" i="26"/>
  <c r="AO35" i="26" s="1"/>
  <c r="AN47" i="26"/>
  <c r="AO47" i="26" s="1"/>
  <c r="AN72" i="26"/>
  <c r="AO72" i="26" s="1"/>
  <c r="AN41" i="26"/>
  <c r="AO41" i="26" s="1"/>
  <c r="AN60" i="26"/>
  <c r="AO60" i="26" s="1"/>
  <c r="AN56" i="26"/>
  <c r="AO56" i="26" s="1"/>
  <c r="AO8" i="26"/>
  <c r="AN55" i="26"/>
  <c r="AO55" i="26" s="1"/>
  <c r="AN68" i="26"/>
  <c r="AO68" i="26" s="1"/>
  <c r="AN38" i="26"/>
  <c r="AO38" i="26" s="1"/>
  <c r="AN62" i="26"/>
  <c r="AO62" i="26" s="1"/>
  <c r="AN13" i="26"/>
  <c r="AO13" i="26" s="1"/>
  <c r="AN61" i="26"/>
  <c r="AO61" i="26" s="1"/>
  <c r="AN48" i="26"/>
  <c r="AO48" i="26" s="1"/>
  <c r="AN22" i="26"/>
  <c r="AO22" i="26" s="1"/>
  <c r="AN57" i="26"/>
  <c r="AO57" i="26" s="1"/>
  <c r="AN25" i="26"/>
  <c r="AO25" i="26" s="1"/>
  <c r="AN20" i="26"/>
  <c r="AO20" i="26" s="1"/>
  <c r="AN34" i="26"/>
  <c r="AO34" i="26" s="1"/>
  <c r="AN11" i="26"/>
  <c r="AO11" i="26" s="1"/>
  <c r="AN90" i="26"/>
  <c r="AO90" i="26" s="1"/>
  <c r="AN73" i="26"/>
  <c r="AO73" i="26" s="1"/>
  <c r="AN28" i="26"/>
  <c r="AO28" i="26" s="1"/>
  <c r="AN51" i="26"/>
  <c r="AO51" i="26" s="1"/>
  <c r="AN70" i="26"/>
  <c r="AO70" i="26" s="1"/>
  <c r="AN78" i="26"/>
  <c r="AO78" i="26" s="1"/>
  <c r="AN58" i="26"/>
  <c r="AO58" i="26" s="1"/>
  <c r="AN29" i="26"/>
  <c r="AO29" i="26" s="1"/>
  <c r="AN37" i="26"/>
  <c r="AO37" i="26" s="1"/>
  <c r="AN65" i="26"/>
  <c r="AO65" i="26" s="1"/>
  <c r="AN82" i="26"/>
  <c r="AO82" i="26" s="1"/>
  <c r="AN75" i="26"/>
  <c r="AO75" i="26" s="1"/>
  <c r="AN15" i="26"/>
  <c r="AO15" i="26" s="1"/>
  <c r="AN26" i="26"/>
  <c r="AO26" i="26" s="1"/>
  <c r="AN59" i="26"/>
  <c r="AO59" i="26" s="1"/>
  <c r="AN79" i="26"/>
  <c r="AO79" i="26" s="1"/>
  <c r="AN43" i="26"/>
  <c r="AO43" i="26" s="1"/>
  <c r="AN71" i="26"/>
  <c r="AO71" i="26" s="1"/>
  <c r="AN87" i="26"/>
  <c r="AO87" i="26" s="1"/>
  <c r="AN10" i="26"/>
  <c r="AO10" i="26" s="1"/>
  <c r="AN33" i="26"/>
  <c r="AO33" i="26" s="1"/>
  <c r="AN89" i="26"/>
  <c r="AO89" i="26" s="1"/>
  <c r="AN24" i="26"/>
  <c r="AO24" i="26" s="1"/>
  <c r="AN32" i="26"/>
  <c r="AO32" i="26" s="1"/>
  <c r="AN12" i="26"/>
  <c r="AO12" i="26" s="1"/>
  <c r="AN74" i="26"/>
  <c r="AO74" i="26" s="1"/>
  <c r="AN86" i="26"/>
  <c r="AO86" i="26" s="1"/>
  <c r="AN83" i="26"/>
  <c r="AO83" i="26" s="1"/>
  <c r="AN23" i="26"/>
  <c r="AO23" i="26" s="1"/>
  <c r="AN16" i="26"/>
  <c r="AO16" i="26" s="1"/>
  <c r="AN50" i="26"/>
  <c r="AO50" i="26" s="1"/>
  <c r="AN5" i="26"/>
  <c r="AO5" i="26" s="1"/>
  <c r="AL17" i="25"/>
  <c r="AM17" i="25" s="1"/>
  <c r="AL35" i="25"/>
  <c r="AM35" i="25" s="1"/>
  <c r="AL12" i="25"/>
  <c r="AM12" i="25" s="1"/>
  <c r="AL28" i="25"/>
  <c r="AM28" i="25" s="1"/>
  <c r="AL50" i="25"/>
  <c r="AM50" i="25" s="1"/>
  <c r="AL24" i="25"/>
  <c r="AM24" i="25" s="1"/>
  <c r="AL58" i="25"/>
  <c r="AM58" i="25" s="1"/>
  <c r="AL55" i="25"/>
  <c r="AM55" i="25" s="1"/>
  <c r="AL40" i="25"/>
  <c r="AM40" i="25" s="1"/>
  <c r="AL18" i="25"/>
  <c r="AM18" i="25" s="1"/>
  <c r="AL72" i="25"/>
  <c r="AM72" i="25" s="1"/>
  <c r="AL10" i="25"/>
  <c r="AM10" i="25" s="1"/>
  <c r="AL22" i="25"/>
  <c r="AM22" i="25" s="1"/>
  <c r="AL87" i="25"/>
  <c r="AM87" i="25" s="1"/>
  <c r="AL93" i="25"/>
  <c r="AM93" i="25" s="1"/>
  <c r="AL42" i="25"/>
  <c r="AM42" i="25" s="1"/>
  <c r="AL64" i="25"/>
  <c r="AM64" i="25" s="1"/>
  <c r="AL8" i="25"/>
  <c r="AM8" i="25" s="1"/>
  <c r="AL61" i="25"/>
  <c r="AM61" i="25" s="1"/>
  <c r="AL90" i="25"/>
  <c r="AM90" i="25" s="1"/>
  <c r="AL51" i="25"/>
  <c r="AM51" i="25" s="1"/>
  <c r="AL85" i="25"/>
  <c r="AM85" i="25" s="1"/>
  <c r="AL15" i="25"/>
  <c r="AM15" i="25" s="1"/>
  <c r="AL4" i="25"/>
  <c r="AM4" i="25" s="1"/>
  <c r="AL68" i="25"/>
  <c r="AM68" i="25" s="1"/>
  <c r="AL34" i="25"/>
  <c r="AM34" i="25" s="1"/>
  <c r="AL65" i="25"/>
  <c r="AM65" i="25" s="1"/>
  <c r="AL70" i="25"/>
  <c r="AM70" i="25" s="1"/>
  <c r="AL74" i="25"/>
  <c r="AM74" i="25" s="1"/>
  <c r="AL56" i="25"/>
  <c r="AM56" i="25" s="1"/>
  <c r="AL32" i="25"/>
  <c r="AM32" i="25" s="1"/>
  <c r="AL60" i="25"/>
  <c r="AM60" i="25" s="1"/>
  <c r="AL75" i="25"/>
  <c r="AM75" i="25" s="1"/>
  <c r="AL81" i="25"/>
  <c r="AM81" i="25" s="1"/>
  <c r="AL5" i="25"/>
  <c r="AM5" i="25" s="1"/>
  <c r="AL57" i="25"/>
  <c r="AM57" i="25" s="1"/>
  <c r="AL26" i="25"/>
  <c r="AM26" i="25" s="1"/>
  <c r="AL84" i="25"/>
  <c r="AM84" i="25" s="1"/>
  <c r="AL29" i="25"/>
  <c r="AM29" i="25" s="1"/>
  <c r="AL47" i="25"/>
  <c r="AM47" i="25" s="1"/>
  <c r="AL73" i="25"/>
  <c r="AM73" i="25" s="1"/>
  <c r="AL39" i="25"/>
  <c r="AM39" i="25" s="1"/>
  <c r="AL77" i="25"/>
  <c r="AM77" i="25" s="1"/>
  <c r="AL25" i="25"/>
  <c r="AM25" i="25" s="1"/>
  <c r="AL59" i="25"/>
  <c r="AM59" i="25" s="1"/>
  <c r="AL80" i="25"/>
  <c r="AM80" i="25" s="1"/>
  <c r="AL52" i="25"/>
  <c r="AM52" i="25" s="1"/>
  <c r="AL41" i="25"/>
  <c r="AM41" i="25" s="1"/>
  <c r="AL16" i="25"/>
  <c r="AM16" i="25" s="1"/>
  <c r="AL37" i="25"/>
  <c r="AM37" i="25" s="1"/>
  <c r="AL38" i="25"/>
  <c r="AM38" i="25" s="1"/>
  <c r="AL83" i="25"/>
  <c r="AM83" i="25" s="1"/>
  <c r="AL88" i="25"/>
  <c r="AM88" i="25" s="1"/>
  <c r="AL76" i="25"/>
  <c r="AM76" i="25" s="1"/>
  <c r="Z133" i="41" l="1"/>
  <c r="Z126" i="41"/>
  <c r="L127" i="29"/>
  <c r="L132" i="29"/>
  <c r="K127" i="29"/>
  <c r="K132" i="29"/>
  <c r="J127" i="29"/>
  <c r="J132" i="29"/>
  <c r="I127" i="29"/>
  <c r="I132" i="29"/>
  <c r="H127" i="29"/>
  <c r="H132" i="29"/>
  <c r="G127" i="29"/>
  <c r="G132" i="29"/>
  <c r="F127" i="29"/>
  <c r="F132" i="29"/>
  <c r="R78" i="29"/>
  <c r="Q115" i="29"/>
  <c r="N127" i="28"/>
  <c r="N132" i="28"/>
  <c r="M127" i="28"/>
  <c r="M132" i="28"/>
  <c r="L127" i="28"/>
  <c r="L132" i="28"/>
  <c r="K127" i="28"/>
  <c r="K132" i="28"/>
  <c r="J127" i="28"/>
  <c r="J132" i="28"/>
  <c r="I127" i="28"/>
  <c r="I132" i="28"/>
  <c r="H127" i="28"/>
  <c r="H132" i="28"/>
  <c r="G127" i="28"/>
  <c r="G132" i="28"/>
  <c r="F127" i="28"/>
  <c r="F132" i="28"/>
  <c r="U127" i="41"/>
  <c r="U132" i="41"/>
  <c r="T127" i="41"/>
  <c r="T132" i="41"/>
  <c r="S127" i="41"/>
  <c r="S132" i="41"/>
  <c r="R127" i="41"/>
  <c r="R132" i="41"/>
  <c r="Q127" i="41"/>
  <c r="Q132" i="41"/>
  <c r="P127" i="41"/>
  <c r="P132" i="41"/>
  <c r="O127" i="41"/>
  <c r="O132" i="41"/>
  <c r="Y133" i="41"/>
  <c r="Y126" i="41"/>
  <c r="H5" i="45"/>
  <c r="H3" i="45"/>
  <c r="H2" i="45"/>
  <c r="I5" i="45"/>
  <c r="G5" i="45"/>
  <c r="I3" i="45"/>
  <c r="G3" i="45"/>
  <c r="G2" i="45"/>
  <c r="X126" i="41"/>
  <c r="H7" i="45"/>
  <c r="W126" i="41"/>
  <c r="V126" i="41"/>
  <c r="I2" i="45"/>
  <c r="F132" i="41"/>
  <c r="G6" i="45"/>
  <c r="I6" i="45"/>
  <c r="H4" i="45"/>
  <c r="AD42" i="27"/>
  <c r="AF111" i="26"/>
  <c r="AE116" i="26"/>
  <c r="AE111" i="26"/>
  <c r="AF37" i="27"/>
  <c r="AF42" i="27"/>
  <c r="AF43" i="27"/>
  <c r="T43" i="27"/>
  <c r="T37" i="27"/>
  <c r="N94" i="39"/>
  <c r="P3" i="39"/>
  <c r="D111" i="39"/>
  <c r="D116" i="39"/>
  <c r="E111" i="39"/>
  <c r="E116" i="39"/>
  <c r="F111" i="39"/>
  <c r="F116" i="39"/>
  <c r="G111" i="39"/>
  <c r="G116" i="39"/>
  <c r="H111" i="39"/>
  <c r="H116" i="39"/>
  <c r="I111" i="39"/>
  <c r="I116" i="39"/>
  <c r="J111" i="39"/>
  <c r="J116" i="39"/>
  <c r="AC110" i="26"/>
  <c r="AB110" i="26"/>
  <c r="AD111" i="26"/>
  <c r="AD116" i="26"/>
  <c r="AE37" i="27"/>
  <c r="AE43" i="27"/>
  <c r="AI43" i="27"/>
  <c r="AI37" i="27"/>
  <c r="AE42" i="27"/>
  <c r="AI42" i="27"/>
  <c r="AG117" i="26"/>
  <c r="H37" i="36"/>
  <c r="H42" i="36"/>
  <c r="I37" i="36"/>
  <c r="I42" i="36"/>
  <c r="Q111" i="26"/>
  <c r="W111" i="26"/>
  <c r="V111" i="26"/>
  <c r="U111" i="26"/>
  <c r="T111" i="26"/>
  <c r="S111" i="26"/>
  <c r="R111" i="26"/>
  <c r="P111" i="26"/>
  <c r="O111" i="26"/>
  <c r="N111" i="26"/>
  <c r="M111" i="26"/>
  <c r="L111" i="26"/>
  <c r="K111" i="26"/>
  <c r="J111" i="26"/>
  <c r="I111" i="26"/>
  <c r="H111" i="26"/>
  <c r="G111" i="26"/>
  <c r="F111" i="26"/>
  <c r="E111" i="26"/>
  <c r="AA110" i="26"/>
  <c r="AA116" i="26" s="1"/>
  <c r="X109" i="26"/>
  <c r="X117" i="26" s="1"/>
  <c r="Z110" i="26"/>
  <c r="Z116" i="26" s="1"/>
  <c r="AH117" i="26"/>
  <c r="Y111" i="26"/>
  <c r="N8" i="22"/>
  <c r="AD2" i="20"/>
  <c r="N3" i="22"/>
  <c r="N4" i="22"/>
  <c r="N5" i="22"/>
  <c r="N6" i="22"/>
  <c r="N7" i="22"/>
  <c r="N9" i="22"/>
  <c r="N10" i="22"/>
  <c r="N11" i="22"/>
  <c r="N12" i="22"/>
  <c r="N13" i="22"/>
  <c r="N14" i="22"/>
  <c r="N15" i="22"/>
  <c r="N16" i="22"/>
  <c r="N17" i="22"/>
  <c r="N18" i="22"/>
  <c r="N19" i="22"/>
  <c r="N20" i="22"/>
  <c r="N21" i="22"/>
  <c r="N22" i="22"/>
  <c r="N23" i="22"/>
  <c r="N24" i="22"/>
  <c r="N25" i="22"/>
  <c r="N26" i="22"/>
  <c r="N27" i="22"/>
  <c r="N28" i="22"/>
  <c r="N29" i="22"/>
  <c r="N30" i="22"/>
  <c r="N31" i="22"/>
  <c r="N32" i="22"/>
  <c r="N33" i="22"/>
  <c r="N34" i="22"/>
  <c r="N35" i="22"/>
  <c r="O35" i="22" s="1"/>
  <c r="N36" i="22"/>
  <c r="N37" i="22"/>
  <c r="N38" i="22"/>
  <c r="N39" i="22"/>
  <c r="N40" i="22"/>
  <c r="N41" i="22"/>
  <c r="N42" i="22"/>
  <c r="N43" i="22"/>
  <c r="N44" i="22"/>
  <c r="N45" i="22"/>
  <c r="N46" i="22"/>
  <c r="N47" i="22"/>
  <c r="N48" i="22"/>
  <c r="N49" i="22"/>
  <c r="N50" i="22"/>
  <c r="N51" i="22"/>
  <c r="N52" i="22"/>
  <c r="N53" i="22"/>
  <c r="N54" i="22"/>
  <c r="N55" i="22"/>
  <c r="N56" i="22"/>
  <c r="N57" i="22"/>
  <c r="N58" i="22"/>
  <c r="N59" i="22"/>
  <c r="N60" i="22"/>
  <c r="O60" i="22" s="1"/>
  <c r="N61" i="22"/>
  <c r="O61" i="22" s="1"/>
  <c r="N62" i="22"/>
  <c r="N63" i="22"/>
  <c r="N64" i="22"/>
  <c r="N65" i="22"/>
  <c r="N66" i="22"/>
  <c r="N67" i="22"/>
  <c r="N68" i="22"/>
  <c r="N69" i="22"/>
  <c r="N70" i="22"/>
  <c r="N71" i="22"/>
  <c r="N72" i="22"/>
  <c r="N73" i="22"/>
  <c r="N74" i="22"/>
  <c r="N75" i="22"/>
  <c r="N76" i="22"/>
  <c r="N77" i="22"/>
  <c r="O77" i="22" s="1"/>
  <c r="N78" i="22"/>
  <c r="N79" i="22"/>
  <c r="N80" i="22"/>
  <c r="O80" i="22" s="1"/>
  <c r="N81" i="22"/>
  <c r="N82" i="22"/>
  <c r="N83" i="22"/>
  <c r="N84" i="22"/>
  <c r="O84" i="22" s="1"/>
  <c r="N85" i="22"/>
  <c r="N86" i="22"/>
  <c r="N87" i="22"/>
  <c r="N88" i="22"/>
  <c r="N89" i="22"/>
  <c r="N90" i="22"/>
  <c r="N91" i="22"/>
  <c r="N92" i="22"/>
  <c r="N2" i="22"/>
  <c r="P55" i="22"/>
  <c r="P51" i="22"/>
  <c r="P23" i="22"/>
  <c r="M43" i="22"/>
  <c r="M23" i="22"/>
  <c r="M89" i="22"/>
  <c r="M44" i="22"/>
  <c r="P89" i="22"/>
  <c r="P44" i="22"/>
  <c r="P39" i="22"/>
  <c r="P13" i="22"/>
  <c r="M13" i="22"/>
  <c r="P79" i="22"/>
  <c r="P30" i="22"/>
  <c r="P15" i="22"/>
  <c r="P28" i="22"/>
  <c r="P17" i="22"/>
  <c r="M79" i="22"/>
  <c r="M30" i="22"/>
  <c r="M28" i="22"/>
  <c r="M17" i="22"/>
  <c r="M15" i="22"/>
  <c r="M3" i="22"/>
  <c r="P3" i="22"/>
  <c r="P85" i="22"/>
  <c r="P68" i="22"/>
  <c r="P57" i="22"/>
  <c r="P12" i="22"/>
  <c r="P4" i="22"/>
  <c r="M85" i="22"/>
  <c r="M68" i="22"/>
  <c r="M57" i="22"/>
  <c r="M12" i="22"/>
  <c r="M4" i="22"/>
  <c r="M90" i="22"/>
  <c r="P83" i="22"/>
  <c r="P82" i="22"/>
  <c r="P72" i="22"/>
  <c r="P69" i="22"/>
  <c r="P63" i="22"/>
  <c r="P46" i="22"/>
  <c r="P38" i="22"/>
  <c r="P37" i="22"/>
  <c r="P33" i="22"/>
  <c r="P25" i="22"/>
  <c r="P18" i="22"/>
  <c r="P14" i="22"/>
  <c r="P6" i="22"/>
  <c r="M91" i="22"/>
  <c r="M83" i="22"/>
  <c r="M82" i="22"/>
  <c r="M72" i="22"/>
  <c r="M69" i="22"/>
  <c r="M63" i="22"/>
  <c r="M46" i="22"/>
  <c r="M38" i="22"/>
  <c r="M37" i="22"/>
  <c r="M33" i="22"/>
  <c r="M25" i="22"/>
  <c r="M18" i="22"/>
  <c r="M14" i="22"/>
  <c r="M6" i="22"/>
  <c r="M52" i="22"/>
  <c r="P67" i="22"/>
  <c r="P60" i="22"/>
  <c r="P52" i="22"/>
  <c r="P31" i="22"/>
  <c r="P78" i="22"/>
  <c r="P73" i="22"/>
  <c r="P32" i="22"/>
  <c r="P16" i="22"/>
  <c r="P34" i="22"/>
  <c r="P7" i="22"/>
  <c r="M78" i="22"/>
  <c r="M73" i="22"/>
  <c r="M56" i="22"/>
  <c r="M54" i="22"/>
  <c r="M47" i="22"/>
  <c r="M34" i="22"/>
  <c r="M32" i="22"/>
  <c r="M7" i="22"/>
  <c r="M16" i="22"/>
  <c r="M92" i="22"/>
  <c r="P88" i="22"/>
  <c r="P65" i="22"/>
  <c r="M65" i="22"/>
  <c r="P92" i="22"/>
  <c r="P19" i="22"/>
  <c r="M19" i="22"/>
  <c r="P8" i="22"/>
  <c r="P87" i="22"/>
  <c r="M87" i="22"/>
  <c r="M75" i="22"/>
  <c r="M8" i="22"/>
  <c r="P86" i="22"/>
  <c r="P75" i="22"/>
  <c r="P62" i="22"/>
  <c r="P61" i="22"/>
  <c r="P49" i="22"/>
  <c r="P40" i="22"/>
  <c r="P5" i="22"/>
  <c r="P76" i="22"/>
  <c r="P42" i="22"/>
  <c r="M42" i="22"/>
  <c r="P59" i="22"/>
  <c r="P58" i="22"/>
  <c r="P50" i="22"/>
  <c r="P36" i="22"/>
  <c r="P27" i="22"/>
  <c r="P22" i="22"/>
  <c r="M22" i="22"/>
  <c r="P21" i="22"/>
  <c r="M64" i="22"/>
  <c r="P84" i="22"/>
  <c r="P71" i="22"/>
  <c r="P64" i="22"/>
  <c r="P53" i="22"/>
  <c r="P45" i="22"/>
  <c r="M45" i="22"/>
  <c r="P10" i="22"/>
  <c r="P81" i="22"/>
  <c r="P80" i="22"/>
  <c r="P77" i="22"/>
  <c r="P74" i="22"/>
  <c r="P66" i="22"/>
  <c r="P48" i="22"/>
  <c r="P35" i="22"/>
  <c r="P29" i="22"/>
  <c r="P26" i="22"/>
  <c r="P9" i="22"/>
  <c r="P2" i="22"/>
  <c r="M48" i="22"/>
  <c r="M26" i="22"/>
  <c r="P24" i="22"/>
  <c r="P70" i="22"/>
  <c r="P91" i="22"/>
  <c r="P90" i="22"/>
  <c r="M88" i="22"/>
  <c r="M86" i="22"/>
  <c r="M81" i="22"/>
  <c r="M74" i="22"/>
  <c r="M71" i="22"/>
  <c r="M70" i="22"/>
  <c r="M67" i="22"/>
  <c r="M66" i="22"/>
  <c r="M62" i="22"/>
  <c r="M59" i="22"/>
  <c r="M58" i="22"/>
  <c r="P56" i="22"/>
  <c r="M55" i="22"/>
  <c r="P54" i="22"/>
  <c r="M53" i="22"/>
  <c r="M51" i="22"/>
  <c r="M50" i="22"/>
  <c r="M49" i="22"/>
  <c r="P47" i="22"/>
  <c r="P43" i="22"/>
  <c r="P41" i="22"/>
  <c r="M41" i="22"/>
  <c r="M40" i="22"/>
  <c r="M39" i="22"/>
  <c r="M36" i="22"/>
  <c r="M29" i="22"/>
  <c r="M27" i="22"/>
  <c r="M24" i="22"/>
  <c r="M21" i="22"/>
  <c r="P20" i="22"/>
  <c r="M20" i="22"/>
  <c r="P11" i="22"/>
  <c r="M11" i="22"/>
  <c r="M10" i="22"/>
  <c r="M9" i="22"/>
  <c r="M5" i="22"/>
  <c r="Z127" i="41" l="1"/>
  <c r="J7" i="33" s="1"/>
  <c r="Z132" i="41"/>
  <c r="S78" i="29"/>
  <c r="S115" i="29" s="1"/>
  <c r="R115" i="29"/>
  <c r="Y127" i="41"/>
  <c r="J6" i="33" s="1"/>
  <c r="Y132" i="41"/>
  <c r="V127" i="41"/>
  <c r="J3" i="33" s="1"/>
  <c r="V132" i="41"/>
  <c r="W127" i="41"/>
  <c r="J4" i="33" s="1"/>
  <c r="W132" i="41"/>
  <c r="X127" i="41"/>
  <c r="J5" i="33" s="1"/>
  <c r="X132" i="41"/>
  <c r="I7" i="45"/>
  <c r="G7" i="45"/>
  <c r="I4" i="45"/>
  <c r="G4" i="45"/>
  <c r="P94" i="39"/>
  <c r="Q3" i="39"/>
  <c r="AB116" i="26"/>
  <c r="AB111" i="26"/>
  <c r="AC116" i="26"/>
  <c r="AC111" i="26"/>
  <c r="AA111" i="26"/>
  <c r="X110" i="26"/>
  <c r="X116" i="26" s="1"/>
  <c r="Z111" i="26"/>
  <c r="O89" i="22"/>
  <c r="Q89" i="22" s="1"/>
  <c r="R89" i="22" s="1"/>
  <c r="O13" i="22"/>
  <c r="Q13" i="22" s="1"/>
  <c r="R13" i="22" s="1"/>
  <c r="O87" i="22"/>
  <c r="Q87" i="22" s="1"/>
  <c r="R87" i="22" s="1"/>
  <c r="O47" i="22"/>
  <c r="Q47" i="22" s="1"/>
  <c r="R47" i="22" s="1"/>
  <c r="O19" i="22"/>
  <c r="Q19" i="22" s="1"/>
  <c r="R19" i="22" s="1"/>
  <c r="O65" i="22"/>
  <c r="Q65" i="22" s="1"/>
  <c r="R65" i="22" s="1"/>
  <c r="O41" i="22"/>
  <c r="Q41" i="22" s="1"/>
  <c r="R41" i="22" s="1"/>
  <c r="O48" i="22"/>
  <c r="Q48" i="22" s="1"/>
  <c r="R48" i="22" s="1"/>
  <c r="O26" i="22"/>
  <c r="Q26" i="22" s="1"/>
  <c r="R26" i="22" s="1"/>
  <c r="O81" i="22"/>
  <c r="Q81" i="22" s="1"/>
  <c r="R81" i="22" s="1"/>
  <c r="O66" i="22"/>
  <c r="Q66" i="22" s="1"/>
  <c r="R66" i="22" s="1"/>
  <c r="O58" i="22"/>
  <c r="Q58" i="22" s="1"/>
  <c r="R58" i="22" s="1"/>
  <c r="O64" i="22"/>
  <c r="Q64" i="22" s="1"/>
  <c r="R64" i="22" s="1"/>
  <c r="O29" i="22"/>
  <c r="Q29" i="22" s="1"/>
  <c r="R29" i="22" s="1"/>
  <c r="O74" i="22"/>
  <c r="Q74" i="22" s="1"/>
  <c r="R74" i="22" s="1"/>
  <c r="O33" i="22"/>
  <c r="Q33" i="22" s="1"/>
  <c r="R33" i="22" s="1"/>
  <c r="O70" i="22"/>
  <c r="Q70" i="22" s="1"/>
  <c r="R70" i="22" s="1"/>
  <c r="O8" i="22"/>
  <c r="Q8" i="22" s="1"/>
  <c r="R8" i="22" s="1"/>
  <c r="O34" i="22"/>
  <c r="Q34" i="22" s="1"/>
  <c r="R34" i="22" s="1"/>
  <c r="O37" i="22"/>
  <c r="Q37" i="22" s="1"/>
  <c r="R37" i="22" s="1"/>
  <c r="O45" i="22"/>
  <c r="Q45" i="22" s="1"/>
  <c r="R45" i="22" s="1"/>
  <c r="O53" i="22"/>
  <c r="Q53" i="22" s="1"/>
  <c r="R53" i="22" s="1"/>
  <c r="O11" i="22"/>
  <c r="Q11" i="22" s="1"/>
  <c r="R11" i="22" s="1"/>
  <c r="O9" i="22"/>
  <c r="Q9" i="22" s="1"/>
  <c r="R9" i="22" s="1"/>
  <c r="O30" i="22"/>
  <c r="Q30" i="22" s="1"/>
  <c r="R30" i="22" s="1"/>
  <c r="O54" i="22"/>
  <c r="Q54" i="22" s="1"/>
  <c r="R54" i="22" s="1"/>
  <c r="O82" i="22"/>
  <c r="Q82" i="22" s="1"/>
  <c r="R82" i="22" s="1"/>
  <c r="O85" i="22"/>
  <c r="Q85" i="22" s="1"/>
  <c r="R85" i="22" s="1"/>
  <c r="O88" i="22"/>
  <c r="Q88" i="22" s="1"/>
  <c r="R88" i="22" s="1"/>
  <c r="O12" i="22"/>
  <c r="Q12" i="22" s="1"/>
  <c r="R12" i="22" s="1"/>
  <c r="O2" i="22"/>
  <c r="Q2" i="22" s="1"/>
  <c r="O10" i="22"/>
  <c r="Q10" i="22" s="1"/>
  <c r="R10" i="22" s="1"/>
  <c r="O36" i="22"/>
  <c r="Q36" i="22" s="1"/>
  <c r="R36" i="22" s="1"/>
  <c r="O39" i="22"/>
  <c r="Q39" i="22" s="1"/>
  <c r="R39" i="22" s="1"/>
  <c r="O44" i="22"/>
  <c r="Q44" i="22" s="1"/>
  <c r="R44" i="22" s="1"/>
  <c r="O69" i="22"/>
  <c r="Q69" i="22" s="1"/>
  <c r="R69" i="22" s="1"/>
  <c r="P93" i="22"/>
  <c r="O3" i="22"/>
  <c r="Q3" i="22" s="1"/>
  <c r="R3" i="22" s="1"/>
  <c r="O18" i="22"/>
  <c r="Q18" i="22" s="1"/>
  <c r="R18" i="22" s="1"/>
  <c r="O21" i="22"/>
  <c r="Q21" i="22" s="1"/>
  <c r="R21" i="22" s="1"/>
  <c r="O55" i="22"/>
  <c r="Q55" i="22" s="1"/>
  <c r="R55" i="22" s="1"/>
  <c r="O73" i="22"/>
  <c r="Q73" i="22" s="1"/>
  <c r="R73" i="22" s="1"/>
  <c r="O4" i="22"/>
  <c r="Q4" i="22" s="1"/>
  <c r="R4" i="22" s="1"/>
  <c r="O22" i="22"/>
  <c r="Q22" i="22" s="1"/>
  <c r="R22" i="22" s="1"/>
  <c r="O40" i="22"/>
  <c r="Q40" i="22" s="1"/>
  <c r="R40" i="22" s="1"/>
  <c r="O43" i="22"/>
  <c r="Q43" i="22" s="1"/>
  <c r="R43" i="22" s="1"/>
  <c r="O49" i="22"/>
  <c r="Q49" i="22" s="1"/>
  <c r="R49" i="22" s="1"/>
  <c r="O90" i="22"/>
  <c r="Q90" i="22" s="1"/>
  <c r="R90" i="22" s="1"/>
  <c r="O7" i="22"/>
  <c r="Q7" i="22" s="1"/>
  <c r="R7" i="22" s="1"/>
  <c r="O20" i="22"/>
  <c r="Q20" i="22" s="1"/>
  <c r="R20" i="22" s="1"/>
  <c r="O25" i="22"/>
  <c r="Q25" i="22" s="1"/>
  <c r="R25" i="22" s="1"/>
  <c r="O28" i="22"/>
  <c r="Q28" i="22" s="1"/>
  <c r="R28" i="22" s="1"/>
  <c r="O59" i="22"/>
  <c r="Q59" i="22" s="1"/>
  <c r="R59" i="22" s="1"/>
  <c r="O62" i="22"/>
  <c r="Q62" i="22" s="1"/>
  <c r="R62" i="22" s="1"/>
  <c r="O72" i="22"/>
  <c r="Q72" i="22" s="1"/>
  <c r="R72" i="22" s="1"/>
  <c r="O5" i="22"/>
  <c r="Q5" i="22" s="1"/>
  <c r="R5" i="22" s="1"/>
  <c r="O23" i="22"/>
  <c r="Q23" i="22" s="1"/>
  <c r="R23" i="22" s="1"/>
  <c r="O75" i="22"/>
  <c r="Q75" i="22" s="1"/>
  <c r="R75" i="22" s="1"/>
  <c r="O78" i="22"/>
  <c r="Q78" i="22" s="1"/>
  <c r="R78" i="22" s="1"/>
  <c r="O92" i="22"/>
  <c r="Q92" i="22" s="1"/>
  <c r="R92" i="22" s="1"/>
  <c r="O16" i="22"/>
  <c r="Q16" i="22" s="1"/>
  <c r="R16" i="22" s="1"/>
  <c r="O32" i="22"/>
  <c r="Q32" i="22" s="1"/>
  <c r="R32" i="22" s="1"/>
  <c r="O42" i="22"/>
  <c r="Q42" i="22" s="1"/>
  <c r="R42" i="22" s="1"/>
  <c r="O57" i="22"/>
  <c r="Q57" i="22" s="1"/>
  <c r="R57" i="22" s="1"/>
  <c r="Q61" i="22"/>
  <c r="R61" i="22" s="1"/>
  <c r="O68" i="22"/>
  <c r="Q68" i="22" s="1"/>
  <c r="R68" i="22" s="1"/>
  <c r="O6" i="22"/>
  <c r="Q6" i="22" s="1"/>
  <c r="R6" i="22" s="1"/>
  <c r="O14" i="22"/>
  <c r="Q14" i="22" s="1"/>
  <c r="R14" i="22" s="1"/>
  <c r="O24" i="22"/>
  <c r="Q24" i="22" s="1"/>
  <c r="R24" i="22" s="1"/>
  <c r="O51" i="22"/>
  <c r="Q51" i="22" s="1"/>
  <c r="R51" i="22" s="1"/>
  <c r="Q77" i="22"/>
  <c r="R77" i="22" s="1"/>
  <c r="Q80" i="22"/>
  <c r="R80" i="22" s="1"/>
  <c r="N93" i="22"/>
  <c r="O17" i="22"/>
  <c r="Q17" i="22" s="1"/>
  <c r="R17" i="22" s="1"/>
  <c r="O38" i="22"/>
  <c r="Q38" i="22" s="1"/>
  <c r="R38" i="22" s="1"/>
  <c r="O46" i="22"/>
  <c r="Q46" i="22" s="1"/>
  <c r="R46" i="22" s="1"/>
  <c r="O52" i="22"/>
  <c r="Q52" i="22" s="1"/>
  <c r="R52" i="22" s="1"/>
  <c r="O71" i="22"/>
  <c r="Q71" i="22" s="1"/>
  <c r="R71" i="22" s="1"/>
  <c r="O83" i="22"/>
  <c r="Q83" i="22" s="1"/>
  <c r="R83" i="22" s="1"/>
  <c r="O86" i="22"/>
  <c r="Q86" i="22" s="1"/>
  <c r="R86" i="22" s="1"/>
  <c r="O91" i="22"/>
  <c r="Q91" i="22" s="1"/>
  <c r="R91" i="22" s="1"/>
  <c r="O15" i="22"/>
  <c r="Q15" i="22" s="1"/>
  <c r="R15" i="22" s="1"/>
  <c r="O31" i="22"/>
  <c r="Q31" i="22" s="1"/>
  <c r="R31" i="22" s="1"/>
  <c r="O56" i="22"/>
  <c r="Q56" i="22" s="1"/>
  <c r="R56" i="22" s="1"/>
  <c r="O67" i="22"/>
  <c r="Q67" i="22" s="1"/>
  <c r="R67" i="22" s="1"/>
  <c r="O27" i="22"/>
  <c r="Q27" i="22" s="1"/>
  <c r="R27" i="22" s="1"/>
  <c r="O50" i="22"/>
  <c r="Q50" i="22" s="1"/>
  <c r="R50" i="22" s="1"/>
  <c r="O63" i="22"/>
  <c r="Q63" i="22" s="1"/>
  <c r="R63" i="22" s="1"/>
  <c r="O76" i="22"/>
  <c r="Q76" i="22" s="1"/>
  <c r="R76" i="22" s="1"/>
  <c r="O79" i="22"/>
  <c r="Q79" i="22" s="1"/>
  <c r="R79" i="22" s="1"/>
  <c r="Q35" i="22"/>
  <c r="R35" i="22" s="1"/>
  <c r="Q60" i="22"/>
  <c r="R60" i="22" s="1"/>
  <c r="Q84" i="22"/>
  <c r="R84" i="22" s="1"/>
  <c r="M93" i="22"/>
  <c r="Q94" i="39" l="1"/>
  <c r="M96" i="39"/>
  <c r="L96" i="39"/>
  <c r="X111" i="26"/>
  <c r="N95" i="22"/>
  <c r="M95" i="22"/>
  <c r="O93" i="22"/>
  <c r="O95" i="22" s="1"/>
  <c r="Q93" i="22"/>
  <c r="R2" i="22"/>
  <c r="R93" i="22" s="1"/>
  <c r="AH3" i="20" l="1"/>
  <c r="AH4" i="20"/>
  <c r="AH5" i="20"/>
  <c r="AH6" i="20"/>
  <c r="AH7" i="20"/>
  <c r="AH8" i="20"/>
  <c r="AH2" i="20"/>
  <c r="AF3" i="20"/>
  <c r="AF4" i="20"/>
  <c r="AF5" i="20"/>
  <c r="AF6" i="20"/>
  <c r="AF7" i="20"/>
  <c r="AF8" i="20"/>
  <c r="AF2" i="20"/>
  <c r="AD3" i="20"/>
  <c r="AD4" i="20"/>
  <c r="AD5" i="20"/>
  <c r="AD6" i="20"/>
  <c r="AD7" i="20"/>
  <c r="AD8" i="20"/>
  <c r="K31" i="20" l="1"/>
  <c r="K5" i="20"/>
  <c r="N2" i="20"/>
  <c r="N93" i="20"/>
  <c r="N92" i="20"/>
  <c r="N44" i="20"/>
  <c r="N18" i="20"/>
  <c r="N14" i="20"/>
  <c r="N13" i="20"/>
  <c r="N4" i="20"/>
  <c r="N3" i="20"/>
  <c r="K69" i="20"/>
  <c r="K53" i="20"/>
  <c r="K2" i="20"/>
  <c r="K27" i="20"/>
  <c r="K83" i="20"/>
  <c r="K76" i="20"/>
  <c r="K68" i="20"/>
  <c r="K30" i="20"/>
  <c r="K94" i="20"/>
  <c r="N94" i="20"/>
  <c r="L94" i="20"/>
  <c r="L93" i="20"/>
  <c r="K93" i="20"/>
  <c r="L92" i="20"/>
  <c r="K92" i="20"/>
  <c r="N91" i="20"/>
  <c r="L91" i="20"/>
  <c r="M91" i="20" s="1"/>
  <c r="N90" i="20"/>
  <c r="L90" i="20"/>
  <c r="K90" i="20"/>
  <c r="N89" i="20"/>
  <c r="L89" i="20"/>
  <c r="M89" i="20" s="1"/>
  <c r="N88" i="20"/>
  <c r="L88" i="20"/>
  <c r="K88" i="20"/>
  <c r="N87" i="20"/>
  <c r="L87" i="20"/>
  <c r="K87" i="20"/>
  <c r="N86" i="20"/>
  <c r="L86" i="20"/>
  <c r="M86" i="20" s="1"/>
  <c r="N85" i="20"/>
  <c r="L85" i="20"/>
  <c r="K85" i="20"/>
  <c r="N84" i="20"/>
  <c r="L84" i="20"/>
  <c r="K84" i="20"/>
  <c r="N83" i="20"/>
  <c r="L83" i="20"/>
  <c r="N82" i="20"/>
  <c r="L82" i="20"/>
  <c r="N81" i="20"/>
  <c r="L81" i="20"/>
  <c r="K81" i="20"/>
  <c r="N80" i="20"/>
  <c r="L80" i="20"/>
  <c r="K80" i="20"/>
  <c r="N79" i="20"/>
  <c r="L79" i="20"/>
  <c r="N78" i="20"/>
  <c r="L78" i="20"/>
  <c r="K78" i="20"/>
  <c r="N77" i="20"/>
  <c r="L77" i="20"/>
  <c r="K77" i="20"/>
  <c r="N76" i="20"/>
  <c r="L76" i="20"/>
  <c r="N75" i="20"/>
  <c r="L75" i="20"/>
  <c r="K75" i="20"/>
  <c r="N74" i="20"/>
  <c r="L74" i="20"/>
  <c r="K74" i="20"/>
  <c r="N73" i="20"/>
  <c r="L73" i="20"/>
  <c r="K73" i="20"/>
  <c r="N72" i="20"/>
  <c r="L72" i="20"/>
  <c r="K72" i="20"/>
  <c r="N71" i="20"/>
  <c r="L71" i="20"/>
  <c r="K71" i="20"/>
  <c r="N70" i="20"/>
  <c r="L70" i="20"/>
  <c r="K70" i="20"/>
  <c r="N69" i="20"/>
  <c r="L69" i="20"/>
  <c r="M69" i="20" s="1"/>
  <c r="N68" i="20"/>
  <c r="L68" i="20"/>
  <c r="N67" i="20"/>
  <c r="L67" i="20"/>
  <c r="K67" i="20"/>
  <c r="N66" i="20"/>
  <c r="L66" i="20"/>
  <c r="K66" i="20"/>
  <c r="N65" i="20"/>
  <c r="L65" i="20"/>
  <c r="K65" i="20"/>
  <c r="N64" i="20"/>
  <c r="L64" i="20"/>
  <c r="K64" i="20"/>
  <c r="N63" i="20"/>
  <c r="L63" i="20"/>
  <c r="M63" i="20" s="1"/>
  <c r="N62" i="20"/>
  <c r="L62" i="20"/>
  <c r="M62" i="20" s="1"/>
  <c r="N61" i="20"/>
  <c r="L61" i="20"/>
  <c r="K61" i="20"/>
  <c r="N60" i="20"/>
  <c r="L60" i="20"/>
  <c r="K60" i="20"/>
  <c r="N59" i="20"/>
  <c r="L59" i="20"/>
  <c r="K59" i="20"/>
  <c r="N58" i="20"/>
  <c r="L58" i="20"/>
  <c r="K58" i="20"/>
  <c r="N57" i="20"/>
  <c r="L57" i="20"/>
  <c r="K57" i="20"/>
  <c r="N56" i="20"/>
  <c r="L56" i="20"/>
  <c r="K56" i="20"/>
  <c r="N55" i="20"/>
  <c r="L55" i="20"/>
  <c r="K55" i="20"/>
  <c r="N54" i="20"/>
  <c r="L54" i="20"/>
  <c r="N53" i="20"/>
  <c r="L53" i="20"/>
  <c r="N52" i="20"/>
  <c r="L52" i="20"/>
  <c r="K52" i="20"/>
  <c r="N51" i="20"/>
  <c r="L51" i="20"/>
  <c r="K51" i="20"/>
  <c r="N50" i="20"/>
  <c r="L50" i="20"/>
  <c r="K50" i="20"/>
  <c r="N49" i="20"/>
  <c r="L49" i="20"/>
  <c r="N48" i="20"/>
  <c r="L48" i="20"/>
  <c r="M48" i="20" s="1"/>
  <c r="N47" i="20"/>
  <c r="L47" i="20"/>
  <c r="K47" i="20"/>
  <c r="N46" i="20"/>
  <c r="L46" i="20"/>
  <c r="K46" i="20"/>
  <c r="N45" i="20"/>
  <c r="L45" i="20"/>
  <c r="K45" i="20"/>
  <c r="L44" i="20"/>
  <c r="K44" i="20"/>
  <c r="N43" i="20"/>
  <c r="L43" i="20"/>
  <c r="K43" i="20"/>
  <c r="N42" i="20"/>
  <c r="L42" i="20"/>
  <c r="K42" i="20"/>
  <c r="N41" i="20"/>
  <c r="L41" i="20"/>
  <c r="K41" i="20"/>
  <c r="N40" i="20"/>
  <c r="L40" i="20"/>
  <c r="K40" i="20"/>
  <c r="N39" i="20"/>
  <c r="L39" i="20"/>
  <c r="K39" i="20"/>
  <c r="N38" i="20"/>
  <c r="L38" i="20"/>
  <c r="K38" i="20"/>
  <c r="N37" i="20"/>
  <c r="L37" i="20"/>
  <c r="K37" i="20"/>
  <c r="N36" i="20"/>
  <c r="L36" i="20"/>
  <c r="N35" i="20"/>
  <c r="L35" i="20"/>
  <c r="K35" i="20"/>
  <c r="N34" i="20"/>
  <c r="L34" i="20"/>
  <c r="K34" i="20"/>
  <c r="N33" i="20"/>
  <c r="L33" i="20"/>
  <c r="K33" i="20"/>
  <c r="N32" i="20"/>
  <c r="L32" i="20"/>
  <c r="K32" i="20"/>
  <c r="N31" i="20"/>
  <c r="L31" i="20"/>
  <c r="N30" i="20"/>
  <c r="L30" i="20"/>
  <c r="N29" i="20"/>
  <c r="L29" i="20"/>
  <c r="K29" i="20"/>
  <c r="N28" i="20"/>
  <c r="L28" i="20"/>
  <c r="K28" i="20"/>
  <c r="N27" i="20"/>
  <c r="L27" i="20"/>
  <c r="N26" i="20"/>
  <c r="L26" i="20"/>
  <c r="K26" i="20"/>
  <c r="N25" i="20"/>
  <c r="L25" i="20"/>
  <c r="K25" i="20"/>
  <c r="N24" i="20"/>
  <c r="L24" i="20"/>
  <c r="K24" i="20"/>
  <c r="N23" i="20"/>
  <c r="L23" i="20"/>
  <c r="K23" i="20"/>
  <c r="N22" i="20"/>
  <c r="L22" i="20"/>
  <c r="K22" i="20"/>
  <c r="N21" i="20"/>
  <c r="L21" i="20"/>
  <c r="K21" i="20"/>
  <c r="N20" i="20"/>
  <c r="L20" i="20"/>
  <c r="M20" i="20" s="1"/>
  <c r="N19" i="20"/>
  <c r="L19" i="20"/>
  <c r="K19" i="20"/>
  <c r="L18" i="20"/>
  <c r="K18" i="20"/>
  <c r="N17" i="20"/>
  <c r="L17" i="20"/>
  <c r="K17" i="20"/>
  <c r="N16" i="20"/>
  <c r="L16" i="20"/>
  <c r="K16" i="20"/>
  <c r="N15" i="20"/>
  <c r="L15" i="20"/>
  <c r="K15" i="20"/>
  <c r="L14" i="20"/>
  <c r="K14" i="20"/>
  <c r="L13" i="20"/>
  <c r="M13" i="20" s="1"/>
  <c r="N12" i="20"/>
  <c r="L12" i="20"/>
  <c r="K12" i="20"/>
  <c r="N11" i="20"/>
  <c r="L11" i="20"/>
  <c r="K11" i="20"/>
  <c r="N10" i="20"/>
  <c r="L10" i="20"/>
  <c r="K10" i="20"/>
  <c r="N9" i="20"/>
  <c r="L9" i="20"/>
  <c r="K9" i="20"/>
  <c r="N8" i="20"/>
  <c r="L8" i="20"/>
  <c r="K8" i="20"/>
  <c r="N7" i="20"/>
  <c r="L7" i="20"/>
  <c r="K7" i="20"/>
  <c r="N6" i="20"/>
  <c r="L6" i="20"/>
  <c r="K6" i="20"/>
  <c r="N5" i="20"/>
  <c r="L5" i="20"/>
  <c r="L4" i="20"/>
  <c r="K4" i="20"/>
  <c r="L3" i="20"/>
  <c r="K3" i="20"/>
  <c r="L2" i="20"/>
  <c r="O63" i="20" l="1"/>
  <c r="P63" i="20" s="1"/>
  <c r="M83" i="20"/>
  <c r="O83" i="20" s="1"/>
  <c r="P83" i="20" s="1"/>
  <c r="M53" i="20"/>
  <c r="O53" i="20" s="1"/>
  <c r="P53" i="20" s="1"/>
  <c r="O89" i="20"/>
  <c r="P89" i="20" s="1"/>
  <c r="M32" i="20"/>
  <c r="O32" i="20" s="1"/>
  <c r="P32" i="20" s="1"/>
  <c r="M34" i="20"/>
  <c r="O34" i="20" s="1"/>
  <c r="P34" i="20" s="1"/>
  <c r="M81" i="20"/>
  <c r="O81" i="20" s="1"/>
  <c r="P81" i="20" s="1"/>
  <c r="M37" i="20"/>
  <c r="O37" i="20" s="1"/>
  <c r="P37" i="20" s="1"/>
  <c r="M45" i="20"/>
  <c r="O45" i="20" s="1"/>
  <c r="P45" i="20" s="1"/>
  <c r="M44" i="20"/>
  <c r="O44" i="20" s="1"/>
  <c r="P44" i="20" s="1"/>
  <c r="M75" i="20"/>
  <c r="O75" i="20" s="1"/>
  <c r="P75" i="20" s="1"/>
  <c r="M2" i="20"/>
  <c r="O2" i="20" s="1"/>
  <c r="M14" i="20"/>
  <c r="O14" i="20" s="1"/>
  <c r="P14" i="20" s="1"/>
  <c r="M52" i="20"/>
  <c r="O52" i="20" s="1"/>
  <c r="P52" i="20" s="1"/>
  <c r="M73" i="20"/>
  <c r="O73" i="20" s="1"/>
  <c r="P73" i="20" s="1"/>
  <c r="M55" i="20"/>
  <c r="O55" i="20" s="1"/>
  <c r="P55" i="20" s="1"/>
  <c r="M61" i="20"/>
  <c r="O61" i="20" s="1"/>
  <c r="P61" i="20" s="1"/>
  <c r="M64" i="20"/>
  <c r="O64" i="20" s="1"/>
  <c r="P64" i="20" s="1"/>
  <c r="M67" i="20"/>
  <c r="O67" i="20" s="1"/>
  <c r="P67" i="20" s="1"/>
  <c r="M8" i="20"/>
  <c r="O8" i="20" s="1"/>
  <c r="P8" i="20" s="1"/>
  <c r="M43" i="20"/>
  <c r="O43" i="20" s="1"/>
  <c r="P43" i="20" s="1"/>
  <c r="M68" i="20"/>
  <c r="O68" i="20" s="1"/>
  <c r="P68" i="20" s="1"/>
  <c r="M71" i="20"/>
  <c r="O71" i="20" s="1"/>
  <c r="P71" i="20" s="1"/>
  <c r="M74" i="20"/>
  <c r="O74" i="20" s="1"/>
  <c r="P74" i="20" s="1"/>
  <c r="M82" i="20"/>
  <c r="O82" i="20" s="1"/>
  <c r="P82" i="20" s="1"/>
  <c r="M85" i="20"/>
  <c r="O85" i="20" s="1"/>
  <c r="P85" i="20" s="1"/>
  <c r="M28" i="20"/>
  <c r="O28" i="20" s="1"/>
  <c r="P28" i="20" s="1"/>
  <c r="M9" i="20"/>
  <c r="O9" i="20" s="1"/>
  <c r="P9" i="20" s="1"/>
  <c r="M23" i="20"/>
  <c r="O23" i="20" s="1"/>
  <c r="P23" i="20" s="1"/>
  <c r="M72" i="20"/>
  <c r="O72" i="20" s="1"/>
  <c r="P72" i="20" s="1"/>
  <c r="M92" i="20"/>
  <c r="O92" i="20" s="1"/>
  <c r="P92" i="20" s="1"/>
  <c r="M40" i="20"/>
  <c r="O40" i="20" s="1"/>
  <c r="P40" i="20" s="1"/>
  <c r="M54" i="20"/>
  <c r="O54" i="20" s="1"/>
  <c r="P54" i="20" s="1"/>
  <c r="M59" i="20"/>
  <c r="O59" i="20" s="1"/>
  <c r="P59" i="20" s="1"/>
  <c r="M6" i="20"/>
  <c r="O6" i="20" s="1"/>
  <c r="P6" i="20" s="1"/>
  <c r="M17" i="20"/>
  <c r="O17" i="20" s="1"/>
  <c r="P17" i="20" s="1"/>
  <c r="M25" i="20"/>
  <c r="O25" i="20" s="1"/>
  <c r="P25" i="20" s="1"/>
  <c r="M46" i="20"/>
  <c r="O46" i="20" s="1"/>
  <c r="P46" i="20" s="1"/>
  <c r="M49" i="20"/>
  <c r="O49" i="20" s="1"/>
  <c r="P49" i="20" s="1"/>
  <c r="M65" i="20"/>
  <c r="O65" i="20" s="1"/>
  <c r="P65" i="20" s="1"/>
  <c r="M87" i="20"/>
  <c r="O87" i="20" s="1"/>
  <c r="P87" i="20" s="1"/>
  <c r="M90" i="20"/>
  <c r="O90" i="20" s="1"/>
  <c r="P90" i="20" s="1"/>
  <c r="M93" i="20"/>
  <c r="O93" i="20" s="1"/>
  <c r="P93" i="20" s="1"/>
  <c r="M7" i="20"/>
  <c r="O7" i="20" s="1"/>
  <c r="P7" i="20" s="1"/>
  <c r="M26" i="20"/>
  <c r="O26" i="20" s="1"/>
  <c r="P26" i="20" s="1"/>
  <c r="M31" i="20"/>
  <c r="O31" i="20" s="1"/>
  <c r="P31" i="20" s="1"/>
  <c r="M33" i="20"/>
  <c r="O33" i="20" s="1"/>
  <c r="P33" i="20" s="1"/>
  <c r="M36" i="20"/>
  <c r="O36" i="20" s="1"/>
  <c r="P36" i="20" s="1"/>
  <c r="M60" i="20"/>
  <c r="O60" i="20" s="1"/>
  <c r="P60" i="20" s="1"/>
  <c r="M79" i="20"/>
  <c r="O79" i="20" s="1"/>
  <c r="P79" i="20" s="1"/>
  <c r="M18" i="20"/>
  <c r="O18" i="20" s="1"/>
  <c r="P18" i="20" s="1"/>
  <c r="M39" i="20"/>
  <c r="O39" i="20" s="1"/>
  <c r="P39" i="20" s="1"/>
  <c r="M50" i="20"/>
  <c r="O50" i="20" s="1"/>
  <c r="P50" i="20" s="1"/>
  <c r="M58" i="20"/>
  <c r="O58" i="20" s="1"/>
  <c r="P58" i="20" s="1"/>
  <c r="M66" i="20"/>
  <c r="O66" i="20" s="1"/>
  <c r="P66" i="20" s="1"/>
  <c r="M16" i="20"/>
  <c r="O16" i="20" s="1"/>
  <c r="P16" i="20" s="1"/>
  <c r="M27" i="20"/>
  <c r="O27" i="20" s="1"/>
  <c r="P27" i="20" s="1"/>
  <c r="M24" i="20"/>
  <c r="O24" i="20" s="1"/>
  <c r="P24" i="20" s="1"/>
  <c r="M41" i="20"/>
  <c r="O41" i="20" s="1"/>
  <c r="P41" i="20" s="1"/>
  <c r="M51" i="20"/>
  <c r="O51" i="20" s="1"/>
  <c r="P51" i="20" s="1"/>
  <c r="M21" i="20"/>
  <c r="O21" i="20" s="1"/>
  <c r="P21" i="20" s="1"/>
  <c r="M56" i="20"/>
  <c r="O56" i="20" s="1"/>
  <c r="P56" i="20" s="1"/>
  <c r="M15" i="20"/>
  <c r="O15" i="20" s="1"/>
  <c r="P15" i="20" s="1"/>
  <c r="M19" i="20"/>
  <c r="O19" i="20" s="1"/>
  <c r="P19" i="20" s="1"/>
  <c r="M22" i="20"/>
  <c r="O22" i="20" s="1"/>
  <c r="P22" i="20" s="1"/>
  <c r="M29" i="20"/>
  <c r="O29" i="20" s="1"/>
  <c r="P29" i="20" s="1"/>
  <c r="M57" i="20"/>
  <c r="O57" i="20" s="1"/>
  <c r="P57" i="20" s="1"/>
  <c r="M70" i="20"/>
  <c r="O70" i="20" s="1"/>
  <c r="P70" i="20" s="1"/>
  <c r="M77" i="20"/>
  <c r="O77" i="20" s="1"/>
  <c r="P77" i="20" s="1"/>
  <c r="M5" i="20"/>
  <c r="O5" i="20" s="1"/>
  <c r="P5" i="20" s="1"/>
  <c r="M11" i="20"/>
  <c r="O11" i="20" s="1"/>
  <c r="P11" i="20" s="1"/>
  <c r="M80" i="20"/>
  <c r="O80" i="20" s="1"/>
  <c r="P80" i="20" s="1"/>
  <c r="O86" i="20"/>
  <c r="P86" i="20" s="1"/>
  <c r="M4" i="20"/>
  <c r="O4" i="20" s="1"/>
  <c r="P4" i="20" s="1"/>
  <c r="M30" i="20"/>
  <c r="O30" i="20" s="1"/>
  <c r="P30" i="20" s="1"/>
  <c r="M35" i="20"/>
  <c r="O35" i="20" s="1"/>
  <c r="P35" i="20" s="1"/>
  <c r="M42" i="20"/>
  <c r="O42" i="20" s="1"/>
  <c r="P42" i="20" s="1"/>
  <c r="M47" i="20"/>
  <c r="O47" i="20" s="1"/>
  <c r="P47" i="20" s="1"/>
  <c r="M78" i="20"/>
  <c r="O78" i="20" s="1"/>
  <c r="P78" i="20" s="1"/>
  <c r="M88" i="20"/>
  <c r="O88" i="20" s="1"/>
  <c r="P88" i="20" s="1"/>
  <c r="M94" i="20"/>
  <c r="O94" i="20" s="1"/>
  <c r="P94" i="20" s="1"/>
  <c r="M10" i="20"/>
  <c r="O10" i="20" s="1"/>
  <c r="P10" i="20" s="1"/>
  <c r="M12" i="20"/>
  <c r="O12" i="20" s="1"/>
  <c r="P12" i="20" s="1"/>
  <c r="M38" i="20"/>
  <c r="O38" i="20" s="1"/>
  <c r="P38" i="20" s="1"/>
  <c r="M76" i="20"/>
  <c r="O76" i="20" s="1"/>
  <c r="P76" i="20" s="1"/>
  <c r="M84" i="20"/>
  <c r="O84" i="20" s="1"/>
  <c r="P84" i="20" s="1"/>
  <c r="N95" i="20"/>
  <c r="O13" i="20"/>
  <c r="P13" i="20" s="1"/>
  <c r="O69" i="20"/>
  <c r="P69" i="20" s="1"/>
  <c r="O62" i="20"/>
  <c r="P62" i="20" s="1"/>
  <c r="O91" i="20"/>
  <c r="P91" i="20" s="1"/>
  <c r="O20" i="20"/>
  <c r="P20" i="20" s="1"/>
  <c r="K95" i="20"/>
  <c r="O48" i="20"/>
  <c r="P48" i="20" s="1"/>
  <c r="L95" i="20"/>
  <c r="M3" i="20"/>
  <c r="O3" i="20" s="1"/>
  <c r="P3" i="20" s="1"/>
  <c r="L97" i="20" l="1"/>
  <c r="K97" i="20"/>
  <c r="M95" i="20"/>
  <c r="M97" i="20" s="1"/>
  <c r="P2" i="20"/>
  <c r="P95" i="20" s="1"/>
  <c r="O95" i="20"/>
  <c r="N91" i="11" l="1"/>
  <c r="N88" i="11"/>
  <c r="N73" i="11"/>
  <c r="N57" i="11"/>
  <c r="N38" i="11"/>
  <c r="N33" i="11"/>
  <c r="N28" i="11"/>
  <c r="N21" i="11"/>
  <c r="N19" i="11"/>
  <c r="N13" i="11"/>
  <c r="N8" i="11"/>
  <c r="N3" i="11"/>
  <c r="L8" i="11"/>
  <c r="K92" i="15" l="1"/>
  <c r="K19" i="15"/>
  <c r="K6" i="15"/>
  <c r="K3" i="15"/>
  <c r="N32" i="15"/>
  <c r="N75" i="15"/>
  <c r="K27" i="15"/>
  <c r="K82" i="15"/>
  <c r="K66" i="15"/>
  <c r="K46" i="15"/>
  <c r="N64" i="15"/>
  <c r="N50" i="15"/>
  <c r="N8" i="15"/>
  <c r="N37" i="15"/>
  <c r="N28" i="15"/>
  <c r="N83" i="15"/>
  <c r="N82" i="15"/>
  <c r="N79" i="15"/>
  <c r="N76" i="15"/>
  <c r="N68" i="15"/>
  <c r="N49" i="15"/>
  <c r="N36" i="15"/>
  <c r="N30" i="15"/>
  <c r="N27" i="15"/>
  <c r="N2" i="15"/>
  <c r="N3" i="15" l="1"/>
  <c r="N4" i="15"/>
  <c r="N5" i="15"/>
  <c r="N6" i="15"/>
  <c r="N7" i="15"/>
  <c r="N9" i="15"/>
  <c r="N10" i="15"/>
  <c r="N11" i="15"/>
  <c r="N12" i="15"/>
  <c r="N13" i="15"/>
  <c r="N14" i="15"/>
  <c r="N15" i="15"/>
  <c r="N16" i="15"/>
  <c r="N17" i="15"/>
  <c r="N18" i="15"/>
  <c r="N19" i="15"/>
  <c r="N20" i="15"/>
  <c r="N21" i="15"/>
  <c r="N22" i="15"/>
  <c r="N23" i="15"/>
  <c r="N24" i="15"/>
  <c r="N25" i="15"/>
  <c r="N26" i="15"/>
  <c r="N29" i="15"/>
  <c r="N31" i="15"/>
  <c r="N33" i="15"/>
  <c r="N34" i="15"/>
  <c r="N35" i="15"/>
  <c r="N38" i="15"/>
  <c r="N39" i="15"/>
  <c r="N40" i="15"/>
  <c r="N41" i="15"/>
  <c r="N42" i="15"/>
  <c r="N43" i="15"/>
  <c r="N44" i="15"/>
  <c r="N45" i="15"/>
  <c r="N46" i="15"/>
  <c r="N47" i="15"/>
  <c r="N48" i="15"/>
  <c r="N51" i="15"/>
  <c r="N52" i="15"/>
  <c r="N53" i="15"/>
  <c r="N54" i="15"/>
  <c r="N55" i="15"/>
  <c r="N56" i="15"/>
  <c r="N57" i="15"/>
  <c r="N58" i="15"/>
  <c r="N59" i="15"/>
  <c r="N60" i="15"/>
  <c r="N61" i="15"/>
  <c r="N62" i="15"/>
  <c r="N63" i="15"/>
  <c r="N65" i="15"/>
  <c r="N66" i="15"/>
  <c r="N67" i="15"/>
  <c r="N69" i="15"/>
  <c r="N70" i="15"/>
  <c r="N71" i="15"/>
  <c r="N72" i="15"/>
  <c r="N73" i="15"/>
  <c r="N74" i="15"/>
  <c r="N77" i="15"/>
  <c r="N78" i="15"/>
  <c r="N80" i="15"/>
  <c r="N81" i="15"/>
  <c r="N84" i="15"/>
  <c r="N85" i="15"/>
  <c r="N86" i="15"/>
  <c r="N87" i="15"/>
  <c r="N88" i="15"/>
  <c r="N89" i="15"/>
  <c r="N90" i="15"/>
  <c r="N91" i="15"/>
  <c r="N92" i="15"/>
  <c r="N93" i="15"/>
  <c r="N94" i="15"/>
  <c r="L94" i="15"/>
  <c r="K94" i="15"/>
  <c r="L93" i="15"/>
  <c r="K93" i="15"/>
  <c r="L92" i="15"/>
  <c r="L91" i="15"/>
  <c r="L90" i="15"/>
  <c r="K90" i="15"/>
  <c r="L89" i="15"/>
  <c r="L88" i="15"/>
  <c r="K88" i="15"/>
  <c r="L87" i="15"/>
  <c r="K87" i="15"/>
  <c r="L86" i="15"/>
  <c r="L85" i="15"/>
  <c r="K85" i="15"/>
  <c r="L84" i="15"/>
  <c r="K84" i="15"/>
  <c r="L83" i="15"/>
  <c r="M83" i="15" s="1"/>
  <c r="L82" i="15"/>
  <c r="L81" i="15"/>
  <c r="K81" i="15"/>
  <c r="L80" i="15"/>
  <c r="K80" i="15"/>
  <c r="L79" i="15"/>
  <c r="K79" i="15"/>
  <c r="L78" i="15"/>
  <c r="K78" i="15"/>
  <c r="L77" i="15"/>
  <c r="K77" i="15"/>
  <c r="L76" i="15"/>
  <c r="K76" i="15"/>
  <c r="L75" i="15"/>
  <c r="K75" i="15"/>
  <c r="L74" i="15"/>
  <c r="K74" i="15"/>
  <c r="L73" i="15"/>
  <c r="K73" i="15"/>
  <c r="L72" i="15"/>
  <c r="K72" i="15"/>
  <c r="L71" i="15"/>
  <c r="K71" i="15"/>
  <c r="L70" i="15"/>
  <c r="K70" i="15"/>
  <c r="L69" i="15"/>
  <c r="M69" i="15" s="1"/>
  <c r="L68" i="15"/>
  <c r="K68" i="15"/>
  <c r="L67" i="15"/>
  <c r="K67" i="15"/>
  <c r="L66" i="15"/>
  <c r="L65" i="15"/>
  <c r="K65" i="15"/>
  <c r="L64" i="15"/>
  <c r="K64" i="15"/>
  <c r="L63" i="15"/>
  <c r="L62" i="15"/>
  <c r="M62" i="15" s="1"/>
  <c r="L61" i="15"/>
  <c r="K61" i="15"/>
  <c r="L60" i="15"/>
  <c r="K60" i="15"/>
  <c r="L59" i="15"/>
  <c r="K59" i="15"/>
  <c r="L58" i="15"/>
  <c r="K58" i="15"/>
  <c r="L57" i="15"/>
  <c r="K57" i="15"/>
  <c r="L56" i="15"/>
  <c r="K56" i="15"/>
  <c r="L55" i="15"/>
  <c r="K55" i="15"/>
  <c r="L54" i="15"/>
  <c r="K54" i="15"/>
  <c r="L53" i="15"/>
  <c r="M53" i="15" s="1"/>
  <c r="L52" i="15"/>
  <c r="K52" i="15"/>
  <c r="L51" i="15"/>
  <c r="K51" i="15"/>
  <c r="L50" i="15"/>
  <c r="K50" i="15"/>
  <c r="L49" i="15"/>
  <c r="K49" i="15"/>
  <c r="L48" i="15"/>
  <c r="L47" i="15"/>
  <c r="K47" i="15"/>
  <c r="L46" i="15"/>
  <c r="L45" i="15"/>
  <c r="K45" i="15"/>
  <c r="L44" i="15"/>
  <c r="K44" i="15"/>
  <c r="L43" i="15"/>
  <c r="K43" i="15"/>
  <c r="L42" i="15"/>
  <c r="K42" i="15"/>
  <c r="L41" i="15"/>
  <c r="K41" i="15"/>
  <c r="L40" i="15"/>
  <c r="K40" i="15"/>
  <c r="L39" i="15"/>
  <c r="K39" i="15"/>
  <c r="L38" i="15"/>
  <c r="K38" i="15"/>
  <c r="L37" i="15"/>
  <c r="K37" i="15"/>
  <c r="L36" i="15"/>
  <c r="K36" i="15"/>
  <c r="L35" i="15"/>
  <c r="K35" i="15"/>
  <c r="L34" i="15"/>
  <c r="K34" i="15"/>
  <c r="L33" i="15"/>
  <c r="K33" i="15"/>
  <c r="L32" i="15"/>
  <c r="K32" i="15"/>
  <c r="L31" i="15"/>
  <c r="K31" i="15"/>
  <c r="L30" i="15"/>
  <c r="K30" i="15"/>
  <c r="L29" i="15"/>
  <c r="K29" i="15"/>
  <c r="L28" i="15"/>
  <c r="K28" i="15"/>
  <c r="L27" i="15"/>
  <c r="L26" i="15"/>
  <c r="K26" i="15"/>
  <c r="L25" i="15"/>
  <c r="K25" i="15"/>
  <c r="L24" i="15"/>
  <c r="K24" i="15"/>
  <c r="L23" i="15"/>
  <c r="K23" i="15"/>
  <c r="L22" i="15"/>
  <c r="K22" i="15"/>
  <c r="L21" i="15"/>
  <c r="K21" i="15"/>
  <c r="L20" i="15"/>
  <c r="L19" i="15"/>
  <c r="L18" i="15"/>
  <c r="K18" i="15"/>
  <c r="L17" i="15"/>
  <c r="K17" i="15"/>
  <c r="L16" i="15"/>
  <c r="K16" i="15"/>
  <c r="L15" i="15"/>
  <c r="K15" i="15"/>
  <c r="L14" i="15"/>
  <c r="K14" i="15"/>
  <c r="L13" i="15"/>
  <c r="M13" i="15" s="1"/>
  <c r="L12" i="15"/>
  <c r="K12" i="15"/>
  <c r="L11" i="15"/>
  <c r="K11" i="15"/>
  <c r="L10" i="15"/>
  <c r="K10" i="15"/>
  <c r="L9" i="15"/>
  <c r="K9" i="15"/>
  <c r="L8" i="15"/>
  <c r="K8" i="15"/>
  <c r="L7" i="15"/>
  <c r="K7" i="15"/>
  <c r="L6" i="15"/>
  <c r="L5" i="15"/>
  <c r="K5" i="15"/>
  <c r="L4" i="15"/>
  <c r="K4" i="15"/>
  <c r="L3" i="15"/>
  <c r="L2" i="15"/>
  <c r="K2" i="15"/>
  <c r="N63" i="11"/>
  <c r="N2" i="11"/>
  <c r="N99" i="11"/>
  <c r="N98" i="11"/>
  <c r="N97" i="11"/>
  <c r="N96" i="11"/>
  <c r="N95" i="11"/>
  <c r="N94" i="11"/>
  <c r="N93" i="11"/>
  <c r="N92" i="11"/>
  <c r="N90" i="11"/>
  <c r="N89" i="11"/>
  <c r="N87" i="11"/>
  <c r="N86" i="11"/>
  <c r="N85" i="11"/>
  <c r="N84" i="11"/>
  <c r="N83" i="11"/>
  <c r="N82" i="11"/>
  <c r="N81" i="11"/>
  <c r="N80" i="11"/>
  <c r="N79" i="11"/>
  <c r="N78" i="11"/>
  <c r="N77" i="11"/>
  <c r="N76" i="11"/>
  <c r="N75" i="11"/>
  <c r="N74" i="11"/>
  <c r="N72" i="11"/>
  <c r="N71" i="11"/>
  <c r="N70" i="11"/>
  <c r="N69" i="11"/>
  <c r="N68" i="11"/>
  <c r="N67" i="11"/>
  <c r="N66" i="11"/>
  <c r="N65" i="11"/>
  <c r="N64" i="11"/>
  <c r="N62" i="11"/>
  <c r="N61" i="11"/>
  <c r="N60" i="11"/>
  <c r="N59" i="11"/>
  <c r="N58" i="11"/>
  <c r="N56" i="11"/>
  <c r="N55" i="11"/>
  <c r="N54" i="11"/>
  <c r="N53" i="11"/>
  <c r="N52" i="11"/>
  <c r="N51" i="11"/>
  <c r="N50" i="11"/>
  <c r="N49" i="11"/>
  <c r="N48" i="11"/>
  <c r="N47" i="11"/>
  <c r="N46" i="11"/>
  <c r="N45" i="11"/>
  <c r="N44" i="11"/>
  <c r="N43" i="11"/>
  <c r="N42" i="11"/>
  <c r="N41" i="11"/>
  <c r="N40" i="11"/>
  <c r="N39" i="11"/>
  <c r="N37" i="11"/>
  <c r="N36" i="11"/>
  <c r="N35" i="11"/>
  <c r="N34" i="11"/>
  <c r="N32" i="11"/>
  <c r="N31" i="11"/>
  <c r="N30" i="11"/>
  <c r="N29" i="11"/>
  <c r="N27" i="11"/>
  <c r="N26" i="11"/>
  <c r="N25" i="11"/>
  <c r="N24" i="11"/>
  <c r="N23" i="11"/>
  <c r="N22" i="11"/>
  <c r="N20" i="11"/>
  <c r="N18" i="11"/>
  <c r="N17" i="11"/>
  <c r="N16" i="11"/>
  <c r="N15" i="11"/>
  <c r="N14" i="11"/>
  <c r="N12" i="11"/>
  <c r="N11" i="11"/>
  <c r="N10" i="11"/>
  <c r="N9" i="11"/>
  <c r="N7" i="11"/>
  <c r="N6" i="11"/>
  <c r="N5" i="11"/>
  <c r="N4" i="11"/>
  <c r="N2" i="10"/>
  <c r="N99" i="10"/>
  <c r="N98" i="10"/>
  <c r="N97" i="10"/>
  <c r="N95" i="10"/>
  <c r="N94" i="10"/>
  <c r="N93" i="10"/>
  <c r="N92" i="10"/>
  <c r="N91" i="10"/>
  <c r="N90" i="10"/>
  <c r="N89" i="10"/>
  <c r="N88" i="10"/>
  <c r="N87" i="10"/>
  <c r="N86" i="10"/>
  <c r="N85" i="10"/>
  <c r="N84" i="10"/>
  <c r="N83" i="10"/>
  <c r="N82" i="10"/>
  <c r="N81" i="10"/>
  <c r="N80" i="10"/>
  <c r="N79" i="10"/>
  <c r="N78" i="10"/>
  <c r="N77" i="10"/>
  <c r="N76" i="10"/>
  <c r="N75" i="10"/>
  <c r="N73" i="10"/>
  <c r="N72" i="10"/>
  <c r="N71" i="10"/>
  <c r="N70" i="10"/>
  <c r="N69" i="10"/>
  <c r="N67" i="10"/>
  <c r="N66" i="10"/>
  <c r="N65" i="10"/>
  <c r="N64" i="10"/>
  <c r="N63" i="10"/>
  <c r="N62" i="10"/>
  <c r="N61" i="10"/>
  <c r="N60" i="10"/>
  <c r="N59" i="10"/>
  <c r="N58" i="10"/>
  <c r="N57" i="10"/>
  <c r="N54" i="10"/>
  <c r="N52" i="10"/>
  <c r="N51" i="10"/>
  <c r="N50" i="10"/>
  <c r="N48" i="10"/>
  <c r="N47" i="10"/>
  <c r="N46" i="10"/>
  <c r="N45" i="10"/>
  <c r="N44" i="10"/>
  <c r="N42" i="10"/>
  <c r="N41" i="10"/>
  <c r="N40" i="10"/>
  <c r="N39" i="10"/>
  <c r="N38" i="10"/>
  <c r="N37" i="10"/>
  <c r="N36" i="10"/>
  <c r="N35" i="10"/>
  <c r="N34" i="10"/>
  <c r="N33" i="10"/>
  <c r="N32" i="10"/>
  <c r="N31" i="10"/>
  <c r="N30" i="10"/>
  <c r="N29" i="10"/>
  <c r="N28" i="10"/>
  <c r="N27" i="10"/>
  <c r="N26" i="10"/>
  <c r="N25" i="10"/>
  <c r="N24" i="10"/>
  <c r="N23" i="10"/>
  <c r="N22" i="10"/>
  <c r="N20" i="10"/>
  <c r="N19" i="10"/>
  <c r="N18" i="10"/>
  <c r="N17" i="10"/>
  <c r="N16" i="10"/>
  <c r="N15" i="10"/>
  <c r="N14" i="10"/>
  <c r="N13" i="10"/>
  <c r="N12" i="10"/>
  <c r="N11" i="10"/>
  <c r="N9" i="10"/>
  <c r="N8" i="10"/>
  <c r="N7" i="10"/>
  <c r="N6" i="10"/>
  <c r="N5" i="10"/>
  <c r="N4" i="10"/>
  <c r="N96" i="10"/>
  <c r="N68" i="10"/>
  <c r="N53" i="10"/>
  <c r="N49" i="10"/>
  <c r="N21" i="10"/>
  <c r="N3" i="10"/>
  <c r="N74" i="10"/>
  <c r="N56" i="10"/>
  <c r="N55" i="10"/>
  <c r="N10" i="10"/>
  <c r="N99" i="9"/>
  <c r="N98" i="9"/>
  <c r="N97" i="9"/>
  <c r="N95" i="9"/>
  <c r="N94" i="9"/>
  <c r="N93" i="9"/>
  <c r="N92" i="9"/>
  <c r="N91" i="9"/>
  <c r="N90" i="9"/>
  <c r="N88" i="9"/>
  <c r="N87" i="9"/>
  <c r="N86" i="9"/>
  <c r="N84" i="9"/>
  <c r="N82" i="9"/>
  <c r="N80" i="9"/>
  <c r="N79" i="9"/>
  <c r="N77" i="9"/>
  <c r="N76" i="9"/>
  <c r="N75" i="9"/>
  <c r="N74" i="9"/>
  <c r="N73" i="9"/>
  <c r="N72" i="9"/>
  <c r="N70" i="9"/>
  <c r="N69" i="9"/>
  <c r="N68" i="9"/>
  <c r="N67" i="9"/>
  <c r="N66" i="9"/>
  <c r="N65" i="9"/>
  <c r="N62" i="9"/>
  <c r="N61" i="9"/>
  <c r="N60" i="9"/>
  <c r="N59" i="9"/>
  <c r="N56" i="9"/>
  <c r="N55" i="9"/>
  <c r="N54" i="9"/>
  <c r="N53" i="9"/>
  <c r="N52" i="9"/>
  <c r="N51" i="9"/>
  <c r="N50" i="9"/>
  <c r="N49" i="9"/>
  <c r="N48" i="9"/>
  <c r="N47" i="9"/>
  <c r="N46" i="9"/>
  <c r="N45" i="9"/>
  <c r="N44" i="9"/>
  <c r="N43" i="9"/>
  <c r="N42" i="9"/>
  <c r="N41" i="9"/>
  <c r="N39" i="9"/>
  <c r="N37" i="9"/>
  <c r="N35" i="9"/>
  <c r="N33" i="9"/>
  <c r="N32" i="9"/>
  <c r="N31" i="9"/>
  <c r="N30" i="9"/>
  <c r="N28" i="9"/>
  <c r="N27" i="9"/>
  <c r="N26" i="9"/>
  <c r="N25" i="9"/>
  <c r="N24" i="9"/>
  <c r="N23" i="9"/>
  <c r="N22" i="9"/>
  <c r="N21" i="9"/>
  <c r="N20" i="9"/>
  <c r="N19" i="9"/>
  <c r="N17" i="9"/>
  <c r="N16" i="9"/>
  <c r="N15" i="9"/>
  <c r="N14" i="9"/>
  <c r="N13" i="9"/>
  <c r="N12" i="9"/>
  <c r="N11" i="9"/>
  <c r="N8" i="9"/>
  <c r="N7" i="9"/>
  <c r="N6" i="9"/>
  <c r="N5" i="9"/>
  <c r="N4" i="9"/>
  <c r="N3" i="9"/>
  <c r="N2" i="9"/>
  <c r="N96" i="9"/>
  <c r="N78" i="9"/>
  <c r="N64" i="9"/>
  <c r="N58" i="9"/>
  <c r="N40" i="9"/>
  <c r="N36" i="9"/>
  <c r="N34" i="9"/>
  <c r="N29" i="9"/>
  <c r="N18" i="9"/>
  <c r="N10" i="9"/>
  <c r="N9" i="9"/>
  <c r="N85" i="9"/>
  <c r="N83" i="9"/>
  <c r="N81" i="9"/>
  <c r="N71" i="9"/>
  <c r="N63" i="9"/>
  <c r="N57" i="9"/>
  <c r="N38" i="9"/>
  <c r="N89" i="9"/>
  <c r="Q99" i="8"/>
  <c r="Q98" i="8"/>
  <c r="Q97" i="8"/>
  <c r="Q96" i="8"/>
  <c r="Q95" i="8"/>
  <c r="Q94" i="8"/>
  <c r="Q93" i="8"/>
  <c r="Q92" i="8"/>
  <c r="Q91" i="8"/>
  <c r="Q90" i="8"/>
  <c r="Q89" i="8"/>
  <c r="Q88" i="8"/>
  <c r="Q87" i="8"/>
  <c r="Q86" i="8"/>
  <c r="Q85" i="8"/>
  <c r="Q84" i="8"/>
  <c r="Q83" i="8"/>
  <c r="Q82" i="8"/>
  <c r="Q81" i="8"/>
  <c r="Q80" i="8"/>
  <c r="Q79" i="8"/>
  <c r="Q78" i="8"/>
  <c r="Q77" i="8"/>
  <c r="Q76" i="8"/>
  <c r="Q75" i="8"/>
  <c r="Q74" i="8"/>
  <c r="Q73" i="8"/>
  <c r="Q72" i="8"/>
  <c r="Q71" i="8"/>
  <c r="Q70" i="8"/>
  <c r="Q69" i="8"/>
  <c r="Q68" i="8"/>
  <c r="Q67" i="8"/>
  <c r="Q66" i="8"/>
  <c r="Q65" i="8"/>
  <c r="Q64" i="8"/>
  <c r="Q63" i="8"/>
  <c r="Q62" i="8"/>
  <c r="Q61" i="8"/>
  <c r="Q60" i="8"/>
  <c r="Q59" i="8"/>
  <c r="Q58" i="8"/>
  <c r="Q57" i="8"/>
  <c r="Q56" i="8"/>
  <c r="Q55" i="8"/>
  <c r="Q54" i="8"/>
  <c r="Q53" i="8"/>
  <c r="Q52" i="8"/>
  <c r="Q51" i="8"/>
  <c r="Q50" i="8"/>
  <c r="Q49" i="8"/>
  <c r="Q48" i="8"/>
  <c r="Q47" i="8"/>
  <c r="Q46" i="8"/>
  <c r="Q45" i="8"/>
  <c r="Q44" i="8"/>
  <c r="Q43" i="8"/>
  <c r="Q42" i="8"/>
  <c r="Q41" i="8"/>
  <c r="Q40" i="8"/>
  <c r="Q39" i="8"/>
  <c r="Q38" i="8"/>
  <c r="Q37" i="8"/>
  <c r="Q36" i="8"/>
  <c r="Q35" i="8"/>
  <c r="Q34" i="8"/>
  <c r="Q33" i="8"/>
  <c r="Q32" i="8"/>
  <c r="Q31" i="8"/>
  <c r="Q30" i="8"/>
  <c r="Q29" i="8"/>
  <c r="Q28" i="8"/>
  <c r="Q27" i="8"/>
  <c r="Q26" i="8"/>
  <c r="Q25" i="8"/>
  <c r="Q24" i="8"/>
  <c r="Q23" i="8"/>
  <c r="Q22" i="8"/>
  <c r="Q21" i="8"/>
  <c r="Q20" i="8"/>
  <c r="Q19" i="8"/>
  <c r="Q18" i="8"/>
  <c r="Q17" i="8"/>
  <c r="Q16" i="8"/>
  <c r="Q15" i="8"/>
  <c r="Q14" i="8"/>
  <c r="Q13" i="8"/>
  <c r="Q12" i="8"/>
  <c r="Q11" i="8"/>
  <c r="Q10" i="8"/>
  <c r="Q9" i="8"/>
  <c r="Q8" i="8"/>
  <c r="Q7" i="8"/>
  <c r="Q6" i="8"/>
  <c r="Q5" i="8"/>
  <c r="Q4" i="8"/>
  <c r="Q3" i="8"/>
  <c r="Q2" i="8"/>
  <c r="M6" i="15" l="1"/>
  <c r="O6" i="15" s="1"/>
  <c r="P6" i="15" s="1"/>
  <c r="M84" i="15"/>
  <c r="O84" i="15" s="1"/>
  <c r="P84" i="15" s="1"/>
  <c r="O69" i="15"/>
  <c r="P69" i="15" s="1"/>
  <c r="O53" i="15"/>
  <c r="P53" i="15" s="1"/>
  <c r="N95" i="15"/>
  <c r="M52" i="15"/>
  <c r="O52" i="15" s="1"/>
  <c r="P52" i="15" s="1"/>
  <c r="M77" i="15"/>
  <c r="O77" i="15" s="1"/>
  <c r="P77" i="15" s="1"/>
  <c r="M91" i="15"/>
  <c r="O91" i="15" s="1"/>
  <c r="P91" i="15" s="1"/>
  <c r="M9" i="15"/>
  <c r="O9" i="15" s="1"/>
  <c r="P9" i="15" s="1"/>
  <c r="M51" i="15"/>
  <c r="O51" i="15" s="1"/>
  <c r="P51" i="15" s="1"/>
  <c r="M79" i="15"/>
  <c r="O79" i="15" s="1"/>
  <c r="P79" i="15" s="1"/>
  <c r="M58" i="15"/>
  <c r="O58" i="15" s="1"/>
  <c r="P58" i="15" s="1"/>
  <c r="M80" i="15"/>
  <c r="O80" i="15" s="1"/>
  <c r="P80" i="15" s="1"/>
  <c r="M7" i="15"/>
  <c r="O7" i="15" s="1"/>
  <c r="P7" i="15" s="1"/>
  <c r="M56" i="15"/>
  <c r="O56" i="15" s="1"/>
  <c r="P56" i="15" s="1"/>
  <c r="M59" i="15"/>
  <c r="O59" i="15" s="1"/>
  <c r="P59" i="15" s="1"/>
  <c r="M81" i="15"/>
  <c r="O81" i="15" s="1"/>
  <c r="P81" i="15" s="1"/>
  <c r="M60" i="15"/>
  <c r="O60" i="15" s="1"/>
  <c r="P60" i="15" s="1"/>
  <c r="M63" i="15"/>
  <c r="O63" i="15" s="1"/>
  <c r="P63" i="15" s="1"/>
  <c r="M68" i="15"/>
  <c r="O68" i="15" s="1"/>
  <c r="P68" i="15" s="1"/>
  <c r="M47" i="15"/>
  <c r="O47" i="15" s="1"/>
  <c r="P47" i="15" s="1"/>
  <c r="M50" i="15"/>
  <c r="O50" i="15" s="1"/>
  <c r="P50" i="15" s="1"/>
  <c r="M61" i="15"/>
  <c r="O61" i="15" s="1"/>
  <c r="P61" i="15" s="1"/>
  <c r="M75" i="15"/>
  <c r="O75" i="15" s="1"/>
  <c r="P75" i="15" s="1"/>
  <c r="M5" i="15"/>
  <c r="O5" i="15" s="1"/>
  <c r="P5" i="15" s="1"/>
  <c r="M10" i="15"/>
  <c r="O10" i="15" s="1"/>
  <c r="P10" i="15" s="1"/>
  <c r="M21" i="15"/>
  <c r="O21" i="15" s="1"/>
  <c r="P21" i="15" s="1"/>
  <c r="M29" i="15"/>
  <c r="O29" i="15" s="1"/>
  <c r="P29" i="15" s="1"/>
  <c r="M37" i="15"/>
  <c r="O37" i="15" s="1"/>
  <c r="P37" i="15" s="1"/>
  <c r="M45" i="15"/>
  <c r="O45" i="15" s="1"/>
  <c r="P45" i="15" s="1"/>
  <c r="M78" i="15"/>
  <c r="O78" i="15" s="1"/>
  <c r="P78" i="15" s="1"/>
  <c r="M19" i="15"/>
  <c r="O19" i="15" s="1"/>
  <c r="P19" i="15" s="1"/>
  <c r="M27" i="15"/>
  <c r="O27" i="15" s="1"/>
  <c r="P27" i="15" s="1"/>
  <c r="M54" i="15"/>
  <c r="O54" i="15" s="1"/>
  <c r="P54" i="15" s="1"/>
  <c r="K95" i="15"/>
  <c r="M55" i="15"/>
  <c r="O55" i="15" s="1"/>
  <c r="P55" i="15" s="1"/>
  <c r="O83" i="15"/>
  <c r="P83" i="15" s="1"/>
  <c r="M3" i="15"/>
  <c r="O3" i="15" s="1"/>
  <c r="P3" i="15" s="1"/>
  <c r="M64" i="15"/>
  <c r="O64" i="15" s="1"/>
  <c r="P64" i="15" s="1"/>
  <c r="M70" i="15"/>
  <c r="O70" i="15" s="1"/>
  <c r="P70" i="15" s="1"/>
  <c r="M90" i="15"/>
  <c r="O90" i="15" s="1"/>
  <c r="P90" i="15" s="1"/>
  <c r="M35" i="15"/>
  <c r="O35" i="15" s="1"/>
  <c r="P35" i="15" s="1"/>
  <c r="M73" i="15"/>
  <c r="O73" i="15" s="1"/>
  <c r="P73" i="15" s="1"/>
  <c r="M4" i="15"/>
  <c r="O4" i="15" s="1"/>
  <c r="P4" i="15" s="1"/>
  <c r="M11" i="15"/>
  <c r="O11" i="15" s="1"/>
  <c r="P11" i="15" s="1"/>
  <c r="M17" i="15"/>
  <c r="O17" i="15" s="1"/>
  <c r="P17" i="15" s="1"/>
  <c r="M25" i="15"/>
  <c r="O25" i="15" s="1"/>
  <c r="P25" i="15" s="1"/>
  <c r="M33" i="15"/>
  <c r="O33" i="15" s="1"/>
  <c r="P33" i="15" s="1"/>
  <c r="M41" i="15"/>
  <c r="O41" i="15" s="1"/>
  <c r="P41" i="15" s="1"/>
  <c r="M57" i="15"/>
  <c r="O57" i="15" s="1"/>
  <c r="P57" i="15" s="1"/>
  <c r="M65" i="15"/>
  <c r="O65" i="15" s="1"/>
  <c r="P65" i="15" s="1"/>
  <c r="M71" i="15"/>
  <c r="O71" i="15" s="1"/>
  <c r="P71" i="15" s="1"/>
  <c r="M76" i="15"/>
  <c r="O76" i="15" s="1"/>
  <c r="P76" i="15" s="1"/>
  <c r="M16" i="15"/>
  <c r="O16" i="15" s="1"/>
  <c r="P16" i="15" s="1"/>
  <c r="M24" i="15"/>
  <c r="O24" i="15" s="1"/>
  <c r="P24" i="15" s="1"/>
  <c r="M32" i="15"/>
  <c r="O32" i="15" s="1"/>
  <c r="P32" i="15" s="1"/>
  <c r="M40" i="15"/>
  <c r="O40" i="15" s="1"/>
  <c r="P40" i="15" s="1"/>
  <c r="M48" i="15"/>
  <c r="O48" i="15" s="1"/>
  <c r="P48" i="15" s="1"/>
  <c r="O62" i="15"/>
  <c r="P62" i="15" s="1"/>
  <c r="M82" i="15"/>
  <c r="O82" i="15" s="1"/>
  <c r="P82" i="15" s="1"/>
  <c r="M89" i="15"/>
  <c r="O89" i="15" s="1"/>
  <c r="P89" i="15" s="1"/>
  <c r="M14" i="15"/>
  <c r="O14" i="15" s="1"/>
  <c r="P14" i="15" s="1"/>
  <c r="M30" i="15"/>
  <c r="O30" i="15" s="1"/>
  <c r="P30" i="15" s="1"/>
  <c r="M46" i="15"/>
  <c r="O46" i="15" s="1"/>
  <c r="P46" i="15" s="1"/>
  <c r="M66" i="15"/>
  <c r="O66" i="15" s="1"/>
  <c r="P66" i="15" s="1"/>
  <c r="M87" i="15"/>
  <c r="O87" i="15" s="1"/>
  <c r="P87" i="15" s="1"/>
  <c r="M93" i="15"/>
  <c r="O93" i="15" s="1"/>
  <c r="P93" i="15" s="1"/>
  <c r="M2" i="15"/>
  <c r="O2" i="15" s="1"/>
  <c r="P2" i="15" s="1"/>
  <c r="M38" i="15"/>
  <c r="O38" i="15" s="1"/>
  <c r="P38" i="15" s="1"/>
  <c r="M8" i="15"/>
  <c r="O8" i="15" s="1"/>
  <c r="P8" i="15" s="1"/>
  <c r="M20" i="15"/>
  <c r="O20" i="15" s="1"/>
  <c r="P20" i="15" s="1"/>
  <c r="M28" i="15"/>
  <c r="O28" i="15" s="1"/>
  <c r="P28" i="15" s="1"/>
  <c r="M36" i="15"/>
  <c r="O36" i="15" s="1"/>
  <c r="P36" i="15" s="1"/>
  <c r="M44" i="15"/>
  <c r="O44" i="15" s="1"/>
  <c r="P44" i="15" s="1"/>
  <c r="M49" i="15"/>
  <c r="O49" i="15" s="1"/>
  <c r="P49" i="15" s="1"/>
  <c r="M74" i="15"/>
  <c r="O74" i="15" s="1"/>
  <c r="P74" i="15" s="1"/>
  <c r="M85" i="15"/>
  <c r="O85" i="15" s="1"/>
  <c r="P85" i="15" s="1"/>
  <c r="M22" i="15"/>
  <c r="O22" i="15" s="1"/>
  <c r="P22" i="15" s="1"/>
  <c r="M12" i="15"/>
  <c r="O12" i="15" s="1"/>
  <c r="P12" i="15" s="1"/>
  <c r="M15" i="15"/>
  <c r="O15" i="15" s="1"/>
  <c r="P15" i="15" s="1"/>
  <c r="M23" i="15"/>
  <c r="O23" i="15" s="1"/>
  <c r="P23" i="15" s="1"/>
  <c r="M31" i="15"/>
  <c r="O31" i="15" s="1"/>
  <c r="P31" i="15" s="1"/>
  <c r="M39" i="15"/>
  <c r="O39" i="15" s="1"/>
  <c r="P39" i="15" s="1"/>
  <c r="M67" i="15"/>
  <c r="O67" i="15" s="1"/>
  <c r="P67" i="15" s="1"/>
  <c r="M72" i="15"/>
  <c r="O72" i="15" s="1"/>
  <c r="P72" i="15" s="1"/>
  <c r="M88" i="15"/>
  <c r="O88" i="15" s="1"/>
  <c r="P88" i="15" s="1"/>
  <c r="M94" i="15"/>
  <c r="O94" i="15" s="1"/>
  <c r="P94" i="15" s="1"/>
  <c r="M43" i="15"/>
  <c r="O43" i="15" s="1"/>
  <c r="P43" i="15" s="1"/>
  <c r="M18" i="15"/>
  <c r="O18" i="15" s="1"/>
  <c r="P18" i="15" s="1"/>
  <c r="M26" i="15"/>
  <c r="O26" i="15" s="1"/>
  <c r="P26" i="15" s="1"/>
  <c r="M34" i="15"/>
  <c r="O34" i="15" s="1"/>
  <c r="P34" i="15" s="1"/>
  <c r="M42" i="15"/>
  <c r="O42" i="15" s="1"/>
  <c r="P42" i="15" s="1"/>
  <c r="M86" i="15"/>
  <c r="O86" i="15" s="1"/>
  <c r="P86" i="15" s="1"/>
  <c r="M92" i="15"/>
  <c r="O92" i="15" s="1"/>
  <c r="P92" i="15" s="1"/>
  <c r="O13" i="15"/>
  <c r="P13" i="15" s="1"/>
  <c r="L95" i="15"/>
  <c r="L99" i="11"/>
  <c r="L98" i="11"/>
  <c r="L97" i="11"/>
  <c r="L96" i="11"/>
  <c r="L95" i="11"/>
  <c r="L94" i="11"/>
  <c r="L93" i="11"/>
  <c r="M93" i="11" s="1"/>
  <c r="O93" i="11" s="1"/>
  <c r="P93" i="11" s="1"/>
  <c r="L92" i="11"/>
  <c r="M92" i="11" s="1"/>
  <c r="O92" i="11" s="1"/>
  <c r="P92" i="11" s="1"/>
  <c r="L90" i="11"/>
  <c r="L89" i="11"/>
  <c r="M89" i="11" s="1"/>
  <c r="O89" i="11" s="1"/>
  <c r="P89" i="11" s="1"/>
  <c r="L88" i="11"/>
  <c r="M88" i="11" s="1"/>
  <c r="O88" i="11" s="1"/>
  <c r="P88" i="11" s="1"/>
  <c r="L87" i="11"/>
  <c r="L86" i="11"/>
  <c r="L85" i="11"/>
  <c r="M85" i="11" s="1"/>
  <c r="O85" i="11" s="1"/>
  <c r="P85" i="11" s="1"/>
  <c r="L84" i="11"/>
  <c r="L83" i="11"/>
  <c r="L82" i="11"/>
  <c r="L81" i="11"/>
  <c r="M81" i="11" s="1"/>
  <c r="O81" i="11" s="1"/>
  <c r="P81" i="11" s="1"/>
  <c r="L80" i="11"/>
  <c r="L79" i="11"/>
  <c r="L78" i="11"/>
  <c r="L77" i="11"/>
  <c r="L76" i="11"/>
  <c r="L75" i="11"/>
  <c r="L74" i="11"/>
  <c r="L73" i="11"/>
  <c r="L72" i="11"/>
  <c r="L71" i="11"/>
  <c r="M71" i="11" s="1"/>
  <c r="O71" i="11" s="1"/>
  <c r="P71" i="11" s="1"/>
  <c r="L70" i="11"/>
  <c r="L69" i="11"/>
  <c r="L68" i="11"/>
  <c r="L67" i="11"/>
  <c r="L66" i="11"/>
  <c r="L65" i="11"/>
  <c r="L64" i="11"/>
  <c r="L63" i="11"/>
  <c r="M63" i="11" s="1"/>
  <c r="O63" i="11" s="1"/>
  <c r="P63" i="11" s="1"/>
  <c r="L62" i="11"/>
  <c r="L61" i="11"/>
  <c r="L60" i="11"/>
  <c r="L59" i="11"/>
  <c r="L58" i="11"/>
  <c r="M58" i="11" s="1"/>
  <c r="O58" i="11" s="1"/>
  <c r="P58" i="11" s="1"/>
  <c r="L57" i="11"/>
  <c r="L56" i="11"/>
  <c r="L55" i="11"/>
  <c r="L54" i="11"/>
  <c r="L53" i="11"/>
  <c r="L52" i="11"/>
  <c r="L51" i="11"/>
  <c r="L50" i="11"/>
  <c r="L49" i="11"/>
  <c r="L48" i="11"/>
  <c r="L47" i="11"/>
  <c r="L46" i="11"/>
  <c r="L45" i="11"/>
  <c r="L44" i="11"/>
  <c r="M44" i="11" s="1"/>
  <c r="O44" i="11" s="1"/>
  <c r="P44" i="11" s="1"/>
  <c r="L43" i="11"/>
  <c r="M43" i="11" s="1"/>
  <c r="O43" i="11" s="1"/>
  <c r="P43" i="11" s="1"/>
  <c r="L42" i="11"/>
  <c r="L41" i="11"/>
  <c r="L40" i="11"/>
  <c r="L39" i="11"/>
  <c r="L38" i="11"/>
  <c r="L37" i="11"/>
  <c r="L36" i="11"/>
  <c r="L35" i="11"/>
  <c r="L34" i="11"/>
  <c r="L33" i="11"/>
  <c r="L32" i="11"/>
  <c r="L31" i="11"/>
  <c r="L30" i="11"/>
  <c r="M30" i="11" s="1"/>
  <c r="O30" i="11" s="1"/>
  <c r="P30" i="11" s="1"/>
  <c r="L29" i="11"/>
  <c r="L28" i="11"/>
  <c r="L27" i="11"/>
  <c r="M27" i="11" s="1"/>
  <c r="O27" i="11" s="1"/>
  <c r="P27" i="11" s="1"/>
  <c r="L26" i="11"/>
  <c r="L25" i="11"/>
  <c r="L24" i="11"/>
  <c r="L23" i="11"/>
  <c r="L22" i="11"/>
  <c r="L21" i="11"/>
  <c r="L20" i="11"/>
  <c r="L19" i="11"/>
  <c r="L18" i="11"/>
  <c r="L17" i="11"/>
  <c r="M17" i="11" s="1"/>
  <c r="O17" i="11" s="1"/>
  <c r="P17" i="11" s="1"/>
  <c r="L16" i="11"/>
  <c r="M16" i="11" s="1"/>
  <c r="O16" i="11" s="1"/>
  <c r="P16" i="11" s="1"/>
  <c r="L15" i="11"/>
  <c r="L14" i="11"/>
  <c r="M14" i="11" s="1"/>
  <c r="O14" i="11" s="1"/>
  <c r="P14" i="11" s="1"/>
  <c r="L13" i="11"/>
  <c r="M13" i="11" s="1"/>
  <c r="O13" i="11" s="1"/>
  <c r="P13" i="11" s="1"/>
  <c r="L12" i="11"/>
  <c r="L11" i="11"/>
  <c r="L10" i="11"/>
  <c r="L9" i="11"/>
  <c r="L7" i="11"/>
  <c r="L6" i="11"/>
  <c r="L5" i="11"/>
  <c r="L4" i="11"/>
  <c r="L3" i="9"/>
  <c r="L4" i="9"/>
  <c r="L5" i="9"/>
  <c r="L6" i="9"/>
  <c r="L7" i="9"/>
  <c r="M7" i="9" s="1"/>
  <c r="O7" i="9" s="1"/>
  <c r="P7" i="9" s="1"/>
  <c r="L8" i="9"/>
  <c r="L9" i="9"/>
  <c r="M9" i="9" s="1"/>
  <c r="O9" i="9" s="1"/>
  <c r="P9" i="9" s="1"/>
  <c r="L10" i="9"/>
  <c r="M10" i="9" s="1"/>
  <c r="O10" i="9" s="1"/>
  <c r="P10" i="9" s="1"/>
  <c r="L11" i="9"/>
  <c r="M11" i="9" s="1"/>
  <c r="O11" i="9" s="1"/>
  <c r="P11" i="9" s="1"/>
  <c r="L12" i="9"/>
  <c r="M12" i="9" s="1"/>
  <c r="O12" i="9" s="1"/>
  <c r="P12" i="9" s="1"/>
  <c r="L13" i="9"/>
  <c r="L14" i="9"/>
  <c r="L15" i="9"/>
  <c r="L16" i="9"/>
  <c r="L17" i="9"/>
  <c r="L18" i="9"/>
  <c r="M18" i="9" s="1"/>
  <c r="O18" i="9" s="1"/>
  <c r="P18" i="9" s="1"/>
  <c r="L19" i="9"/>
  <c r="L20" i="9"/>
  <c r="M20" i="9" s="1"/>
  <c r="O20" i="9" s="1"/>
  <c r="P20" i="9" s="1"/>
  <c r="L21" i="9"/>
  <c r="L22" i="9"/>
  <c r="L23" i="9"/>
  <c r="L24" i="9"/>
  <c r="L25" i="9"/>
  <c r="L26" i="9"/>
  <c r="L27" i="9"/>
  <c r="M27" i="9" s="1"/>
  <c r="O27" i="9" s="1"/>
  <c r="P27" i="9" s="1"/>
  <c r="L28" i="9"/>
  <c r="M28" i="9" s="1"/>
  <c r="O28" i="9" s="1"/>
  <c r="P28" i="9" s="1"/>
  <c r="L29" i="9"/>
  <c r="L30" i="9"/>
  <c r="L31" i="9"/>
  <c r="L32" i="9"/>
  <c r="L33" i="9"/>
  <c r="M33" i="9" s="1"/>
  <c r="O33" i="9" s="1"/>
  <c r="P33" i="9" s="1"/>
  <c r="L34" i="9"/>
  <c r="L35" i="9"/>
  <c r="M35" i="9" s="1"/>
  <c r="O35" i="9" s="1"/>
  <c r="P35" i="9" s="1"/>
  <c r="L36" i="9"/>
  <c r="L37" i="9"/>
  <c r="L38" i="9"/>
  <c r="L39" i="9"/>
  <c r="M39" i="9" s="1"/>
  <c r="O39" i="9" s="1"/>
  <c r="P39" i="9" s="1"/>
  <c r="L40" i="9"/>
  <c r="M40" i="9" s="1"/>
  <c r="O40" i="9" s="1"/>
  <c r="P40" i="9" s="1"/>
  <c r="L41" i="9"/>
  <c r="M41" i="9" s="1"/>
  <c r="O41" i="9" s="1"/>
  <c r="P41" i="9" s="1"/>
  <c r="L42" i="9"/>
  <c r="L43" i="9"/>
  <c r="M43" i="9" s="1"/>
  <c r="O43" i="9" s="1"/>
  <c r="P43" i="9" s="1"/>
  <c r="L44" i="9"/>
  <c r="M44" i="9" s="1"/>
  <c r="O44" i="9" s="1"/>
  <c r="P44" i="9" s="1"/>
  <c r="L45" i="9"/>
  <c r="L46" i="9"/>
  <c r="L47" i="9"/>
  <c r="L48" i="9"/>
  <c r="L49" i="9"/>
  <c r="L50" i="9"/>
  <c r="M50" i="9" s="1"/>
  <c r="O50" i="9" s="1"/>
  <c r="P50" i="9" s="1"/>
  <c r="L51" i="9"/>
  <c r="M51" i="9" s="1"/>
  <c r="O51" i="9" s="1"/>
  <c r="P51" i="9" s="1"/>
  <c r="L52" i="9"/>
  <c r="L53" i="9"/>
  <c r="L54" i="9"/>
  <c r="L55" i="9"/>
  <c r="L56" i="9"/>
  <c r="L57" i="9"/>
  <c r="L58" i="9"/>
  <c r="M58" i="9" s="1"/>
  <c r="O58" i="9" s="1"/>
  <c r="P58" i="9" s="1"/>
  <c r="L59" i="9"/>
  <c r="M59" i="9" s="1"/>
  <c r="O59" i="9" s="1"/>
  <c r="P59" i="9" s="1"/>
  <c r="L60" i="9"/>
  <c r="M60" i="9" s="1"/>
  <c r="O60" i="9" s="1"/>
  <c r="P60" i="9" s="1"/>
  <c r="L61" i="9"/>
  <c r="L62" i="9"/>
  <c r="L63" i="9"/>
  <c r="L64" i="9"/>
  <c r="L65" i="9"/>
  <c r="L66" i="9"/>
  <c r="L67" i="9"/>
  <c r="L68" i="9"/>
  <c r="L69" i="9"/>
  <c r="L70" i="9"/>
  <c r="L71" i="9"/>
  <c r="M71" i="9" s="1"/>
  <c r="O71" i="9" s="1"/>
  <c r="P71" i="9" s="1"/>
  <c r="L72" i="9"/>
  <c r="M72" i="9" s="1"/>
  <c r="O72" i="9" s="1"/>
  <c r="P72" i="9" s="1"/>
  <c r="L73" i="9"/>
  <c r="M73" i="9" s="1"/>
  <c r="O73" i="9" s="1"/>
  <c r="P73" i="9" s="1"/>
  <c r="L74" i="9"/>
  <c r="M74" i="9" s="1"/>
  <c r="O74" i="9" s="1"/>
  <c r="P74" i="9" s="1"/>
  <c r="L75" i="9"/>
  <c r="L76" i="9"/>
  <c r="M76" i="9" s="1"/>
  <c r="O76" i="9" s="1"/>
  <c r="P76" i="9" s="1"/>
  <c r="L77" i="9"/>
  <c r="L78" i="9"/>
  <c r="L79" i="9"/>
  <c r="L80" i="9"/>
  <c r="L81" i="9"/>
  <c r="M81" i="9" s="1"/>
  <c r="O81" i="9" s="1"/>
  <c r="P81" i="9" s="1"/>
  <c r="L82" i="9"/>
  <c r="L83" i="9"/>
  <c r="M83" i="9" s="1"/>
  <c r="O83" i="9" s="1"/>
  <c r="P83" i="9" s="1"/>
  <c r="L84" i="9"/>
  <c r="L85" i="9"/>
  <c r="L86" i="9"/>
  <c r="L87" i="9"/>
  <c r="L88" i="9"/>
  <c r="M88" i="9" s="1"/>
  <c r="O88" i="9" s="1"/>
  <c r="P88" i="9" s="1"/>
  <c r="L89" i="9"/>
  <c r="M89" i="9" s="1"/>
  <c r="L90" i="9"/>
  <c r="L91" i="9"/>
  <c r="M91" i="9" s="1"/>
  <c r="O91" i="9" s="1"/>
  <c r="P91" i="9" s="1"/>
  <c r="L92" i="9"/>
  <c r="L93" i="9"/>
  <c r="L94" i="9"/>
  <c r="L95" i="9"/>
  <c r="L96" i="9"/>
  <c r="M96" i="9" s="1"/>
  <c r="O96" i="9" s="1"/>
  <c r="P96" i="9" s="1"/>
  <c r="L97" i="9"/>
  <c r="L98" i="9"/>
  <c r="M98" i="9" s="1"/>
  <c r="O98" i="9" s="1"/>
  <c r="P98" i="9" s="1"/>
  <c r="L99" i="9"/>
  <c r="L2" i="9"/>
  <c r="M2" i="9" s="1"/>
  <c r="O2" i="9" s="1"/>
  <c r="P2" i="9" s="1"/>
  <c r="L3" i="10"/>
  <c r="L4" i="10"/>
  <c r="L5" i="10"/>
  <c r="L6" i="10"/>
  <c r="L7" i="10"/>
  <c r="L8" i="10"/>
  <c r="L9" i="10"/>
  <c r="L10" i="10"/>
  <c r="M10" i="10" s="1"/>
  <c r="L11" i="10"/>
  <c r="L12" i="10"/>
  <c r="L13" i="10"/>
  <c r="L14" i="10"/>
  <c r="L15" i="10"/>
  <c r="M15" i="10" s="1"/>
  <c r="O15" i="10" s="1"/>
  <c r="P15" i="10" s="1"/>
  <c r="L16" i="10"/>
  <c r="M16" i="10" s="1"/>
  <c r="O16" i="10" s="1"/>
  <c r="P16" i="10" s="1"/>
  <c r="L17" i="10"/>
  <c r="L18" i="10"/>
  <c r="L19" i="10"/>
  <c r="M19" i="10" s="1"/>
  <c r="O19" i="10" s="1"/>
  <c r="P19" i="10" s="1"/>
  <c r="L20" i="10"/>
  <c r="L21" i="10"/>
  <c r="M21" i="10" s="1"/>
  <c r="L22" i="10"/>
  <c r="L23" i="10"/>
  <c r="L24" i="10"/>
  <c r="L25" i="10"/>
  <c r="L26" i="10"/>
  <c r="L27" i="10"/>
  <c r="L28" i="10"/>
  <c r="L29" i="10"/>
  <c r="L30" i="10"/>
  <c r="L31" i="10"/>
  <c r="M31" i="10" s="1"/>
  <c r="O31" i="10" s="1"/>
  <c r="P31" i="10" s="1"/>
  <c r="L32" i="10"/>
  <c r="L33" i="10"/>
  <c r="M33" i="10" s="1"/>
  <c r="O33" i="10" s="1"/>
  <c r="P33" i="10" s="1"/>
  <c r="L34" i="10"/>
  <c r="L35" i="10"/>
  <c r="L36" i="10"/>
  <c r="L37" i="10"/>
  <c r="L38" i="10"/>
  <c r="L39" i="10"/>
  <c r="L40" i="10"/>
  <c r="M40" i="10" s="1"/>
  <c r="O40" i="10" s="1"/>
  <c r="P40" i="10" s="1"/>
  <c r="L41" i="10"/>
  <c r="M41" i="10" s="1"/>
  <c r="O41" i="10" s="1"/>
  <c r="P41" i="10" s="1"/>
  <c r="L42" i="10"/>
  <c r="L43" i="10"/>
  <c r="L44" i="10"/>
  <c r="L45" i="10"/>
  <c r="M45" i="10" s="1"/>
  <c r="O45" i="10" s="1"/>
  <c r="P45" i="10" s="1"/>
  <c r="L46" i="10"/>
  <c r="M46" i="10" s="1"/>
  <c r="O46" i="10" s="1"/>
  <c r="P46" i="10" s="1"/>
  <c r="L47" i="10"/>
  <c r="L48" i="10"/>
  <c r="M48" i="10" s="1"/>
  <c r="O48" i="10" s="1"/>
  <c r="P48" i="10" s="1"/>
  <c r="L49" i="10"/>
  <c r="M49" i="10" s="1"/>
  <c r="O49" i="10" s="1"/>
  <c r="P49" i="10" s="1"/>
  <c r="L50" i="10"/>
  <c r="M50" i="10" s="1"/>
  <c r="O50" i="10" s="1"/>
  <c r="P50" i="10" s="1"/>
  <c r="L51" i="10"/>
  <c r="M51" i="10" s="1"/>
  <c r="O51" i="10" s="1"/>
  <c r="P51" i="10" s="1"/>
  <c r="L52" i="10"/>
  <c r="M52" i="10" s="1"/>
  <c r="O52" i="10" s="1"/>
  <c r="P52" i="10" s="1"/>
  <c r="L53" i="10"/>
  <c r="M53" i="10" s="1"/>
  <c r="L54" i="10"/>
  <c r="M54" i="10" s="1"/>
  <c r="O54" i="10" s="1"/>
  <c r="P54" i="10" s="1"/>
  <c r="L55" i="10"/>
  <c r="M55" i="10" s="1"/>
  <c r="L56" i="10"/>
  <c r="M56" i="10" s="1"/>
  <c r="O56" i="10" s="1"/>
  <c r="P56" i="10" s="1"/>
  <c r="L57" i="10"/>
  <c r="M57" i="10" s="1"/>
  <c r="O57" i="10" s="1"/>
  <c r="P57" i="10" s="1"/>
  <c r="L58" i="10"/>
  <c r="M58" i="10" s="1"/>
  <c r="O58" i="10" s="1"/>
  <c r="P58" i="10" s="1"/>
  <c r="L59" i="10"/>
  <c r="L60" i="10"/>
  <c r="M60" i="10" s="1"/>
  <c r="O60" i="10" s="1"/>
  <c r="P60" i="10" s="1"/>
  <c r="L61" i="10"/>
  <c r="L62" i="10"/>
  <c r="M62" i="10" s="1"/>
  <c r="O62" i="10" s="1"/>
  <c r="P62" i="10" s="1"/>
  <c r="L63" i="10"/>
  <c r="M63" i="10" s="1"/>
  <c r="O63" i="10" s="1"/>
  <c r="P63" i="10" s="1"/>
  <c r="L64" i="10"/>
  <c r="M64" i="10" s="1"/>
  <c r="O64" i="10" s="1"/>
  <c r="P64" i="10" s="1"/>
  <c r="L65" i="10"/>
  <c r="M65" i="10" s="1"/>
  <c r="O65" i="10" s="1"/>
  <c r="P65" i="10" s="1"/>
  <c r="L66" i="10"/>
  <c r="M66" i="10" s="1"/>
  <c r="O66" i="10" s="1"/>
  <c r="P66" i="10" s="1"/>
  <c r="L67" i="10"/>
  <c r="M67" i="10" s="1"/>
  <c r="O67" i="10" s="1"/>
  <c r="P67" i="10" s="1"/>
  <c r="L68" i="10"/>
  <c r="L69" i="10"/>
  <c r="L70" i="10"/>
  <c r="L71" i="10"/>
  <c r="L72" i="10"/>
  <c r="M72" i="10" s="1"/>
  <c r="O72" i="10" s="1"/>
  <c r="P72" i="10" s="1"/>
  <c r="L73" i="10"/>
  <c r="M73" i="10" s="1"/>
  <c r="O73" i="10" s="1"/>
  <c r="P73" i="10" s="1"/>
  <c r="L74" i="10"/>
  <c r="M74" i="10" s="1"/>
  <c r="O74" i="10" s="1"/>
  <c r="P74" i="10" s="1"/>
  <c r="L75" i="10"/>
  <c r="M75" i="10" s="1"/>
  <c r="O75" i="10" s="1"/>
  <c r="P75" i="10" s="1"/>
  <c r="L76" i="10"/>
  <c r="M76" i="10" s="1"/>
  <c r="O76" i="10" s="1"/>
  <c r="P76" i="10" s="1"/>
  <c r="L77" i="10"/>
  <c r="M77" i="10" s="1"/>
  <c r="O77" i="10" s="1"/>
  <c r="P77" i="10" s="1"/>
  <c r="L78" i="10"/>
  <c r="M78" i="10" s="1"/>
  <c r="O78" i="10" s="1"/>
  <c r="P78" i="10" s="1"/>
  <c r="L79" i="10"/>
  <c r="M79" i="10" s="1"/>
  <c r="O79" i="10" s="1"/>
  <c r="P79" i="10" s="1"/>
  <c r="L80" i="10"/>
  <c r="M80" i="10" s="1"/>
  <c r="O80" i="10" s="1"/>
  <c r="P80" i="10" s="1"/>
  <c r="L81" i="10"/>
  <c r="M81" i="10" s="1"/>
  <c r="O81" i="10" s="1"/>
  <c r="P81" i="10" s="1"/>
  <c r="L82" i="10"/>
  <c r="L83" i="10"/>
  <c r="M83" i="10" s="1"/>
  <c r="O83" i="10" s="1"/>
  <c r="P83" i="10" s="1"/>
  <c r="L84" i="10"/>
  <c r="L85" i="10"/>
  <c r="L86" i="10"/>
  <c r="L87" i="10"/>
  <c r="M87" i="10" s="1"/>
  <c r="O87" i="10" s="1"/>
  <c r="P87" i="10" s="1"/>
  <c r="L88" i="10"/>
  <c r="M88" i="10" s="1"/>
  <c r="O88" i="10" s="1"/>
  <c r="P88" i="10" s="1"/>
  <c r="L89" i="10"/>
  <c r="L90" i="10"/>
  <c r="L91" i="10"/>
  <c r="M91" i="10" s="1"/>
  <c r="O91" i="10" s="1"/>
  <c r="P91" i="10" s="1"/>
  <c r="L92" i="10"/>
  <c r="L93" i="10"/>
  <c r="L94" i="10"/>
  <c r="L95" i="10"/>
  <c r="L96" i="10"/>
  <c r="L97" i="10"/>
  <c r="L98" i="10"/>
  <c r="M98" i="10" s="1"/>
  <c r="O98" i="10" s="1"/>
  <c r="P98" i="10" s="1"/>
  <c r="L99" i="10"/>
  <c r="L2" i="10"/>
  <c r="L3" i="12"/>
  <c r="L4" i="12"/>
  <c r="L5" i="12"/>
  <c r="L6" i="12"/>
  <c r="L7" i="12"/>
  <c r="L8" i="12"/>
  <c r="L9" i="12"/>
  <c r="L10" i="12"/>
  <c r="L11" i="12"/>
  <c r="L12" i="12"/>
  <c r="L13" i="12"/>
  <c r="M13" i="12" s="1"/>
  <c r="L14" i="12"/>
  <c r="L15" i="12"/>
  <c r="L16" i="12"/>
  <c r="L17" i="12"/>
  <c r="L18" i="12"/>
  <c r="L19" i="12"/>
  <c r="L20" i="12"/>
  <c r="L21" i="12"/>
  <c r="L22" i="12"/>
  <c r="L23" i="12"/>
  <c r="L24" i="12"/>
  <c r="L25" i="12"/>
  <c r="L26" i="12"/>
  <c r="L27" i="12"/>
  <c r="L28" i="12"/>
  <c r="L29" i="12"/>
  <c r="L30" i="12"/>
  <c r="L31" i="12"/>
  <c r="L32" i="12"/>
  <c r="L33" i="12"/>
  <c r="L34" i="12"/>
  <c r="L35" i="12"/>
  <c r="L36" i="12"/>
  <c r="L37" i="12"/>
  <c r="L38" i="12"/>
  <c r="L39" i="12"/>
  <c r="L40" i="12"/>
  <c r="L41" i="12"/>
  <c r="L42" i="12"/>
  <c r="L43" i="12"/>
  <c r="L44" i="12"/>
  <c r="L45" i="12"/>
  <c r="L46" i="12"/>
  <c r="L47" i="12"/>
  <c r="L48" i="12"/>
  <c r="L49" i="12"/>
  <c r="L50" i="12"/>
  <c r="L51" i="12"/>
  <c r="L52" i="12"/>
  <c r="L53" i="12"/>
  <c r="L54" i="12"/>
  <c r="L55" i="12"/>
  <c r="L56" i="12"/>
  <c r="L57" i="12"/>
  <c r="L58" i="12"/>
  <c r="L59" i="12"/>
  <c r="L60" i="12"/>
  <c r="L61" i="12"/>
  <c r="L62" i="12"/>
  <c r="M62" i="12" s="1"/>
  <c r="L63" i="12"/>
  <c r="L64" i="12"/>
  <c r="L65" i="12"/>
  <c r="L66" i="12"/>
  <c r="L67" i="12"/>
  <c r="L68" i="12"/>
  <c r="L69" i="12"/>
  <c r="L70" i="12"/>
  <c r="L71" i="12"/>
  <c r="L72" i="12"/>
  <c r="L73" i="12"/>
  <c r="L74" i="12"/>
  <c r="L75" i="12"/>
  <c r="L76" i="12"/>
  <c r="L77" i="12"/>
  <c r="L78" i="12"/>
  <c r="L79" i="12"/>
  <c r="L80" i="12"/>
  <c r="L81" i="12"/>
  <c r="L82" i="12"/>
  <c r="L83" i="12"/>
  <c r="L84" i="12"/>
  <c r="M84" i="12" s="1"/>
  <c r="L85" i="12"/>
  <c r="L86" i="12"/>
  <c r="L87" i="12"/>
  <c r="L88" i="12"/>
  <c r="L89" i="12"/>
  <c r="L90" i="12"/>
  <c r="L91" i="12"/>
  <c r="L92" i="12"/>
  <c r="L93" i="12"/>
  <c r="L94" i="12"/>
  <c r="L95" i="12"/>
  <c r="L96" i="12"/>
  <c r="L97" i="12"/>
  <c r="L2" i="12"/>
  <c r="N80" i="12"/>
  <c r="N75" i="12"/>
  <c r="N58" i="12"/>
  <c r="N56" i="12"/>
  <c r="N48" i="12"/>
  <c r="N17" i="12"/>
  <c r="N4" i="12"/>
  <c r="N33" i="12"/>
  <c r="N11" i="12"/>
  <c r="N19" i="12"/>
  <c r="N94" i="12"/>
  <c r="N91" i="12"/>
  <c r="N84" i="12"/>
  <c r="N82" i="12"/>
  <c r="N81" i="12"/>
  <c r="N76" i="12"/>
  <c r="N74" i="12"/>
  <c r="N73" i="12"/>
  <c r="N68" i="12"/>
  <c r="N67" i="12"/>
  <c r="N66" i="12"/>
  <c r="N65" i="12"/>
  <c r="N64" i="12"/>
  <c r="N63" i="12"/>
  <c r="N61" i="12"/>
  <c r="N60" i="12"/>
  <c r="N55" i="12"/>
  <c r="N51" i="12"/>
  <c r="N50" i="12"/>
  <c r="N49" i="12"/>
  <c r="N46" i="12"/>
  <c r="N43" i="12"/>
  <c r="N39" i="12"/>
  <c r="N37" i="12"/>
  <c r="N35" i="12"/>
  <c r="N34" i="12"/>
  <c r="N30" i="12"/>
  <c r="N28" i="12"/>
  <c r="N25" i="12"/>
  <c r="N22" i="12"/>
  <c r="N20" i="12"/>
  <c r="N12" i="12"/>
  <c r="N10" i="12"/>
  <c r="N9" i="12"/>
  <c r="N8" i="12"/>
  <c r="N7" i="12"/>
  <c r="N89" i="12"/>
  <c r="N97" i="12"/>
  <c r="N96" i="12"/>
  <c r="N95" i="12"/>
  <c r="N93" i="12"/>
  <c r="N92" i="12"/>
  <c r="N90" i="12"/>
  <c r="N88" i="12"/>
  <c r="N87" i="12"/>
  <c r="N86" i="12"/>
  <c r="N85" i="12"/>
  <c r="N83" i="12"/>
  <c r="N79" i="12"/>
  <c r="N78" i="12"/>
  <c r="N77" i="12"/>
  <c r="N72" i="12"/>
  <c r="N71" i="12"/>
  <c r="N70" i="12"/>
  <c r="N69" i="12"/>
  <c r="N62" i="12"/>
  <c r="N59" i="12"/>
  <c r="N57" i="12"/>
  <c r="N54" i="12"/>
  <c r="N53" i="12"/>
  <c r="N52" i="12"/>
  <c r="N47" i="12"/>
  <c r="N45" i="12"/>
  <c r="N44" i="12"/>
  <c r="N42" i="12"/>
  <c r="N41" i="12"/>
  <c r="N40" i="12"/>
  <c r="N38" i="12"/>
  <c r="N36" i="12"/>
  <c r="N32" i="12"/>
  <c r="N31" i="12"/>
  <c r="N29" i="12"/>
  <c r="N27" i="12"/>
  <c r="N26" i="12"/>
  <c r="N24" i="12"/>
  <c r="N23" i="12"/>
  <c r="N21" i="12"/>
  <c r="N18" i="12"/>
  <c r="N16" i="12"/>
  <c r="N15" i="12"/>
  <c r="N14" i="12"/>
  <c r="N13" i="12"/>
  <c r="N6" i="12"/>
  <c r="N5" i="12"/>
  <c r="N2" i="12"/>
  <c r="N3" i="12"/>
  <c r="K6" i="12"/>
  <c r="K96" i="12"/>
  <c r="K95" i="12"/>
  <c r="K93" i="12"/>
  <c r="K88" i="12"/>
  <c r="K86" i="12"/>
  <c r="K85" i="12"/>
  <c r="K81" i="12"/>
  <c r="K74" i="12"/>
  <c r="K71" i="12"/>
  <c r="K70" i="12"/>
  <c r="K65" i="12"/>
  <c r="K59" i="12"/>
  <c r="K57" i="12"/>
  <c r="K54" i="12"/>
  <c r="K52" i="12"/>
  <c r="K47" i="12"/>
  <c r="K45" i="12"/>
  <c r="K44" i="12"/>
  <c r="K40" i="12"/>
  <c r="K39" i="12"/>
  <c r="K38" i="12"/>
  <c r="K34" i="12"/>
  <c r="K31" i="12"/>
  <c r="K29" i="12"/>
  <c r="K26" i="12"/>
  <c r="K24" i="12"/>
  <c r="K19" i="12"/>
  <c r="K18" i="12"/>
  <c r="K16" i="12"/>
  <c r="K15" i="12"/>
  <c r="K14" i="12"/>
  <c r="K12" i="12"/>
  <c r="K4" i="12"/>
  <c r="K3" i="12"/>
  <c r="K80" i="12"/>
  <c r="K75" i="12"/>
  <c r="K58" i="12"/>
  <c r="K56" i="12"/>
  <c r="K35" i="12"/>
  <c r="K48" i="12"/>
  <c r="K33" i="12"/>
  <c r="K11" i="12"/>
  <c r="K42" i="12"/>
  <c r="K21" i="12"/>
  <c r="K32" i="12"/>
  <c r="K97" i="12"/>
  <c r="K94" i="12"/>
  <c r="K20" i="12"/>
  <c r="K92" i="12"/>
  <c r="K90" i="12"/>
  <c r="K89" i="12"/>
  <c r="K77" i="12"/>
  <c r="K64" i="12"/>
  <c r="K63" i="12"/>
  <c r="K50" i="12"/>
  <c r="K41" i="12"/>
  <c r="K8" i="12"/>
  <c r="K5" i="12"/>
  <c r="K83" i="12"/>
  <c r="K78" i="12"/>
  <c r="K61" i="12"/>
  <c r="K60" i="12"/>
  <c r="K51" i="12"/>
  <c r="K43" i="12"/>
  <c r="K37" i="12"/>
  <c r="K28" i="12"/>
  <c r="K23" i="12"/>
  <c r="K22" i="12"/>
  <c r="K87" i="12"/>
  <c r="K73" i="12"/>
  <c r="K66" i="12"/>
  <c r="K55" i="12"/>
  <c r="K46" i="12"/>
  <c r="K10" i="12"/>
  <c r="K9" i="12"/>
  <c r="K2" i="12"/>
  <c r="K79" i="12"/>
  <c r="K76" i="12"/>
  <c r="K68" i="12"/>
  <c r="K49" i="12"/>
  <c r="K36" i="12"/>
  <c r="K30" i="12"/>
  <c r="K27" i="12"/>
  <c r="K25" i="12"/>
  <c r="K72" i="12"/>
  <c r="K91" i="12"/>
  <c r="K82" i="12"/>
  <c r="K67" i="12"/>
  <c r="K17" i="12"/>
  <c r="K7" i="12"/>
  <c r="N100" i="11"/>
  <c r="K99" i="11"/>
  <c r="K95" i="11"/>
  <c r="K94" i="11"/>
  <c r="K90" i="11"/>
  <c r="M90" i="11" s="1"/>
  <c r="O90" i="11" s="1"/>
  <c r="P90" i="11" s="1"/>
  <c r="K77" i="11"/>
  <c r="K68" i="11"/>
  <c r="K23" i="11"/>
  <c r="K21" i="11"/>
  <c r="K8" i="11"/>
  <c r="K5" i="11"/>
  <c r="K98" i="11"/>
  <c r="M98" i="11" s="1"/>
  <c r="O98" i="11" s="1"/>
  <c r="P98" i="11" s="1"/>
  <c r="K97" i="11"/>
  <c r="K96" i="11"/>
  <c r="K87" i="11"/>
  <c r="K86" i="11"/>
  <c r="K84" i="11"/>
  <c r="K83" i="11"/>
  <c r="K82" i="11"/>
  <c r="M82" i="11" s="1"/>
  <c r="O82" i="11" s="1"/>
  <c r="P82" i="11" s="1"/>
  <c r="K80" i="11"/>
  <c r="M80" i="11" s="1"/>
  <c r="O80" i="11" s="1"/>
  <c r="P80" i="11" s="1"/>
  <c r="K79" i="11"/>
  <c r="K78" i="11"/>
  <c r="K76" i="11"/>
  <c r="K75" i="11"/>
  <c r="K74" i="11"/>
  <c r="K73" i="11"/>
  <c r="K72" i="11"/>
  <c r="M72" i="11" s="1"/>
  <c r="O72" i="11" s="1"/>
  <c r="P72" i="11" s="1"/>
  <c r="K70" i="11"/>
  <c r="K69" i="11"/>
  <c r="K67" i="11"/>
  <c r="K66" i="11"/>
  <c r="K65" i="11"/>
  <c r="K64" i="11"/>
  <c r="M64" i="11" s="1"/>
  <c r="O64" i="11" s="1"/>
  <c r="P64" i="11" s="1"/>
  <c r="K62" i="11"/>
  <c r="M62" i="11" s="1"/>
  <c r="O62" i="11" s="1"/>
  <c r="P62" i="11" s="1"/>
  <c r="K61" i="11"/>
  <c r="K60" i="11"/>
  <c r="K59" i="11"/>
  <c r="K57" i="11"/>
  <c r="K46" i="11"/>
  <c r="K47" i="11"/>
  <c r="K48" i="11"/>
  <c r="M48" i="11" s="1"/>
  <c r="O48" i="11" s="1"/>
  <c r="P48" i="11" s="1"/>
  <c r="K49" i="11"/>
  <c r="K50" i="11"/>
  <c r="K51" i="11"/>
  <c r="K52" i="11"/>
  <c r="K53" i="11"/>
  <c r="K54" i="11"/>
  <c r="K55" i="11"/>
  <c r="K45" i="11"/>
  <c r="K32" i="11"/>
  <c r="K33" i="11"/>
  <c r="K34" i="11"/>
  <c r="K35" i="11"/>
  <c r="K36" i="11"/>
  <c r="K37" i="11"/>
  <c r="K38" i="11"/>
  <c r="K39" i="11"/>
  <c r="K40" i="11"/>
  <c r="K41" i="11"/>
  <c r="K42" i="11"/>
  <c r="K31" i="11"/>
  <c r="K28" i="11"/>
  <c r="K29" i="11"/>
  <c r="K26" i="11"/>
  <c r="M26" i="11" s="1"/>
  <c r="O26" i="11" s="1"/>
  <c r="P26" i="11" s="1"/>
  <c r="K25" i="11"/>
  <c r="K24" i="11"/>
  <c r="K22" i="11"/>
  <c r="K20" i="11"/>
  <c r="K19" i="11"/>
  <c r="K18" i="11"/>
  <c r="K15" i="11"/>
  <c r="K12" i="11"/>
  <c r="K11" i="11"/>
  <c r="K10" i="11"/>
  <c r="M10" i="11" s="1"/>
  <c r="O10" i="11" s="1"/>
  <c r="P10" i="11" s="1"/>
  <c r="K9" i="11"/>
  <c r="K7" i="11"/>
  <c r="K6" i="11"/>
  <c r="K4" i="11"/>
  <c r="K3" i="11"/>
  <c r="K2" i="11"/>
  <c r="L3" i="11"/>
  <c r="M8" i="11"/>
  <c r="O8" i="11" s="1"/>
  <c r="P8" i="11" s="1"/>
  <c r="M56" i="11"/>
  <c r="O56" i="11" s="1"/>
  <c r="P56" i="11" s="1"/>
  <c r="L91" i="11"/>
  <c r="L2" i="11"/>
  <c r="N100" i="10"/>
  <c r="N43" i="10"/>
  <c r="N100" i="9"/>
  <c r="K32" i="9"/>
  <c r="N98" i="8"/>
  <c r="N97" i="8"/>
  <c r="N95" i="8"/>
  <c r="N90" i="8"/>
  <c r="N43" i="8"/>
  <c r="N4" i="8"/>
  <c r="N3" i="8"/>
  <c r="N94" i="8"/>
  <c r="N67" i="8"/>
  <c r="N17" i="8"/>
  <c r="N18" i="8"/>
  <c r="O99" i="8"/>
  <c r="P99" i="8" s="1"/>
  <c r="O98" i="8"/>
  <c r="O97" i="8"/>
  <c r="O95" i="8"/>
  <c r="O94" i="8"/>
  <c r="P94" i="8" s="1"/>
  <c r="R94" i="8" s="1"/>
  <c r="S94" i="8" s="1"/>
  <c r="O91" i="8"/>
  <c r="P91" i="8" s="1"/>
  <c r="R91" i="8" s="1"/>
  <c r="S91" i="8" s="1"/>
  <c r="O90" i="8"/>
  <c r="O88" i="8"/>
  <c r="P88" i="8" s="1"/>
  <c r="R88" i="8" s="1"/>
  <c r="S88" i="8" s="1"/>
  <c r="O87" i="8"/>
  <c r="P87" i="8" s="1"/>
  <c r="R87" i="8" s="1"/>
  <c r="S87" i="8" s="1"/>
  <c r="O86" i="8"/>
  <c r="P86" i="8" s="1"/>
  <c r="R86" i="8" s="1"/>
  <c r="S86" i="8" s="1"/>
  <c r="O85" i="8"/>
  <c r="P85" i="8" s="1"/>
  <c r="R85" i="8" s="1"/>
  <c r="S85" i="8" s="1"/>
  <c r="O83" i="8"/>
  <c r="P83" i="8" s="1"/>
  <c r="R83" i="8" s="1"/>
  <c r="S83" i="8" s="1"/>
  <c r="O77" i="8"/>
  <c r="P77" i="8" s="1"/>
  <c r="R77" i="8" s="1"/>
  <c r="S77" i="8" s="1"/>
  <c r="O76" i="8"/>
  <c r="P76" i="8" s="1"/>
  <c r="O74" i="8"/>
  <c r="P74" i="8" s="1"/>
  <c r="R74" i="8" s="1"/>
  <c r="S74" i="8" s="1"/>
  <c r="O72" i="8"/>
  <c r="P72" i="8" s="1"/>
  <c r="R72" i="8" s="1"/>
  <c r="S72" i="8" s="1"/>
  <c r="O67" i="8"/>
  <c r="O66" i="8"/>
  <c r="P66" i="8" s="1"/>
  <c r="R66" i="8" s="1"/>
  <c r="S66" i="8" s="1"/>
  <c r="O65" i="8"/>
  <c r="P65" i="8" s="1"/>
  <c r="R65" i="8" s="1"/>
  <c r="S65" i="8" s="1"/>
  <c r="O64" i="8"/>
  <c r="P64" i="8" s="1"/>
  <c r="R64" i="8" s="1"/>
  <c r="S64" i="8" s="1"/>
  <c r="O60" i="8"/>
  <c r="P60" i="8" s="1"/>
  <c r="R60" i="8" s="1"/>
  <c r="S60" i="8" s="1"/>
  <c r="O58" i="8"/>
  <c r="P58" i="8" s="1"/>
  <c r="R58" i="8" s="1"/>
  <c r="S58" i="8" s="1"/>
  <c r="O57" i="8"/>
  <c r="P57" i="8" s="1"/>
  <c r="R57" i="8" s="1"/>
  <c r="S57" i="8" s="1"/>
  <c r="O56" i="8"/>
  <c r="P56" i="8" s="1"/>
  <c r="R56" i="8" s="1"/>
  <c r="S56" i="8" s="1"/>
  <c r="O54" i="8"/>
  <c r="P54" i="8" s="1"/>
  <c r="R54" i="8" s="1"/>
  <c r="S54" i="8" s="1"/>
  <c r="O53" i="8"/>
  <c r="P53" i="8" s="1"/>
  <c r="R53" i="8" s="1"/>
  <c r="S53" i="8" s="1"/>
  <c r="O52" i="8"/>
  <c r="P52" i="8" s="1"/>
  <c r="R52" i="8" s="1"/>
  <c r="S52" i="8" s="1"/>
  <c r="O51" i="8"/>
  <c r="P51" i="8" s="1"/>
  <c r="R51" i="8" s="1"/>
  <c r="S51" i="8" s="1"/>
  <c r="O50" i="8"/>
  <c r="P50" i="8" s="1"/>
  <c r="R50" i="8" s="1"/>
  <c r="S50" i="8" s="1"/>
  <c r="O46" i="8"/>
  <c r="P46" i="8" s="1"/>
  <c r="R46" i="8" s="1"/>
  <c r="S46" i="8" s="1"/>
  <c r="O44" i="8"/>
  <c r="P44" i="8" s="1"/>
  <c r="R44" i="8" s="1"/>
  <c r="S44" i="8" s="1"/>
  <c r="O43" i="8"/>
  <c r="O41" i="8"/>
  <c r="P41" i="8" s="1"/>
  <c r="R41" i="8" s="1"/>
  <c r="S41" i="8" s="1"/>
  <c r="O40" i="8"/>
  <c r="P40" i="8" s="1"/>
  <c r="R40" i="8" s="1"/>
  <c r="S40" i="8" s="1"/>
  <c r="O39" i="8"/>
  <c r="P39" i="8" s="1"/>
  <c r="R39" i="8" s="1"/>
  <c r="S39" i="8" s="1"/>
  <c r="O38" i="8"/>
  <c r="P38" i="8" s="1"/>
  <c r="R38" i="8" s="1"/>
  <c r="S38" i="8" s="1"/>
  <c r="O37" i="8"/>
  <c r="P37" i="8" s="1"/>
  <c r="R37" i="8" s="1"/>
  <c r="S37" i="8" s="1"/>
  <c r="O35" i="8"/>
  <c r="P35" i="8" s="1"/>
  <c r="O34" i="8"/>
  <c r="P34" i="8" s="1"/>
  <c r="R34" i="8" s="1"/>
  <c r="S34" i="8" s="1"/>
  <c r="O33" i="8"/>
  <c r="P33" i="8" s="1"/>
  <c r="R33" i="8" s="1"/>
  <c r="S33" i="8" s="1"/>
  <c r="O30" i="8"/>
  <c r="P30" i="8" s="1"/>
  <c r="R30" i="8" s="1"/>
  <c r="S30" i="8" s="1"/>
  <c r="O25" i="8"/>
  <c r="P25" i="8" s="1"/>
  <c r="R25" i="8" s="1"/>
  <c r="S25" i="8" s="1"/>
  <c r="O22" i="8"/>
  <c r="P22" i="8" s="1"/>
  <c r="R22" i="8" s="1"/>
  <c r="S22" i="8" s="1"/>
  <c r="O20" i="8"/>
  <c r="P20" i="8" s="1"/>
  <c r="R20" i="8" s="1"/>
  <c r="S20" i="8" s="1"/>
  <c r="O18" i="8"/>
  <c r="O17" i="8"/>
  <c r="O15" i="8"/>
  <c r="P15" i="8" s="1"/>
  <c r="O13" i="8"/>
  <c r="P13" i="8" s="1"/>
  <c r="R13" i="8" s="1"/>
  <c r="S13" i="8" s="1"/>
  <c r="O12" i="8"/>
  <c r="P12" i="8" s="1"/>
  <c r="R12" i="8" s="1"/>
  <c r="S12" i="8" s="1"/>
  <c r="O11" i="8"/>
  <c r="P11" i="8" s="1"/>
  <c r="R11" i="8" s="1"/>
  <c r="S11" i="8" s="1"/>
  <c r="O10" i="8"/>
  <c r="P10" i="8" s="1"/>
  <c r="R10" i="8" s="1"/>
  <c r="S10" i="8" s="1"/>
  <c r="O7" i="8"/>
  <c r="O4" i="8"/>
  <c r="O3" i="8"/>
  <c r="N7" i="8"/>
  <c r="N96" i="8"/>
  <c r="N93" i="8"/>
  <c r="N92" i="8"/>
  <c r="N89" i="8"/>
  <c r="N84" i="8"/>
  <c r="N82" i="8"/>
  <c r="N81" i="8"/>
  <c r="N80" i="8"/>
  <c r="N79" i="8"/>
  <c r="N59" i="8"/>
  <c r="N49" i="8"/>
  <c r="P49" i="8" s="1"/>
  <c r="R49" i="8" s="1"/>
  <c r="S49" i="8" s="1"/>
  <c r="K52" i="9"/>
  <c r="K62" i="9"/>
  <c r="M62" i="9" s="1"/>
  <c r="O62" i="9" s="1"/>
  <c r="P62" i="9" s="1"/>
  <c r="K90" i="9"/>
  <c r="K92" i="9"/>
  <c r="K97" i="9"/>
  <c r="K99" i="9"/>
  <c r="K95" i="9"/>
  <c r="K94" i="9"/>
  <c r="M94" i="9" s="1"/>
  <c r="O94" i="9" s="1"/>
  <c r="P94" i="9" s="1"/>
  <c r="K93" i="9"/>
  <c r="K91" i="9"/>
  <c r="K84" i="9"/>
  <c r="K82" i="9"/>
  <c r="K78" i="9"/>
  <c r="K77" i="9"/>
  <c r="K75" i="9"/>
  <c r="K68" i="9"/>
  <c r="K67" i="9"/>
  <c r="K66" i="9"/>
  <c r="K65" i="9"/>
  <c r="K63" i="9"/>
  <c r="K61" i="9"/>
  <c r="K59" i="9"/>
  <c r="K55" i="9"/>
  <c r="K56" i="9"/>
  <c r="K49" i="9"/>
  <c r="K51" i="9"/>
  <c r="K48" i="9"/>
  <c r="K47" i="9"/>
  <c r="K45" i="9"/>
  <c r="K42" i="9"/>
  <c r="K37" i="9"/>
  <c r="K36" i="9"/>
  <c r="K34" i="9"/>
  <c r="K26" i="9"/>
  <c r="K25" i="9"/>
  <c r="K24" i="9"/>
  <c r="K23" i="9"/>
  <c r="K19" i="9"/>
  <c r="K17" i="9"/>
  <c r="K16" i="9"/>
  <c r="K14" i="9"/>
  <c r="K8" i="9"/>
  <c r="K5" i="9"/>
  <c r="K6" i="9"/>
  <c r="M13" i="9"/>
  <c r="O13" i="9" s="1"/>
  <c r="P13" i="9" s="1"/>
  <c r="M15" i="9"/>
  <c r="O15" i="9" s="1"/>
  <c r="P15" i="9" s="1"/>
  <c r="M21" i="9"/>
  <c r="O21" i="9" s="1"/>
  <c r="P21" i="9" s="1"/>
  <c r="M22" i="9"/>
  <c r="O22" i="9" s="1"/>
  <c r="P22" i="9" s="1"/>
  <c r="M29" i="9"/>
  <c r="O29" i="9" s="1"/>
  <c r="P29" i="9" s="1"/>
  <c r="M30" i="9"/>
  <c r="O30" i="9" s="1"/>
  <c r="P30" i="9" s="1"/>
  <c r="M31" i="9"/>
  <c r="O31" i="9" s="1"/>
  <c r="P31" i="9" s="1"/>
  <c r="M38" i="9"/>
  <c r="O38" i="9" s="1"/>
  <c r="P38" i="9" s="1"/>
  <c r="M46" i="9"/>
  <c r="O46" i="9" s="1"/>
  <c r="P46" i="9" s="1"/>
  <c r="M53" i="9"/>
  <c r="O53" i="9" s="1"/>
  <c r="P53" i="9" s="1"/>
  <c r="M54" i="9"/>
  <c r="O54" i="9" s="1"/>
  <c r="P54" i="9" s="1"/>
  <c r="M57" i="9"/>
  <c r="O57" i="9" s="1"/>
  <c r="P57" i="9" s="1"/>
  <c r="M64" i="9"/>
  <c r="O64" i="9" s="1"/>
  <c r="P64" i="9" s="1"/>
  <c r="M69" i="9"/>
  <c r="O69" i="9" s="1"/>
  <c r="P69" i="9" s="1"/>
  <c r="M70" i="9"/>
  <c r="O70" i="9" s="1"/>
  <c r="P70" i="9" s="1"/>
  <c r="M79" i="9"/>
  <c r="O79" i="9" s="1"/>
  <c r="P79" i="9" s="1"/>
  <c r="M80" i="9"/>
  <c r="O80" i="9" s="1"/>
  <c r="P80" i="9" s="1"/>
  <c r="M85" i="9"/>
  <c r="O85" i="9" s="1"/>
  <c r="P85" i="9" s="1"/>
  <c r="M86" i="9"/>
  <c r="O86" i="9" s="1"/>
  <c r="P86" i="9" s="1"/>
  <c r="M87" i="9"/>
  <c r="O87" i="9" s="1"/>
  <c r="P87" i="9" s="1"/>
  <c r="K4" i="9"/>
  <c r="K3" i="9"/>
  <c r="K99" i="10"/>
  <c r="K97" i="10"/>
  <c r="K96" i="10"/>
  <c r="K95" i="10"/>
  <c r="K94" i="10"/>
  <c r="K93" i="10"/>
  <c r="K90" i="10"/>
  <c r="K84" i="10"/>
  <c r="K71" i="10"/>
  <c r="K68" i="10"/>
  <c r="K47" i="10"/>
  <c r="K92" i="10"/>
  <c r="K89" i="10"/>
  <c r="K85" i="10"/>
  <c r="K82" i="10"/>
  <c r="K70" i="10"/>
  <c r="K69" i="10"/>
  <c r="K61" i="10"/>
  <c r="K59" i="10"/>
  <c r="K43" i="10"/>
  <c r="K42" i="10"/>
  <c r="K37" i="10"/>
  <c r="K39" i="10"/>
  <c r="K35" i="10"/>
  <c r="K34" i="10"/>
  <c r="K32" i="10"/>
  <c r="K24" i="10"/>
  <c r="K25" i="10"/>
  <c r="K26" i="10"/>
  <c r="K27" i="10"/>
  <c r="K28" i="10"/>
  <c r="K29" i="10"/>
  <c r="K30" i="10"/>
  <c r="K23" i="10"/>
  <c r="K18" i="10"/>
  <c r="K17" i="10"/>
  <c r="K14" i="10"/>
  <c r="K11" i="10"/>
  <c r="K9" i="10"/>
  <c r="K8" i="10"/>
  <c r="K7" i="10"/>
  <c r="K6" i="10"/>
  <c r="K4" i="10"/>
  <c r="K3" i="10"/>
  <c r="K2" i="10"/>
  <c r="M5" i="10"/>
  <c r="O5" i="10" s="1"/>
  <c r="P5" i="10" s="1"/>
  <c r="M12" i="10"/>
  <c r="O12" i="10" s="1"/>
  <c r="P12" i="10" s="1"/>
  <c r="M13" i="10"/>
  <c r="O13" i="10" s="1"/>
  <c r="P13" i="10" s="1"/>
  <c r="M20" i="10"/>
  <c r="O20" i="10" s="1"/>
  <c r="P20" i="10" s="1"/>
  <c r="M22" i="10"/>
  <c r="O22" i="10" s="1"/>
  <c r="P22" i="10" s="1"/>
  <c r="M36" i="10"/>
  <c r="O36" i="10" s="1"/>
  <c r="P36" i="10" s="1"/>
  <c r="M38" i="10"/>
  <c r="O38" i="10" s="1"/>
  <c r="P38" i="10" s="1"/>
  <c r="M44" i="10"/>
  <c r="O44" i="10" s="1"/>
  <c r="P44" i="10" s="1"/>
  <c r="M86" i="10"/>
  <c r="O86" i="10" s="1"/>
  <c r="P86" i="10" s="1"/>
  <c r="N78" i="8"/>
  <c r="N75" i="8"/>
  <c r="N73" i="8"/>
  <c r="N71" i="8"/>
  <c r="N70" i="8"/>
  <c r="N69" i="8"/>
  <c r="N68" i="8"/>
  <c r="N63" i="8"/>
  <c r="N62" i="8"/>
  <c r="N61" i="8"/>
  <c r="N55" i="8"/>
  <c r="N48" i="8"/>
  <c r="N47" i="8"/>
  <c r="N45" i="8"/>
  <c r="N42" i="8"/>
  <c r="N36" i="8"/>
  <c r="N32" i="8"/>
  <c r="N31" i="8"/>
  <c r="N29" i="8"/>
  <c r="N28" i="8"/>
  <c r="N27" i="8"/>
  <c r="N26" i="8"/>
  <c r="N24" i="8"/>
  <c r="O5" i="8"/>
  <c r="O8" i="8"/>
  <c r="P8" i="8" s="1"/>
  <c r="R8" i="8" s="1"/>
  <c r="S8" i="8" s="1"/>
  <c r="O19" i="8"/>
  <c r="O96" i="8"/>
  <c r="O93" i="8"/>
  <c r="O92" i="8"/>
  <c r="O89" i="8"/>
  <c r="O84" i="8"/>
  <c r="O82" i="8"/>
  <c r="P82" i="8" s="1"/>
  <c r="R82" i="8" s="1"/>
  <c r="S82" i="8" s="1"/>
  <c r="O81" i="8"/>
  <c r="O80" i="8"/>
  <c r="O79" i="8"/>
  <c r="O78" i="8"/>
  <c r="O75" i="8"/>
  <c r="O73" i="8"/>
  <c r="O71" i="8"/>
  <c r="O70" i="8"/>
  <c r="O69" i="8"/>
  <c r="O68" i="8"/>
  <c r="O63" i="8"/>
  <c r="O62" i="8"/>
  <c r="O61" i="8"/>
  <c r="O59" i="8"/>
  <c r="O55" i="8"/>
  <c r="O48" i="8"/>
  <c r="P48" i="8" s="1"/>
  <c r="R48" i="8" s="1"/>
  <c r="S48" i="8" s="1"/>
  <c r="O47" i="8"/>
  <c r="O45" i="8"/>
  <c r="O42" i="8"/>
  <c r="O36" i="8"/>
  <c r="O32" i="8"/>
  <c r="O31" i="8"/>
  <c r="O29" i="8"/>
  <c r="O28" i="8"/>
  <c r="O27" i="8"/>
  <c r="O26" i="8"/>
  <c r="O24" i="8"/>
  <c r="O23" i="8"/>
  <c r="N23" i="8"/>
  <c r="N21" i="8"/>
  <c r="P21" i="8" s="1"/>
  <c r="R21" i="8" s="1"/>
  <c r="S21" i="8" s="1"/>
  <c r="N19" i="8"/>
  <c r="N16" i="8"/>
  <c r="P16" i="8" s="1"/>
  <c r="R16" i="8" s="1"/>
  <c r="S16" i="8" s="1"/>
  <c r="N14" i="8"/>
  <c r="P14" i="8" s="1"/>
  <c r="R14" i="8" s="1"/>
  <c r="S14" i="8" s="1"/>
  <c r="N9" i="8"/>
  <c r="P9" i="8" s="1"/>
  <c r="R9" i="8" s="1"/>
  <c r="S9" i="8" s="1"/>
  <c r="N6" i="8"/>
  <c r="P6" i="8" s="1"/>
  <c r="R6" i="8" s="1"/>
  <c r="S6" i="8" s="1"/>
  <c r="N5" i="8"/>
  <c r="N2" i="8"/>
  <c r="P2" i="8" s="1"/>
  <c r="R2" i="8" s="1"/>
  <c r="M68" i="11" l="1"/>
  <c r="O68" i="11" s="1"/>
  <c r="P68" i="11" s="1"/>
  <c r="M77" i="11"/>
  <c r="O77" i="11" s="1"/>
  <c r="P77" i="11" s="1"/>
  <c r="M9" i="11"/>
  <c r="O9" i="11" s="1"/>
  <c r="P9" i="11" s="1"/>
  <c r="M50" i="11"/>
  <c r="O50" i="11" s="1"/>
  <c r="P50" i="11" s="1"/>
  <c r="M3" i="11"/>
  <c r="O3" i="11" s="1"/>
  <c r="P3" i="11" s="1"/>
  <c r="M24" i="11"/>
  <c r="O24" i="11" s="1"/>
  <c r="P24" i="11" s="1"/>
  <c r="M40" i="11"/>
  <c r="O40" i="11" s="1"/>
  <c r="P40" i="11" s="1"/>
  <c r="M32" i="11"/>
  <c r="O32" i="11" s="1"/>
  <c r="P32" i="11" s="1"/>
  <c r="M97" i="11"/>
  <c r="O97" i="11" s="1"/>
  <c r="P97" i="11" s="1"/>
  <c r="L97" i="15"/>
  <c r="K97" i="15"/>
  <c r="M95" i="15"/>
  <c r="M97" i="15" s="1"/>
  <c r="O95" i="15"/>
  <c r="P95" i="15"/>
  <c r="M45" i="11"/>
  <c r="O45" i="11" s="1"/>
  <c r="P45" i="11" s="1"/>
  <c r="M2" i="11"/>
  <c r="O2" i="11" s="1"/>
  <c r="P2" i="11" s="1"/>
  <c r="M96" i="11"/>
  <c r="O96" i="11" s="1"/>
  <c r="P96" i="11" s="1"/>
  <c r="M31" i="11"/>
  <c r="O31" i="11" s="1"/>
  <c r="P31" i="11" s="1"/>
  <c r="M79" i="11"/>
  <c r="O79" i="11" s="1"/>
  <c r="P79" i="11" s="1"/>
  <c r="M53" i="11"/>
  <c r="O53" i="11" s="1"/>
  <c r="P53" i="11" s="1"/>
  <c r="M61" i="11"/>
  <c r="O61" i="11" s="1"/>
  <c r="P61" i="11" s="1"/>
  <c r="M18" i="11"/>
  <c r="O18" i="11" s="1"/>
  <c r="P18" i="11" s="1"/>
  <c r="M39" i="11"/>
  <c r="O39" i="11" s="1"/>
  <c r="P39" i="11" s="1"/>
  <c r="M74" i="11"/>
  <c r="O74" i="11" s="1"/>
  <c r="P74" i="11" s="1"/>
  <c r="M21" i="11"/>
  <c r="O21" i="11" s="1"/>
  <c r="P21" i="11" s="1"/>
  <c r="M15" i="11"/>
  <c r="O15" i="11" s="1"/>
  <c r="P15" i="11" s="1"/>
  <c r="M29" i="11"/>
  <c r="O29" i="11" s="1"/>
  <c r="P29" i="11" s="1"/>
  <c r="M99" i="11"/>
  <c r="O99" i="11" s="1"/>
  <c r="P99" i="11" s="1"/>
  <c r="M66" i="11"/>
  <c r="O66" i="11" s="1"/>
  <c r="P66" i="11" s="1"/>
  <c r="M4" i="11"/>
  <c r="O4" i="11" s="1"/>
  <c r="P4" i="11" s="1"/>
  <c r="M54" i="11"/>
  <c r="O54" i="11" s="1"/>
  <c r="P54" i="11" s="1"/>
  <c r="M78" i="11"/>
  <c r="O78" i="11" s="1"/>
  <c r="P78" i="11" s="1"/>
  <c r="M42" i="11"/>
  <c r="O42" i="11" s="1"/>
  <c r="P42" i="11" s="1"/>
  <c r="M34" i="11"/>
  <c r="O34" i="11" s="1"/>
  <c r="P34" i="11" s="1"/>
  <c r="M95" i="11"/>
  <c r="O95" i="11" s="1"/>
  <c r="P95" i="11" s="1"/>
  <c r="M37" i="11"/>
  <c r="O37" i="11" s="1"/>
  <c r="P37" i="11" s="1"/>
  <c r="M23" i="11"/>
  <c r="O23" i="11" s="1"/>
  <c r="P23" i="11" s="1"/>
  <c r="M38" i="11"/>
  <c r="O38" i="11" s="1"/>
  <c r="P38" i="11" s="1"/>
  <c r="M6" i="11"/>
  <c r="O6" i="11" s="1"/>
  <c r="P6" i="11" s="1"/>
  <c r="M52" i="11"/>
  <c r="O52" i="11" s="1"/>
  <c r="P52" i="11" s="1"/>
  <c r="M69" i="11"/>
  <c r="O69" i="11" s="1"/>
  <c r="P69" i="11" s="1"/>
  <c r="M11" i="11"/>
  <c r="O11" i="11" s="1"/>
  <c r="P11" i="11" s="1"/>
  <c r="M7" i="11"/>
  <c r="O7" i="11" s="1"/>
  <c r="P7" i="11" s="1"/>
  <c r="M20" i="11"/>
  <c r="O20" i="11" s="1"/>
  <c r="P20" i="11" s="1"/>
  <c r="M60" i="11"/>
  <c r="O60" i="11" s="1"/>
  <c r="P60" i="11" s="1"/>
  <c r="M70" i="11"/>
  <c r="O70" i="11" s="1"/>
  <c r="P70" i="11" s="1"/>
  <c r="M94" i="11"/>
  <c r="O94" i="11" s="1"/>
  <c r="P94" i="11" s="1"/>
  <c r="M22" i="11"/>
  <c r="O22" i="11" s="1"/>
  <c r="P22" i="11" s="1"/>
  <c r="K100" i="11"/>
  <c r="K102" i="11" s="1"/>
  <c r="M83" i="11"/>
  <c r="O83" i="11" s="1"/>
  <c r="P83" i="11" s="1"/>
  <c r="M12" i="11"/>
  <c r="O12" i="11" s="1"/>
  <c r="P12" i="11" s="1"/>
  <c r="M55" i="11"/>
  <c r="O55" i="11" s="1"/>
  <c r="P55" i="11" s="1"/>
  <c r="M47" i="11"/>
  <c r="O47" i="11" s="1"/>
  <c r="P47" i="11" s="1"/>
  <c r="M86" i="11"/>
  <c r="O86" i="11" s="1"/>
  <c r="P86" i="11" s="1"/>
  <c r="M84" i="11"/>
  <c r="O84" i="11" s="1"/>
  <c r="P84" i="11" s="1"/>
  <c r="M46" i="11"/>
  <c r="O46" i="11" s="1"/>
  <c r="P46" i="11" s="1"/>
  <c r="M76" i="11"/>
  <c r="O76" i="11" s="1"/>
  <c r="P76" i="11" s="1"/>
  <c r="M87" i="11"/>
  <c r="O87" i="11" s="1"/>
  <c r="P87" i="11" s="1"/>
  <c r="M25" i="11"/>
  <c r="O25" i="11" s="1"/>
  <c r="P25" i="11" s="1"/>
  <c r="M33" i="11"/>
  <c r="O33" i="11" s="1"/>
  <c r="P33" i="11" s="1"/>
  <c r="M41" i="11"/>
  <c r="O41" i="11" s="1"/>
  <c r="P41" i="11" s="1"/>
  <c r="M57" i="11"/>
  <c r="O57" i="11" s="1"/>
  <c r="P57" i="11" s="1"/>
  <c r="M65" i="11"/>
  <c r="O65" i="11" s="1"/>
  <c r="P65" i="11" s="1"/>
  <c r="M28" i="11"/>
  <c r="O28" i="11" s="1"/>
  <c r="P28" i="11" s="1"/>
  <c r="M36" i="11"/>
  <c r="O36" i="11" s="1"/>
  <c r="P36" i="11" s="1"/>
  <c r="M11" i="10"/>
  <c r="O11" i="10" s="1"/>
  <c r="P11" i="10" s="1"/>
  <c r="M27" i="10"/>
  <c r="O27" i="10" s="1"/>
  <c r="P27" i="10" s="1"/>
  <c r="M42" i="10"/>
  <c r="O42" i="10" s="1"/>
  <c r="P42" i="10" s="1"/>
  <c r="M26" i="10"/>
  <c r="O26" i="10" s="1"/>
  <c r="P26" i="10" s="1"/>
  <c r="K100" i="10"/>
  <c r="M4" i="9"/>
  <c r="O4" i="9" s="1"/>
  <c r="P4" i="9" s="1"/>
  <c r="M99" i="9"/>
  <c r="O99" i="9" s="1"/>
  <c r="P99" i="9" s="1"/>
  <c r="M77" i="9"/>
  <c r="O77" i="9" s="1"/>
  <c r="P77" i="9" s="1"/>
  <c r="M19" i="9"/>
  <c r="O19" i="9" s="1"/>
  <c r="P19" i="9" s="1"/>
  <c r="K100" i="9"/>
  <c r="M49" i="11"/>
  <c r="O49" i="11" s="1"/>
  <c r="P49" i="11" s="1"/>
  <c r="M73" i="11"/>
  <c r="O73" i="11" s="1"/>
  <c r="P73" i="11" s="1"/>
  <c r="M19" i="11"/>
  <c r="O19" i="11" s="1"/>
  <c r="P19" i="11" s="1"/>
  <c r="M35" i="11"/>
  <c r="O35" i="11" s="1"/>
  <c r="P35" i="11" s="1"/>
  <c r="M51" i="11"/>
  <c r="O51" i="11" s="1"/>
  <c r="P51" i="11" s="1"/>
  <c r="M59" i="11"/>
  <c r="O59" i="11" s="1"/>
  <c r="P59" i="11" s="1"/>
  <c r="M67" i="11"/>
  <c r="O67" i="11" s="1"/>
  <c r="P67" i="11" s="1"/>
  <c r="M75" i="11"/>
  <c r="O75" i="11" s="1"/>
  <c r="P75" i="11" s="1"/>
  <c r="L100" i="11"/>
  <c r="L102" i="11" s="1"/>
  <c r="M5" i="11"/>
  <c r="L100" i="9"/>
  <c r="L100" i="10"/>
  <c r="L98" i="12"/>
  <c r="K98" i="12"/>
  <c r="N98" i="12"/>
  <c r="M11" i="12"/>
  <c r="O11" i="12" s="1"/>
  <c r="P11" i="12" s="1"/>
  <c r="M39" i="12"/>
  <c r="O39" i="12" s="1"/>
  <c r="P39" i="12" s="1"/>
  <c r="M88" i="12"/>
  <c r="M23" i="12"/>
  <c r="O23" i="12" s="1"/>
  <c r="P23" i="12" s="1"/>
  <c r="M83" i="12"/>
  <c r="O83" i="12" s="1"/>
  <c r="P83" i="12" s="1"/>
  <c r="M93" i="12"/>
  <c r="O93" i="12" s="1"/>
  <c r="P93" i="12" s="1"/>
  <c r="M70" i="12"/>
  <c r="O70" i="12" s="1"/>
  <c r="P70" i="12" s="1"/>
  <c r="M54" i="12"/>
  <c r="O54" i="12" s="1"/>
  <c r="P54" i="12" s="1"/>
  <c r="M85" i="12"/>
  <c r="O85" i="12" s="1"/>
  <c r="P85" i="12" s="1"/>
  <c r="M38" i="12"/>
  <c r="O38" i="12" s="1"/>
  <c r="P38" i="12" s="1"/>
  <c r="M40" i="12"/>
  <c r="O40" i="12" s="1"/>
  <c r="P40" i="12" s="1"/>
  <c r="M29" i="12"/>
  <c r="O29" i="12" s="1"/>
  <c r="P29" i="12" s="1"/>
  <c r="M24" i="12"/>
  <c r="O24" i="12" s="1"/>
  <c r="P24" i="12" s="1"/>
  <c r="M19" i="12"/>
  <c r="O19" i="12" s="1"/>
  <c r="P19" i="12" s="1"/>
  <c r="M15" i="12"/>
  <c r="O15" i="12" s="1"/>
  <c r="P15" i="12" s="1"/>
  <c r="M47" i="12"/>
  <c r="O47" i="12" s="1"/>
  <c r="P47" i="12" s="1"/>
  <c r="M6" i="12"/>
  <c r="O6" i="12" s="1"/>
  <c r="P6" i="12" s="1"/>
  <c r="M34" i="12"/>
  <c r="O34" i="12" s="1"/>
  <c r="P34" i="12" s="1"/>
  <c r="M3" i="12"/>
  <c r="O3" i="12" s="1"/>
  <c r="P3" i="12" s="1"/>
  <c r="M4" i="12"/>
  <c r="O4" i="12" s="1"/>
  <c r="P4" i="12" s="1"/>
  <c r="M81" i="12"/>
  <c r="O81" i="12" s="1"/>
  <c r="P81" i="12" s="1"/>
  <c r="M52" i="12"/>
  <c r="O52" i="12" s="1"/>
  <c r="P52" i="12" s="1"/>
  <c r="M86" i="12"/>
  <c r="O86" i="12" s="1"/>
  <c r="P86" i="12" s="1"/>
  <c r="M58" i="12"/>
  <c r="O58" i="12" s="1"/>
  <c r="P58" i="12" s="1"/>
  <c r="M31" i="12"/>
  <c r="O31" i="12" s="1"/>
  <c r="P31" i="12" s="1"/>
  <c r="M12" i="12"/>
  <c r="O12" i="12" s="1"/>
  <c r="P12" i="12" s="1"/>
  <c r="M44" i="12"/>
  <c r="O44" i="12" s="1"/>
  <c r="P44" i="12" s="1"/>
  <c r="M74" i="12"/>
  <c r="O74" i="12" s="1"/>
  <c r="P74" i="12" s="1"/>
  <c r="M14" i="12"/>
  <c r="O14" i="12" s="1"/>
  <c r="P14" i="12" s="1"/>
  <c r="M75" i="12"/>
  <c r="O75" i="12" s="1"/>
  <c r="P75" i="12" s="1"/>
  <c r="M56" i="12"/>
  <c r="O56" i="12" s="1"/>
  <c r="P56" i="12" s="1"/>
  <c r="M42" i="12"/>
  <c r="O42" i="12" s="1"/>
  <c r="P42" i="12" s="1"/>
  <c r="M48" i="12"/>
  <c r="O48" i="12" s="1"/>
  <c r="P48" i="12" s="1"/>
  <c r="M33" i="12"/>
  <c r="O33" i="12" s="1"/>
  <c r="P33" i="12" s="1"/>
  <c r="M21" i="12"/>
  <c r="O21" i="12" s="1"/>
  <c r="P21" i="12" s="1"/>
  <c r="M94" i="12"/>
  <c r="O94" i="12" s="1"/>
  <c r="P94" i="12" s="1"/>
  <c r="M49" i="12"/>
  <c r="O49" i="12" s="1"/>
  <c r="P49" i="12" s="1"/>
  <c r="M32" i="12"/>
  <c r="O32" i="12" s="1"/>
  <c r="P32" i="12" s="1"/>
  <c r="M97" i="12"/>
  <c r="O97" i="12" s="1"/>
  <c r="P97" i="12" s="1"/>
  <c r="M20" i="12"/>
  <c r="O20" i="12" s="1"/>
  <c r="P20" i="12" s="1"/>
  <c r="M63" i="12"/>
  <c r="O63" i="12" s="1"/>
  <c r="P63" i="12" s="1"/>
  <c r="M50" i="12"/>
  <c r="O50" i="12" s="1"/>
  <c r="P50" i="12" s="1"/>
  <c r="M8" i="12"/>
  <c r="O8" i="12" s="1"/>
  <c r="P8" i="12" s="1"/>
  <c r="M89" i="12"/>
  <c r="O89" i="12" s="1"/>
  <c r="P89" i="12" s="1"/>
  <c r="M64" i="12"/>
  <c r="O64" i="12" s="1"/>
  <c r="P64" i="12" s="1"/>
  <c r="M36" i="12"/>
  <c r="O36" i="12" s="1"/>
  <c r="P36" i="12" s="1"/>
  <c r="M95" i="12"/>
  <c r="O95" i="12" s="1"/>
  <c r="P95" i="12" s="1"/>
  <c r="M22" i="12"/>
  <c r="O22" i="12" s="1"/>
  <c r="P22" i="12" s="1"/>
  <c r="M9" i="12"/>
  <c r="O9" i="12" s="1"/>
  <c r="P9" i="12" s="1"/>
  <c r="M51" i="12"/>
  <c r="O51" i="12" s="1"/>
  <c r="P51" i="12" s="1"/>
  <c r="M37" i="12"/>
  <c r="O37" i="12" s="1"/>
  <c r="P37" i="12" s="1"/>
  <c r="M55" i="12"/>
  <c r="O55" i="12" s="1"/>
  <c r="P55" i="12" s="1"/>
  <c r="M10" i="12"/>
  <c r="O10" i="12" s="1"/>
  <c r="P10" i="12" s="1"/>
  <c r="M72" i="12"/>
  <c r="O72" i="12" s="1"/>
  <c r="P72" i="12" s="1"/>
  <c r="M79" i="12"/>
  <c r="O79" i="12" s="1"/>
  <c r="P79" i="12" s="1"/>
  <c r="M71" i="12"/>
  <c r="O71" i="12" s="1"/>
  <c r="P71" i="12" s="1"/>
  <c r="M80" i="12"/>
  <c r="O80" i="12" s="1"/>
  <c r="P80" i="12" s="1"/>
  <c r="M87" i="12"/>
  <c r="O87" i="12" s="1"/>
  <c r="P87" i="12" s="1"/>
  <c r="M30" i="12"/>
  <c r="O30" i="12" s="1"/>
  <c r="P30" i="12" s="1"/>
  <c r="M65" i="12"/>
  <c r="O65" i="12" s="1"/>
  <c r="P65" i="12" s="1"/>
  <c r="M92" i="12"/>
  <c r="O92" i="12" s="1"/>
  <c r="P92" i="12" s="1"/>
  <c r="M60" i="12"/>
  <c r="O60" i="12" s="1"/>
  <c r="P60" i="12" s="1"/>
  <c r="M76" i="12"/>
  <c r="O76" i="12" s="1"/>
  <c r="P76" i="12" s="1"/>
  <c r="M53" i="12"/>
  <c r="O53" i="12" s="1"/>
  <c r="P53" i="12" s="1"/>
  <c r="M7" i="12"/>
  <c r="O7" i="12" s="1"/>
  <c r="P7" i="12" s="1"/>
  <c r="M45" i="12"/>
  <c r="O45" i="12" s="1"/>
  <c r="P45" i="12" s="1"/>
  <c r="M66" i="12"/>
  <c r="O66" i="12" s="1"/>
  <c r="P66" i="12" s="1"/>
  <c r="M5" i="12"/>
  <c r="O5" i="12" s="1"/>
  <c r="P5" i="12" s="1"/>
  <c r="M18" i="12"/>
  <c r="O18" i="12" s="1"/>
  <c r="P18" i="12" s="1"/>
  <c r="M69" i="12"/>
  <c r="O69" i="12" s="1"/>
  <c r="P69" i="12" s="1"/>
  <c r="M61" i="12"/>
  <c r="O61" i="12" s="1"/>
  <c r="P61" i="12" s="1"/>
  <c r="M17" i="12"/>
  <c r="O17" i="12" s="1"/>
  <c r="P17" i="12" s="1"/>
  <c r="M59" i="12"/>
  <c r="O59" i="12" s="1"/>
  <c r="P59" i="12" s="1"/>
  <c r="M27" i="12"/>
  <c r="O27" i="12" s="1"/>
  <c r="P27" i="12" s="1"/>
  <c r="M41" i="12"/>
  <c r="O41" i="12" s="1"/>
  <c r="P41" i="12" s="1"/>
  <c r="M90" i="12"/>
  <c r="O90" i="12" s="1"/>
  <c r="P90" i="12" s="1"/>
  <c r="M16" i="12"/>
  <c r="O16" i="12" s="1"/>
  <c r="P16" i="12" s="1"/>
  <c r="M35" i="12"/>
  <c r="O35" i="12" s="1"/>
  <c r="P35" i="12" s="1"/>
  <c r="M43" i="12"/>
  <c r="O43" i="12" s="1"/>
  <c r="P43" i="12" s="1"/>
  <c r="M57" i="12"/>
  <c r="O57" i="12" s="1"/>
  <c r="P57" i="12" s="1"/>
  <c r="M67" i="12"/>
  <c r="O67" i="12" s="1"/>
  <c r="P67" i="12" s="1"/>
  <c r="M78" i="12"/>
  <c r="O78" i="12" s="1"/>
  <c r="P78" i="12" s="1"/>
  <c r="O88" i="12"/>
  <c r="P88" i="12" s="1"/>
  <c r="M91" i="12"/>
  <c r="O91" i="12" s="1"/>
  <c r="P91" i="12" s="1"/>
  <c r="M96" i="12"/>
  <c r="O96" i="12" s="1"/>
  <c r="P96" i="12" s="1"/>
  <c r="M25" i="12"/>
  <c r="O25" i="12" s="1"/>
  <c r="P25" i="12" s="1"/>
  <c r="M28" i="12"/>
  <c r="O28" i="12" s="1"/>
  <c r="P28" i="12" s="1"/>
  <c r="M46" i="12"/>
  <c r="O46" i="12" s="1"/>
  <c r="P46" i="12" s="1"/>
  <c r="M73" i="12"/>
  <c r="O73" i="12" s="1"/>
  <c r="P73" i="12" s="1"/>
  <c r="M82" i="12"/>
  <c r="O82" i="12" s="1"/>
  <c r="P82" i="12" s="1"/>
  <c r="M26" i="12"/>
  <c r="O26" i="12" s="1"/>
  <c r="P26" i="12" s="1"/>
  <c r="M68" i="12"/>
  <c r="O68" i="12" s="1"/>
  <c r="P68" i="12" s="1"/>
  <c r="M77" i="12"/>
  <c r="O77" i="12" s="1"/>
  <c r="P77" i="12" s="1"/>
  <c r="O13" i="12"/>
  <c r="P13" i="12" s="1"/>
  <c r="O84" i="12"/>
  <c r="P84" i="12" s="1"/>
  <c r="O62" i="12"/>
  <c r="P62" i="12" s="1"/>
  <c r="M2" i="12"/>
  <c r="M35" i="10"/>
  <c r="O35" i="10" s="1"/>
  <c r="P35" i="10" s="1"/>
  <c r="M6" i="10"/>
  <c r="O6" i="10" s="1"/>
  <c r="P6" i="10" s="1"/>
  <c r="M32" i="10"/>
  <c r="O32" i="10" s="1"/>
  <c r="P32" i="10" s="1"/>
  <c r="M68" i="10"/>
  <c r="O68" i="10" s="1"/>
  <c r="P68" i="10" s="1"/>
  <c r="M8" i="10"/>
  <c r="O8" i="10" s="1"/>
  <c r="P8" i="10" s="1"/>
  <c r="O10" i="10"/>
  <c r="P10" i="10" s="1"/>
  <c r="M92" i="10"/>
  <c r="O92" i="10" s="1"/>
  <c r="P92" i="10" s="1"/>
  <c r="M95" i="10"/>
  <c r="O95" i="10" s="1"/>
  <c r="P95" i="10" s="1"/>
  <c r="M4" i="10"/>
  <c r="O4" i="10" s="1"/>
  <c r="P4" i="10" s="1"/>
  <c r="M24" i="10"/>
  <c r="O24" i="10" s="1"/>
  <c r="P24" i="10" s="1"/>
  <c r="M96" i="10"/>
  <c r="O96" i="10" s="1"/>
  <c r="P96" i="10" s="1"/>
  <c r="O55" i="10"/>
  <c r="P55" i="10" s="1"/>
  <c r="O53" i="10"/>
  <c r="P53" i="10" s="1"/>
  <c r="O21" i="10"/>
  <c r="P21" i="10" s="1"/>
  <c r="M17" i="10"/>
  <c r="O17" i="10" s="1"/>
  <c r="P17" i="10" s="1"/>
  <c r="M47" i="10"/>
  <c r="O47" i="10" s="1"/>
  <c r="P47" i="10" s="1"/>
  <c r="M23" i="10"/>
  <c r="O23" i="10" s="1"/>
  <c r="P23" i="10" s="1"/>
  <c r="M61" i="10"/>
  <c r="O61" i="10" s="1"/>
  <c r="P61" i="10" s="1"/>
  <c r="M97" i="10"/>
  <c r="O97" i="10" s="1"/>
  <c r="P97" i="10" s="1"/>
  <c r="M7" i="10"/>
  <c r="M30" i="10"/>
  <c r="O30" i="10" s="1"/>
  <c r="P30" i="10" s="1"/>
  <c r="M34" i="10"/>
  <c r="O34" i="10" s="1"/>
  <c r="P34" i="10" s="1"/>
  <c r="M69" i="10"/>
  <c r="O69" i="10" s="1"/>
  <c r="P69" i="10" s="1"/>
  <c r="M71" i="10"/>
  <c r="O71" i="10" s="1"/>
  <c r="P71" i="10" s="1"/>
  <c r="M99" i="10"/>
  <c r="O99" i="10" s="1"/>
  <c r="P99" i="10" s="1"/>
  <c r="M25" i="10"/>
  <c r="O25" i="10" s="1"/>
  <c r="P25" i="10" s="1"/>
  <c r="M29" i="10"/>
  <c r="O29" i="10" s="1"/>
  <c r="P29" i="10" s="1"/>
  <c r="M70" i="10"/>
  <c r="O70" i="10" s="1"/>
  <c r="P70" i="10" s="1"/>
  <c r="M84" i="10"/>
  <c r="O84" i="10" s="1"/>
  <c r="P84" i="10" s="1"/>
  <c r="M9" i="10"/>
  <c r="O9" i="10" s="1"/>
  <c r="P9" i="10" s="1"/>
  <c r="M28" i="10"/>
  <c r="O28" i="10" s="1"/>
  <c r="P28" i="10" s="1"/>
  <c r="M39" i="10"/>
  <c r="O39" i="10" s="1"/>
  <c r="P39" i="10" s="1"/>
  <c r="M82" i="10"/>
  <c r="O82" i="10" s="1"/>
  <c r="P82" i="10" s="1"/>
  <c r="M90" i="10"/>
  <c r="O90" i="10" s="1"/>
  <c r="P90" i="10" s="1"/>
  <c r="M59" i="10"/>
  <c r="O59" i="10" s="1"/>
  <c r="P59" i="10" s="1"/>
  <c r="M43" i="10"/>
  <c r="O43" i="10" s="1"/>
  <c r="P43" i="10" s="1"/>
  <c r="M3" i="10"/>
  <c r="O3" i="10" s="1"/>
  <c r="P3" i="10" s="1"/>
  <c r="M37" i="10"/>
  <c r="O37" i="10" s="1"/>
  <c r="P37" i="10" s="1"/>
  <c r="M85" i="10"/>
  <c r="O85" i="10" s="1"/>
  <c r="P85" i="10" s="1"/>
  <c r="M93" i="10"/>
  <c r="O93" i="10" s="1"/>
  <c r="P93" i="10" s="1"/>
  <c r="M18" i="10"/>
  <c r="O18" i="10" s="1"/>
  <c r="P18" i="10" s="1"/>
  <c r="M2" i="10"/>
  <c r="O2" i="10" s="1"/>
  <c r="P2" i="10" s="1"/>
  <c r="M14" i="10"/>
  <c r="O14" i="10" s="1"/>
  <c r="P14" i="10" s="1"/>
  <c r="M89" i="10"/>
  <c r="O89" i="10" s="1"/>
  <c r="P89" i="10" s="1"/>
  <c r="M94" i="10"/>
  <c r="O94" i="10" s="1"/>
  <c r="P94" i="10" s="1"/>
  <c r="M49" i="9"/>
  <c r="O49" i="9" s="1"/>
  <c r="P49" i="9" s="1"/>
  <c r="O89" i="9"/>
  <c r="P89" i="9" s="1"/>
  <c r="M93" i="9"/>
  <c r="O93" i="9" s="1"/>
  <c r="P93" i="9" s="1"/>
  <c r="M16" i="9"/>
  <c r="O16" i="9" s="1"/>
  <c r="P16" i="9" s="1"/>
  <c r="M56" i="9"/>
  <c r="O56" i="9" s="1"/>
  <c r="P56" i="9" s="1"/>
  <c r="M37" i="9"/>
  <c r="O37" i="9" s="1"/>
  <c r="P37" i="9" s="1"/>
  <c r="M75" i="9"/>
  <c r="O75" i="9" s="1"/>
  <c r="P75" i="9" s="1"/>
  <c r="M5" i="9"/>
  <c r="O5" i="9" s="1"/>
  <c r="P5" i="9" s="1"/>
  <c r="M14" i="9"/>
  <c r="O14" i="9" s="1"/>
  <c r="P14" i="9" s="1"/>
  <c r="M17" i="9"/>
  <c r="O17" i="9" s="1"/>
  <c r="P17" i="9" s="1"/>
  <c r="M55" i="9"/>
  <c r="O55" i="9" s="1"/>
  <c r="P55" i="9" s="1"/>
  <c r="M95" i="9"/>
  <c r="O95" i="9" s="1"/>
  <c r="P95" i="9" s="1"/>
  <c r="M32" i="9"/>
  <c r="O32" i="9" s="1"/>
  <c r="P32" i="9" s="1"/>
  <c r="M68" i="9"/>
  <c r="O68" i="9" s="1"/>
  <c r="P68" i="9" s="1"/>
  <c r="M52" i="9"/>
  <c r="O52" i="9" s="1"/>
  <c r="P52" i="9" s="1"/>
  <c r="M36" i="9"/>
  <c r="O36" i="9" s="1"/>
  <c r="P36" i="9" s="1"/>
  <c r="M42" i="9"/>
  <c r="O42" i="9" s="1"/>
  <c r="P42" i="9" s="1"/>
  <c r="M67" i="9"/>
  <c r="O67" i="9" s="1"/>
  <c r="P67" i="9" s="1"/>
  <c r="M3" i="9"/>
  <c r="O3" i="9" s="1"/>
  <c r="P3" i="9" s="1"/>
  <c r="M23" i="9"/>
  <c r="O23" i="9" s="1"/>
  <c r="P23" i="9" s="1"/>
  <c r="M45" i="9"/>
  <c r="O45" i="9" s="1"/>
  <c r="P45" i="9" s="1"/>
  <c r="M61" i="9"/>
  <c r="O61" i="9" s="1"/>
  <c r="P61" i="9" s="1"/>
  <c r="M78" i="9"/>
  <c r="O78" i="9" s="1"/>
  <c r="P78" i="9" s="1"/>
  <c r="M97" i="9"/>
  <c r="O97" i="9" s="1"/>
  <c r="P97" i="9" s="1"/>
  <c r="M34" i="9"/>
  <c r="O34" i="9" s="1"/>
  <c r="P34" i="9" s="1"/>
  <c r="M6" i="9"/>
  <c r="O6" i="9" s="1"/>
  <c r="P6" i="9" s="1"/>
  <c r="M24" i="9"/>
  <c r="O24" i="9" s="1"/>
  <c r="P24" i="9" s="1"/>
  <c r="M47" i="9"/>
  <c r="O47" i="9" s="1"/>
  <c r="P47" i="9" s="1"/>
  <c r="M63" i="9"/>
  <c r="O63" i="9" s="1"/>
  <c r="P63" i="9" s="1"/>
  <c r="M82" i="9"/>
  <c r="O82" i="9" s="1"/>
  <c r="P82" i="9" s="1"/>
  <c r="M92" i="9"/>
  <c r="O92" i="9" s="1"/>
  <c r="P92" i="9" s="1"/>
  <c r="M25" i="9"/>
  <c r="O25" i="9" s="1"/>
  <c r="P25" i="9" s="1"/>
  <c r="M48" i="9"/>
  <c r="O48" i="9" s="1"/>
  <c r="P48" i="9" s="1"/>
  <c r="M65" i="9"/>
  <c r="O65" i="9" s="1"/>
  <c r="P65" i="9" s="1"/>
  <c r="M84" i="9"/>
  <c r="O84" i="9" s="1"/>
  <c r="P84" i="9" s="1"/>
  <c r="M90" i="9"/>
  <c r="O90" i="9" s="1"/>
  <c r="P90" i="9" s="1"/>
  <c r="M8" i="9"/>
  <c r="O8" i="9" s="1"/>
  <c r="P8" i="9" s="1"/>
  <c r="M26" i="9"/>
  <c r="O26" i="9" s="1"/>
  <c r="P26" i="9" s="1"/>
  <c r="M66" i="9"/>
  <c r="O66" i="9" s="1"/>
  <c r="P66" i="9" s="1"/>
  <c r="R99" i="8"/>
  <c r="S99" i="8" s="1"/>
  <c r="R15" i="8"/>
  <c r="S15" i="8" s="1"/>
  <c r="Q100" i="8"/>
  <c r="O100" i="8"/>
  <c r="R76" i="8"/>
  <c r="S76" i="8" s="1"/>
  <c r="R35" i="8"/>
  <c r="S35" i="8" s="1"/>
  <c r="S2" i="8"/>
  <c r="N100" i="8"/>
  <c r="P63" i="8"/>
  <c r="R63" i="8" s="1"/>
  <c r="S63" i="8" s="1"/>
  <c r="P3" i="8"/>
  <c r="P59" i="8"/>
  <c r="R59" i="8" s="1"/>
  <c r="S59" i="8" s="1"/>
  <c r="P90" i="8"/>
  <c r="R90" i="8" s="1"/>
  <c r="S90" i="8" s="1"/>
  <c r="P98" i="8"/>
  <c r="R98" i="8" s="1"/>
  <c r="S98" i="8" s="1"/>
  <c r="P93" i="8"/>
  <c r="R93" i="8" s="1"/>
  <c r="S93" i="8" s="1"/>
  <c r="P19" i="8"/>
  <c r="R19" i="8" s="1"/>
  <c r="S19" i="8" s="1"/>
  <c r="P36" i="8"/>
  <c r="R36" i="8" s="1"/>
  <c r="S36" i="8" s="1"/>
  <c r="P18" i="8"/>
  <c r="R18" i="8" s="1"/>
  <c r="S18" i="8" s="1"/>
  <c r="P32" i="8"/>
  <c r="R32" i="8" s="1"/>
  <c r="S32" i="8" s="1"/>
  <c r="P62" i="8"/>
  <c r="R62" i="8" s="1"/>
  <c r="S62" i="8" s="1"/>
  <c r="P78" i="8"/>
  <c r="R78" i="8" s="1"/>
  <c r="S78" i="8" s="1"/>
  <c r="P92" i="8"/>
  <c r="R92" i="8" s="1"/>
  <c r="S92" i="8" s="1"/>
  <c r="P24" i="8"/>
  <c r="R24" i="8" s="1"/>
  <c r="S24" i="8" s="1"/>
  <c r="P42" i="8"/>
  <c r="R42" i="8" s="1"/>
  <c r="S42" i="8" s="1"/>
  <c r="P68" i="8"/>
  <c r="R68" i="8" s="1"/>
  <c r="S68" i="8" s="1"/>
  <c r="P79" i="8"/>
  <c r="R79" i="8" s="1"/>
  <c r="S79" i="8" s="1"/>
  <c r="P96" i="8"/>
  <c r="R96" i="8" s="1"/>
  <c r="S96" i="8" s="1"/>
  <c r="P4" i="8"/>
  <c r="R4" i="8" s="1"/>
  <c r="S4" i="8" s="1"/>
  <c r="P26" i="8"/>
  <c r="R26" i="8" s="1"/>
  <c r="S26" i="8" s="1"/>
  <c r="P45" i="8"/>
  <c r="R45" i="8" s="1"/>
  <c r="S45" i="8" s="1"/>
  <c r="P69" i="8"/>
  <c r="R69" i="8" s="1"/>
  <c r="S69" i="8" s="1"/>
  <c r="P80" i="8"/>
  <c r="R80" i="8" s="1"/>
  <c r="S80" i="8" s="1"/>
  <c r="P7" i="8"/>
  <c r="R7" i="8" s="1"/>
  <c r="S7" i="8" s="1"/>
  <c r="P43" i="8"/>
  <c r="R43" i="8" s="1"/>
  <c r="S43" i="8" s="1"/>
  <c r="P23" i="8"/>
  <c r="R23" i="8" s="1"/>
  <c r="S23" i="8" s="1"/>
  <c r="P27" i="8"/>
  <c r="R27" i="8" s="1"/>
  <c r="S27" i="8" s="1"/>
  <c r="P47" i="8"/>
  <c r="R47" i="8" s="1"/>
  <c r="S47" i="8" s="1"/>
  <c r="P70" i="8"/>
  <c r="R70" i="8" s="1"/>
  <c r="S70" i="8" s="1"/>
  <c r="P81" i="8"/>
  <c r="R81" i="8" s="1"/>
  <c r="S81" i="8" s="1"/>
  <c r="P28" i="8"/>
  <c r="R28" i="8" s="1"/>
  <c r="S28" i="8" s="1"/>
  <c r="P71" i="8"/>
  <c r="R71" i="8" s="1"/>
  <c r="S71" i="8" s="1"/>
  <c r="P95" i="8"/>
  <c r="R95" i="8" s="1"/>
  <c r="S95" i="8" s="1"/>
  <c r="P29" i="8"/>
  <c r="R29" i="8" s="1"/>
  <c r="S29" i="8" s="1"/>
  <c r="P55" i="8"/>
  <c r="R55" i="8" s="1"/>
  <c r="S55" i="8" s="1"/>
  <c r="P73" i="8"/>
  <c r="R73" i="8" s="1"/>
  <c r="S73" i="8" s="1"/>
  <c r="P84" i="8"/>
  <c r="R84" i="8" s="1"/>
  <c r="S84" i="8" s="1"/>
  <c r="P17" i="8"/>
  <c r="R17" i="8" s="1"/>
  <c r="S17" i="8" s="1"/>
  <c r="P97" i="8"/>
  <c r="R97" i="8" s="1"/>
  <c r="S97" i="8" s="1"/>
  <c r="P5" i="8"/>
  <c r="R5" i="8" s="1"/>
  <c r="S5" i="8" s="1"/>
  <c r="P31" i="8"/>
  <c r="R31" i="8" s="1"/>
  <c r="S31" i="8" s="1"/>
  <c r="P61" i="8"/>
  <c r="R61" i="8" s="1"/>
  <c r="S61" i="8" s="1"/>
  <c r="P75" i="8"/>
  <c r="R75" i="8" s="1"/>
  <c r="S75" i="8" s="1"/>
  <c r="P89" i="8"/>
  <c r="R89" i="8" s="1"/>
  <c r="S89" i="8" s="1"/>
  <c r="P67" i="8"/>
  <c r="R67" i="8" s="1"/>
  <c r="S67" i="8" s="1"/>
  <c r="M100" i="11" l="1"/>
  <c r="M102" i="11" s="1"/>
  <c r="K100" i="12"/>
  <c r="L100" i="12"/>
  <c r="O5" i="11"/>
  <c r="P100" i="9"/>
  <c r="M100" i="9"/>
  <c r="M103" i="9" s="1"/>
  <c r="O100" i="9"/>
  <c r="O7" i="10"/>
  <c r="M100" i="10"/>
  <c r="M103" i="10" s="1"/>
  <c r="M98" i="12"/>
  <c r="M100" i="12" s="1"/>
  <c r="O2" i="12"/>
  <c r="O98" i="12" s="1"/>
  <c r="R3" i="8"/>
  <c r="P100" i="8"/>
  <c r="P103" i="8" s="1"/>
  <c r="F13" i="7"/>
  <c r="F14" i="7"/>
  <c r="F15" i="7"/>
  <c r="F16" i="7"/>
  <c r="F12" i="7"/>
  <c r="D13" i="7"/>
  <c r="D14" i="7"/>
  <c r="D15" i="7"/>
  <c r="D16" i="7"/>
  <c r="D12" i="7"/>
  <c r="P5" i="11" l="1"/>
  <c r="P100" i="11" s="1"/>
  <c r="O100" i="11"/>
  <c r="O100" i="10"/>
  <c r="P7" i="10"/>
  <c r="P100" i="10" s="1"/>
  <c r="P2" i="12"/>
  <c r="P98" i="12" s="1"/>
  <c r="S3" i="8"/>
  <c r="S100" i="8" s="1"/>
  <c r="R100" i="8"/>
  <c r="S3" i="28"/>
  <c r="T3" i="28"/>
  <c r="U3" i="28"/>
</calcChain>
</file>

<file path=xl/sharedStrings.xml><?xml version="1.0" encoding="utf-8"?>
<sst xmlns="http://schemas.openxmlformats.org/spreadsheetml/2006/main" count="26005" uniqueCount="460">
  <si>
    <t>Department</t>
  </si>
  <si>
    <t>Team Lead</t>
  </si>
  <si>
    <t>Full Name</t>
  </si>
  <si>
    <t>State</t>
  </si>
  <si>
    <t>Tardiness</t>
  </si>
  <si>
    <t>Absences</t>
  </si>
  <si>
    <t>Lost Hours</t>
  </si>
  <si>
    <t>Target</t>
  </si>
  <si>
    <t>Completed</t>
  </si>
  <si>
    <t>Attendance</t>
  </si>
  <si>
    <t>Late</t>
  </si>
  <si>
    <t>Absent</t>
  </si>
  <si>
    <t>VL</t>
  </si>
  <si>
    <t>SL</t>
  </si>
  <si>
    <t>LWOP</t>
  </si>
  <si>
    <t>SPL</t>
  </si>
  <si>
    <t>Emergency</t>
  </si>
  <si>
    <t>Infraction Issued</t>
  </si>
  <si>
    <t>Offense</t>
  </si>
  <si>
    <t>Coaching Log #</t>
  </si>
  <si>
    <t>Date Issued</t>
  </si>
  <si>
    <t>Infraction</t>
  </si>
  <si>
    <t>Billing</t>
  </si>
  <si>
    <t>Kate Constantino</t>
  </si>
  <si>
    <t>Alexandra Ortiz</t>
  </si>
  <si>
    <t>KY</t>
  </si>
  <si>
    <t>Rejection</t>
  </si>
  <si>
    <t>Vladimir Patio</t>
  </si>
  <si>
    <t xml:space="preserve">Alyssa DeGuzman </t>
  </si>
  <si>
    <t xml:space="preserve">Analyn Caniedo </t>
  </si>
  <si>
    <t>IL</t>
  </si>
  <si>
    <t>Louis Cantillion</t>
  </si>
  <si>
    <t xml:space="preserve">Analyn Diaz </t>
  </si>
  <si>
    <t>NJ</t>
  </si>
  <si>
    <t>Edmark Bania</t>
  </si>
  <si>
    <t>Andrea Fonacier</t>
  </si>
  <si>
    <t>KY/IL</t>
  </si>
  <si>
    <t>Intake</t>
  </si>
  <si>
    <t>Kiana Brown</t>
  </si>
  <si>
    <t>Angelica Bautista</t>
  </si>
  <si>
    <t>Multi</t>
  </si>
  <si>
    <t xml:space="preserve">Angelo Agron </t>
  </si>
  <si>
    <t xml:space="preserve">Anthea Ann Lumen </t>
  </si>
  <si>
    <t>Anthony Valdez</t>
  </si>
  <si>
    <t>Ar Jean Tudtud</t>
  </si>
  <si>
    <t xml:space="preserve">Arah Blancia </t>
  </si>
  <si>
    <t>Audrey De Leon</t>
  </si>
  <si>
    <t>Avril Rie Son</t>
  </si>
  <si>
    <t xml:space="preserve">Bea Mercado </t>
  </si>
  <si>
    <t>Charlene Valdez</t>
  </si>
  <si>
    <t>MA/NY/NJ (KY/IL)</t>
  </si>
  <si>
    <t xml:space="preserve">Charyselle Cadelina </t>
  </si>
  <si>
    <t>Collen Silapan</t>
  </si>
  <si>
    <t xml:space="preserve">Danielle Generao </t>
  </si>
  <si>
    <t>Rhoda De Jesus</t>
  </si>
  <si>
    <t>Eldrick Loreno</t>
  </si>
  <si>
    <t>NY</t>
  </si>
  <si>
    <t>Mpen</t>
  </si>
  <si>
    <t>Hans Ruan</t>
  </si>
  <si>
    <t>Erika Ramos</t>
  </si>
  <si>
    <t>Rebill</t>
  </si>
  <si>
    <t>Jason Cruz</t>
  </si>
  <si>
    <t xml:space="preserve">Ethel Gregorio </t>
  </si>
  <si>
    <t>MA</t>
  </si>
  <si>
    <t xml:space="preserve">Eunice Bargo </t>
  </si>
  <si>
    <t>Eunice Padadnan</t>
  </si>
  <si>
    <t>Noemi Landerito</t>
  </si>
  <si>
    <t xml:space="preserve">Femie DC Domenden </t>
  </si>
  <si>
    <t>Francis Alba</t>
  </si>
  <si>
    <t xml:space="preserve">Francis Narboneta </t>
  </si>
  <si>
    <t xml:space="preserve">Gladys Astilla </t>
  </si>
  <si>
    <t>Glessie DeJesus</t>
  </si>
  <si>
    <t xml:space="preserve">Glory Nabayra </t>
  </si>
  <si>
    <t>Hanna Arceo</t>
  </si>
  <si>
    <t>Hazelyn Rodrigo</t>
  </si>
  <si>
    <t xml:space="preserve">Iris Dahnielle Andalleon </t>
  </si>
  <si>
    <t>Isabela Arellano</t>
  </si>
  <si>
    <t>Iverson Libranda</t>
  </si>
  <si>
    <t>Jean Tan</t>
  </si>
  <si>
    <t>NY NJ</t>
  </si>
  <si>
    <t>Jeannie Bajaro</t>
  </si>
  <si>
    <t xml:space="preserve">Jericho Crame </t>
  </si>
  <si>
    <t xml:space="preserve">Jesslyn Gatbunton </t>
  </si>
  <si>
    <t>Jester Limpin</t>
  </si>
  <si>
    <t>Jewel Mondina</t>
  </si>
  <si>
    <t>Jimwell Osiang</t>
  </si>
  <si>
    <t xml:space="preserve">Jizelle Delos Reyes </t>
  </si>
  <si>
    <t>Joanna Cabrera</t>
  </si>
  <si>
    <t xml:space="preserve">Johnella Lopez </t>
  </si>
  <si>
    <t xml:space="preserve">Jonathan Marquez </t>
  </si>
  <si>
    <t>Josea Aseron</t>
  </si>
  <si>
    <t>Joshua Joaquin</t>
  </si>
  <si>
    <t>Julieann Manasan</t>
  </si>
  <si>
    <t>Jullyca Oblefias</t>
  </si>
  <si>
    <t>Karl Solomon</t>
  </si>
  <si>
    <t xml:space="preserve">Karlos De Leon </t>
  </si>
  <si>
    <t>Katrina Go</t>
  </si>
  <si>
    <t xml:space="preserve">Kaxyleh Masilongan </t>
  </si>
  <si>
    <t xml:space="preserve">Kizzy Serrano </t>
  </si>
  <si>
    <t xml:space="preserve">Kyzen Hayagan </t>
  </si>
  <si>
    <t>Lea Alagadmo</t>
  </si>
  <si>
    <t xml:space="preserve">Leo Olesco </t>
  </si>
  <si>
    <t xml:space="preserve">Lorraine Cabantac </t>
  </si>
  <si>
    <t xml:space="preserve">Margie Theres A Magluyan </t>
  </si>
  <si>
    <t>Marion Vien Santos</t>
  </si>
  <si>
    <t xml:space="preserve">Mark Bienes </t>
  </si>
  <si>
    <t>Mark Frankie Pecolera</t>
  </si>
  <si>
    <t>Mark Metra</t>
  </si>
  <si>
    <t xml:space="preserve">Mary Dela Cruz </t>
  </si>
  <si>
    <t>Mary Kilario</t>
  </si>
  <si>
    <t>Mayann Somera</t>
  </si>
  <si>
    <t>ALF</t>
  </si>
  <si>
    <t xml:space="preserve">Mherica Santos </t>
  </si>
  <si>
    <t>Mikaella Santos</t>
  </si>
  <si>
    <t>Nerissa Ong</t>
  </si>
  <si>
    <t xml:space="preserve">Patricia Busio </t>
  </si>
  <si>
    <t xml:space="preserve">Rafunzel M Manuel </t>
  </si>
  <si>
    <t>Raphael Macasocol</t>
  </si>
  <si>
    <t xml:space="preserve">Remaden Bautista </t>
  </si>
  <si>
    <t>Rhona Sanejo</t>
  </si>
  <si>
    <t xml:space="preserve">Ricalyn Clarencio </t>
  </si>
  <si>
    <t>Rosalinda Pantua</t>
  </si>
  <si>
    <t xml:space="preserve">Roxinne Madolid </t>
  </si>
  <si>
    <t>Rubyneil Abejero</t>
  </si>
  <si>
    <t>Ruth Dela Cruz</t>
  </si>
  <si>
    <t>Ryan Rillo</t>
  </si>
  <si>
    <t>Sandarah Cruz</t>
  </si>
  <si>
    <t xml:space="preserve">Sean Edulan </t>
  </si>
  <si>
    <t>Stephanie Del Rosario</t>
  </si>
  <si>
    <t>Syra Jade Yaranon</t>
  </si>
  <si>
    <t xml:space="preserve">Theresa Ma Alvaro </t>
  </si>
  <si>
    <t>Tricia Galsim</t>
  </si>
  <si>
    <t xml:space="preserve">Vianka Ylaine Ortiz </t>
  </si>
  <si>
    <t>Vincent Paolo Villasenor</t>
  </si>
  <si>
    <t xml:space="preserve">Xenrel Mae O Dacubar </t>
  </si>
  <si>
    <t>SUNDAY</t>
  </si>
  <si>
    <t>MONDAY</t>
  </si>
  <si>
    <t>TUESDAY</t>
  </si>
  <si>
    <t>WEDNESDAY</t>
  </si>
  <si>
    <t>THURSDAY</t>
  </si>
  <si>
    <t>FRIDAY</t>
  </si>
  <si>
    <t>SATURDAY</t>
  </si>
  <si>
    <t>Row Labels</t>
  </si>
  <si>
    <t>Sum of Tardiness</t>
  </si>
  <si>
    <t>Sum of Absences</t>
  </si>
  <si>
    <t>Sum of Target</t>
  </si>
  <si>
    <t>Sum of Completed</t>
  </si>
  <si>
    <t>RD</t>
  </si>
  <si>
    <t>P</t>
  </si>
  <si>
    <t>Grand Total</t>
  </si>
  <si>
    <t>Jouse Baquiran</t>
  </si>
  <si>
    <t>MLOA</t>
  </si>
  <si>
    <t>PTO</t>
  </si>
  <si>
    <t>(blank)</t>
  </si>
  <si>
    <t>Average</t>
  </si>
  <si>
    <t>Sum of SL</t>
  </si>
  <si>
    <t>Sum of Absent</t>
  </si>
  <si>
    <t>Sum of VL</t>
  </si>
  <si>
    <t>Sum of LWOP</t>
  </si>
  <si>
    <t>Department/Team Lead</t>
  </si>
  <si>
    <t xml:space="preserve">Total Sick Leave </t>
  </si>
  <si>
    <t>Total Other/Absences</t>
  </si>
  <si>
    <t>Total Vacation Leave</t>
  </si>
  <si>
    <t>Total Leave without Pay</t>
  </si>
  <si>
    <t>Medicaid Pending</t>
  </si>
  <si>
    <t>Average of Attendance</t>
  </si>
  <si>
    <t>Column Labels</t>
  </si>
  <si>
    <t>Thursday</t>
  </si>
  <si>
    <t>Friday</t>
  </si>
  <si>
    <t>Saturday</t>
  </si>
  <si>
    <t>Sunday</t>
  </si>
  <si>
    <t>Monday</t>
  </si>
  <si>
    <t>Tuesday</t>
  </si>
  <si>
    <t>Wednesday</t>
  </si>
  <si>
    <t>p</t>
  </si>
  <si>
    <t xml:space="preserve">  P</t>
  </si>
  <si>
    <t>M</t>
  </si>
  <si>
    <t>Sum of Lost Hours</t>
  </si>
  <si>
    <t>Josue Baquiran</t>
  </si>
  <si>
    <t>%</t>
  </si>
  <si>
    <t>OTHER</t>
  </si>
  <si>
    <t xml:space="preserve"> P</t>
  </si>
  <si>
    <t>Billable Days</t>
  </si>
  <si>
    <t>Work days</t>
  </si>
  <si>
    <t xml:space="preserve">SL </t>
  </si>
  <si>
    <t>Other</t>
  </si>
  <si>
    <t>Tardiness2</t>
  </si>
  <si>
    <t> </t>
  </si>
  <si>
    <t>SUNDAY2</t>
  </si>
  <si>
    <t>Kyzen Hayagan</t>
  </si>
  <si>
    <t xml:space="preserve">John Mark Bienes </t>
  </si>
  <si>
    <t>Overall</t>
  </si>
  <si>
    <t>Lost Hour</t>
  </si>
  <si>
    <t>HC</t>
  </si>
  <si>
    <t>Actual</t>
  </si>
  <si>
    <t>AC2</t>
  </si>
  <si>
    <t>Tardiness %</t>
  </si>
  <si>
    <t>Absenteeism %</t>
  </si>
  <si>
    <t>Name</t>
  </si>
  <si>
    <t>Absent/Tardy</t>
  </si>
  <si>
    <t>Date</t>
  </si>
  <si>
    <t>Reason</t>
  </si>
  <si>
    <t>Count of Reason</t>
  </si>
  <si>
    <t>Inclement Weather</t>
  </si>
  <si>
    <t>Childcare</t>
  </si>
  <si>
    <t>Tardy</t>
  </si>
  <si>
    <t>Late log in</t>
  </si>
  <si>
    <t>Transporation Issue</t>
  </si>
  <si>
    <t>Anderson Corpuz</t>
  </si>
  <si>
    <t>Gout</t>
  </si>
  <si>
    <t>Family Matters</t>
  </si>
  <si>
    <t>Not feeling well</t>
  </si>
  <si>
    <t>Yes</t>
  </si>
  <si>
    <t>Family Emergency</t>
  </si>
  <si>
    <t>Transportation Issue</t>
  </si>
  <si>
    <t>Angelica DPena</t>
  </si>
  <si>
    <t>Sick</t>
  </si>
  <si>
    <t>Cristina Fuentes</t>
  </si>
  <si>
    <t>Danpaul Devebar</t>
  </si>
  <si>
    <t>Halday</t>
  </si>
  <si>
    <t>Emerson Valdez</t>
  </si>
  <si>
    <t>Personal Matter</t>
  </si>
  <si>
    <t>Typhoon</t>
  </si>
  <si>
    <t>inclement weather</t>
  </si>
  <si>
    <t>Herald David</t>
  </si>
  <si>
    <t>Homer Macamay</t>
  </si>
  <si>
    <t>Not Feeling well</t>
  </si>
  <si>
    <t>Jefferson Cuyugan</t>
  </si>
  <si>
    <t>Inclement weather</t>
  </si>
  <si>
    <t>Kaycee Tanjusay</t>
  </si>
  <si>
    <t>Kimberly Daanoy</t>
  </si>
  <si>
    <t>Maximillian Parangan</t>
  </si>
  <si>
    <t>Michelle Matusalem</t>
  </si>
  <si>
    <t>NCNS</t>
  </si>
  <si>
    <t>Personal Matters</t>
  </si>
  <si>
    <t>Nikka Villasenor</t>
  </si>
  <si>
    <t>Regine Karasig</t>
  </si>
  <si>
    <t>Roy Lauzon</t>
  </si>
  <si>
    <t>Sean Lalangan</t>
  </si>
  <si>
    <t>Vincent Villanueva</t>
  </si>
  <si>
    <t>Tedd Sumaden</t>
  </si>
  <si>
    <t>Late Log in</t>
  </si>
  <si>
    <t>Family matters</t>
  </si>
  <si>
    <t>13/08/2025</t>
  </si>
  <si>
    <t>14/08/2025</t>
  </si>
  <si>
    <t>15/08/2025</t>
  </si>
  <si>
    <t>16/08/2025</t>
  </si>
  <si>
    <t>17/08/2025</t>
  </si>
  <si>
    <t>18/08/2025</t>
  </si>
  <si>
    <t>19/08/2025</t>
  </si>
  <si>
    <t>20/08/2025</t>
  </si>
  <si>
    <t>21/08/2025</t>
  </si>
  <si>
    <t>22/08/2025</t>
  </si>
  <si>
    <t>23/08/2025</t>
  </si>
  <si>
    <t>24/08/2025</t>
  </si>
  <si>
    <t>25/08/2025</t>
  </si>
  <si>
    <t>26/08/2025</t>
  </si>
  <si>
    <t>27/08/2025</t>
  </si>
  <si>
    <t>28/08/2025</t>
  </si>
  <si>
    <t>29/08/2025</t>
  </si>
  <si>
    <t>30/08/2025</t>
  </si>
  <si>
    <t>31/08/2025</t>
  </si>
  <si>
    <t>Schedule</t>
  </si>
  <si>
    <t>RestDay</t>
  </si>
  <si>
    <t>Bill - Report</t>
  </si>
  <si>
    <t>8AM - 5PM</t>
  </si>
  <si>
    <t>Sat - Sun</t>
  </si>
  <si>
    <t>Eligibility</t>
  </si>
  <si>
    <t>Rannie Cruz</t>
  </si>
  <si>
    <t>EVL</t>
  </si>
  <si>
    <t>Analyn Diaz</t>
  </si>
  <si>
    <t>Angelo Agron</t>
  </si>
  <si>
    <t>9AM - 6PM</t>
  </si>
  <si>
    <t>Anthea Ann Lumen</t>
  </si>
  <si>
    <t>Ethel Gregorio</t>
  </si>
  <si>
    <t>Eunice Bargo</t>
  </si>
  <si>
    <t>Femie DC Domenden</t>
  </si>
  <si>
    <t>Francis Narboneta</t>
  </si>
  <si>
    <t>EVLS</t>
  </si>
  <si>
    <t>Glory Nabayra</t>
  </si>
  <si>
    <t>Gladys Astilla</t>
  </si>
  <si>
    <t>Jerry Timayo</t>
  </si>
  <si>
    <t>Resigned</t>
  </si>
  <si>
    <t>Jesslyn Gatbunton</t>
  </si>
  <si>
    <t>JIMWELL OSIANG</t>
  </si>
  <si>
    <t>Johnella Lopez</t>
  </si>
  <si>
    <t>Jovan Descaya</t>
  </si>
  <si>
    <t>Julieaan Manasan</t>
  </si>
  <si>
    <t>Lorraine Cabantac</t>
  </si>
  <si>
    <t>Mark Bienes</t>
  </si>
  <si>
    <t>MARK FRANKIE PECOLER</t>
  </si>
  <si>
    <t>Mherica Santos</t>
  </si>
  <si>
    <t xml:space="preserve">Resigned </t>
  </si>
  <si>
    <t>Patricia Busio</t>
  </si>
  <si>
    <t>Rafunzel M Manuel</t>
  </si>
  <si>
    <t>Ricalyn Clarencio</t>
  </si>
  <si>
    <t>Roxinne Madolid</t>
  </si>
  <si>
    <t>Sean Edulan</t>
  </si>
  <si>
    <t xml:space="preserve">Stephanie Del Rosario </t>
  </si>
  <si>
    <t>Xenrel Mae O Dacubar</t>
  </si>
  <si>
    <t>10AM - 7PM</t>
  </si>
  <si>
    <t>Fri - Sat</t>
  </si>
  <si>
    <t> VL</t>
  </si>
  <si>
    <t>3PM - 12AM</t>
  </si>
  <si>
    <t>Mon - Tue</t>
  </si>
  <si>
    <t>7AM - 4PM</t>
  </si>
  <si>
    <t> EVL</t>
  </si>
  <si>
    <t>Tue - Wed</t>
  </si>
  <si>
    <t>Sun - Mon</t>
  </si>
  <si>
    <t>FLEXIBLE</t>
  </si>
  <si>
    <t>Remaden Bautista</t>
  </si>
  <si>
    <t>Alyssa DeGuzman</t>
  </si>
  <si>
    <t>Analyn Caniedo</t>
  </si>
  <si>
    <t>11PM - 8PM</t>
  </si>
  <si>
    <t> 1</t>
  </si>
  <si>
    <t>Arah Blancia</t>
  </si>
  <si>
    <t>Wed - Thur</t>
  </si>
  <si>
    <t>Charyselle Cadelina</t>
  </si>
  <si>
    <t>Cherimae Santos</t>
  </si>
  <si>
    <t>Danielle Generao</t>
  </si>
  <si>
    <t>Eunice Paddanan</t>
  </si>
  <si>
    <t>Evander Quiatchon</t>
  </si>
  <si>
    <t>8aM - 5PM</t>
  </si>
  <si>
    <t>Iris Dahnielle Andalleon</t>
  </si>
  <si>
    <t>Jericho Crame</t>
  </si>
  <si>
    <t>11pM - 8aM</t>
  </si>
  <si>
    <t>Jizelle Delos Reyes</t>
  </si>
  <si>
    <t>Jonathan Marquez</t>
  </si>
  <si>
    <t>Kaxyleh Masilongan</t>
  </si>
  <si>
    <t>Kizzy Serrano</t>
  </si>
  <si>
    <t>Margie Theres A Magluyan</t>
  </si>
  <si>
    <t>Mary Dela Cruz</t>
  </si>
  <si>
    <t>11AM - 8PM</t>
  </si>
  <si>
    <t>Mischelle Rodrigo</t>
  </si>
  <si>
    <t>Mikaella B. Santos</t>
  </si>
  <si>
    <t>Ruth Delacruz</t>
  </si>
  <si>
    <t>Thur - Fri</t>
  </si>
  <si>
    <t>Louis Cantillon</t>
  </si>
  <si>
    <t>12PM - 8PM</t>
  </si>
  <si>
    <t xml:space="preserve"> </t>
  </si>
  <si>
    <t>MULTI</t>
  </si>
  <si>
    <t>Rejections</t>
  </si>
  <si>
    <t>`P</t>
  </si>
  <si>
    <t>.P</t>
  </si>
  <si>
    <t>LOB</t>
  </si>
  <si>
    <t>Absent Reason</t>
  </si>
  <si>
    <t>Absent Count</t>
  </si>
  <si>
    <t>Tardy Reason</t>
  </si>
  <si>
    <t>Tardy Count</t>
  </si>
  <si>
    <t>TARDY AND ABSENTEEISM REPEAT OFFERNDER</t>
  </si>
  <si>
    <t>Transportation issue</t>
  </si>
  <si>
    <t>TARDINESS FREQUENCY AUGUST 1-13</t>
  </si>
  <si>
    <t>8//2/2025</t>
  </si>
  <si>
    <t xml:space="preserve">Motor Accident </t>
  </si>
  <si>
    <t>Health Issue</t>
  </si>
  <si>
    <t>PC Issue</t>
  </si>
  <si>
    <t>Motor Accident</t>
  </si>
  <si>
    <t xml:space="preserve">Woke up Late due to RDOT </t>
  </si>
  <si>
    <t>Heavy Rain Fall</t>
  </si>
  <si>
    <t>Transportation</t>
  </si>
  <si>
    <t> 29</t>
  </si>
  <si>
    <t> 24</t>
  </si>
  <si>
    <t>Woke up Late due to RDOT</t>
  </si>
  <si>
    <t>Pattern Tardiness</t>
  </si>
  <si>
    <t> 2</t>
  </si>
  <si>
    <t>Sick Leave</t>
  </si>
  <si>
    <t> 16</t>
  </si>
  <si>
    <t>ABSENCES FREQUENCY AUGUST 1-13</t>
  </si>
  <si>
    <t>ER</t>
  </si>
  <si>
    <t>Flood</t>
  </si>
  <si>
    <t>Heavy Traffic</t>
  </si>
  <si>
    <t> P</t>
  </si>
  <si>
    <t> 22</t>
  </si>
  <si>
    <t>Family Matter</t>
  </si>
  <si>
    <t>ABSENTEEISM REPEAT OFFENDER</t>
  </si>
  <si>
    <t xml:space="preserve">Family Matter </t>
  </si>
  <si>
    <t>Sickeave</t>
  </si>
  <si>
    <t>Elevastor Queue</t>
  </si>
  <si>
    <t>PatternTardiness</t>
  </si>
  <si>
    <t>Health Issues</t>
  </si>
  <si>
    <t>TARDY REPEAT OFFENDER</t>
  </si>
  <si>
    <t>Jesslyn Gatbunton-</t>
  </si>
  <si>
    <t>Transporatation Issue</t>
  </si>
  <si>
    <t xml:space="preserve">Heavy Traffic </t>
  </si>
  <si>
    <t>Elevator Issue</t>
  </si>
  <si>
    <t>Agent Name</t>
  </si>
  <si>
    <t>TL/Manager Name</t>
  </si>
  <si>
    <t>DEPARTMENT</t>
  </si>
  <si>
    <t>Salary Date</t>
  </si>
  <si>
    <t>Type of Dispute</t>
  </si>
  <si>
    <t>Amount</t>
  </si>
  <si>
    <t>Notes</t>
  </si>
  <si>
    <t>Resolved (Y/N)</t>
  </si>
  <si>
    <t>Payroll Notes and Reviewed</t>
  </si>
  <si>
    <t>Remaden Baustista</t>
  </si>
  <si>
    <t>One time Performance Dispute</t>
  </si>
  <si>
    <t xml:space="preserve"> The performance bonus the agent is entitled to per their signed contract was not included in the August 15, 2025 salary.</t>
  </si>
  <si>
    <t>No</t>
  </si>
  <si>
    <t>New Jersey</t>
  </si>
  <si>
    <t>HMO Dispute</t>
  </si>
  <si>
    <t>P 851.73</t>
  </si>
  <si>
    <t>The agent was charged for an HMO dependent even though the card had not yet been activated, due to a hierarchy issue. Pleaser evert the amount of 851.73 Pesos</t>
  </si>
  <si>
    <t>Rhoda Dejesus</t>
  </si>
  <si>
    <t>Kentucky</t>
  </si>
  <si>
    <t>Overtime Dispute</t>
  </si>
  <si>
    <t>TL Kate rendered overtime dated July 22 for 3 hours however no overtime pay included on her salary dated August 15, 2025</t>
  </si>
  <si>
    <t>John Mark Bienes</t>
  </si>
  <si>
    <t>New York</t>
  </si>
  <si>
    <t xml:space="preserve">RD Overtime,SickLeave,Performance Bonus </t>
  </si>
  <si>
    <t>The agent rendered 16 hours of rest day overtime on August 2 and 3, but did not receive payment for any of it. Although the agent has two available sick leave (SL) credits, only one was paid; the second SL was not covered. The agent filed sick leave for July 28 and August 1, 2025, and provided medical certificates for both days. Additionally, the performance bonus the agent is entitled to per their signed contract was not included in the August 15, 2025 salary.</t>
  </si>
  <si>
    <t xml:space="preserve">Mikaella B. Santos </t>
  </si>
  <si>
    <r>
      <rPr>
        <sz val="11"/>
        <color rgb="FF000000"/>
        <rFont val="Calibri"/>
        <scheme val="minor"/>
      </rPr>
      <t xml:space="preserve">The TL agent rendered 8 hours of overtime on July 22 but received payment for only 7 hours. She is still awaiting compensation for the </t>
    </r>
    <r>
      <rPr>
        <b/>
        <sz val="11"/>
        <color rgb="FF000000"/>
        <rFont val="Calibri"/>
        <scheme val="minor"/>
      </rPr>
      <t>remaining 1hour.</t>
    </r>
  </si>
  <si>
    <t>RD Overtime Disute</t>
  </si>
  <si>
    <t>The agent rendered an rest day overtime dated August 2, 2025 for 8 hours but did not receive the rest day overtime compensation. Please credit accordingly.</t>
  </si>
  <si>
    <t>P 1,.020.00</t>
  </si>
  <si>
    <t>The agent was charged the HMO co-pay for a dependent. As agreed, the company will shoulder 50% of the cost and the dependent will pay the remaining 50%. However, the full amount was charged solely to the dependent.</t>
  </si>
  <si>
    <t>Massachusetts</t>
  </si>
  <si>
    <t>Illinois</t>
  </si>
  <si>
    <t>The agent rendered 6 hours overtime dated July 22, 2025 however did not receive overtime payment pn cut off August 15, 2025</t>
  </si>
  <si>
    <t>alary Dispute</t>
  </si>
  <si>
    <t xml:space="preserve"> The agent came to work dated July 27, due to change of scheudle however did not receive payment on the august 15 cut off.</t>
  </si>
  <si>
    <t>Day</t>
  </si>
  <si>
    <t>Scheduled Employees</t>
  </si>
  <si>
    <t>Absent Employees</t>
  </si>
  <si>
    <t>Tardy Employees</t>
  </si>
  <si>
    <t>VL&amp;LWOP</t>
  </si>
  <si>
    <t>Absenteeism Rate (%)</t>
  </si>
  <si>
    <t>Tardiness Rate (%)</t>
  </si>
  <si>
    <t>Sum of Scheduled Employees</t>
  </si>
  <si>
    <t>Sum of Absent Employees</t>
  </si>
  <si>
    <t>Sum of Tardy Employees</t>
  </si>
  <si>
    <t>Sum of VL&amp;LWOP</t>
  </si>
  <si>
    <t>Sum of Absenteeism Rate (%)</t>
  </si>
  <si>
    <t>Sum of Tardiness Rate (%)</t>
  </si>
  <si>
    <t>Sum of Attendance</t>
  </si>
  <si>
    <t>.</t>
  </si>
  <si>
    <t xml:space="preserve">Name of Absent </t>
  </si>
  <si>
    <t>REASON</t>
  </si>
  <si>
    <t>Name of Tardy</t>
  </si>
  <si>
    <t>REASON2</t>
  </si>
  <si>
    <t>Elevator Queue</t>
  </si>
  <si>
    <t>EMPLOYEE NAME</t>
  </si>
  <si>
    <t xml:space="preserve">DEPARTMENT </t>
  </si>
  <si>
    <t>STATE</t>
  </si>
  <si>
    <t>TIME IN</t>
  </si>
  <si>
    <t>TIME OUT</t>
  </si>
  <si>
    <t>TOTAL HOURS</t>
  </si>
  <si>
    <t>OVERTIME</t>
  </si>
  <si>
    <t>TOTAL</t>
  </si>
  <si>
    <t>BILLING</t>
  </si>
  <si>
    <t>Femie Domende</t>
  </si>
  <si>
    <t>Rafunzel Manuel</t>
  </si>
  <si>
    <t>Juelieann Manasan</t>
  </si>
  <si>
    <t>Glady's Astilla</t>
  </si>
  <si>
    <t>REJECTIONS</t>
  </si>
  <si>
    <t>Jeanie Bajaro</t>
  </si>
  <si>
    <t>Margie theres Magluyan</t>
  </si>
  <si>
    <t>INTAKE</t>
  </si>
  <si>
    <t>AUGUST W1</t>
  </si>
  <si>
    <t>AUGUST W2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</si>
</sst>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45">
    <font>
      <sz val="11"/>
      <color theme="1"/>
      <name val="Calibri"/>
      <family val="2"/>
      <scheme val="minor"/>
    </font>
    <font>
      <sz val="11"/>
      <color theme="1"/>
      <name val="Calibri"/>
      <family val="2"/>
      <scheme val="minor"/>
    </font>
    <font>
      <b/>
      <sz val="11"/>
      <color theme="0"/>
      <name val="Calibri"/>
      <family val="2"/>
      <scheme val="minor"/>
    </font>
    <font>
      <b/>
      <sz val="8"/>
      <color theme="0"/>
      <name val="Calibri"/>
      <family val="2"/>
      <scheme val="minor"/>
    </font>
    <font>
      <sz val="10"/>
      <color rgb="FF000000"/>
      <name val="Calibri"/>
      <family val="2"/>
      <scheme val="minor"/>
    </font>
    <font>
      <b/>
      <sz val="8"/>
      <color theme="0"/>
      <name val="Calibri"/>
      <family val="2"/>
    </font>
    <font>
      <b/>
      <sz val="8"/>
      <color rgb="FFFFFFFF"/>
      <name val="Calibri"/>
      <family val="2"/>
    </font>
    <font>
      <sz val="8"/>
      <color theme="1"/>
      <name val="Calibri"/>
      <family val="2"/>
      <scheme val="minor"/>
    </font>
    <font>
      <sz val="8"/>
      <color theme="1"/>
      <name val="Calibri"/>
      <family val="2"/>
    </font>
    <font>
      <sz val="8"/>
      <name val="Calibri"/>
      <family val="2"/>
      <scheme val="minor"/>
    </font>
    <font>
      <sz val="10"/>
      <color theme="1"/>
      <name val="Calibri"/>
      <family val="2"/>
      <scheme val="minor"/>
    </font>
    <font>
      <sz val="12"/>
      <color theme="1"/>
      <name val="Calibri"/>
      <family val="2"/>
      <scheme val="minor"/>
    </font>
    <font>
      <sz val="11"/>
      <color theme="0"/>
      <name val="Calibri"/>
      <family val="2"/>
      <scheme val="minor"/>
    </font>
    <font>
      <sz val="12"/>
      <color theme="0"/>
      <name val="Calibri"/>
      <family val="2"/>
      <scheme val="minor"/>
    </font>
    <font>
      <sz val="10"/>
      <color rgb="FF000000"/>
      <name val="Calibri"/>
      <scheme val="minor"/>
    </font>
    <font>
      <sz val="10"/>
      <color theme="1"/>
      <name val="Calibri"/>
      <scheme val="minor"/>
    </font>
    <font>
      <sz val="10"/>
      <color rgb="FF000000"/>
      <name val="Calibri"/>
      <family val="2"/>
    </font>
    <font>
      <sz val="8"/>
      <color rgb="FF000000"/>
      <name val="Calibri"/>
      <family val="2"/>
    </font>
    <font>
      <sz val="8"/>
      <color rgb="FF006100"/>
      <name val="Calibri"/>
      <family val="2"/>
    </font>
    <font>
      <sz val="8"/>
      <color rgb="FF9C5700"/>
      <name val="Calibri"/>
      <family val="2"/>
    </font>
    <font>
      <b/>
      <sz val="11"/>
      <color theme="1"/>
      <name val="Calibri"/>
      <family val="2"/>
      <scheme val="minor"/>
    </font>
    <font>
      <sz val="9"/>
      <color theme="1"/>
      <name val="Aptos Narrow"/>
      <family val="2"/>
      <scheme val="minor"/>
    </font>
    <font>
      <sz val="9"/>
      <color theme="1"/>
      <name val="Calibri"/>
      <family val="2"/>
      <scheme val="minor"/>
    </font>
    <font>
      <sz val="9"/>
      <color theme="1"/>
      <name val="Calibri"/>
      <family val="2"/>
    </font>
    <font>
      <sz val="9"/>
      <color rgb="FF000000"/>
      <name val="Calibri"/>
      <family val="2"/>
    </font>
    <font>
      <sz val="10"/>
      <color theme="1"/>
      <name val="Calibri"/>
      <family val="2"/>
    </font>
    <font>
      <sz val="8"/>
      <color theme="0"/>
      <name val="Arial"/>
    </font>
    <font>
      <sz val="11"/>
      <color rgb="FF000000"/>
      <name val="Calibri"/>
      <family val="2"/>
    </font>
    <font>
      <sz val="12"/>
      <color rgb="FF000000"/>
      <name val="Calibri"/>
      <family val="2"/>
    </font>
    <font>
      <sz val="11"/>
      <color rgb="FFFFFFFF"/>
      <name val="Calibri"/>
      <family val="2"/>
    </font>
    <font>
      <sz val="12"/>
      <color rgb="FFFFFFFF"/>
      <name val="Calibri"/>
      <family val="2"/>
    </font>
    <font>
      <b/>
      <sz val="12"/>
      <color theme="0"/>
      <name val="Calibri"/>
      <family val="2"/>
    </font>
    <font>
      <b/>
      <sz val="8"/>
      <color rgb="FF000000"/>
      <name val="Calibri"/>
      <family val="2"/>
    </font>
    <font>
      <sz val="14"/>
      <color theme="1"/>
      <name val="Calibri"/>
      <family val="2"/>
      <scheme val="minor"/>
    </font>
    <font>
      <sz val="8"/>
      <color rgb="FF000000"/>
      <name val="Calibri"/>
    </font>
    <font>
      <sz val="11"/>
      <color rgb="FF000000"/>
      <name val="Calibri"/>
    </font>
    <font>
      <sz val="8"/>
      <color rgb="FF006100"/>
      <name val="Calibri"/>
    </font>
    <font>
      <sz val="8"/>
      <color rgb="FF9C5700"/>
      <name val="Calibri"/>
    </font>
    <font>
      <b/>
      <sz val="8"/>
      <color rgb="FFFFFFFF"/>
      <name val="Calibri"/>
    </font>
    <font>
      <sz val="10"/>
      <color rgb="FF000000"/>
      <name val="Aptos Narrow"/>
      <family val="2"/>
    </font>
    <font>
      <sz val="11"/>
      <color rgb="FF000000"/>
      <name val="Calibri"/>
      <scheme val="minor"/>
    </font>
    <font>
      <b/>
      <sz val="11"/>
      <color rgb="FF000000"/>
      <name val="Calibri"/>
      <scheme val="minor"/>
    </font>
    <font>
      <b/>
      <sz val="10"/>
      <color rgb="FF000000"/>
      <name val="Calibri"/>
      <family val="2"/>
    </font>
    <font>
      <sz val="10"/>
      <color rgb="FF000000"/>
      <name val="Calibri"/>
    </font>
    <font>
      <sz val="11"/>
      <color rgb="FFFFFFFF"/>
      <name val="Calibri"/>
    </font>
  </fonts>
  <fills count="33">
    <fill>
      <patternFill patternType="none"/>
    </fill>
    <fill>
      <patternFill patternType="gray125"/>
    </fill>
    <fill>
      <patternFill patternType="solid">
        <fgColor theme="4"/>
        <bgColor indexed="64"/>
      </patternFill>
    </fill>
    <fill>
      <patternFill patternType="solid">
        <fgColor theme="4"/>
        <bgColor rgb="FFDFE4EC"/>
      </patternFill>
    </fill>
    <fill>
      <patternFill patternType="solid">
        <fgColor theme="8"/>
        <bgColor rgb="FF66CC00"/>
      </patternFill>
    </fill>
    <fill>
      <patternFill patternType="solid">
        <fgColor theme="0"/>
        <bgColor indexed="64"/>
      </patternFill>
    </fill>
    <fill>
      <patternFill patternType="solid">
        <fgColor rgb="FF0070C0"/>
        <bgColor indexed="64"/>
      </patternFill>
    </fill>
    <fill>
      <patternFill patternType="solid">
        <fgColor theme="8"/>
        <bgColor indexed="64"/>
      </patternFill>
    </fill>
    <fill>
      <patternFill patternType="solid">
        <fgColor rgb="FF92D050"/>
        <bgColor indexed="64"/>
      </patternFill>
    </fill>
    <fill>
      <patternFill patternType="solid">
        <fgColor rgb="FF00B0F0"/>
        <bgColor indexed="64"/>
      </patternFill>
    </fill>
    <fill>
      <patternFill patternType="solid">
        <fgColor theme="7"/>
        <bgColor indexed="64"/>
      </patternFill>
    </fill>
    <fill>
      <patternFill patternType="solid">
        <fgColor theme="4" tint="0.59999389629810485"/>
        <bgColor indexed="64"/>
      </patternFill>
    </fill>
    <fill>
      <patternFill patternType="solid">
        <fgColor rgb="FFC0E4F5"/>
        <bgColor rgb="FF000000"/>
      </patternFill>
    </fill>
    <fill>
      <patternFill patternType="solid">
        <fgColor rgb="FF4EA72E"/>
        <bgColor rgb="FF000000"/>
      </patternFill>
    </fill>
    <fill>
      <patternFill patternType="solid">
        <fgColor rgb="FFFBE2D5"/>
        <bgColor rgb="FF000000"/>
      </patternFill>
    </fill>
    <fill>
      <patternFill patternType="solid">
        <fgColor rgb="FF4472C4"/>
        <bgColor rgb="FF000000"/>
      </patternFill>
    </fill>
    <fill>
      <patternFill patternType="solid">
        <fgColor rgb="FF00B0F0"/>
        <bgColor rgb="FF000000"/>
      </patternFill>
    </fill>
    <fill>
      <patternFill patternType="solid">
        <fgColor rgb="FFC6EFCE"/>
        <bgColor rgb="FF000000"/>
      </patternFill>
    </fill>
    <fill>
      <patternFill patternType="solid">
        <fgColor rgb="FFBFBFBF"/>
        <bgColor rgb="FF000000"/>
      </patternFill>
    </fill>
    <fill>
      <patternFill patternType="solid">
        <fgColor rgb="FFFFEB9C"/>
        <bgColor rgb="FF000000"/>
      </patternFill>
    </fill>
    <fill>
      <patternFill patternType="solid">
        <fgColor rgb="FFFFFFFF"/>
        <bgColor rgb="FF000000"/>
      </patternFill>
    </fill>
    <fill>
      <patternFill patternType="solid">
        <fgColor theme="4" tint="0.39997558519241921"/>
        <bgColor indexed="64"/>
      </patternFill>
    </fill>
    <fill>
      <patternFill patternType="solid">
        <fgColor rgb="FF92D050"/>
        <bgColor rgb="FF000000"/>
      </patternFill>
    </fill>
    <fill>
      <patternFill patternType="solid">
        <fgColor rgb="FF4472C4"/>
        <bgColor rgb="FFDFE4EC"/>
      </patternFill>
    </fill>
    <fill>
      <patternFill patternType="solid">
        <fgColor rgb="FF5B9BD5"/>
        <bgColor rgb="FF66CC00"/>
      </patternFill>
    </fill>
    <fill>
      <patternFill patternType="solid">
        <fgColor rgb="FFFFC000"/>
        <bgColor rgb="FF000000"/>
      </patternFill>
    </fill>
    <fill>
      <patternFill patternType="solid">
        <fgColor rgb="FF5B9BD5"/>
        <bgColor rgb="FF000000"/>
      </patternFill>
    </fill>
    <fill>
      <patternFill patternType="solid">
        <fgColor theme="5"/>
        <bgColor indexed="64"/>
      </patternFill>
    </fill>
    <fill>
      <patternFill patternType="solid">
        <fgColor rgb="FFFFC000"/>
        <bgColor indexed="64"/>
      </patternFill>
    </fill>
    <fill>
      <patternFill patternType="solid">
        <fgColor theme="5" tint="0.39997558519241921"/>
        <bgColor indexed="64"/>
      </patternFill>
    </fill>
    <fill>
      <patternFill patternType="solid">
        <fgColor rgb="FFFFFF00"/>
        <bgColor indexed="64"/>
      </patternFill>
    </fill>
    <fill>
      <patternFill patternType="solid">
        <fgColor theme="9"/>
        <bgColor indexed="64"/>
      </patternFill>
    </fill>
    <fill>
      <patternFill patternType="solid">
        <fgColor rgb="FF00B050"/>
        <bgColor indexed="64"/>
      </patternFill>
    </fill>
  </fills>
  <borders count="67">
    <border>
      <left/>
      <right/>
      <top/>
      <bottom/>
      <diagonal/>
    </border>
    <border>
      <left style="thin">
        <color indexed="64"/>
      </left>
      <right style="thin">
        <color indexed="64"/>
      </right>
      <top style="thin">
        <color indexed="64"/>
      </top>
      <bottom style="thin">
        <color indexed="64"/>
      </bottom>
      <diagonal/>
    </border>
    <border>
      <left style="thin">
        <color rgb="FF808080"/>
      </left>
      <right style="thin">
        <color rgb="FF808080"/>
      </right>
      <top style="thin">
        <color rgb="FF808080"/>
      </top>
      <bottom style="thin">
        <color rgb="FF808080"/>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808080"/>
      </left>
      <right style="thin">
        <color rgb="FF808080"/>
      </right>
      <top style="thin">
        <color rgb="FF808080"/>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808080"/>
      </left>
      <right style="thin">
        <color rgb="FF808080"/>
      </right>
      <top/>
      <bottom style="thin">
        <color rgb="FF80808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medium">
        <color rgb="FF000000"/>
      </left>
      <right/>
      <top style="medium">
        <color rgb="FF000000"/>
      </top>
      <bottom/>
      <diagonal/>
    </border>
    <border>
      <left style="medium">
        <color rgb="FF000000"/>
      </left>
      <right/>
      <top/>
      <bottom/>
      <diagonal/>
    </border>
    <border>
      <left/>
      <right/>
      <top style="medium">
        <color rgb="FF000000"/>
      </top>
      <bottom/>
      <diagonal/>
    </border>
    <border>
      <left/>
      <right style="medium">
        <color rgb="FF000000"/>
      </right>
      <top style="medium">
        <color rgb="FF000000"/>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indexed="64"/>
      </left>
      <right/>
      <top style="thin">
        <color indexed="64"/>
      </top>
      <bottom style="thin">
        <color indexed="64"/>
      </bottom>
      <diagonal/>
    </border>
    <border>
      <left style="thin">
        <color rgb="FF808080"/>
      </left>
      <right style="thin">
        <color rgb="FF808080"/>
      </right>
      <top style="thin">
        <color rgb="FF808080"/>
      </top>
      <bottom style="thin">
        <color rgb="FF000000"/>
      </bottom>
      <diagonal/>
    </border>
    <border>
      <left style="thin">
        <color indexed="64"/>
      </left>
      <right style="thin">
        <color indexed="64"/>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style="thin">
        <color indexed="64"/>
      </right>
      <top/>
      <bottom style="thin">
        <color rgb="FF000000"/>
      </bottom>
      <diagonal/>
    </border>
    <border>
      <left/>
      <right/>
      <top/>
      <bottom style="thin">
        <color rgb="FF000000"/>
      </bottom>
      <diagonal/>
    </border>
    <border>
      <left/>
      <right style="thin">
        <color indexed="64"/>
      </right>
      <top/>
      <bottom style="thin">
        <color indexed="64"/>
      </bottom>
      <diagonal/>
    </border>
    <border>
      <left/>
      <right style="thin">
        <color indexed="64"/>
      </right>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style="medium">
        <color rgb="FF000000"/>
      </left>
      <right style="thin">
        <color rgb="FF000000"/>
      </right>
      <top style="thin">
        <color rgb="FF000000"/>
      </top>
      <bottom style="thin">
        <color rgb="FF000000"/>
      </bottom>
      <diagonal/>
    </border>
    <border>
      <left style="thin">
        <color rgb="FF808080"/>
      </left>
      <right/>
      <top style="thin">
        <color rgb="FF808080"/>
      </top>
      <bottom style="thin">
        <color rgb="FF808080"/>
      </bottom>
      <diagonal/>
    </border>
    <border>
      <left style="thin">
        <color rgb="FF808080"/>
      </left>
      <right/>
      <top/>
      <bottom style="thin">
        <color rgb="FF808080"/>
      </bottom>
      <diagonal/>
    </border>
    <border>
      <left style="thin">
        <color rgb="FF808080"/>
      </left>
      <right/>
      <top/>
      <bottom style="thin">
        <color rgb="FF000000"/>
      </bottom>
      <diagonal/>
    </border>
    <border>
      <left/>
      <right style="thin">
        <color indexed="64"/>
      </right>
      <top/>
      <bottom style="thin">
        <color rgb="FF000000"/>
      </bottom>
      <diagonal/>
    </border>
    <border>
      <left style="thin">
        <color rgb="FF808080"/>
      </left>
      <right/>
      <top style="thin">
        <color rgb="FF808080"/>
      </top>
      <bottom style="thin">
        <color rgb="FF000000"/>
      </bottom>
      <diagonal/>
    </border>
    <border>
      <left style="thin">
        <color rgb="FF808080"/>
      </left>
      <right/>
      <top style="thin">
        <color rgb="FF808080"/>
      </top>
      <bottom/>
      <diagonal/>
    </border>
    <border>
      <left style="thin">
        <color rgb="FF808080"/>
      </left>
      <right style="thin">
        <color rgb="FF808080"/>
      </right>
      <top/>
      <bottom/>
      <diagonal/>
    </border>
    <border>
      <left style="thin">
        <color rgb="FF000000"/>
      </left>
      <right style="thin">
        <color rgb="FF000000"/>
      </right>
      <top/>
      <bottom/>
      <diagonal/>
    </border>
    <border>
      <left/>
      <right/>
      <top style="medium">
        <color rgb="FF000000"/>
      </top>
      <bottom style="thin">
        <color indexed="64"/>
      </bottom>
      <diagonal/>
    </border>
    <border>
      <left/>
      <right style="medium">
        <color rgb="FF000000"/>
      </right>
      <top style="thin">
        <color indexed="64"/>
      </top>
      <bottom style="thin">
        <color indexed="64"/>
      </bottom>
      <diagonal/>
    </border>
    <border>
      <left style="medium">
        <color rgb="FF000000"/>
      </left>
      <right/>
      <top style="thin">
        <color indexed="64"/>
      </top>
      <bottom style="thin">
        <color indexed="64"/>
      </bottom>
      <diagonal/>
    </border>
    <border>
      <left/>
      <right style="medium">
        <color rgb="FF000000"/>
      </right>
      <top/>
      <bottom style="thin">
        <color indexed="64"/>
      </bottom>
      <diagonal/>
    </border>
    <border>
      <left style="medium">
        <color rgb="FF000000"/>
      </left>
      <right/>
      <top/>
      <bottom style="thin">
        <color indexed="64"/>
      </bottom>
      <diagonal/>
    </border>
    <border>
      <left style="thin">
        <color indexed="64"/>
      </left>
      <right style="medium">
        <color rgb="FF000000"/>
      </right>
      <top style="thin">
        <color indexed="64"/>
      </top>
      <bottom style="thin">
        <color indexed="64"/>
      </bottom>
      <diagonal/>
    </border>
    <border>
      <left style="medium">
        <color rgb="FF000000"/>
      </left>
      <right/>
      <top/>
      <bottom style="thin">
        <color rgb="FF808080"/>
      </bottom>
      <diagonal/>
    </border>
    <border>
      <left style="thin">
        <color indexed="64"/>
      </left>
      <right style="thin">
        <color indexed="64"/>
      </right>
      <top/>
      <bottom style="medium">
        <color rgb="FF000000"/>
      </bottom>
      <diagonal/>
    </border>
    <border>
      <left/>
      <right style="thin">
        <color indexed="64"/>
      </right>
      <top/>
      <bottom style="medium">
        <color rgb="FF000000"/>
      </bottom>
      <diagonal/>
    </border>
    <border>
      <left style="thin">
        <color indexed="64"/>
      </left>
      <right style="thin">
        <color indexed="64"/>
      </right>
      <top style="thin">
        <color indexed="64"/>
      </top>
      <bottom style="medium">
        <color rgb="FF000000"/>
      </bottom>
      <diagonal/>
    </border>
    <border>
      <left style="medium">
        <color rgb="FF000000"/>
      </left>
      <right/>
      <top style="thin">
        <color indexed="64"/>
      </top>
      <bottom style="medium">
        <color rgb="FF000000"/>
      </bottom>
      <diagonal/>
    </border>
    <border>
      <left/>
      <right/>
      <top/>
      <bottom style="thin">
        <color rgb="FF808080"/>
      </bottom>
      <diagonal/>
    </border>
    <border>
      <left style="medium">
        <color rgb="FF000000"/>
      </left>
      <right/>
      <top style="thin">
        <color rgb="FF808080"/>
      </top>
      <bottom style="thin">
        <color rgb="FF808080"/>
      </bottom>
      <diagonal/>
    </border>
    <border>
      <left style="medium">
        <color rgb="FF000000"/>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medium">
        <color rgb="FF000000"/>
      </left>
      <right/>
      <top style="thin">
        <color theme="4" tint="0.39997558519241921"/>
      </top>
      <bottom style="medium">
        <color rgb="FF000000"/>
      </bottom>
      <diagonal/>
    </border>
    <border>
      <left/>
      <right/>
      <top style="thin">
        <color theme="4" tint="0.39997558519241921"/>
      </top>
      <bottom style="medium">
        <color rgb="FF000000"/>
      </bottom>
      <diagonal/>
    </border>
    <border>
      <left/>
      <right style="thin">
        <color theme="4" tint="0.39997558519241921"/>
      </right>
      <top style="thin">
        <color theme="4" tint="0.39997558519241921"/>
      </top>
      <bottom style="medium">
        <color rgb="FF000000"/>
      </bottom>
      <diagonal/>
    </border>
    <border>
      <left style="medium">
        <color rgb="FF000000"/>
      </left>
      <right/>
      <top style="medium">
        <color rgb="FF000000"/>
      </top>
      <bottom style="thin">
        <color theme="4" tint="0.39997558519241921"/>
      </bottom>
      <diagonal/>
    </border>
    <border>
      <left/>
      <right/>
      <top style="medium">
        <color rgb="FF000000"/>
      </top>
      <bottom style="thin">
        <color theme="4" tint="0.39997558519241921"/>
      </bottom>
      <diagonal/>
    </border>
    <border>
      <left/>
      <right style="medium">
        <color rgb="FF000000"/>
      </right>
      <top style="medium">
        <color rgb="FF000000"/>
      </top>
      <bottom style="thin">
        <color theme="4" tint="0.39997558519241921"/>
      </bottom>
      <diagonal/>
    </border>
    <border>
      <left/>
      <right/>
      <top style="thin">
        <color indexed="64"/>
      </top>
      <bottom/>
      <diagonal/>
    </border>
  </borders>
  <cellStyleXfs count="3">
    <xf numFmtId="0" fontId="0" fillId="0" borderId="0"/>
    <xf numFmtId="9" fontId="1" fillId="0" borderId="0" applyFont="0" applyFill="0" applyBorder="0" applyAlignment="0" applyProtection="0"/>
    <xf numFmtId="0" fontId="4" fillId="0" borderId="0"/>
  </cellStyleXfs>
  <cellXfs count="416">
    <xf numFmtId="0" fontId="0" fillId="0" borderId="0" xfId="0"/>
    <xf numFmtId="0" fontId="3" fillId="2" borderId="1" xfId="0" applyFont="1" applyFill="1" applyBorder="1" applyAlignment="1">
      <alignment horizontal="center"/>
    </xf>
    <xf numFmtId="164" fontId="5" fillId="3" borderId="1" xfId="2" applyNumberFormat="1" applyFont="1" applyFill="1" applyBorder="1" applyAlignment="1">
      <alignment horizontal="center"/>
    </xf>
    <xf numFmtId="0" fontId="6" fillId="4" borderId="1" xfId="2" applyFont="1" applyFill="1" applyBorder="1" applyAlignment="1">
      <alignment horizontal="center"/>
    </xf>
    <xf numFmtId="0" fontId="7" fillId="0" borderId="0" xfId="0" applyFont="1" applyAlignment="1">
      <alignment horizontal="center" wrapText="1"/>
    </xf>
    <xf numFmtId="0" fontId="7" fillId="0" borderId="1" xfId="0" applyFont="1" applyBorder="1" applyAlignment="1">
      <alignment horizontal="center"/>
    </xf>
    <xf numFmtId="0" fontId="7" fillId="0" borderId="0" xfId="0" applyFont="1" applyAlignment="1">
      <alignment horizontal="center"/>
    </xf>
    <xf numFmtId="0" fontId="8" fillId="0" borderId="1" xfId="0" applyFont="1" applyBorder="1" applyAlignment="1">
      <alignment horizontal="center"/>
    </xf>
    <xf numFmtId="0" fontId="3" fillId="2" borderId="0" xfId="0" applyFont="1" applyFill="1" applyAlignment="1">
      <alignment horizontal="center"/>
    </xf>
    <xf numFmtId="0" fontId="7" fillId="5" borderId="1" xfId="2" applyFont="1" applyFill="1" applyBorder="1" applyAlignment="1">
      <alignment horizontal="center"/>
    </xf>
    <xf numFmtId="0" fontId="8" fillId="0" borderId="2" xfId="0" applyFont="1" applyBorder="1" applyAlignment="1">
      <alignment horizontal="center"/>
    </xf>
    <xf numFmtId="0" fontId="8" fillId="0" borderId="3" xfId="0" applyFont="1" applyBorder="1" applyAlignment="1">
      <alignment horizontal="center" vertical="top"/>
    </xf>
    <xf numFmtId="0" fontId="7" fillId="0" borderId="4" xfId="0" applyFont="1" applyBorder="1" applyAlignment="1">
      <alignment horizontal="center"/>
    </xf>
    <xf numFmtId="0" fontId="0" fillId="0" borderId="0" xfId="0" pivotButton="1"/>
    <xf numFmtId="0" fontId="0" fillId="0" borderId="0" xfId="0" applyAlignment="1">
      <alignment horizontal="left"/>
    </xf>
    <xf numFmtId="0" fontId="0" fillId="0" borderId="0" xfId="0" applyAlignment="1">
      <alignment horizontal="center"/>
    </xf>
    <xf numFmtId="0" fontId="0" fillId="0" borderId="1" xfId="0" applyBorder="1" applyAlignment="1">
      <alignment horizontal="center"/>
    </xf>
    <xf numFmtId="0" fontId="3" fillId="2" borderId="1" xfId="0" applyFont="1" applyFill="1" applyBorder="1" applyAlignment="1">
      <alignment horizontal="center" vertical="center"/>
    </xf>
    <xf numFmtId="0" fontId="7" fillId="0" borderId="1" xfId="0" applyFont="1" applyBorder="1" applyAlignment="1">
      <alignment horizontal="center" vertical="center"/>
    </xf>
    <xf numFmtId="0" fontId="8" fillId="0" borderId="1" xfId="0" applyFont="1" applyBorder="1" applyAlignment="1">
      <alignment horizontal="center" vertical="center"/>
    </xf>
    <xf numFmtId="0" fontId="7" fillId="0" borderId="0" xfId="0" applyFont="1"/>
    <xf numFmtId="10" fontId="7" fillId="0" borderId="1" xfId="1" applyNumberFormat="1" applyFont="1" applyBorder="1" applyAlignment="1">
      <alignment horizontal="center" vertical="center"/>
    </xf>
    <xf numFmtId="0" fontId="0" fillId="0" borderId="0" xfId="0" pivotButton="1" applyAlignment="1">
      <alignment horizontal="center"/>
    </xf>
    <xf numFmtId="9" fontId="0" fillId="0" borderId="0" xfId="0" applyNumberFormat="1" applyAlignment="1">
      <alignment horizontal="center"/>
    </xf>
    <xf numFmtId="0" fontId="0" fillId="0" borderId="0" xfId="0" applyAlignment="1">
      <alignment horizontal="left" indent="1"/>
    </xf>
    <xf numFmtId="0" fontId="0" fillId="0" borderId="0" xfId="0" applyAlignment="1">
      <alignment horizontal="center" indent="1"/>
    </xf>
    <xf numFmtId="0" fontId="0" fillId="0" borderId="0" xfId="0" applyAlignment="1">
      <alignment horizontal="center" indent="2"/>
    </xf>
    <xf numFmtId="0" fontId="0" fillId="0" borderId="0" xfId="0" applyAlignment="1">
      <alignment horizontal="center" vertical="center"/>
    </xf>
    <xf numFmtId="10" fontId="0" fillId="0" borderId="0" xfId="1" applyNumberFormat="1" applyFont="1" applyAlignment="1">
      <alignment horizontal="center" vertical="center"/>
    </xf>
    <xf numFmtId="10" fontId="0" fillId="0" borderId="0" xfId="1" applyNumberFormat="1" applyFont="1"/>
    <xf numFmtId="0" fontId="2" fillId="7" borderId="1" xfId="0" applyFont="1" applyFill="1" applyBorder="1" applyAlignment="1">
      <alignment horizontal="center"/>
    </xf>
    <xf numFmtId="0" fontId="2" fillId="6" borderId="1" xfId="0" applyFont="1" applyFill="1" applyBorder="1" applyAlignment="1">
      <alignment horizontal="center"/>
    </xf>
    <xf numFmtId="0" fontId="7" fillId="0" borderId="2" xfId="0" applyFont="1" applyBorder="1" applyAlignment="1">
      <alignment horizontal="center"/>
    </xf>
    <xf numFmtId="0" fontId="7" fillId="0" borderId="5" xfId="0" applyFont="1" applyBorder="1" applyAlignment="1">
      <alignment horizontal="center"/>
    </xf>
    <xf numFmtId="0" fontId="8" fillId="0" borderId="1" xfId="0" applyFont="1" applyBorder="1" applyAlignment="1">
      <alignment horizontal="center" vertical="top"/>
    </xf>
    <xf numFmtId="0" fontId="7" fillId="0" borderId="3" xfId="0" applyFont="1" applyBorder="1" applyAlignment="1">
      <alignment horizontal="center"/>
    </xf>
    <xf numFmtId="0" fontId="7" fillId="0" borderId="6" xfId="0" applyFont="1" applyBorder="1" applyAlignment="1">
      <alignment horizontal="center"/>
    </xf>
    <xf numFmtId="9" fontId="0" fillId="0" borderId="0" xfId="1" applyFont="1"/>
    <xf numFmtId="9" fontId="0" fillId="0" borderId="0" xfId="0" applyNumberFormat="1"/>
    <xf numFmtId="10" fontId="0" fillId="0" borderId="0" xfId="0" applyNumberFormat="1"/>
    <xf numFmtId="0" fontId="0" fillId="0" borderId="0" xfId="0" applyAlignment="1">
      <alignment horizontal="left" indent="2"/>
    </xf>
    <xf numFmtId="0" fontId="3" fillId="2" borderId="7" xfId="0" applyFont="1" applyFill="1" applyBorder="1" applyAlignment="1">
      <alignment horizontal="center"/>
    </xf>
    <xf numFmtId="2" fontId="7" fillId="0" borderId="0" xfId="0" applyNumberFormat="1" applyFont="1" applyAlignment="1">
      <alignment horizontal="center" wrapText="1"/>
    </xf>
    <xf numFmtId="0" fontId="7" fillId="5" borderId="0" xfId="2" applyFont="1" applyFill="1" applyAlignment="1">
      <alignment horizontal="center"/>
    </xf>
    <xf numFmtId="10" fontId="7" fillId="0" borderId="0" xfId="1" applyNumberFormat="1" applyFont="1" applyAlignment="1">
      <alignment horizontal="center"/>
    </xf>
    <xf numFmtId="10" fontId="7" fillId="0" borderId="0" xfId="1" applyNumberFormat="1" applyFont="1" applyAlignment="1">
      <alignment horizontal="center" wrapText="1"/>
    </xf>
    <xf numFmtId="10" fontId="0" fillId="0" borderId="0" xfId="0" applyNumberFormat="1" applyAlignment="1">
      <alignment horizontal="center"/>
    </xf>
    <xf numFmtId="0" fontId="7" fillId="5" borderId="4" xfId="2" applyFont="1" applyFill="1" applyBorder="1" applyAlignment="1">
      <alignment horizontal="center"/>
    </xf>
    <xf numFmtId="0" fontId="7" fillId="5" borderId="8" xfId="2" applyFont="1" applyFill="1" applyBorder="1" applyAlignment="1">
      <alignment horizontal="center"/>
    </xf>
    <xf numFmtId="0" fontId="7" fillId="5" borderId="7" xfId="2" applyFont="1" applyFill="1" applyBorder="1" applyAlignment="1">
      <alignment horizontal="center"/>
    </xf>
    <xf numFmtId="14" fontId="10" fillId="0" borderId="0" xfId="0" applyNumberFormat="1" applyFont="1"/>
    <xf numFmtId="0" fontId="0" fillId="0" borderId="1" xfId="0" applyBorder="1"/>
    <xf numFmtId="0" fontId="0" fillId="8" borderId="0" xfId="0" applyFill="1"/>
    <xf numFmtId="0" fontId="3" fillId="8" borderId="1" xfId="0" applyFont="1" applyFill="1" applyBorder="1" applyAlignment="1">
      <alignment horizontal="center"/>
    </xf>
    <xf numFmtId="0" fontId="0" fillId="8" borderId="1" xfId="0" applyFill="1" applyBorder="1" applyAlignment="1">
      <alignment horizontal="center"/>
    </xf>
    <xf numFmtId="0" fontId="0" fillId="0" borderId="9" xfId="0" applyBorder="1" applyAlignment="1">
      <alignment horizontal="center"/>
    </xf>
    <xf numFmtId="0" fontId="11" fillId="8" borderId="9" xfId="0" applyFont="1" applyFill="1" applyBorder="1" applyAlignment="1">
      <alignment horizontal="center"/>
    </xf>
    <xf numFmtId="0" fontId="11" fillId="0" borderId="9" xfId="0" applyFont="1" applyBorder="1" applyAlignment="1">
      <alignment horizontal="center"/>
    </xf>
    <xf numFmtId="0" fontId="0" fillId="0" borderId="0" xfId="0" applyAlignment="1">
      <alignment vertical="center"/>
    </xf>
    <xf numFmtId="0" fontId="12" fillId="9" borderId="9" xfId="0" applyFont="1" applyFill="1" applyBorder="1" applyAlignment="1">
      <alignment horizontal="center"/>
    </xf>
    <xf numFmtId="9" fontId="13" fillId="9" borderId="9" xfId="0" applyNumberFormat="1" applyFont="1" applyFill="1" applyBorder="1" applyAlignment="1">
      <alignment horizontal="center"/>
    </xf>
    <xf numFmtId="0" fontId="14" fillId="0" borderId="2" xfId="0" applyFont="1" applyBorder="1" applyAlignment="1">
      <alignment readingOrder="1"/>
    </xf>
    <xf numFmtId="0" fontId="15" fillId="0" borderId="0" xfId="0" applyFont="1"/>
    <xf numFmtId="0" fontId="14" fillId="0" borderId="10" xfId="0" applyFont="1" applyBorder="1" applyAlignment="1">
      <alignment readingOrder="1"/>
    </xf>
    <xf numFmtId="10" fontId="13" fillId="9" borderId="9" xfId="0" applyNumberFormat="1" applyFont="1" applyFill="1" applyBorder="1" applyAlignment="1">
      <alignment horizontal="center"/>
    </xf>
    <xf numFmtId="0" fontId="0" fillId="10" borderId="9" xfId="0" applyFill="1" applyBorder="1" applyAlignment="1">
      <alignment horizontal="center"/>
    </xf>
    <xf numFmtId="0" fontId="0" fillId="10" borderId="0" xfId="0" applyFill="1" applyAlignment="1">
      <alignment vertical="center"/>
    </xf>
    <xf numFmtId="0" fontId="0" fillId="7" borderId="0" xfId="0" applyFill="1" applyAlignment="1">
      <alignment vertical="center"/>
    </xf>
    <xf numFmtId="0" fontId="0" fillId="7" borderId="9" xfId="0" applyFill="1" applyBorder="1" applyAlignment="1">
      <alignment horizontal="center"/>
    </xf>
    <xf numFmtId="0" fontId="11" fillId="0" borderId="11" xfId="0" applyFont="1" applyBorder="1" applyAlignment="1">
      <alignment horizontal="center"/>
    </xf>
    <xf numFmtId="10" fontId="13" fillId="9" borderId="11" xfId="0" applyNumberFormat="1" applyFont="1" applyFill="1" applyBorder="1" applyAlignment="1">
      <alignment horizontal="center"/>
    </xf>
    <xf numFmtId="0" fontId="11" fillId="8" borderId="12" xfId="0" applyFont="1" applyFill="1" applyBorder="1" applyAlignment="1">
      <alignment horizontal="center"/>
    </xf>
    <xf numFmtId="0" fontId="7" fillId="0" borderId="9" xfId="0" applyFont="1" applyBorder="1" applyAlignment="1">
      <alignment horizontal="center"/>
    </xf>
    <xf numFmtId="0" fontId="0" fillId="8" borderId="21" xfId="0" applyFill="1" applyBorder="1" applyAlignment="1">
      <alignment horizontal="center"/>
    </xf>
    <xf numFmtId="0" fontId="3" fillId="2" borderId="4" xfId="0" applyFont="1" applyFill="1" applyBorder="1" applyAlignment="1">
      <alignment horizontal="center"/>
    </xf>
    <xf numFmtId="164" fontId="5" fillId="3" borderId="4" xfId="2" applyNumberFormat="1" applyFont="1" applyFill="1" applyBorder="1" applyAlignment="1">
      <alignment horizontal="center"/>
    </xf>
    <xf numFmtId="0" fontId="6" fillId="4" borderId="4" xfId="2" applyFont="1" applyFill="1" applyBorder="1" applyAlignment="1">
      <alignment horizontal="center"/>
    </xf>
    <xf numFmtId="0" fontId="0" fillId="0" borderId="9" xfId="0" applyBorder="1" applyAlignment="1">
      <alignment horizontal="center" vertical="center"/>
    </xf>
    <xf numFmtId="0" fontId="7" fillId="0" borderId="9" xfId="0" applyFont="1" applyBorder="1" applyAlignment="1">
      <alignment horizontal="center" vertical="center"/>
    </xf>
    <xf numFmtId="0" fontId="0" fillId="8" borderId="9" xfId="0" applyFill="1" applyBorder="1" applyAlignment="1">
      <alignment horizontal="center"/>
    </xf>
    <xf numFmtId="0" fontId="7" fillId="5" borderId="21" xfId="2" applyFont="1" applyFill="1" applyBorder="1" applyAlignment="1">
      <alignment horizontal="center"/>
    </xf>
    <xf numFmtId="0" fontId="3" fillId="8" borderId="4" xfId="0" applyFont="1" applyFill="1" applyBorder="1" applyAlignment="1">
      <alignment horizontal="center"/>
    </xf>
    <xf numFmtId="0" fontId="0" fillId="5" borderId="0" xfId="0" applyFill="1"/>
    <xf numFmtId="0" fontId="7" fillId="0" borderId="22" xfId="0" applyFont="1" applyBorder="1" applyAlignment="1">
      <alignment horizontal="center"/>
    </xf>
    <xf numFmtId="0" fontId="7" fillId="0" borderId="23" xfId="0" applyFont="1" applyBorder="1" applyAlignment="1">
      <alignment horizontal="center"/>
    </xf>
    <xf numFmtId="0" fontId="7" fillId="0" borderId="24" xfId="0" applyFont="1" applyBorder="1" applyAlignment="1">
      <alignment horizontal="center"/>
    </xf>
    <xf numFmtId="0" fontId="7" fillId="5" borderId="23" xfId="2" applyFont="1" applyFill="1" applyBorder="1" applyAlignment="1">
      <alignment horizontal="center"/>
    </xf>
    <xf numFmtId="0" fontId="0" fillId="8" borderId="23" xfId="0" applyFill="1" applyBorder="1" applyAlignment="1">
      <alignment horizontal="center"/>
    </xf>
    <xf numFmtId="0" fontId="0" fillId="0" borderId="23" xfId="0" applyBorder="1" applyAlignment="1">
      <alignment horizontal="center"/>
    </xf>
    <xf numFmtId="0" fontId="0" fillId="0" borderId="26" xfId="0" applyBorder="1"/>
    <xf numFmtId="0" fontId="7" fillId="0" borderId="8" xfId="0" applyFont="1" applyBorder="1" applyAlignment="1">
      <alignment horizontal="center"/>
    </xf>
    <xf numFmtId="0" fontId="0" fillId="8" borderId="8" xfId="0" applyFill="1" applyBorder="1" applyAlignment="1">
      <alignment horizontal="center"/>
    </xf>
    <xf numFmtId="0" fontId="0" fillId="0" borderId="8" xfId="0" applyBorder="1" applyAlignment="1">
      <alignment horizontal="center"/>
    </xf>
    <xf numFmtId="0" fontId="8" fillId="0" borderId="3" xfId="0" applyFont="1" applyBorder="1" applyAlignment="1">
      <alignment horizontal="center" vertical="center"/>
    </xf>
    <xf numFmtId="0" fontId="3" fillId="2" borderId="0" xfId="0" applyFont="1" applyFill="1" applyAlignment="1">
      <alignment horizontal="center" vertical="center"/>
    </xf>
    <xf numFmtId="14" fontId="0" fillId="0" borderId="0" xfId="0" applyNumberFormat="1"/>
    <xf numFmtId="0" fontId="6" fillId="15" borderId="0" xfId="0" applyFont="1" applyFill="1"/>
    <xf numFmtId="14" fontId="16" fillId="0" borderId="0" xfId="0" applyNumberFormat="1" applyFont="1"/>
    <xf numFmtId="0" fontId="18" fillId="17" borderId="1" xfId="0" applyFont="1" applyFill="1" applyBorder="1" applyAlignment="1">
      <alignment horizontal="center"/>
    </xf>
    <xf numFmtId="0" fontId="17" fillId="18" borderId="1" xfId="0" applyFont="1" applyFill="1" applyBorder="1" applyAlignment="1">
      <alignment horizontal="center"/>
    </xf>
    <xf numFmtId="0" fontId="19" fillId="19" borderId="1" xfId="0" applyFont="1" applyFill="1" applyBorder="1" applyAlignment="1">
      <alignment horizontal="center"/>
    </xf>
    <xf numFmtId="0" fontId="17" fillId="20" borderId="3" xfId="0" applyFont="1" applyFill="1" applyBorder="1" applyAlignment="1">
      <alignment horizontal="center"/>
    </xf>
    <xf numFmtId="0" fontId="17" fillId="20" borderId="27" xfId="0" applyFont="1" applyFill="1" applyBorder="1" applyAlignment="1">
      <alignment horizontal="center"/>
    </xf>
    <xf numFmtId="0" fontId="18" fillId="17" borderId="4" xfId="0" applyFont="1" applyFill="1" applyBorder="1" applyAlignment="1">
      <alignment horizontal="center"/>
    </xf>
    <xf numFmtId="0" fontId="17" fillId="16" borderId="1" xfId="0" applyFont="1" applyFill="1" applyBorder="1" applyAlignment="1">
      <alignment horizontal="center"/>
    </xf>
    <xf numFmtId="0" fontId="17" fillId="18" borderId="4" xfId="0" applyFont="1" applyFill="1" applyBorder="1" applyAlignment="1">
      <alignment horizontal="center"/>
    </xf>
    <xf numFmtId="0" fontId="17" fillId="20" borderId="8" xfId="0" applyFont="1" applyFill="1" applyBorder="1" applyAlignment="1">
      <alignment horizontal="center"/>
    </xf>
    <xf numFmtId="0" fontId="18" fillId="17" borderId="8" xfId="0" applyFont="1" applyFill="1" applyBorder="1" applyAlignment="1">
      <alignment horizontal="center"/>
    </xf>
    <xf numFmtId="0" fontId="18" fillId="17" borderId="23" xfId="0" applyFont="1" applyFill="1" applyBorder="1" applyAlignment="1">
      <alignment horizontal="center"/>
    </xf>
    <xf numFmtId="0" fontId="17" fillId="18" borderId="8" xfId="0" applyFont="1" applyFill="1" applyBorder="1" applyAlignment="1">
      <alignment horizontal="center"/>
    </xf>
    <xf numFmtId="0" fontId="17" fillId="0" borderId="27" xfId="0" applyFont="1" applyBorder="1" applyAlignment="1">
      <alignment horizontal="center"/>
    </xf>
    <xf numFmtId="0" fontId="17" fillId="20" borderId="28" xfId="0" applyFont="1" applyFill="1" applyBorder="1" applyAlignment="1">
      <alignment horizontal="center"/>
    </xf>
    <xf numFmtId="0" fontId="17" fillId="16" borderId="4" xfId="0" applyFont="1" applyFill="1" applyBorder="1" applyAlignment="1">
      <alignment horizontal="center"/>
    </xf>
    <xf numFmtId="0" fontId="17" fillId="18" borderId="23" xfId="0" applyFont="1" applyFill="1" applyBorder="1" applyAlignment="1">
      <alignment horizontal="center"/>
    </xf>
    <xf numFmtId="0" fontId="17" fillId="16" borderId="23" xfId="0" applyFont="1" applyFill="1" applyBorder="1" applyAlignment="1">
      <alignment horizontal="center"/>
    </xf>
    <xf numFmtId="0" fontId="18" fillId="17" borderId="25" xfId="0" applyFont="1" applyFill="1" applyBorder="1" applyAlignment="1">
      <alignment horizontal="center"/>
    </xf>
    <xf numFmtId="0" fontId="19" fillId="19" borderId="8" xfId="0" applyFont="1" applyFill="1" applyBorder="1" applyAlignment="1">
      <alignment horizontal="center"/>
    </xf>
    <xf numFmtId="0" fontId="17" fillId="16" borderId="8" xfId="0" applyFont="1" applyFill="1" applyBorder="1" applyAlignment="1">
      <alignment horizontal="center"/>
    </xf>
    <xf numFmtId="0" fontId="17" fillId="20" borderId="9" xfId="0" applyFont="1" applyFill="1" applyBorder="1" applyAlignment="1">
      <alignment horizontal="center"/>
    </xf>
    <xf numFmtId="0" fontId="7" fillId="5" borderId="9" xfId="0" applyFont="1" applyFill="1" applyBorder="1" applyAlignment="1">
      <alignment horizontal="center"/>
    </xf>
    <xf numFmtId="0" fontId="8" fillId="5" borderId="9" xfId="0" applyFont="1" applyFill="1" applyBorder="1" applyAlignment="1">
      <alignment horizontal="center"/>
    </xf>
    <xf numFmtId="0" fontId="22" fillId="0" borderId="0" xfId="0" applyFont="1" applyAlignment="1">
      <alignment horizontal="center"/>
    </xf>
    <xf numFmtId="14" fontId="20" fillId="5" borderId="9" xfId="0" applyNumberFormat="1" applyFont="1" applyFill="1" applyBorder="1" applyAlignment="1">
      <alignment horizontal="center" vertical="center" wrapText="1"/>
    </xf>
    <xf numFmtId="0" fontId="20" fillId="5" borderId="9" xfId="0" applyFont="1" applyFill="1" applyBorder="1" applyAlignment="1">
      <alignment horizontal="center"/>
    </xf>
    <xf numFmtId="10" fontId="20" fillId="5" borderId="9" xfId="0" applyNumberFormat="1" applyFont="1" applyFill="1" applyBorder="1" applyAlignment="1">
      <alignment horizontal="center"/>
    </xf>
    <xf numFmtId="0" fontId="0" fillId="0" borderId="14" xfId="0" applyBorder="1"/>
    <xf numFmtId="0" fontId="0" fillId="0" borderId="17" xfId="0" applyBorder="1"/>
    <xf numFmtId="0" fontId="21" fillId="11" borderId="9" xfId="0" applyFont="1" applyFill="1" applyBorder="1" applyAlignment="1">
      <alignment horizontal="center"/>
    </xf>
    <xf numFmtId="0" fontId="21" fillId="11" borderId="9" xfId="0" applyFont="1" applyFill="1" applyBorder="1" applyAlignment="1">
      <alignment horizontal="left" indent="5"/>
    </xf>
    <xf numFmtId="0" fontId="21" fillId="5" borderId="9" xfId="0" applyFont="1" applyFill="1" applyBorder="1" applyAlignment="1">
      <alignment horizontal="center"/>
    </xf>
    <xf numFmtId="0" fontId="22" fillId="5" borderId="9" xfId="0" applyFont="1" applyFill="1" applyBorder="1" applyAlignment="1">
      <alignment horizontal="center"/>
    </xf>
    <xf numFmtId="14" fontId="22" fillId="5" borderId="9" xfId="0" applyNumberFormat="1" applyFont="1" applyFill="1" applyBorder="1" applyAlignment="1">
      <alignment horizontal="left" indent="5"/>
    </xf>
    <xf numFmtId="0" fontId="23" fillId="5" borderId="9" xfId="0" applyFont="1" applyFill="1" applyBorder="1" applyAlignment="1">
      <alignment horizontal="center"/>
    </xf>
    <xf numFmtId="14" fontId="24" fillId="5" borderId="9" xfId="0" applyNumberFormat="1" applyFont="1" applyFill="1" applyBorder="1" applyAlignment="1">
      <alignment horizontal="left" indent="5"/>
    </xf>
    <xf numFmtId="14" fontId="16" fillId="5" borderId="9" xfId="0" applyNumberFormat="1" applyFont="1" applyFill="1" applyBorder="1" applyAlignment="1">
      <alignment horizontal="left" indent="5"/>
    </xf>
    <xf numFmtId="14" fontId="16" fillId="5" borderId="9" xfId="0" applyNumberFormat="1" applyFont="1" applyFill="1" applyBorder="1" applyAlignment="1">
      <alignment horizontal="center"/>
    </xf>
    <xf numFmtId="0" fontId="22" fillId="5" borderId="9" xfId="0" applyFont="1" applyFill="1" applyBorder="1" applyAlignment="1">
      <alignment horizontal="left" indent="5"/>
    </xf>
    <xf numFmtId="14" fontId="10" fillId="0" borderId="0" xfId="0" applyNumberFormat="1" applyFont="1" applyAlignment="1">
      <alignment horizontal="center"/>
    </xf>
    <xf numFmtId="0" fontId="10" fillId="0" borderId="0" xfId="0" applyFont="1"/>
    <xf numFmtId="0" fontId="10" fillId="0" borderId="9" xfId="0" applyFont="1" applyBorder="1" applyAlignment="1">
      <alignment horizontal="center"/>
    </xf>
    <xf numFmtId="0" fontId="10" fillId="0" borderId="17" xfId="0" applyFont="1" applyBorder="1" applyAlignment="1">
      <alignment horizontal="center"/>
    </xf>
    <xf numFmtId="0" fontId="10" fillId="0" borderId="35" xfId="0" applyFont="1" applyBorder="1" applyAlignment="1">
      <alignment horizontal="center"/>
    </xf>
    <xf numFmtId="0" fontId="10" fillId="0" borderId="14" xfId="0" applyFont="1" applyBorder="1"/>
    <xf numFmtId="0" fontId="10" fillId="0" borderId="17" xfId="0" applyFont="1" applyBorder="1"/>
    <xf numFmtId="0" fontId="26" fillId="21" borderId="9" xfId="0" applyFont="1" applyFill="1" applyBorder="1" applyAlignment="1">
      <alignment horizontal="center" vertical="center"/>
    </xf>
    <xf numFmtId="0" fontId="22" fillId="0" borderId="9" xfId="0" applyFont="1" applyBorder="1" applyAlignment="1">
      <alignment horizontal="center"/>
    </xf>
    <xf numFmtId="0" fontId="27" fillId="0" borderId="0" xfId="0" applyFont="1"/>
    <xf numFmtId="0" fontId="16" fillId="0" borderId="0" xfId="0" applyFont="1"/>
    <xf numFmtId="0" fontId="6" fillId="15" borderId="21" xfId="0" applyFont="1" applyFill="1" applyBorder="1"/>
    <xf numFmtId="0" fontId="6" fillId="15" borderId="1" xfId="0" applyFont="1" applyFill="1" applyBorder="1"/>
    <xf numFmtId="0" fontId="6" fillId="15" borderId="3" xfId="0" applyFont="1" applyFill="1" applyBorder="1"/>
    <xf numFmtId="0" fontId="6" fillId="15" borderId="33" xfId="0" applyFont="1" applyFill="1" applyBorder="1"/>
    <xf numFmtId="0" fontId="6" fillId="22" borderId="3" xfId="0" applyFont="1" applyFill="1" applyBorder="1"/>
    <xf numFmtId="0" fontId="6" fillId="23" borderId="3" xfId="0" applyFont="1" applyFill="1" applyBorder="1"/>
    <xf numFmtId="0" fontId="6" fillId="24" borderId="3" xfId="0" applyFont="1" applyFill="1" applyBorder="1"/>
    <xf numFmtId="0" fontId="17" fillId="0" borderId="36" xfId="0" applyFont="1" applyBorder="1"/>
    <xf numFmtId="0" fontId="17" fillId="0" borderId="8" xfId="0" applyFont="1" applyBorder="1"/>
    <xf numFmtId="0" fontId="17" fillId="0" borderId="27" xfId="0" applyFont="1" applyBorder="1"/>
    <xf numFmtId="0" fontId="17" fillId="0" borderId="32" xfId="0" applyFont="1" applyBorder="1"/>
    <xf numFmtId="0" fontId="27" fillId="22" borderId="27" xfId="0" applyFont="1" applyFill="1" applyBorder="1"/>
    <xf numFmtId="0" fontId="27" fillId="0" borderId="27" xfId="0" applyFont="1" applyBorder="1"/>
    <xf numFmtId="10" fontId="27" fillId="0" borderId="0" xfId="0" applyNumberFormat="1" applyFont="1"/>
    <xf numFmtId="0" fontId="17" fillId="0" borderId="37" xfId="0" applyFont="1" applyBorder="1"/>
    <xf numFmtId="0" fontId="17" fillId="0" borderId="21" xfId="0" applyFont="1" applyBorder="1"/>
    <xf numFmtId="0" fontId="17" fillId="0" borderId="34" xfId="0" applyFont="1" applyBorder="1"/>
    <xf numFmtId="0" fontId="17" fillId="0" borderId="38" xfId="0" applyFont="1" applyBorder="1"/>
    <xf numFmtId="0" fontId="17" fillId="0" borderId="39" xfId="0" applyFont="1" applyBorder="1"/>
    <xf numFmtId="0" fontId="17" fillId="0" borderId="26" xfId="0" applyFont="1" applyBorder="1"/>
    <xf numFmtId="0" fontId="17" fillId="0" borderId="40" xfId="0" applyFont="1" applyBorder="1"/>
    <xf numFmtId="0" fontId="17" fillId="0" borderId="28" xfId="0" applyFont="1" applyBorder="1"/>
    <xf numFmtId="0" fontId="17" fillId="0" borderId="6" xfId="0" applyFont="1" applyBorder="1"/>
    <xf numFmtId="0" fontId="17" fillId="0" borderId="41" xfId="0" applyFont="1" applyBorder="1"/>
    <xf numFmtId="0" fontId="17" fillId="0" borderId="0" xfId="0" applyFont="1"/>
    <xf numFmtId="0" fontId="17" fillId="0" borderId="3" xfId="0" applyFont="1" applyBorder="1"/>
    <xf numFmtId="0" fontId="17" fillId="0" borderId="33" xfId="0" applyFont="1" applyBorder="1"/>
    <xf numFmtId="0" fontId="27" fillId="0" borderId="1" xfId="0" applyFont="1" applyBorder="1"/>
    <xf numFmtId="0" fontId="28" fillId="22" borderId="30" xfId="0" applyFont="1" applyFill="1" applyBorder="1"/>
    <xf numFmtId="0" fontId="27" fillId="25" borderId="29" xfId="0" applyFont="1" applyFill="1" applyBorder="1"/>
    <xf numFmtId="0" fontId="27" fillId="25" borderId="0" xfId="0" applyFont="1" applyFill="1"/>
    <xf numFmtId="0" fontId="28" fillId="0" borderId="31" xfId="0" applyFont="1" applyBorder="1"/>
    <xf numFmtId="0" fontId="27" fillId="26" borderId="29" xfId="0" applyFont="1" applyFill="1" applyBorder="1"/>
    <xf numFmtId="0" fontId="27" fillId="26" borderId="0" xfId="0" applyFont="1" applyFill="1"/>
    <xf numFmtId="0" fontId="27" fillId="0" borderId="29" xfId="0" applyFont="1" applyBorder="1"/>
    <xf numFmtId="0" fontId="29" fillId="16" borderId="29" xfId="0" applyFont="1" applyFill="1" applyBorder="1"/>
    <xf numFmtId="0" fontId="29" fillId="16" borderId="0" xfId="0" applyFont="1" applyFill="1"/>
    <xf numFmtId="9" fontId="30" fillId="16" borderId="31" xfId="0" applyNumberFormat="1" applyFont="1" applyFill="1" applyBorder="1"/>
    <xf numFmtId="9" fontId="20" fillId="5" borderId="9" xfId="0" applyNumberFormat="1" applyFont="1" applyFill="1" applyBorder="1" applyAlignment="1">
      <alignment horizontal="center"/>
    </xf>
    <xf numFmtId="14" fontId="16" fillId="0" borderId="1" xfId="0" applyNumberFormat="1" applyFont="1" applyBorder="1" applyAlignment="1">
      <alignment horizontal="center"/>
    </xf>
    <xf numFmtId="14" fontId="16" fillId="0" borderId="3" xfId="0" applyNumberFormat="1" applyFont="1" applyBorder="1" applyAlignment="1">
      <alignment horizontal="center"/>
    </xf>
    <xf numFmtId="0" fontId="16" fillId="0" borderId="3" xfId="0" applyFont="1" applyBorder="1" applyAlignment="1">
      <alignment horizontal="center"/>
    </xf>
    <xf numFmtId="0" fontId="6" fillId="15" borderId="8" xfId="0" applyFont="1" applyFill="1" applyBorder="1" applyAlignment="1">
      <alignment horizontal="center"/>
    </xf>
    <xf numFmtId="0" fontId="6" fillId="15" borderId="27" xfId="0" applyFont="1" applyFill="1" applyBorder="1" applyAlignment="1">
      <alignment horizontal="center"/>
    </xf>
    <xf numFmtId="0" fontId="27" fillId="0" borderId="27" xfId="0" applyFont="1" applyBorder="1" applyAlignment="1">
      <alignment horizontal="center"/>
    </xf>
    <xf numFmtId="0" fontId="27" fillId="0" borderId="0" xfId="0" applyFont="1" applyAlignment="1">
      <alignment horizontal="center"/>
    </xf>
    <xf numFmtId="10" fontId="0" fillId="0" borderId="9" xfId="0" applyNumberFormat="1" applyBorder="1" applyAlignment="1">
      <alignment horizontal="center"/>
    </xf>
    <xf numFmtId="0" fontId="0" fillId="5" borderId="0" xfId="0" applyFill="1" applyAlignment="1">
      <alignment horizontal="center"/>
    </xf>
    <xf numFmtId="0" fontId="0" fillId="8" borderId="0" xfId="0" applyFill="1" applyAlignment="1">
      <alignment horizontal="center"/>
    </xf>
    <xf numFmtId="0" fontId="17" fillId="0" borderId="37" xfId="0" applyFont="1" applyBorder="1" applyAlignment="1">
      <alignment horizontal="center"/>
    </xf>
    <xf numFmtId="0" fontId="10" fillId="5" borderId="9" xfId="0" applyFont="1" applyFill="1" applyBorder="1" applyAlignment="1">
      <alignment horizontal="center" vertical="center"/>
    </xf>
    <xf numFmtId="0" fontId="25" fillId="0" borderId="9" xfId="0" applyFont="1" applyBorder="1" applyAlignment="1">
      <alignment horizontal="center" vertical="center"/>
    </xf>
    <xf numFmtId="14" fontId="16" fillId="0" borderId="9" xfId="0" applyNumberFormat="1" applyFont="1" applyBorder="1" applyAlignment="1">
      <alignment horizontal="center" vertical="center"/>
    </xf>
    <xf numFmtId="0" fontId="10" fillId="0" borderId="9" xfId="0" applyFont="1" applyBorder="1" applyAlignment="1">
      <alignment horizontal="center" vertical="center"/>
    </xf>
    <xf numFmtId="0" fontId="4" fillId="0" borderId="9" xfId="0" applyFont="1" applyBorder="1" applyAlignment="1">
      <alignment horizontal="center" vertical="center" readingOrder="1"/>
    </xf>
    <xf numFmtId="0" fontId="10" fillId="0" borderId="1" xfId="0" applyFont="1" applyBorder="1" applyAlignment="1">
      <alignment horizontal="center" vertical="center"/>
    </xf>
    <xf numFmtId="0" fontId="25" fillId="0" borderId="1" xfId="0" applyFont="1" applyBorder="1" applyAlignment="1">
      <alignment horizontal="center" vertical="center"/>
    </xf>
    <xf numFmtId="0" fontId="25" fillId="0" borderId="2" xfId="0" applyFont="1" applyBorder="1" applyAlignment="1">
      <alignment horizontal="center" vertical="center"/>
    </xf>
    <xf numFmtId="14" fontId="16" fillId="0" borderId="12" xfId="0" applyNumberFormat="1" applyFont="1" applyBorder="1" applyAlignment="1">
      <alignment horizontal="center" vertical="center"/>
    </xf>
    <xf numFmtId="0" fontId="10" fillId="0" borderId="12" xfId="0" applyFont="1" applyBorder="1" applyAlignment="1">
      <alignment horizontal="center" vertical="center"/>
    </xf>
    <xf numFmtId="0" fontId="10" fillId="0" borderId="0" xfId="0" applyFont="1" applyAlignment="1">
      <alignment horizontal="center" vertical="center"/>
    </xf>
    <xf numFmtId="0" fontId="0" fillId="21" borderId="0" xfId="0" applyFill="1" applyAlignment="1">
      <alignment horizontal="center"/>
    </xf>
    <xf numFmtId="0" fontId="4" fillId="0" borderId="12" xfId="0" applyFont="1" applyBorder="1" applyAlignment="1">
      <alignment horizontal="center" vertical="center" readingOrder="1"/>
    </xf>
    <xf numFmtId="0" fontId="25" fillId="0" borderId="12" xfId="0" applyFont="1" applyBorder="1" applyAlignment="1">
      <alignment horizontal="center" vertical="center"/>
    </xf>
    <xf numFmtId="0" fontId="4" fillId="0" borderId="42" xfId="0" applyFont="1" applyBorder="1" applyAlignment="1">
      <alignment horizontal="center" vertical="center" readingOrder="1"/>
    </xf>
    <xf numFmtId="0" fontId="6" fillId="15" borderId="0" xfId="0" applyFont="1" applyFill="1" applyAlignment="1">
      <alignment horizontal="center"/>
    </xf>
    <xf numFmtId="0" fontId="24" fillId="0" borderId="9" xfId="0" applyFont="1" applyBorder="1" applyAlignment="1">
      <alignment horizontal="center"/>
    </xf>
    <xf numFmtId="0" fontId="31" fillId="2" borderId="9" xfId="0" applyFont="1" applyFill="1" applyBorder="1" applyAlignment="1">
      <alignment horizontal="center" vertical="center" wrapText="1"/>
    </xf>
    <xf numFmtId="0" fontId="20" fillId="5" borderId="9" xfId="0" applyFont="1" applyFill="1" applyBorder="1" applyAlignment="1">
      <alignment horizontal="left"/>
    </xf>
    <xf numFmtId="0" fontId="0" fillId="0" borderId="15" xfId="0" applyBorder="1"/>
    <xf numFmtId="0" fontId="0" fillId="0" borderId="16" xfId="0" applyBorder="1"/>
    <xf numFmtId="0" fontId="0" fillId="0" borderId="13" xfId="0" applyBorder="1" applyAlignment="1">
      <alignment horizontal="center"/>
    </xf>
    <xf numFmtId="0" fontId="0" fillId="0" borderId="15" xfId="0" applyBorder="1" applyAlignment="1">
      <alignment horizontal="center"/>
    </xf>
    <xf numFmtId="0" fontId="27" fillId="0" borderId="14" xfId="0" applyFont="1" applyBorder="1"/>
    <xf numFmtId="0" fontId="16" fillId="0" borderId="45" xfId="0" applyFont="1" applyBorder="1" applyAlignment="1">
      <alignment horizontal="center"/>
    </xf>
    <xf numFmtId="0" fontId="6" fillId="15" borderId="46" xfId="0" applyFont="1" applyFill="1" applyBorder="1"/>
    <xf numFmtId="0" fontId="6" fillId="15" borderId="47" xfId="0" applyFont="1" applyFill="1" applyBorder="1" applyAlignment="1">
      <alignment horizontal="center"/>
    </xf>
    <xf numFmtId="0" fontId="17" fillId="20" borderId="47" xfId="0" applyFont="1" applyFill="1" applyBorder="1" applyAlignment="1">
      <alignment horizontal="center"/>
    </xf>
    <xf numFmtId="0" fontId="18" fillId="17" borderId="49" xfId="0" applyFont="1" applyFill="1" applyBorder="1" applyAlignment="1">
      <alignment horizontal="center"/>
    </xf>
    <xf numFmtId="0" fontId="17" fillId="18" borderId="49" xfId="0" applyFont="1" applyFill="1" applyBorder="1" applyAlignment="1">
      <alignment horizontal="center"/>
    </xf>
    <xf numFmtId="0" fontId="19" fillId="19" borderId="53" xfId="0" applyFont="1" applyFill="1" applyBorder="1" applyAlignment="1">
      <alignment horizontal="center"/>
    </xf>
    <xf numFmtId="0" fontId="17" fillId="18" borderId="53" xfId="0" applyFont="1" applyFill="1" applyBorder="1" applyAlignment="1">
      <alignment horizontal="center"/>
    </xf>
    <xf numFmtId="0" fontId="17" fillId="20" borderId="52" xfId="0" applyFont="1" applyFill="1" applyBorder="1" applyAlignment="1">
      <alignment horizontal="center"/>
    </xf>
    <xf numFmtId="0" fontId="18" fillId="17" borderId="53" xfId="0" applyFont="1" applyFill="1" applyBorder="1" applyAlignment="1">
      <alignment horizontal="center"/>
    </xf>
    <xf numFmtId="0" fontId="17" fillId="20" borderId="20" xfId="0" applyFont="1" applyFill="1" applyBorder="1" applyAlignment="1">
      <alignment horizontal="center"/>
    </xf>
    <xf numFmtId="0" fontId="27" fillId="0" borderId="20" xfId="0" applyFont="1" applyBorder="1" applyAlignment="1">
      <alignment horizontal="center"/>
    </xf>
    <xf numFmtId="0" fontId="32" fillId="0" borderId="48" xfId="0" applyFont="1" applyBorder="1"/>
    <xf numFmtId="0" fontId="32" fillId="0" borderId="8" xfId="0" applyFont="1" applyBorder="1"/>
    <xf numFmtId="0" fontId="32" fillId="0" borderId="27" xfId="0" applyFont="1" applyBorder="1"/>
    <xf numFmtId="0" fontId="32" fillId="0" borderId="32" xfId="0" applyFont="1" applyBorder="1"/>
    <xf numFmtId="0" fontId="32" fillId="0" borderId="50" xfId="0" applyFont="1" applyBorder="1"/>
    <xf numFmtId="0" fontId="32" fillId="0" borderId="18" xfId="0" applyFont="1" applyBorder="1"/>
    <xf numFmtId="0" fontId="32" fillId="0" borderId="51" xfId="0" applyFont="1" applyBorder="1"/>
    <xf numFmtId="0" fontId="32" fillId="0" borderId="52" xfId="0" applyFont="1" applyBorder="1"/>
    <xf numFmtId="0" fontId="32" fillId="0" borderId="19" xfId="0" applyFont="1" applyBorder="1"/>
    <xf numFmtId="0" fontId="32" fillId="0" borderId="54" xfId="0" applyFont="1" applyBorder="1"/>
    <xf numFmtId="14" fontId="16" fillId="0" borderId="0" xfId="0" applyNumberFormat="1" applyFont="1" applyAlignment="1">
      <alignment horizontal="center" vertical="center"/>
    </xf>
    <xf numFmtId="14" fontId="0" fillId="0" borderId="0" xfId="0" applyNumberFormat="1" applyAlignment="1">
      <alignment horizontal="center"/>
    </xf>
    <xf numFmtId="14" fontId="0" fillId="0" borderId="0" xfId="0" applyNumberFormat="1" applyAlignment="1">
      <alignment horizontal="left"/>
    </xf>
    <xf numFmtId="0" fontId="17" fillId="0" borderId="1" xfId="0" applyFont="1" applyBorder="1"/>
    <xf numFmtId="0" fontId="10" fillId="21" borderId="0" xfId="0" applyFont="1" applyFill="1" applyAlignment="1">
      <alignment horizontal="center"/>
    </xf>
    <xf numFmtId="0" fontId="16" fillId="0" borderId="1" xfId="0" applyFont="1" applyBorder="1"/>
    <xf numFmtId="0" fontId="16" fillId="0" borderId="3" xfId="0" applyFont="1" applyBorder="1"/>
    <xf numFmtId="14" fontId="10" fillId="0" borderId="9" xfId="0" applyNumberFormat="1" applyFont="1" applyBorder="1" applyAlignment="1">
      <alignment horizontal="center"/>
    </xf>
    <xf numFmtId="0" fontId="10" fillId="0" borderId="12" xfId="0" applyFont="1" applyBorder="1" applyAlignment="1">
      <alignment horizontal="center"/>
    </xf>
    <xf numFmtId="14" fontId="10" fillId="0" borderId="12" xfId="0" applyNumberFormat="1" applyFont="1" applyBorder="1" applyAlignment="1">
      <alignment horizontal="center"/>
    </xf>
    <xf numFmtId="0" fontId="10" fillId="0" borderId="29" xfId="0" applyFont="1" applyBorder="1" applyAlignment="1">
      <alignment horizontal="center"/>
    </xf>
    <xf numFmtId="14" fontId="10" fillId="0" borderId="29" xfId="0" applyNumberFormat="1" applyFont="1" applyBorder="1" applyAlignment="1">
      <alignment horizontal="center"/>
    </xf>
    <xf numFmtId="0" fontId="10" fillId="0" borderId="43" xfId="0" applyFont="1" applyBorder="1" applyAlignment="1">
      <alignment horizontal="center"/>
    </xf>
    <xf numFmtId="14" fontId="10" fillId="0" borderId="43" xfId="0" applyNumberFormat="1" applyFont="1" applyBorder="1" applyAlignment="1">
      <alignment horizontal="center"/>
    </xf>
    <xf numFmtId="0" fontId="16" fillId="0" borderId="9" xfId="0" applyFont="1" applyBorder="1" applyAlignment="1">
      <alignment horizontal="center"/>
    </xf>
    <xf numFmtId="0" fontId="10" fillId="0" borderId="30" xfId="0" applyFont="1" applyBorder="1" applyAlignment="1">
      <alignment horizontal="center"/>
    </xf>
    <xf numFmtId="0" fontId="10" fillId="0" borderId="11" xfId="0" applyFont="1" applyBorder="1" applyAlignment="1">
      <alignment horizontal="center"/>
    </xf>
    <xf numFmtId="0" fontId="16" fillId="0" borderId="34" xfId="0" applyFont="1" applyBorder="1" applyAlignment="1">
      <alignment horizontal="center"/>
    </xf>
    <xf numFmtId="0" fontId="16" fillId="0" borderId="37" xfId="0" applyFont="1" applyBorder="1" applyAlignment="1">
      <alignment horizontal="center"/>
    </xf>
    <xf numFmtId="0" fontId="10" fillId="0" borderId="11" xfId="0" applyFont="1" applyBorder="1" applyAlignment="1">
      <alignment horizontal="center" vertical="center"/>
    </xf>
    <xf numFmtId="0" fontId="10" fillId="27" borderId="0" xfId="0" applyFont="1" applyFill="1" applyAlignment="1">
      <alignment horizontal="center"/>
    </xf>
    <xf numFmtId="0" fontId="10" fillId="28" borderId="0" xfId="0" applyFont="1" applyFill="1" applyAlignment="1">
      <alignment horizontal="center"/>
    </xf>
    <xf numFmtId="0" fontId="0" fillId="11" borderId="0" xfId="0" applyFill="1" applyAlignment="1">
      <alignment horizontal="center"/>
    </xf>
    <xf numFmtId="0" fontId="35" fillId="0" borderId="0" xfId="0" applyFont="1" applyAlignment="1">
      <alignment horizontal="center"/>
    </xf>
    <xf numFmtId="0" fontId="35" fillId="0" borderId="27" xfId="0" applyFont="1" applyBorder="1" applyAlignment="1">
      <alignment horizontal="center"/>
    </xf>
    <xf numFmtId="0" fontId="34" fillId="20" borderId="27" xfId="0" applyFont="1" applyFill="1" applyBorder="1" applyAlignment="1">
      <alignment horizontal="center"/>
    </xf>
    <xf numFmtId="0" fontId="36" fillId="17" borderId="1" xfId="0" applyFont="1" applyFill="1" applyBorder="1" applyAlignment="1">
      <alignment horizontal="center"/>
    </xf>
    <xf numFmtId="0" fontId="34" fillId="18" borderId="1" xfId="0" applyFont="1" applyFill="1" applyBorder="1" applyAlignment="1">
      <alignment horizontal="center"/>
    </xf>
    <xf numFmtId="0" fontId="37" fillId="19" borderId="1" xfId="0" applyFont="1" applyFill="1" applyBorder="1" applyAlignment="1">
      <alignment horizontal="center"/>
    </xf>
    <xf numFmtId="0" fontId="38" fillId="4" borderId="1" xfId="2" applyFont="1" applyFill="1" applyBorder="1" applyAlignment="1">
      <alignment horizontal="center"/>
    </xf>
    <xf numFmtId="0" fontId="17" fillId="0" borderId="9" xfId="0" applyFont="1" applyBorder="1"/>
    <xf numFmtId="0" fontId="16" fillId="0" borderId="12" xfId="0" applyFont="1" applyBorder="1" applyAlignment="1">
      <alignment horizontal="center"/>
    </xf>
    <xf numFmtId="0" fontId="16" fillId="0" borderId="6" xfId="0" applyFont="1" applyBorder="1"/>
    <xf numFmtId="0" fontId="10" fillId="0" borderId="9" xfId="0" applyFont="1" applyBorder="1"/>
    <xf numFmtId="0" fontId="17" fillId="0" borderId="55" xfId="0" applyFont="1" applyBorder="1"/>
    <xf numFmtId="0" fontId="0" fillId="0" borderId="0" xfId="0" applyAlignment="1">
      <alignment horizontal="right"/>
    </xf>
    <xf numFmtId="0" fontId="39" fillId="12" borderId="15" xfId="0" applyFont="1" applyFill="1" applyBorder="1" applyAlignment="1">
      <alignment horizontal="center"/>
    </xf>
    <xf numFmtId="14" fontId="39" fillId="14" borderId="0" xfId="0" applyNumberFormat="1" applyFont="1" applyFill="1" applyAlignment="1">
      <alignment horizontal="center"/>
    </xf>
    <xf numFmtId="0" fontId="39" fillId="0" borderId="14" xfId="0" applyFont="1" applyBorder="1" applyAlignment="1">
      <alignment horizontal="center"/>
    </xf>
    <xf numFmtId="0" fontId="39" fillId="0" borderId="0" xfId="0" applyFont="1" applyAlignment="1">
      <alignment horizontal="center"/>
    </xf>
    <xf numFmtId="20" fontId="39" fillId="0" borderId="0" xfId="0" applyNumberFormat="1" applyFont="1" applyAlignment="1">
      <alignment horizontal="center"/>
    </xf>
    <xf numFmtId="1" fontId="39" fillId="0" borderId="0" xfId="0" applyNumberFormat="1" applyFont="1" applyAlignment="1">
      <alignment horizontal="center"/>
    </xf>
    <xf numFmtId="20" fontId="39" fillId="0" borderId="17" xfId="0" applyNumberFormat="1" applyFont="1" applyBorder="1" applyAlignment="1">
      <alignment horizontal="center"/>
    </xf>
    <xf numFmtId="0" fontId="39" fillId="0" borderId="17" xfId="0" applyFont="1" applyBorder="1" applyAlignment="1">
      <alignment horizontal="center"/>
    </xf>
    <xf numFmtId="0" fontId="39" fillId="0" borderId="18" xfId="0" applyFont="1" applyBorder="1" applyAlignment="1">
      <alignment horizontal="center"/>
    </xf>
    <xf numFmtId="0" fontId="39" fillId="0" borderId="19" xfId="0" applyFont="1" applyBorder="1" applyAlignment="1">
      <alignment horizontal="center"/>
    </xf>
    <xf numFmtId="20" fontId="39" fillId="0" borderId="19" xfId="0" applyNumberFormat="1" applyFont="1" applyBorder="1" applyAlignment="1">
      <alignment horizontal="center"/>
    </xf>
    <xf numFmtId="1" fontId="39" fillId="0" borderId="19" xfId="0" applyNumberFormat="1" applyFont="1" applyBorder="1" applyAlignment="1">
      <alignment horizontal="center"/>
    </xf>
    <xf numFmtId="0" fontId="39" fillId="0" borderId="20" xfId="0" applyFont="1" applyBorder="1" applyAlignment="1">
      <alignment horizontal="center"/>
    </xf>
    <xf numFmtId="0" fontId="10" fillId="0" borderId="0" xfId="0" applyFont="1" applyAlignment="1">
      <alignment horizontal="center"/>
    </xf>
    <xf numFmtId="0" fontId="0" fillId="0" borderId="0" xfId="0" applyAlignment="1">
      <alignment horizontal="center" wrapText="1"/>
    </xf>
    <xf numFmtId="0" fontId="40" fillId="0" borderId="0" xfId="0" applyFont="1" applyAlignment="1">
      <alignment horizontal="center" wrapText="1"/>
    </xf>
    <xf numFmtId="0" fontId="0" fillId="0" borderId="0" xfId="0" applyAlignment="1">
      <alignment horizontal="center" vertical="center" wrapText="1"/>
    </xf>
    <xf numFmtId="0" fontId="27" fillId="0" borderId="0" xfId="0" applyFont="1" applyAlignment="1">
      <alignment horizontal="center" wrapText="1"/>
    </xf>
    <xf numFmtId="14" fontId="27" fillId="0" borderId="0" xfId="0" applyNumberFormat="1" applyFont="1" applyAlignment="1">
      <alignment horizontal="center"/>
    </xf>
    <xf numFmtId="0" fontId="28" fillId="22" borderId="31" xfId="0" applyFont="1" applyFill="1" applyBorder="1"/>
    <xf numFmtId="14" fontId="16" fillId="0" borderId="9" xfId="0" applyNumberFormat="1" applyFont="1" applyBorder="1" applyAlignment="1">
      <alignment horizontal="center"/>
    </xf>
    <xf numFmtId="0" fontId="0" fillId="0" borderId="13" xfId="0" applyBorder="1"/>
    <xf numFmtId="0" fontId="34" fillId="18" borderId="53" xfId="0" applyFont="1" applyFill="1" applyBorder="1" applyAlignment="1">
      <alignment horizontal="center"/>
    </xf>
    <xf numFmtId="0" fontId="32" fillId="0" borderId="56" xfId="0" applyFont="1" applyBorder="1"/>
    <xf numFmtId="14" fontId="42" fillId="0" borderId="9" xfId="0" applyNumberFormat="1" applyFont="1" applyBorder="1" applyAlignment="1">
      <alignment horizontal="center"/>
    </xf>
    <xf numFmtId="14" fontId="42" fillId="0" borderId="3" xfId="0" applyNumberFormat="1" applyFont="1" applyBorder="1" applyAlignment="1">
      <alignment horizontal="center"/>
    </xf>
    <xf numFmtId="0" fontId="42" fillId="0" borderId="3" xfId="0" applyFont="1" applyBorder="1" applyAlignment="1">
      <alignment horizontal="center"/>
    </xf>
    <xf numFmtId="0" fontId="42" fillId="0" borderId="45" xfId="0" applyFont="1" applyBorder="1" applyAlignment="1">
      <alignment horizontal="center"/>
    </xf>
    <xf numFmtId="0" fontId="34" fillId="16" borderId="1" xfId="0" applyFont="1" applyFill="1" applyBorder="1" applyAlignment="1">
      <alignment horizontal="center"/>
    </xf>
    <xf numFmtId="0" fontId="17" fillId="0" borderId="34" xfId="0" applyFont="1" applyBorder="1" applyAlignment="1">
      <alignment horizontal="center"/>
    </xf>
    <xf numFmtId="0" fontId="20" fillId="0" borderId="0" xfId="0" applyFont="1"/>
    <xf numFmtId="0" fontId="20" fillId="5" borderId="57" xfId="0" applyFont="1" applyFill="1" applyBorder="1" applyAlignment="1">
      <alignment horizontal="left"/>
    </xf>
    <xf numFmtId="14" fontId="20" fillId="5" borderId="58" xfId="0" applyNumberFormat="1" applyFont="1" applyFill="1" applyBorder="1" applyAlignment="1">
      <alignment horizontal="center" vertical="center" wrapText="1"/>
    </xf>
    <xf numFmtId="0" fontId="20" fillId="5" borderId="58" xfId="0" applyFont="1" applyFill="1" applyBorder="1" applyAlignment="1">
      <alignment horizontal="center"/>
    </xf>
    <xf numFmtId="10" fontId="20" fillId="5" borderId="58" xfId="0" applyNumberFormat="1" applyFont="1" applyFill="1" applyBorder="1" applyAlignment="1">
      <alignment horizontal="center"/>
    </xf>
    <xf numFmtId="9" fontId="20" fillId="30" borderId="59" xfId="0" applyNumberFormat="1" applyFont="1" applyFill="1" applyBorder="1" applyAlignment="1">
      <alignment horizontal="center"/>
    </xf>
    <xf numFmtId="9" fontId="20" fillId="5" borderId="58" xfId="0" applyNumberFormat="1" applyFont="1" applyFill="1" applyBorder="1" applyAlignment="1">
      <alignment horizontal="center"/>
    </xf>
    <xf numFmtId="165" fontId="20" fillId="5" borderId="58" xfId="0" applyNumberFormat="1" applyFont="1" applyFill="1" applyBorder="1" applyAlignment="1">
      <alignment horizontal="center"/>
    </xf>
    <xf numFmtId="9" fontId="20" fillId="31" borderId="59" xfId="0" applyNumberFormat="1" applyFont="1" applyFill="1" applyBorder="1" applyAlignment="1">
      <alignment horizontal="center"/>
    </xf>
    <xf numFmtId="9" fontId="20" fillId="5" borderId="59" xfId="0" applyNumberFormat="1" applyFont="1" applyFill="1" applyBorder="1" applyAlignment="1">
      <alignment horizontal="center"/>
    </xf>
    <xf numFmtId="0" fontId="20" fillId="5" borderId="60" xfId="0" applyFont="1" applyFill="1" applyBorder="1" applyAlignment="1">
      <alignment horizontal="left"/>
    </xf>
    <xf numFmtId="14" fontId="20" fillId="5" borderId="61" xfId="0" applyNumberFormat="1" applyFont="1" applyFill="1" applyBorder="1" applyAlignment="1">
      <alignment horizontal="center" vertical="center" wrapText="1"/>
    </xf>
    <xf numFmtId="0" fontId="20" fillId="5" borderId="61" xfId="0" applyFont="1" applyFill="1" applyBorder="1" applyAlignment="1">
      <alignment horizontal="center"/>
    </xf>
    <xf numFmtId="10" fontId="20" fillId="5" borderId="61" xfId="0" applyNumberFormat="1" applyFont="1" applyFill="1" applyBorder="1" applyAlignment="1">
      <alignment horizontal="center"/>
    </xf>
    <xf numFmtId="9" fontId="20" fillId="5" borderId="62" xfId="0" applyNumberFormat="1" applyFont="1" applyFill="1" applyBorder="1" applyAlignment="1">
      <alignment horizontal="center"/>
    </xf>
    <xf numFmtId="0" fontId="17" fillId="0" borderId="4" xfId="0" applyFont="1" applyBorder="1"/>
    <xf numFmtId="0" fontId="24" fillId="0" borderId="29" xfId="0" applyFont="1" applyBorder="1"/>
    <xf numFmtId="0" fontId="24" fillId="0" borderId="9" xfId="0" applyFont="1" applyBorder="1" applyAlignment="1">
      <alignment horizontal="left" indent="3"/>
    </xf>
    <xf numFmtId="0" fontId="24" fillId="0" borderId="29" xfId="0" applyFont="1" applyBorder="1" applyAlignment="1">
      <alignment horizontal="left" indent="3"/>
    </xf>
    <xf numFmtId="0" fontId="10" fillId="0" borderId="12" xfId="0" applyFont="1" applyBorder="1"/>
    <xf numFmtId="0" fontId="17" fillId="28" borderId="27" xfId="0" applyFont="1" applyFill="1" applyBorder="1" applyAlignment="1">
      <alignment horizontal="center"/>
    </xf>
    <xf numFmtId="14" fontId="43" fillId="0" borderId="1" xfId="0" applyNumberFormat="1" applyFont="1" applyBorder="1" applyAlignment="1">
      <alignment horizontal="center"/>
    </xf>
    <xf numFmtId="14" fontId="43" fillId="0" borderId="3" xfId="0" applyNumberFormat="1" applyFont="1" applyBorder="1" applyAlignment="1">
      <alignment horizontal="center"/>
    </xf>
    <xf numFmtId="0" fontId="38" fillId="15" borderId="8" xfId="0" applyFont="1" applyFill="1" applyBorder="1" applyAlignment="1">
      <alignment horizontal="center"/>
    </xf>
    <xf numFmtId="0" fontId="38" fillId="15" borderId="27" xfId="0" applyFont="1" applyFill="1" applyBorder="1" applyAlignment="1">
      <alignment horizontal="center"/>
    </xf>
    <xf numFmtId="0" fontId="34" fillId="0" borderId="34" xfId="0" applyFont="1" applyBorder="1"/>
    <xf numFmtId="0" fontId="34" fillId="0" borderId="36" xfId="0" applyFont="1" applyBorder="1"/>
    <xf numFmtId="0" fontId="34" fillId="20" borderId="8" xfId="0" applyFont="1" applyFill="1" applyBorder="1" applyAlignment="1">
      <alignment horizontal="center"/>
    </xf>
    <xf numFmtId="0" fontId="34" fillId="0" borderId="37" xfId="0" applyFont="1" applyBorder="1"/>
    <xf numFmtId="0" fontId="34" fillId="0" borderId="21" xfId="0" applyFont="1" applyBorder="1"/>
    <xf numFmtId="0" fontId="34" fillId="0" borderId="27" xfId="0" applyFont="1" applyBorder="1"/>
    <xf numFmtId="0" fontId="34" fillId="0" borderId="32" xfId="0" applyFont="1" applyBorder="1"/>
    <xf numFmtId="0" fontId="34" fillId="0" borderId="38" xfId="0" applyFont="1" applyBorder="1"/>
    <xf numFmtId="0" fontId="34" fillId="0" borderId="28" xfId="0" applyFont="1" applyBorder="1"/>
    <xf numFmtId="0" fontId="34" fillId="0" borderId="40" xfId="0" applyFont="1" applyBorder="1"/>
    <xf numFmtId="0" fontId="34" fillId="0" borderId="39" xfId="0" applyFont="1" applyBorder="1"/>
    <xf numFmtId="0" fontId="34" fillId="0" borderId="26" xfId="0" applyFont="1" applyBorder="1"/>
    <xf numFmtId="0" fontId="34" fillId="0" borderId="41" xfId="0" applyFont="1" applyBorder="1"/>
    <xf numFmtId="0" fontId="34" fillId="0" borderId="0" xfId="0" applyFont="1"/>
    <xf numFmtId="0" fontId="34" fillId="0" borderId="3" xfId="0" applyFont="1" applyBorder="1"/>
    <xf numFmtId="0" fontId="34" fillId="0" borderId="33" xfId="0" applyFont="1" applyBorder="1"/>
    <xf numFmtId="0" fontId="34" fillId="0" borderId="6" xfId="0" applyFont="1" applyBorder="1"/>
    <xf numFmtId="0" fontId="34" fillId="0" borderId="8" xfId="0" applyFont="1" applyBorder="1"/>
    <xf numFmtId="0" fontId="35" fillId="0" borderId="0" xfId="0" applyFont="1"/>
    <xf numFmtId="0" fontId="35" fillId="0" borderId="1" xfId="0" applyFont="1" applyBorder="1"/>
    <xf numFmtId="0" fontId="35" fillId="25" borderId="29" xfId="0" applyFont="1" applyFill="1" applyBorder="1"/>
    <xf numFmtId="0" fontId="35" fillId="25" borderId="0" xfId="0" applyFont="1" applyFill="1"/>
    <xf numFmtId="0" fontId="35" fillId="26" borderId="29" xfId="0" applyFont="1" applyFill="1" applyBorder="1"/>
    <xf numFmtId="0" fontId="35" fillId="26" borderId="0" xfId="0" applyFont="1" applyFill="1"/>
    <xf numFmtId="0" fontId="35" fillId="0" borderId="29" xfId="0" applyFont="1" applyBorder="1"/>
    <xf numFmtId="0" fontId="44" fillId="16" borderId="29" xfId="0" applyFont="1" applyFill="1" applyBorder="1"/>
    <xf numFmtId="0" fontId="44" fillId="16" borderId="0" xfId="0" applyFont="1" applyFill="1"/>
    <xf numFmtId="0" fontId="0" fillId="0" borderId="13" xfId="0" pivotButton="1" applyBorder="1"/>
    <xf numFmtId="0" fontId="0" fillId="0" borderId="15" xfId="0" pivotButton="1" applyBorder="1"/>
    <xf numFmtId="0" fontId="0" fillId="0" borderId="18" xfId="0" applyBorder="1"/>
    <xf numFmtId="0" fontId="0" fillId="0" borderId="19" xfId="0" applyBorder="1"/>
    <xf numFmtId="0" fontId="0" fillId="0" borderId="20" xfId="0" applyBorder="1"/>
    <xf numFmtId="0" fontId="31" fillId="2" borderId="63" xfId="0" applyFont="1" applyFill="1" applyBorder="1" applyAlignment="1">
      <alignment horizontal="center" vertical="center" wrapText="1"/>
    </xf>
    <xf numFmtId="0" fontId="31" fillId="2" borderId="64" xfId="0" applyFont="1" applyFill="1" applyBorder="1" applyAlignment="1">
      <alignment horizontal="center" vertical="center" wrapText="1"/>
    </xf>
    <xf numFmtId="0" fontId="31" fillId="2" borderId="65" xfId="0" applyFont="1" applyFill="1" applyBorder="1" applyAlignment="1">
      <alignment horizontal="center" vertical="center" wrapText="1"/>
    </xf>
    <xf numFmtId="0" fontId="17" fillId="0" borderId="40" xfId="0" applyFont="1" applyBorder="1" applyAlignment="1">
      <alignment horizontal="center"/>
    </xf>
    <xf numFmtId="14" fontId="0" fillId="0" borderId="19" xfId="0" applyNumberFormat="1" applyBorder="1" applyAlignment="1">
      <alignment horizontal="center"/>
    </xf>
    <xf numFmtId="0" fontId="0" fillId="0" borderId="19" xfId="0" applyBorder="1" applyAlignment="1">
      <alignment horizontal="center"/>
    </xf>
    <xf numFmtId="9" fontId="0" fillId="0" borderId="17" xfId="0" applyNumberFormat="1" applyBorder="1" applyAlignment="1">
      <alignment horizontal="center"/>
    </xf>
    <xf numFmtId="0" fontId="0" fillId="0" borderId="17" xfId="0" applyBorder="1" applyAlignment="1">
      <alignment horizontal="center"/>
    </xf>
    <xf numFmtId="0" fontId="0" fillId="0" borderId="20" xfId="0" applyBorder="1" applyAlignment="1">
      <alignment horizontal="center"/>
    </xf>
    <xf numFmtId="0" fontId="17" fillId="0" borderId="34" xfId="0" applyFont="1" applyBorder="1" applyAlignment="1">
      <alignment horizontal="left"/>
    </xf>
    <xf numFmtId="0" fontId="0" fillId="0" borderId="0" xfId="0" applyAlignment="1">
      <alignment horizontal="center"/>
    </xf>
    <xf numFmtId="0" fontId="0" fillId="0" borderId="32" xfId="0" applyBorder="1" applyAlignment="1">
      <alignment horizontal="center"/>
    </xf>
    <xf numFmtId="0" fontId="0" fillId="21" borderId="32" xfId="0" applyFill="1" applyBorder="1" applyAlignment="1">
      <alignment horizontal="center"/>
    </xf>
    <xf numFmtId="0" fontId="0" fillId="21" borderId="44" xfId="0" applyFill="1" applyBorder="1" applyAlignment="1">
      <alignment horizontal="center"/>
    </xf>
    <xf numFmtId="0" fontId="33" fillId="29" borderId="13" xfId="0" applyFont="1" applyFill="1" applyBorder="1" applyAlignment="1">
      <alignment horizontal="center"/>
    </xf>
    <xf numFmtId="0" fontId="33" fillId="29" borderId="15" xfId="0" applyFont="1" applyFill="1" applyBorder="1" applyAlignment="1">
      <alignment horizontal="center"/>
    </xf>
    <xf numFmtId="0" fontId="33" fillId="29" borderId="16" xfId="0" applyFont="1" applyFill="1" applyBorder="1" applyAlignment="1">
      <alignment horizontal="center"/>
    </xf>
    <xf numFmtId="0" fontId="33" fillId="29" borderId="18" xfId="0" applyFont="1" applyFill="1" applyBorder="1" applyAlignment="1">
      <alignment horizontal="center"/>
    </xf>
    <xf numFmtId="0" fontId="33" fillId="29" borderId="19" xfId="0" applyFont="1" applyFill="1" applyBorder="1" applyAlignment="1">
      <alignment horizontal="center"/>
    </xf>
    <xf numFmtId="0" fontId="33" fillId="29" borderId="20" xfId="0" applyFont="1" applyFill="1" applyBorder="1" applyAlignment="1">
      <alignment horizontal="center"/>
    </xf>
    <xf numFmtId="0" fontId="0" fillId="2" borderId="15" xfId="0" applyFill="1" applyBorder="1" applyAlignment="1">
      <alignment horizontal="center"/>
    </xf>
    <xf numFmtId="0" fontId="0" fillId="2" borderId="44" xfId="0" applyFill="1" applyBorder="1" applyAlignment="1">
      <alignment horizontal="center"/>
    </xf>
    <xf numFmtId="0" fontId="39" fillId="12" borderId="15" xfId="0" applyFont="1" applyFill="1" applyBorder="1" applyAlignment="1">
      <alignment horizontal="center"/>
    </xf>
    <xf numFmtId="0" fontId="39" fillId="12" borderId="0" xfId="0" applyFont="1" applyFill="1" applyAlignment="1">
      <alignment horizontal="center"/>
    </xf>
    <xf numFmtId="0" fontId="39" fillId="13" borderId="16" xfId="0" applyFont="1" applyFill="1" applyBorder="1" applyAlignment="1">
      <alignment horizontal="center"/>
    </xf>
    <xf numFmtId="0" fontId="39" fillId="13" borderId="17" xfId="0" applyFont="1" applyFill="1" applyBorder="1" applyAlignment="1">
      <alignment horizontal="center"/>
    </xf>
    <xf numFmtId="0" fontId="39" fillId="12" borderId="13" xfId="0" applyFont="1" applyFill="1" applyBorder="1" applyAlignment="1">
      <alignment horizontal="center"/>
    </xf>
    <xf numFmtId="0" fontId="39" fillId="12" borderId="14" xfId="0" applyFont="1" applyFill="1" applyBorder="1" applyAlignment="1">
      <alignment horizontal="center"/>
    </xf>
    <xf numFmtId="0" fontId="0" fillId="21" borderId="26" xfId="0" applyFill="1" applyBorder="1" applyAlignment="1">
      <alignment horizontal="center"/>
    </xf>
    <xf numFmtId="0" fontId="27" fillId="0" borderId="0" xfId="0" applyFont="1" applyAlignment="1">
      <alignment horizontal="center"/>
    </xf>
    <xf numFmtId="0" fontId="27" fillId="0" borderId="26" xfId="0" applyFont="1" applyBorder="1" applyAlignment="1">
      <alignment horizontal="center"/>
    </xf>
    <xf numFmtId="0" fontId="17" fillId="0" borderId="9" xfId="0" applyFont="1" applyBorder="1" applyAlignment="1">
      <alignment horizontal="center"/>
    </xf>
    <xf numFmtId="0" fontId="17" fillId="0" borderId="66" xfId="0" applyFont="1" applyBorder="1"/>
    <xf numFmtId="0" fontId="17" fillId="0" borderId="9" xfId="0" applyFont="1" applyBorder="1" applyAlignment="1">
      <alignment horizontal="left" indent="1"/>
    </xf>
    <xf numFmtId="0" fontId="10" fillId="0" borderId="9" xfId="0" applyFont="1" applyBorder="1" applyAlignment="1">
      <alignment horizontal="left" indent="1"/>
    </xf>
    <xf numFmtId="14" fontId="10" fillId="0" borderId="9" xfId="0" applyNumberFormat="1" applyFont="1" applyBorder="1" applyAlignment="1">
      <alignment horizontal="center" indent="1"/>
    </xf>
    <xf numFmtId="0" fontId="20" fillId="0" borderId="0" xfId="0" applyNumberFormat="1" applyFont="1" applyBorder="1" applyAlignment="1">
      <alignment horizontal="center"/>
    </xf>
    <xf numFmtId="0" fontId="0" fillId="0" borderId="19" xfId="0" applyNumberFormat="1" applyBorder="1" applyAlignment="1">
      <alignment horizontal="center"/>
    </xf>
    <xf numFmtId="9" fontId="0" fillId="0" borderId="20" xfId="0" applyNumberFormat="1" applyBorder="1" applyAlignment="1">
      <alignment horizontal="center"/>
    </xf>
    <xf numFmtId="10" fontId="20" fillId="0" borderId="0" xfId="0" applyNumberFormat="1" applyFont="1" applyBorder="1" applyAlignment="1">
      <alignment horizontal="center"/>
    </xf>
    <xf numFmtId="10" fontId="0" fillId="0" borderId="19" xfId="0" applyNumberFormat="1" applyBorder="1" applyAlignment="1">
      <alignment horizontal="center"/>
    </xf>
    <xf numFmtId="0" fontId="0" fillId="0" borderId="16" xfId="0" applyBorder="1" applyAlignment="1">
      <alignment horizontal="center"/>
    </xf>
    <xf numFmtId="14" fontId="20" fillId="0" borderId="0" xfId="0" applyNumberFormat="1" applyFont="1" applyBorder="1" applyAlignment="1"/>
    <xf numFmtId="0" fontId="0" fillId="0" borderId="16" xfId="0" pivotButton="1" applyBorder="1"/>
    <xf numFmtId="0" fontId="0" fillId="0" borderId="0" xfId="0" applyBorder="1"/>
    <xf numFmtId="0" fontId="20" fillId="0" borderId="0" xfId="0" applyFont="1" applyBorder="1"/>
    <xf numFmtId="0" fontId="20" fillId="0" borderId="17" xfId="0" applyFont="1" applyBorder="1"/>
    <xf numFmtId="9" fontId="20" fillId="32" borderId="17" xfId="0" applyNumberFormat="1" applyFont="1" applyFill="1" applyBorder="1" applyAlignment="1">
      <alignment horizontal="center"/>
    </xf>
    <xf numFmtId="9" fontId="20" fillId="28" borderId="17" xfId="0" applyNumberFormat="1" applyFont="1" applyFill="1" applyBorder="1" applyAlignment="1">
      <alignment horizontal="center"/>
    </xf>
  </cellXfs>
  <cellStyles count="3">
    <cellStyle name="Normal" xfId="0" builtinId="0"/>
    <cellStyle name="Normal 2" xfId="2" xr:uid="{45F47354-C87B-4406-8673-52AE17131CB6}"/>
    <cellStyle name="Percent" xfId="1" builtinId="5"/>
  </cellStyles>
  <dxfs count="11954">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theme="1"/>
      </font>
      <fill>
        <patternFill patternType="solid">
          <bgColor theme="1" tint="0.499984740745262"/>
        </patternFill>
      </fill>
    </dxf>
    <dxf>
      <font>
        <color rgb="FF9C0006"/>
      </font>
      <fill>
        <patternFill>
          <bgColor rgb="FFFFC7CE"/>
        </patternFill>
      </fill>
    </dxf>
    <dxf>
      <font>
        <color rgb="FF9C5700"/>
      </font>
      <fill>
        <patternFill>
          <bgColor rgb="FFFFEB9C"/>
        </patternFill>
      </fill>
    </dxf>
    <dxf>
      <font>
        <color theme="1"/>
      </font>
      <fill>
        <patternFill patternType="solid">
          <bgColor theme="4" tint="0.39997558519241921"/>
        </patternFill>
      </fill>
    </dxf>
    <dxf>
      <font>
        <color rgb="FF006100"/>
      </font>
      <fill>
        <patternFill>
          <bgColor rgb="FFC6EF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00B0F0"/>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ill>
        <patternFill>
          <bgColor rgb="FF00B0F0"/>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ill>
        <patternFill>
          <bgColor rgb="FF00B0F0"/>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ill>
        <patternFill>
          <bgColor rgb="FF00B0F0"/>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ill>
        <patternFill>
          <bgColor rgb="FF00B0F0"/>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00B0F0"/>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00B0F0"/>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ill>
        <patternFill>
          <bgColor rgb="FFFF0000"/>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ill>
        <patternFill>
          <bgColor rgb="FF00B0F0"/>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ill>
        <patternFill>
          <bgColor rgb="FF00B0F0"/>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00B0F0"/>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ill>
        <patternFill>
          <bgColor rgb="FF00B0F0"/>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ill>
        <patternFill>
          <bgColor rgb="FF00B0F0"/>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ill>
        <patternFill>
          <bgColor rgb="FF00B0F0"/>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ont>
        <color rgb="FF006100"/>
      </font>
      <fill>
        <patternFill>
          <bgColor rgb="FFC6EFCE"/>
        </patternFill>
      </fill>
    </dxf>
    <dxf>
      <fill>
        <patternFill>
          <bgColor rgb="FF00B0F0"/>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00B0F0"/>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ill>
        <patternFill>
          <bgColor rgb="FF00B0F0"/>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ill>
        <patternFill>
          <bgColor rgb="FF00B0F0"/>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00B0F0"/>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ill>
        <patternFill>
          <bgColor rgb="FF00B0F0"/>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ill>
        <patternFill>
          <bgColor rgb="FF00B0F0"/>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ill>
        <patternFill>
          <bgColor rgb="FF00B0F0"/>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ill>
        <patternFill>
          <bgColor rgb="FF00B0F0"/>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ill>
        <patternFill>
          <bgColor rgb="FF00B0F0"/>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ill>
        <patternFill>
          <bgColor rgb="FF00B0F0"/>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ill>
        <patternFill>
          <bgColor rgb="FF00B0F0"/>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ill>
        <patternFill>
          <bgColor rgb="FF00B0F0"/>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ill>
        <patternFill>
          <bgColor rgb="FF00B0F0"/>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ill>
        <patternFill>
          <bgColor rgb="FF00B0F0"/>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ill>
        <patternFill>
          <bgColor rgb="FF00B0F0"/>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ill>
        <patternFill>
          <bgColor rgb="FF00B0F0"/>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ill>
        <patternFill>
          <bgColor rgb="FF00B0F0"/>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ill>
        <patternFill>
          <bgColor rgb="FF00B0F0"/>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00B0F0"/>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ill>
        <patternFill>
          <bgColor rgb="FF00B0F0"/>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ill>
        <patternFill>
          <bgColor rgb="FF00B0F0"/>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ill>
        <patternFill>
          <bgColor rgb="FFFF0000"/>
        </patternFill>
      </fill>
    </dxf>
    <dxf>
      <font>
        <color rgb="FF006100"/>
      </font>
      <fill>
        <patternFill>
          <bgColor rgb="FFC6EFCE"/>
        </patternFill>
      </fill>
    </dxf>
    <dxf>
      <fill>
        <patternFill>
          <bgColor rgb="FF00B0F0"/>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ill>
        <patternFill>
          <bgColor rgb="FF00B0F0"/>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00B0F0"/>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ill>
        <patternFill>
          <bgColor rgb="FF00B0F0"/>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ill>
        <patternFill>
          <bgColor rgb="FF00B0F0"/>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rgb="FF00B050"/>
        </patternFill>
      </fill>
    </dxf>
    <dxf>
      <font>
        <color theme="1"/>
      </font>
      <fill>
        <patternFill patternType="solid">
          <bgColor rgb="FF00B0F0"/>
        </patternFill>
      </fill>
    </dxf>
    <dxf>
      <font>
        <color rgb="FF9C0006"/>
      </font>
      <fill>
        <patternFill>
          <bgColor rgb="FFFFC7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patternFill>
      </fill>
    </dxf>
    <dxf>
      <font>
        <color theme="1"/>
      </font>
      <fill>
        <patternFill patternType="solid">
          <bgColor rgb="FF00B050"/>
        </patternFill>
      </fill>
    </dxf>
    <dxf>
      <font>
        <color theme="1"/>
      </font>
      <fill>
        <patternFill patternType="solid">
          <bgColor rgb="FF00B0F0"/>
        </patternFill>
      </fill>
    </dxf>
    <dxf>
      <font>
        <color rgb="FF9C0006"/>
      </font>
      <fill>
        <patternFill>
          <bgColor rgb="FFFFC7CE"/>
        </patternFill>
      </fill>
    </dxf>
    <dxf>
      <font>
        <color theme="1"/>
      </font>
      <fill>
        <patternFill patternType="solid">
          <bgColor theme="7"/>
        </patternFill>
      </fill>
    </dxf>
    <dxf>
      <font>
        <color theme="1"/>
      </font>
      <fill>
        <patternFill patternType="solid">
          <bgColor rgb="FF00B050"/>
        </patternFill>
      </fill>
    </dxf>
    <dxf>
      <font>
        <color theme="1"/>
      </font>
      <fill>
        <patternFill patternType="solid">
          <bgColor rgb="FF00B0F0"/>
        </patternFill>
      </fill>
    </dxf>
    <dxf>
      <font>
        <color rgb="FF9C0006"/>
      </font>
      <fill>
        <patternFill>
          <bgColor rgb="FFFFC7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rgb="FF00B050"/>
        </patternFill>
      </fill>
    </dxf>
    <dxf>
      <font>
        <color theme="1"/>
      </font>
      <fill>
        <patternFill patternType="solid">
          <bgColor rgb="FF00B0F0"/>
        </patternFill>
      </fill>
    </dxf>
    <dxf>
      <font>
        <color theme="1"/>
      </font>
      <fill>
        <patternFill patternType="solid">
          <bgColor theme="7"/>
        </patternFill>
      </fill>
    </dxf>
    <dxf>
      <font>
        <color rgb="FF9C0006"/>
      </font>
      <fill>
        <patternFill>
          <bgColor rgb="FFFFC7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rgb="FF00B050"/>
        </patternFill>
      </fill>
    </dxf>
    <dxf>
      <font>
        <color theme="1"/>
      </font>
      <fill>
        <patternFill patternType="solid">
          <bgColor rgb="FF00B0F0"/>
        </patternFill>
      </fill>
    </dxf>
    <dxf>
      <font>
        <color theme="1"/>
      </font>
      <fill>
        <patternFill patternType="solid">
          <bgColor theme="7"/>
        </patternFill>
      </fill>
    </dxf>
    <dxf>
      <font>
        <color rgb="FF9C0006"/>
      </font>
      <fill>
        <patternFill>
          <bgColor rgb="FFFFC7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patternFill>
      </fill>
    </dxf>
    <dxf>
      <font>
        <color theme="1"/>
      </font>
      <fill>
        <patternFill patternType="solid">
          <bgColor rgb="FF00B050"/>
        </patternFill>
      </fill>
    </dxf>
    <dxf>
      <font>
        <color theme="1"/>
      </font>
      <fill>
        <patternFill patternType="solid">
          <bgColor rgb="FF00B0F0"/>
        </patternFill>
      </fill>
    </dxf>
    <dxf>
      <font>
        <color rgb="FF9C0006"/>
      </font>
      <fill>
        <patternFill>
          <bgColor rgb="FFFFC7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patternFill>
      </fill>
    </dxf>
    <dxf>
      <font>
        <color theme="1"/>
      </font>
      <fill>
        <patternFill patternType="solid">
          <bgColor rgb="FF00B050"/>
        </patternFill>
      </fill>
    </dxf>
    <dxf>
      <font>
        <color theme="1"/>
      </font>
      <fill>
        <patternFill patternType="solid">
          <bgColor rgb="FF00B0F0"/>
        </patternFill>
      </fill>
    </dxf>
    <dxf>
      <font>
        <color rgb="FF9C0006"/>
      </font>
      <fill>
        <patternFill>
          <bgColor rgb="FFFFC7CE"/>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rgb="FF00B050"/>
        </patternFill>
      </fill>
    </dxf>
    <dxf>
      <font>
        <color theme="1"/>
      </font>
      <fill>
        <patternFill patternType="solid">
          <bgColor rgb="FF00B0F0"/>
        </patternFill>
      </fill>
    </dxf>
    <dxf>
      <font>
        <color rgb="FF9C0006"/>
      </font>
      <fill>
        <patternFill>
          <bgColor rgb="FFFFC7CE"/>
        </patternFill>
      </fill>
    </dxf>
    <dxf>
      <font>
        <color theme="1"/>
      </font>
      <fill>
        <patternFill patternType="solid">
          <bgColor theme="7"/>
        </patternFill>
      </fill>
    </dxf>
    <dxf>
      <font>
        <color theme="1"/>
      </font>
      <fill>
        <patternFill patternType="solid">
          <bgColor rgb="FF00B050"/>
        </patternFill>
      </fill>
    </dxf>
    <dxf>
      <font>
        <color theme="1"/>
      </font>
      <fill>
        <patternFill patternType="solid">
          <bgColor rgb="FF00B0F0"/>
        </patternFill>
      </fill>
    </dxf>
    <dxf>
      <font>
        <color rgb="FF9C0006"/>
      </font>
      <fill>
        <patternFill>
          <bgColor rgb="FFFFC7CE"/>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patternFill>
      </fill>
    </dxf>
    <dxf>
      <font>
        <color theme="1"/>
      </font>
      <fill>
        <patternFill patternType="solid">
          <bgColor rgb="FF00B050"/>
        </patternFill>
      </fill>
    </dxf>
    <dxf>
      <font>
        <color theme="1"/>
      </font>
      <fill>
        <patternFill patternType="solid">
          <bgColor rgb="FF00B0F0"/>
        </patternFill>
      </fill>
    </dxf>
    <dxf>
      <font>
        <color rgb="FF9C0006"/>
      </font>
      <fill>
        <patternFill>
          <bgColor rgb="FFFFC7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rgb="FF00B050"/>
        </patternFill>
      </fill>
    </dxf>
    <dxf>
      <font>
        <color theme="1"/>
      </font>
      <fill>
        <patternFill patternType="solid">
          <bgColor rgb="FF00B0F0"/>
        </patternFill>
      </fill>
    </dxf>
    <dxf>
      <font>
        <color rgb="FF9C0006"/>
      </font>
      <fill>
        <patternFill>
          <bgColor rgb="FFFFC7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rgb="FF00B050"/>
        </patternFill>
      </fill>
    </dxf>
    <dxf>
      <font>
        <color theme="1"/>
      </font>
      <fill>
        <patternFill patternType="solid">
          <bgColor rgb="FF00B0F0"/>
        </patternFill>
      </fill>
    </dxf>
    <dxf>
      <font>
        <color rgb="FF9C0006"/>
      </font>
      <fill>
        <patternFill>
          <bgColor rgb="FFFFC7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rgb="FF00B050"/>
        </patternFill>
      </fill>
    </dxf>
    <dxf>
      <font>
        <color theme="1"/>
      </font>
      <fill>
        <patternFill patternType="solid">
          <bgColor rgb="FF00B0F0"/>
        </patternFill>
      </fill>
    </dxf>
    <dxf>
      <font>
        <color rgb="FF9C0006"/>
      </font>
      <fill>
        <patternFill>
          <bgColor rgb="FFFFC7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theme="7" tint="0.39997558519241921"/>
        </patternFill>
      </fill>
    </dxf>
    <dxf>
      <font>
        <color theme="1"/>
      </font>
      <fill>
        <patternFill patternType="solid">
          <bgColor theme="4"/>
        </patternFill>
      </fill>
    </dxf>
    <dxf>
      <font>
        <color rgb="FF006100"/>
      </font>
      <fill>
        <patternFill>
          <bgColor rgb="FFC6EFCE"/>
        </patternFill>
      </fill>
    </dxf>
    <dxf>
      <font>
        <color theme="1"/>
      </font>
      <fill>
        <patternFill patternType="solid">
          <bgColor rgb="FF00B050"/>
        </patternFill>
      </fill>
    </dxf>
    <dxf>
      <font>
        <color theme="1"/>
      </font>
      <fill>
        <patternFill patternType="solid">
          <bgColor rgb="FF00B0F0"/>
        </patternFill>
      </fill>
    </dxf>
    <dxf>
      <font>
        <color rgb="FF9C0006"/>
      </font>
      <fill>
        <patternFill>
          <bgColor rgb="FFFFC7CE"/>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ill>
        <patternFill>
          <bgColor rgb="FF00B0F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ill>
        <patternFill>
          <bgColor rgb="FFFF0000"/>
        </patternFill>
      </fill>
    </dxf>
    <dxf>
      <fill>
        <patternFill>
          <bgColor rgb="FF00B0F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ill>
        <patternFill>
          <bgColor rgb="FFFF0000"/>
        </patternFill>
      </fill>
    </dxf>
    <dxf>
      <fill>
        <patternFill>
          <bgColor rgb="FF00B0F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00B0F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ill>
        <patternFill>
          <bgColor rgb="FFFF0000"/>
        </patternFill>
      </fill>
    </dxf>
    <dxf>
      <fill>
        <patternFill>
          <bgColor rgb="FF00B0F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ill>
        <patternFill>
          <bgColor rgb="FFFF0000"/>
        </patternFill>
      </fill>
    </dxf>
    <dxf>
      <fill>
        <patternFill>
          <bgColor rgb="FF00B0F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ill>
        <patternFill>
          <bgColor rgb="FFFF0000"/>
        </patternFill>
      </fill>
    </dxf>
    <dxf>
      <fill>
        <patternFill>
          <bgColor rgb="FF00B0F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ill>
        <patternFill>
          <bgColor rgb="FFFF0000"/>
        </patternFill>
      </fill>
    </dxf>
    <dxf>
      <fill>
        <patternFill>
          <bgColor rgb="FF00B0F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ill>
        <patternFill>
          <bgColor rgb="FFFF0000"/>
        </patternFill>
      </fill>
    </dxf>
    <dxf>
      <fill>
        <patternFill>
          <bgColor rgb="FF00B0F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00B0F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ill>
        <patternFill>
          <bgColor rgb="FFFF0000"/>
        </patternFill>
      </fill>
    </dxf>
    <dxf>
      <fill>
        <patternFill>
          <bgColor rgb="FF00B0F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ill>
        <patternFill>
          <bgColor rgb="FFFF0000"/>
        </patternFill>
      </fill>
    </dxf>
    <dxf>
      <fill>
        <patternFill>
          <bgColor rgb="FF00B0F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ill>
        <patternFill>
          <bgColor rgb="FF00B0F0"/>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00B0F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ill>
        <patternFill>
          <bgColor rgb="FFFF0000"/>
        </patternFill>
      </fill>
    </dxf>
    <dxf>
      <fill>
        <patternFill>
          <bgColor rgb="FF00B0F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ill>
        <patternFill>
          <bgColor rgb="FFFF0000"/>
        </patternFill>
      </fill>
    </dxf>
    <dxf>
      <fill>
        <patternFill>
          <bgColor rgb="FF00B0F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ill>
        <patternFill>
          <bgColor rgb="FFFF0000"/>
        </patternFill>
      </fill>
    </dxf>
    <dxf>
      <fill>
        <patternFill>
          <bgColor rgb="FF00B0F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ill>
        <patternFill>
          <bgColor rgb="FFFF0000"/>
        </patternFill>
      </fill>
    </dxf>
    <dxf>
      <fill>
        <patternFill>
          <bgColor rgb="FF00B0F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ill>
        <patternFill>
          <bgColor rgb="FFFF0000"/>
        </patternFill>
      </fill>
    </dxf>
    <dxf>
      <fill>
        <patternFill>
          <bgColor rgb="FF00B0F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ill>
        <patternFill>
          <bgColor rgb="FFFF0000"/>
        </patternFill>
      </fill>
    </dxf>
    <dxf>
      <fill>
        <patternFill>
          <bgColor rgb="FF00B0F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ill>
        <patternFill>
          <bgColor rgb="FFFF0000"/>
        </patternFill>
      </fill>
    </dxf>
    <dxf>
      <fill>
        <patternFill>
          <bgColor rgb="FF00B0F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ill>
        <patternFill>
          <bgColor rgb="FFFF0000"/>
        </patternFill>
      </fill>
    </dxf>
    <dxf>
      <fill>
        <patternFill>
          <bgColor rgb="FF00B0F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ill>
        <patternFill>
          <bgColor rgb="FFFF0000"/>
        </patternFill>
      </fill>
    </dxf>
    <dxf>
      <fill>
        <patternFill>
          <bgColor rgb="FF00B0F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00B0F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ill>
        <patternFill>
          <bgColor rgb="FFFF0000"/>
        </patternFill>
      </fill>
    </dxf>
    <dxf>
      <fill>
        <patternFill>
          <bgColor rgb="FF00B0F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ill>
        <patternFill>
          <bgColor rgb="FFFF0000"/>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ill>
        <patternFill>
          <bgColor rgb="FFFF0000"/>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ill>
        <patternFill>
          <bgColor rgb="FFFF0000"/>
        </patternFill>
      </fill>
    </dxf>
    <dxf>
      <fill>
        <patternFill>
          <bgColor rgb="FF00B0F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ill>
        <patternFill>
          <bgColor rgb="FFFF0000"/>
        </patternFill>
      </fill>
    </dxf>
    <dxf>
      <fill>
        <patternFill>
          <bgColor rgb="FF00B0F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ill>
        <patternFill>
          <bgColor rgb="FFFF0000"/>
        </patternFill>
      </fill>
    </dxf>
    <dxf>
      <fill>
        <patternFill>
          <bgColor rgb="FF00B0F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rgb="FFFF0000"/>
        </patternFill>
      </fill>
    </dxf>
    <dxf>
      <font>
        <color rgb="FF9C5700"/>
      </font>
      <fill>
        <patternFill>
          <bgColor rgb="FFFFEB9C"/>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ont>
        <color rgb="FF9C5700"/>
      </font>
      <fill>
        <patternFill>
          <bgColor rgb="FFFFEB9C"/>
        </patternFill>
      </fill>
    </dxf>
    <dxf>
      <fill>
        <patternFill>
          <bgColor rgb="FFFF0000"/>
        </patternFill>
      </fill>
    </dxf>
    <dxf>
      <font>
        <color rgb="FF9C5700"/>
      </font>
      <fill>
        <patternFill>
          <bgColor rgb="FFFFEB9C"/>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rgb="FFFF0000"/>
        </patternFill>
      </fill>
    </dxf>
    <dxf>
      <font>
        <color rgb="FF9C5700"/>
      </font>
      <fill>
        <patternFill>
          <bgColor rgb="FFFFEB9C"/>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ont>
        <color rgb="FF9C5700"/>
      </font>
      <fill>
        <patternFill>
          <bgColor rgb="FFFFEB9C"/>
        </patternFill>
      </fill>
    </dxf>
    <dxf>
      <fill>
        <patternFill>
          <bgColor rgb="FFFF0000"/>
        </patternFill>
      </fill>
    </dxf>
    <dxf>
      <font>
        <color rgb="FF9C5700"/>
      </font>
      <fill>
        <patternFill>
          <bgColor rgb="FFFFEB9C"/>
        </patternFill>
      </fill>
    </dxf>
    <dxf>
      <fill>
        <patternFill>
          <bgColor rgb="FFFF0000"/>
        </patternFill>
      </fill>
    </dxf>
    <dxf>
      <font>
        <color rgb="FF9C5700"/>
      </font>
      <fill>
        <patternFill>
          <bgColor rgb="FFFFEB9C"/>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ont>
        <color rgb="FF9C5700"/>
      </font>
      <fill>
        <patternFill>
          <bgColor rgb="FFFFEB9C"/>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ont>
        <color rgb="FF9C5700"/>
      </font>
      <fill>
        <patternFill>
          <bgColor rgb="FFFFEB9C"/>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ont>
        <color rgb="FF9C0006"/>
      </font>
      <fill>
        <patternFill>
          <bgColor rgb="FFFFC7CE"/>
        </patternFill>
      </fill>
    </dxf>
    <dxf>
      <fill>
        <patternFill>
          <bgColor theme="0" tint="-0.24994659260841701"/>
        </patternFill>
      </fill>
    </dxf>
    <dxf>
      <fill>
        <patternFill>
          <bgColor rgb="FF00B0F0"/>
        </patternFill>
      </fill>
    </dxf>
    <dxf>
      <font>
        <color rgb="FF9C0006"/>
      </font>
      <fill>
        <patternFill>
          <bgColor rgb="FFFFC7CE"/>
        </patternFill>
      </fill>
    </dxf>
    <dxf>
      <fill>
        <patternFill>
          <bgColor theme="0" tint="-0.24994659260841701"/>
        </patternFill>
      </fill>
    </dxf>
    <dxf>
      <fill>
        <patternFill>
          <bgColor rgb="FF00B0F0"/>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theme="0" tint="-0.24994659260841701"/>
        </patternFill>
      </fill>
    </dxf>
    <dxf>
      <fill>
        <patternFill>
          <bgColor rgb="FF00B0F0"/>
        </patternFill>
      </fill>
    </dxf>
    <dxf>
      <font>
        <color rgb="FF9C0006"/>
      </font>
      <fill>
        <patternFill>
          <bgColor rgb="FFFFC7CE"/>
        </patternFill>
      </fill>
    </dxf>
    <dxf>
      <font>
        <color rgb="FF9C0006"/>
      </font>
      <fill>
        <patternFill>
          <bgColor rgb="FFFFC7CE"/>
        </patternFill>
      </fill>
    </dxf>
    <dxf>
      <fill>
        <patternFill>
          <bgColor theme="0" tint="-0.24994659260841701"/>
        </patternFill>
      </fill>
    </dxf>
    <dxf>
      <fill>
        <patternFill>
          <bgColor rgb="FF00B0F0"/>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theme="0" tint="-0.24994659260841701"/>
        </patternFill>
      </fill>
    </dxf>
    <dxf>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0" tint="-0.24994659260841701"/>
        </patternFill>
      </fill>
    </dxf>
    <dxf>
      <fill>
        <patternFill>
          <bgColor rgb="FF00B0F0"/>
        </patternFill>
      </fill>
    </dxf>
    <dxf>
      <font>
        <color rgb="FF9C0006"/>
      </font>
      <fill>
        <patternFill>
          <bgColor rgb="FFFFC7CE"/>
        </patternFill>
      </fill>
    </dxf>
    <dxf>
      <fill>
        <patternFill>
          <bgColor theme="0" tint="-0.24994659260841701"/>
        </patternFill>
      </fill>
    </dxf>
    <dxf>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5700"/>
      </font>
      <fill>
        <patternFill>
          <bgColor rgb="FFFFEB9C"/>
        </patternFill>
      </fill>
    </dxf>
    <dxf>
      <fill>
        <patternFill>
          <bgColor rgb="FFFF0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ont>
        <color rgb="FF9C5700"/>
      </font>
      <fill>
        <patternFill>
          <bgColor rgb="FFFFEB9C"/>
        </patternFill>
      </fill>
    </dxf>
    <dxf>
      <fill>
        <patternFill>
          <bgColor rgb="FFFF0000"/>
        </patternFill>
      </fill>
    </dxf>
    <dxf>
      <font>
        <color rgb="FF9C5700"/>
      </font>
      <fill>
        <patternFill>
          <bgColor rgb="FFFFEB9C"/>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ont>
        <color rgb="FF9C5700"/>
      </font>
      <fill>
        <patternFill>
          <bgColor rgb="FFFFEB9C"/>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ont>
        <color rgb="FF9C5700"/>
      </font>
      <fill>
        <patternFill>
          <bgColor rgb="FFFFEB9C"/>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ont>
        <color rgb="FF9C5700"/>
      </font>
      <fill>
        <patternFill>
          <bgColor rgb="FFFFEB9C"/>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ont>
        <color rgb="FF9C0006"/>
      </font>
      <fill>
        <patternFill>
          <bgColor rgb="FFFFC7CE"/>
        </patternFill>
      </fill>
    </dxf>
    <dxf>
      <fill>
        <patternFill>
          <bgColor theme="0" tint="-0.24994659260841701"/>
        </patternFill>
      </fill>
    </dxf>
    <dxf>
      <fill>
        <patternFill>
          <bgColor rgb="FF00B0F0"/>
        </patternFill>
      </fill>
    </dxf>
    <dxf>
      <font>
        <color rgb="FF9C0006"/>
      </font>
      <fill>
        <patternFill>
          <bgColor rgb="FFFFC7CE"/>
        </patternFill>
      </fill>
    </dxf>
    <dxf>
      <fill>
        <patternFill>
          <bgColor theme="0" tint="-0.24994659260841701"/>
        </patternFill>
      </fill>
    </dxf>
    <dxf>
      <fill>
        <patternFill>
          <bgColor rgb="FF00B0F0"/>
        </patternFill>
      </fill>
    </dxf>
    <dxf>
      <font>
        <color rgb="FF9C0006"/>
      </font>
      <fill>
        <patternFill>
          <bgColor rgb="FFFFC7CE"/>
        </patternFill>
      </fill>
    </dxf>
    <dxf>
      <fill>
        <patternFill>
          <bgColor theme="0" tint="-0.24994659260841701"/>
        </patternFill>
      </fill>
    </dxf>
    <dxf>
      <fill>
        <patternFill>
          <bgColor rgb="FF00B0F0"/>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theme="0" tint="-0.24994659260841701"/>
        </patternFill>
      </fill>
    </dxf>
    <dxf>
      <fill>
        <patternFill>
          <bgColor rgb="FF00B0F0"/>
        </patternFill>
      </fill>
    </dxf>
    <dxf>
      <font>
        <color rgb="FF9C0006"/>
      </font>
      <fill>
        <patternFill>
          <bgColor rgb="FFFFC7CE"/>
        </patternFill>
      </fill>
    </dxf>
    <dxf>
      <fill>
        <patternFill>
          <bgColor theme="0" tint="-0.24994659260841701"/>
        </patternFill>
      </fill>
    </dxf>
    <dxf>
      <font>
        <color rgb="FF9C0006"/>
      </font>
      <fill>
        <patternFill>
          <bgColor rgb="FFFFC7CE"/>
        </patternFill>
      </fill>
    </dxf>
    <dxf>
      <fill>
        <patternFill>
          <bgColor rgb="FF00B0F0"/>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0" tint="-0.24994659260841701"/>
        </patternFill>
      </fill>
    </dxf>
    <dxf>
      <fill>
        <patternFill>
          <bgColor rgb="FF00B0F0"/>
        </patternFill>
      </fill>
    </dxf>
    <dxf>
      <font>
        <color rgb="FF9C0006"/>
      </font>
      <fill>
        <patternFill>
          <bgColor rgb="FFFFC7CE"/>
        </patternFill>
      </fill>
    </dxf>
    <dxf>
      <fill>
        <patternFill>
          <bgColor theme="0" tint="-0.24994659260841701"/>
        </patternFill>
      </fill>
    </dxf>
    <dxf>
      <fill>
        <patternFill>
          <bgColor rgb="FF00B0F0"/>
        </patternFill>
      </fill>
    </dxf>
    <dxf>
      <font>
        <color rgb="FF9C0006"/>
      </font>
      <fill>
        <patternFill>
          <bgColor rgb="FFFFC7CE"/>
        </patternFill>
      </fill>
    </dxf>
    <dxf>
      <fill>
        <patternFill>
          <bgColor theme="0" tint="-0.24994659260841701"/>
        </patternFill>
      </fill>
    </dxf>
    <dxf>
      <fill>
        <patternFill>
          <bgColor rgb="FF00B0F0"/>
        </patternFill>
      </fill>
    </dxf>
    <dxf>
      <font>
        <color rgb="FF9C0006"/>
      </font>
      <fill>
        <patternFill>
          <bgColor rgb="FFFFC7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00B0F0"/>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00B0F0"/>
        </patternFill>
      </fill>
    </dxf>
    <dxf>
      <fill>
        <patternFill>
          <bgColor rgb="FFFF000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bgColor theme="0" tint="-0.24994659260841701"/>
        </patternFill>
      </fill>
    </dxf>
    <dxf>
      <fill>
        <patternFill>
          <bgColor rgb="FF00B0F0"/>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fill>
        <patternFill>
          <bgColor rgb="FFFF0000"/>
        </patternFill>
      </fill>
    </dxf>
    <dxf>
      <fill>
        <patternFill>
          <bgColor theme="0" tint="-0.34998626667073579"/>
        </patternFill>
      </fill>
    </dxf>
    <dxf>
      <fill>
        <patternFill>
          <bgColor theme="9" tint="0.39994506668294322"/>
        </patternFill>
      </fill>
    </dxf>
    <dxf>
      <fill>
        <patternFill>
          <bgColor theme="9"/>
        </patternFill>
      </fill>
    </dxf>
    <dxf>
      <font>
        <strike/>
      </font>
      <fill>
        <patternFill>
          <bgColor theme="4" tint="0.59996337778862885"/>
        </patternFill>
      </fill>
    </dxf>
    <dxf>
      <fill>
        <patternFill>
          <bgColor theme="5" tint="0.39994506668294322"/>
        </patternFill>
      </fill>
    </dxf>
    <dxf>
      <fill>
        <patternFill>
          <bgColor theme="7" tint="0.59996337778862885"/>
        </patternFill>
      </fill>
    </dxf>
    <dxf>
      <font>
        <color rgb="FF006100"/>
      </font>
      <fill>
        <patternFill>
          <bgColor rgb="FFC6EFCE"/>
        </patternFill>
      </fill>
    </dxf>
    <dxf>
      <fill>
        <patternFill>
          <bgColor rgb="FFFF0000"/>
        </patternFill>
      </fil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font>
        <b/>
      </font>
    </dxf>
    <dxf>
      <font>
        <b/>
      </font>
    </dxf>
    <dxf>
      <font>
        <b/>
      </font>
    </dxf>
    <dxf>
      <font>
        <b/>
      </font>
    </dxf>
    <dxf>
      <font>
        <b/>
      </font>
    </dxf>
    <dxf>
      <font>
        <b/>
      </font>
    </dxf>
    <dxf>
      <font>
        <b/>
      </font>
    </dxf>
    <dxf>
      <font>
        <b/>
      </font>
    </dxf>
    <dxf>
      <font>
        <b/>
      </font>
    </dxf>
    <dxf>
      <font>
        <b/>
      </font>
    </dxf>
    <dxf>
      <font>
        <b/>
      </font>
    </dxf>
    <dxf>
      <alignment horizontal="center"/>
    </dxf>
    <dxf>
      <alignment horizontal="cent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fill>
        <patternFill patternType="solid">
          <fgColor indexed="64"/>
          <bgColor rgb="FF00B050"/>
        </patternFill>
      </fill>
    </dxf>
    <dxf>
      <fill>
        <patternFill patternType="solid">
          <fgColor indexed="64"/>
          <bgColor rgb="FFFFC000"/>
        </patternFill>
      </fill>
    </dxf>
    <dxf>
      <font>
        <b/>
      </font>
    </dxf>
    <dxf>
      <font>
        <b/>
      </font>
    </dxf>
    <dxf>
      <font>
        <b/>
      </font>
    </dxf>
    <dxf>
      <font>
        <b/>
      </font>
    </dxf>
    <dxf>
      <font>
        <b/>
      </font>
    </dxf>
    <dxf>
      <font>
        <b/>
      </font>
    </dxf>
    <dxf>
      <font>
        <b/>
      </font>
    </dxf>
    <dxf>
      <font>
        <b/>
      </font>
    </dxf>
    <dxf>
      <font>
        <b/>
      </font>
    </dxf>
    <dxf>
      <font>
        <b/>
      </font>
    </dxf>
    <dxf>
      <font>
        <b/>
      </font>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alignment horizontal="center"/>
    </dxf>
    <dxf>
      <numFmt numFmtId="14" formatCode="0.00%"/>
    </dxf>
    <dxf>
      <numFmt numFmtId="14" formatCode="0.00%"/>
    </dxf>
    <dxf>
      <numFmt numFmtId="14" formatCode="0.00%"/>
    </dxf>
    <dxf>
      <numFmt numFmtId="14" formatCode="0.00%"/>
    </dxf>
    <dxf>
      <numFmt numFmtId="0" formatCode="General"/>
    </dxf>
    <dxf>
      <numFmt numFmtId="14" formatCode="0.00%"/>
    </dxf>
    <dxf>
      <numFmt numFmtId="13" formatCode="0%"/>
    </dxf>
    <dxf>
      <numFmt numFmtId="13" formatCode="0%"/>
    </dxf>
    <dxf>
      <alignment horizontal="center"/>
    </dxf>
    <dxf>
      <alignment horizontal="center"/>
    </dxf>
    <dxf>
      <alignment horizontal="center"/>
    </dxf>
    <dxf>
      <alignment horizontal="center"/>
    </dxf>
    <dxf>
      <alignment horizontal="center"/>
    </dxf>
    <dxf>
      <alignment horizontal="center"/>
    </dxf>
    <dxf>
      <numFmt numFmtId="13" formatCode="0%"/>
    </dxf>
    <dxf>
      <numFmt numFmtId="13" formatCode="0%"/>
    </dxf>
    <dxf>
      <alignment horizontal="center"/>
    </dxf>
    <dxf>
      <alignment horizontal="center"/>
    </dxf>
    <dxf>
      <alignment horizontal="center"/>
    </dxf>
    <dxf>
      <alignment horizontal="center"/>
    </dxf>
    <dxf>
      <alignment horizontal="center"/>
    </dxf>
    <dxf>
      <alignment horizontal="center"/>
    </dxf>
    <dxf>
      <numFmt numFmtId="13" formatCode="0%"/>
    </dxf>
    <dxf>
      <numFmt numFmtId="13"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3" formatCode="0%"/>
    </dxf>
    <dxf>
      <numFmt numFmtId="13" formatCode="0%"/>
    </dxf>
    <dxf>
      <alignment horizontal="center"/>
    </dxf>
    <dxf>
      <alignment horizontal="center"/>
    </dxf>
    <dxf>
      <alignment horizontal="center"/>
    </dxf>
    <dxf>
      <alignment horizontal="center"/>
    </dxf>
    <dxf>
      <alignment horizontal="center"/>
    </dxf>
    <dxf>
      <alignment horizontal="center"/>
    </dxf>
    <dxf>
      <numFmt numFmtId="13" formatCode="0%"/>
    </dxf>
    <dxf>
      <numFmt numFmtId="13" formatCode="0%"/>
    </dxf>
    <dxf>
      <alignment horizontal="center"/>
    </dxf>
    <dxf>
      <alignment horizontal="center"/>
    </dxf>
    <dxf>
      <alignment horizontal="center"/>
    </dxf>
    <dxf>
      <alignment horizontal="center"/>
    </dxf>
    <dxf>
      <alignment horizontal="center"/>
    </dxf>
    <dxf>
      <alignment horizontal="center"/>
    </dxf>
    <dxf>
      <numFmt numFmtId="13" formatCode="0%"/>
    </dxf>
    <dxf>
      <numFmt numFmtId="13" formatCode="0%"/>
    </dxf>
    <dxf>
      <alignment horizontal="center"/>
    </dxf>
    <dxf>
      <alignment horizontal="center"/>
    </dxf>
    <dxf>
      <alignment horizontal="center"/>
    </dxf>
    <dxf>
      <alignment horizontal="center"/>
    </dxf>
    <dxf>
      <alignment horizontal="center"/>
    </dxf>
    <dxf>
      <alignment horizontal="center"/>
    </dxf>
    <dxf>
      <numFmt numFmtId="13" formatCode="0%"/>
    </dxf>
    <dxf>
      <numFmt numFmtId="13"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3" formatCode="0%"/>
    </dxf>
    <dxf>
      <numFmt numFmtId="13"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pivotCacheDefinition" Target="pivotCache/pivotCacheDefinition10.xml"/><Relationship Id="rId21" Type="http://schemas.openxmlformats.org/officeDocument/2006/relationships/worksheet" Target="worksheets/sheet21.xml"/><Relationship Id="rId34" Type="http://schemas.openxmlformats.org/officeDocument/2006/relationships/pivotCacheDefinition" Target="pivotCache/pivotCacheDefinition5.xml"/><Relationship Id="rId42" Type="http://schemas.openxmlformats.org/officeDocument/2006/relationships/pivotCacheDefinition" Target="pivotCache/pivotCacheDefinition13.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pivotCacheDefinition" Target="pivotCache/pivotCacheDefinition3.xml"/><Relationship Id="rId37" Type="http://schemas.openxmlformats.org/officeDocument/2006/relationships/pivotCacheDefinition" Target="pivotCache/pivotCacheDefinition8.xml"/><Relationship Id="rId40" Type="http://schemas.openxmlformats.org/officeDocument/2006/relationships/pivotCacheDefinition" Target="pivotCache/pivotCacheDefinition11.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pivotCacheDefinition" Target="pivotCache/pivotCacheDefinition7.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pivotCacheDefinition" Target="pivotCache/pivotCacheDefinition2.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pivotCacheDefinition" Target="pivotCache/pivotCacheDefinition1.xml"/><Relationship Id="rId35" Type="http://schemas.openxmlformats.org/officeDocument/2006/relationships/pivotCacheDefinition" Target="pivotCache/pivotCacheDefinition6.xml"/><Relationship Id="rId43" Type="http://schemas.openxmlformats.org/officeDocument/2006/relationships/pivotCacheDefinition" Target="pivotCache/pivotCacheDefinition14.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pivotCacheDefinition" Target="pivotCache/pivotCacheDefinition4.xml"/><Relationship Id="rId38" Type="http://schemas.openxmlformats.org/officeDocument/2006/relationships/pivotCacheDefinition" Target="pivotCache/pivotCacheDefinition9.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pivotCacheDefinition" Target="pivotCache/pivotCacheDefinition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Absent Count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'August Tardy and Absenteeism'!$M$1</c:f>
              <c:strCache>
                <c:ptCount val="1"/>
                <c:pt idx="0">
                  <c:v>Absent Count</c:v>
                </c:pt>
              </c:strCache>
            </c:strRef>
          </c:tx>
          <c:spPr>
            <a:solidFill>
              <a:srgbClr val="637CEF"/>
            </a:solidFill>
            <a:ln>
              <a:noFill/>
            </a:ln>
            <a:effectLst/>
          </c:spPr>
          <c:invertIfNegative val="0"/>
          <c:cat>
            <c:strRef>
              <c:f>'August Tardy and Absenteeism'!$L$2:$L$18</c:f>
              <c:strCache>
                <c:ptCount val="17"/>
                <c:pt idx="0">
                  <c:v>Personal Matter</c:v>
                </c:pt>
                <c:pt idx="1">
                  <c:v>Family Emergency</c:v>
                </c:pt>
                <c:pt idx="2">
                  <c:v>Late log in</c:v>
                </c:pt>
                <c:pt idx="3">
                  <c:v>Motor Accident </c:v>
                </c:pt>
                <c:pt idx="4">
                  <c:v>PC Issue</c:v>
                </c:pt>
                <c:pt idx="5">
                  <c:v>Personal Matter</c:v>
                </c:pt>
                <c:pt idx="6">
                  <c:v>Woke up Late due to RDOT </c:v>
                </c:pt>
                <c:pt idx="7">
                  <c:v>PC Issue</c:v>
                </c:pt>
                <c:pt idx="8">
                  <c:v>Transportation issue</c:v>
                </c:pt>
                <c:pt idx="9">
                  <c:v>Late log in</c:v>
                </c:pt>
                <c:pt idx="10">
                  <c:v>Transportation</c:v>
                </c:pt>
                <c:pt idx="11">
                  <c:v>Heavy Rain Fall</c:v>
                </c:pt>
                <c:pt idx="12">
                  <c:v>Health Issue</c:v>
                </c:pt>
                <c:pt idx="13">
                  <c:v>Sick Leave</c:v>
                </c:pt>
                <c:pt idx="14">
                  <c:v>Sick Leave</c:v>
                </c:pt>
                <c:pt idx="15">
                  <c:v>Sick Leave</c:v>
                </c:pt>
                <c:pt idx="16">
                  <c:v>Sick Leave</c:v>
                </c:pt>
              </c:strCache>
            </c:strRef>
          </c:cat>
          <c:val>
            <c:numRef>
              <c:f>'August Tardy and Absenteeism'!$M$2:$M$18</c:f>
              <c:numCache>
                <c:formatCode>General</c:formatCode>
                <c:ptCount val="17"/>
                <c:pt idx="0">
                  <c:v>4</c:v>
                </c:pt>
                <c:pt idx="1">
                  <c:v>1</c:v>
                </c:pt>
                <c:pt idx="2">
                  <c:v>1</c:v>
                </c:pt>
                <c:pt idx="3">
                  <c:v>2</c:v>
                </c:pt>
                <c:pt idx="4">
                  <c:v>3</c:v>
                </c:pt>
                <c:pt idx="5">
                  <c:v>1</c:v>
                </c:pt>
                <c:pt idx="6">
                  <c:v>1</c:v>
                </c:pt>
                <c:pt idx="7">
                  <c:v>3</c:v>
                </c:pt>
                <c:pt idx="8">
                  <c:v>8</c:v>
                </c:pt>
                <c:pt idx="9">
                  <c:v>3</c:v>
                </c:pt>
                <c:pt idx="10">
                  <c:v>2</c:v>
                </c:pt>
                <c:pt idx="11">
                  <c:v>1</c:v>
                </c:pt>
                <c:pt idx="12">
                  <c:v>3</c:v>
                </c:pt>
                <c:pt idx="13">
                  <c:v>2</c:v>
                </c:pt>
                <c:pt idx="14">
                  <c:v>6</c:v>
                </c:pt>
                <c:pt idx="15">
                  <c:v>2</c:v>
                </c:pt>
                <c:pt idx="16">
                  <c:v>2</c:v>
                </c:pt>
              </c:numCache>
            </c:numRef>
          </c:val>
          <c:extLst>
            <c:ext xmlns:c16="http://schemas.microsoft.com/office/drawing/2014/chart" uri="{C3380CC4-5D6E-409C-BE32-E72D297353CC}">
              <c16:uniqueId val="{00000000-D8EF-449C-AD2C-E2F0C82D614D}"/>
            </c:ext>
          </c:extLst>
        </c:ser>
        <c:dLbls>
          <c:showLegendKey val="0"/>
          <c:showVal val="0"/>
          <c:showCatName val="0"/>
          <c:showSerName val="0"/>
          <c:showPercent val="0"/>
          <c:showBubbleSize val="0"/>
        </c:dLbls>
        <c:gapWidth val="39"/>
        <c:axId val="68678152"/>
        <c:axId val="68680200"/>
      </c:barChart>
      <c:lineChart>
        <c:grouping val="standard"/>
        <c:varyColors val="0"/>
        <c:ser>
          <c:idx val="1"/>
          <c:order val="1"/>
          <c:tx>
            <c:strRef>
              <c:f>'August Tardy and Absenteeism'!$N$1</c:f>
              <c:strCache>
                <c:ptCount val="1"/>
                <c:pt idx="0">
                  <c:v>Date</c:v>
                </c:pt>
              </c:strCache>
            </c:strRef>
          </c:tx>
          <c:spPr>
            <a:ln w="28575" cap="rnd">
              <a:solidFill>
                <a:srgbClr val="E3008C"/>
              </a:solidFill>
              <a:round/>
            </a:ln>
            <a:effectLst/>
          </c:spPr>
          <c:marker>
            <c:symbol val="none"/>
          </c:marker>
          <c:trendline>
            <c:spPr>
              <a:ln w="19050" cap="rnd">
                <a:solidFill>
                  <a:srgbClr val="E3008C"/>
                </a:solidFill>
                <a:prstDash val="sysDot"/>
              </a:ln>
              <a:effectLst/>
            </c:spPr>
            <c:trendlineType val="linear"/>
            <c:dispRSqr val="0"/>
            <c:dispEq val="0"/>
          </c:trendline>
          <c:cat>
            <c:strRef>
              <c:f>'August Tardy and Absenteeism'!$L$2:$L$18</c:f>
              <c:strCache>
                <c:ptCount val="17"/>
                <c:pt idx="0">
                  <c:v>Personal Matter</c:v>
                </c:pt>
                <c:pt idx="1">
                  <c:v>Family Emergency</c:v>
                </c:pt>
                <c:pt idx="2">
                  <c:v>Late log in</c:v>
                </c:pt>
                <c:pt idx="3">
                  <c:v>Motor Accident </c:v>
                </c:pt>
                <c:pt idx="4">
                  <c:v>PC Issue</c:v>
                </c:pt>
                <c:pt idx="5">
                  <c:v>Personal Matter</c:v>
                </c:pt>
                <c:pt idx="6">
                  <c:v>Woke up Late due to RDOT </c:v>
                </c:pt>
                <c:pt idx="7">
                  <c:v>PC Issue</c:v>
                </c:pt>
                <c:pt idx="8">
                  <c:v>Transportation issue</c:v>
                </c:pt>
                <c:pt idx="9">
                  <c:v>Late log in</c:v>
                </c:pt>
                <c:pt idx="10">
                  <c:v>Transportation</c:v>
                </c:pt>
                <c:pt idx="11">
                  <c:v>Heavy Rain Fall</c:v>
                </c:pt>
                <c:pt idx="12">
                  <c:v>Health Issue</c:v>
                </c:pt>
                <c:pt idx="13">
                  <c:v>Sick Leave</c:v>
                </c:pt>
                <c:pt idx="14">
                  <c:v>Sick Leave</c:v>
                </c:pt>
                <c:pt idx="15">
                  <c:v>Sick Leave</c:v>
                </c:pt>
                <c:pt idx="16">
                  <c:v>Sick Leave</c:v>
                </c:pt>
              </c:strCache>
            </c:strRef>
          </c:cat>
          <c:val>
            <c:numRef>
              <c:f>'August Tardy and Absenteeism'!$N$2:$N$18</c:f>
              <c:numCache>
                <c:formatCode>m/d/yyyy</c:formatCode>
                <c:ptCount val="17"/>
                <c:pt idx="0">
                  <c:v>45870</c:v>
                </c:pt>
                <c:pt idx="1">
                  <c:v>45873</c:v>
                </c:pt>
                <c:pt idx="2">
                  <c:v>45873</c:v>
                </c:pt>
                <c:pt idx="3">
                  <c:v>45873</c:v>
                </c:pt>
                <c:pt idx="4">
                  <c:v>45873</c:v>
                </c:pt>
                <c:pt idx="5">
                  <c:v>45873</c:v>
                </c:pt>
                <c:pt idx="6">
                  <c:v>45873</c:v>
                </c:pt>
                <c:pt idx="7">
                  <c:v>45874</c:v>
                </c:pt>
                <c:pt idx="8">
                  <c:v>45874</c:v>
                </c:pt>
                <c:pt idx="9">
                  <c:v>45875</c:v>
                </c:pt>
                <c:pt idx="10">
                  <c:v>45875</c:v>
                </c:pt>
                <c:pt idx="11">
                  <c:v>45875</c:v>
                </c:pt>
                <c:pt idx="12">
                  <c:v>45876</c:v>
                </c:pt>
                <c:pt idx="13">
                  <c:v>45879</c:v>
                </c:pt>
                <c:pt idx="14">
                  <c:v>45880</c:v>
                </c:pt>
                <c:pt idx="15">
                  <c:v>45881</c:v>
                </c:pt>
                <c:pt idx="16">
                  <c:v>45882</c:v>
                </c:pt>
              </c:numCache>
            </c:numRef>
          </c:val>
          <c:smooth val="0"/>
          <c:extLst>
            <c:ext xmlns:c16="http://schemas.microsoft.com/office/drawing/2014/chart" uri="{C3380CC4-5D6E-409C-BE32-E72D297353CC}">
              <c16:uniqueId val="{00000002-D8EF-449C-AD2C-E2F0C82D614D}"/>
            </c:ext>
          </c:extLst>
        </c:ser>
        <c:dLbls>
          <c:showLegendKey val="0"/>
          <c:showVal val="0"/>
          <c:showCatName val="0"/>
          <c:showSerName val="0"/>
          <c:showPercent val="0"/>
          <c:showBubbleSize val="0"/>
        </c:dLbls>
        <c:marker val="1"/>
        <c:smooth val="0"/>
        <c:axId val="648137735"/>
        <c:axId val="648134663"/>
      </c:lineChart>
      <c:catAx>
        <c:axId val="68678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680200"/>
        <c:crosses val="autoZero"/>
        <c:auto val="1"/>
        <c:lblAlgn val="ctr"/>
        <c:lblOffset val="100"/>
        <c:noMultiLvlLbl val="0"/>
      </c:catAx>
      <c:valAx>
        <c:axId val="68680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68678152"/>
        <c:crosses val="autoZero"/>
        <c:crossBetween val="between"/>
      </c:valAx>
      <c:valAx>
        <c:axId val="648134663"/>
        <c:scaling>
          <c:orientation val="minMax"/>
        </c:scaling>
        <c:delete val="0"/>
        <c:axPos val="r"/>
        <c:numFmt formatCode="m/d/yyyy"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8137735"/>
        <c:crosses val="max"/>
        <c:crossBetween val="between"/>
      </c:valAx>
      <c:catAx>
        <c:axId val="648137735"/>
        <c:scaling>
          <c:orientation val="minMax"/>
        </c:scaling>
        <c:delete val="1"/>
        <c:axPos val="b"/>
        <c:numFmt formatCode="General" sourceLinked="1"/>
        <c:majorTickMark val="none"/>
        <c:minorTickMark val="none"/>
        <c:tickLblPos val="nextTo"/>
        <c:crossAx val="648134663"/>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'August Tardy and Absenteeism'!$M$1</c:f>
              <c:strCache>
                <c:ptCount val="1"/>
                <c:pt idx="0">
                  <c:v>Absent Count</c:v>
                </c:pt>
              </c:strCache>
            </c:strRef>
          </c:tx>
          <c:spPr>
            <a:solidFill>
              <a:srgbClr val="637CEF"/>
            </a:solidFill>
            <a:ln>
              <a:noFill/>
            </a:ln>
            <a:effectLst/>
          </c:spPr>
          <c:invertIfNegative val="0"/>
          <c:cat>
            <c:strRef>
              <c:f>'August Tardy and Absenteeism'!$L$2:$L$21</c:f>
              <c:strCache>
                <c:ptCount val="20"/>
                <c:pt idx="0">
                  <c:v>Personal Matter</c:v>
                </c:pt>
                <c:pt idx="1">
                  <c:v>Family Emergency</c:v>
                </c:pt>
                <c:pt idx="2">
                  <c:v>Late log in</c:v>
                </c:pt>
                <c:pt idx="3">
                  <c:v>Motor Accident </c:v>
                </c:pt>
                <c:pt idx="4">
                  <c:v>PC Issue</c:v>
                </c:pt>
                <c:pt idx="5">
                  <c:v>Personal Matter</c:v>
                </c:pt>
                <c:pt idx="6">
                  <c:v>Woke up Late due to RDOT </c:v>
                </c:pt>
                <c:pt idx="7">
                  <c:v>PC Issue</c:v>
                </c:pt>
                <c:pt idx="8">
                  <c:v>Transportation issue</c:v>
                </c:pt>
                <c:pt idx="9">
                  <c:v>Late log in</c:v>
                </c:pt>
                <c:pt idx="10">
                  <c:v>Transportation</c:v>
                </c:pt>
                <c:pt idx="11">
                  <c:v>Heavy Rain Fall</c:v>
                </c:pt>
                <c:pt idx="12">
                  <c:v>Health Issue</c:v>
                </c:pt>
                <c:pt idx="13">
                  <c:v>Sick Leave</c:v>
                </c:pt>
                <c:pt idx="14">
                  <c:v>Sick Leave</c:v>
                </c:pt>
                <c:pt idx="15">
                  <c:v>Sick Leave</c:v>
                </c:pt>
                <c:pt idx="16">
                  <c:v>Sick Leave</c:v>
                </c:pt>
                <c:pt idx="17">
                  <c:v>Health Issue</c:v>
                </c:pt>
                <c:pt idx="18">
                  <c:v>Flood</c:v>
                </c:pt>
                <c:pt idx="19">
                  <c:v>Health Issue</c:v>
                </c:pt>
              </c:strCache>
            </c:strRef>
          </c:cat>
          <c:val>
            <c:numRef>
              <c:f>'August Tardy and Absenteeism'!$M$2:$M$21</c:f>
              <c:numCache>
                <c:formatCode>General</c:formatCode>
                <c:ptCount val="20"/>
                <c:pt idx="0">
                  <c:v>4</c:v>
                </c:pt>
                <c:pt idx="1">
                  <c:v>1</c:v>
                </c:pt>
                <c:pt idx="2">
                  <c:v>1</c:v>
                </c:pt>
                <c:pt idx="3">
                  <c:v>2</c:v>
                </c:pt>
                <c:pt idx="4">
                  <c:v>3</c:v>
                </c:pt>
                <c:pt idx="5">
                  <c:v>1</c:v>
                </c:pt>
                <c:pt idx="6">
                  <c:v>1</c:v>
                </c:pt>
                <c:pt idx="7">
                  <c:v>3</c:v>
                </c:pt>
                <c:pt idx="8">
                  <c:v>8</c:v>
                </c:pt>
                <c:pt idx="9">
                  <c:v>3</c:v>
                </c:pt>
                <c:pt idx="10">
                  <c:v>2</c:v>
                </c:pt>
                <c:pt idx="11">
                  <c:v>1</c:v>
                </c:pt>
                <c:pt idx="12">
                  <c:v>3</c:v>
                </c:pt>
                <c:pt idx="13">
                  <c:v>2</c:v>
                </c:pt>
                <c:pt idx="14">
                  <c:v>6</c:v>
                </c:pt>
                <c:pt idx="15">
                  <c:v>2</c:v>
                </c:pt>
                <c:pt idx="16">
                  <c:v>2</c:v>
                </c:pt>
                <c:pt idx="17">
                  <c:v>3</c:v>
                </c:pt>
                <c:pt idx="18">
                  <c:v>1</c:v>
                </c:pt>
                <c:pt idx="19">
                  <c:v>5</c:v>
                </c:pt>
              </c:numCache>
            </c:numRef>
          </c:val>
          <c:extLst>
            <c:ext xmlns:c16="http://schemas.microsoft.com/office/drawing/2014/chart" uri="{C3380CC4-5D6E-409C-BE32-E72D297353CC}">
              <c16:uniqueId val="{00000000-3587-4A6C-945C-A59FF1F45A6F}"/>
            </c:ext>
          </c:extLst>
        </c:ser>
        <c:dLbls>
          <c:showLegendKey val="0"/>
          <c:showVal val="0"/>
          <c:showCatName val="0"/>
          <c:showSerName val="0"/>
          <c:showPercent val="0"/>
          <c:showBubbleSize val="0"/>
        </c:dLbls>
        <c:gapWidth val="150"/>
        <c:axId val="1729183240"/>
        <c:axId val="368330247"/>
      </c:barChart>
      <c:lineChart>
        <c:grouping val="standard"/>
        <c:varyColors val="0"/>
        <c:ser>
          <c:idx val="1"/>
          <c:order val="1"/>
          <c:tx>
            <c:strRef>
              <c:f>'August Tardy and Absenteeism'!$N$1</c:f>
              <c:strCache>
                <c:ptCount val="1"/>
                <c:pt idx="0">
                  <c:v>Date</c:v>
                </c:pt>
              </c:strCache>
            </c:strRef>
          </c:tx>
          <c:spPr>
            <a:ln w="28575" cap="rnd">
              <a:solidFill>
                <a:srgbClr val="E3008C"/>
              </a:solidFill>
              <a:round/>
            </a:ln>
            <a:effectLst/>
          </c:spPr>
          <c:marker>
            <c:symbol val="none"/>
          </c:marker>
          <c:cat>
            <c:strRef>
              <c:f>'August Tardy and Absenteeism'!$L$2:$L$21</c:f>
              <c:strCache>
                <c:ptCount val="20"/>
                <c:pt idx="0">
                  <c:v>Personal Matter</c:v>
                </c:pt>
                <c:pt idx="1">
                  <c:v>Family Emergency</c:v>
                </c:pt>
                <c:pt idx="2">
                  <c:v>Late log in</c:v>
                </c:pt>
                <c:pt idx="3">
                  <c:v>Motor Accident </c:v>
                </c:pt>
                <c:pt idx="4">
                  <c:v>PC Issue</c:v>
                </c:pt>
                <c:pt idx="5">
                  <c:v>Personal Matter</c:v>
                </c:pt>
                <c:pt idx="6">
                  <c:v>Woke up Late due to RDOT </c:v>
                </c:pt>
                <c:pt idx="7">
                  <c:v>PC Issue</c:v>
                </c:pt>
                <c:pt idx="8">
                  <c:v>Transportation issue</c:v>
                </c:pt>
                <c:pt idx="9">
                  <c:v>Late log in</c:v>
                </c:pt>
                <c:pt idx="10">
                  <c:v>Transportation</c:v>
                </c:pt>
                <c:pt idx="11">
                  <c:v>Heavy Rain Fall</c:v>
                </c:pt>
                <c:pt idx="12">
                  <c:v>Health Issue</c:v>
                </c:pt>
                <c:pt idx="13">
                  <c:v>Sick Leave</c:v>
                </c:pt>
                <c:pt idx="14">
                  <c:v>Sick Leave</c:v>
                </c:pt>
                <c:pt idx="15">
                  <c:v>Sick Leave</c:v>
                </c:pt>
                <c:pt idx="16">
                  <c:v>Sick Leave</c:v>
                </c:pt>
                <c:pt idx="17">
                  <c:v>Health Issue</c:v>
                </c:pt>
                <c:pt idx="18">
                  <c:v>Flood</c:v>
                </c:pt>
                <c:pt idx="19">
                  <c:v>Health Issue</c:v>
                </c:pt>
              </c:strCache>
            </c:strRef>
          </c:cat>
          <c:val>
            <c:numRef>
              <c:f>'August Tardy and Absenteeism'!$N$2:$N$21</c:f>
              <c:numCache>
                <c:formatCode>m/d/yyyy</c:formatCode>
                <c:ptCount val="20"/>
                <c:pt idx="0">
                  <c:v>45870</c:v>
                </c:pt>
                <c:pt idx="1">
                  <c:v>45873</c:v>
                </c:pt>
                <c:pt idx="2">
                  <c:v>45873</c:v>
                </c:pt>
                <c:pt idx="3">
                  <c:v>45873</c:v>
                </c:pt>
                <c:pt idx="4">
                  <c:v>45873</c:v>
                </c:pt>
                <c:pt idx="5">
                  <c:v>45873</c:v>
                </c:pt>
                <c:pt idx="6">
                  <c:v>45873</c:v>
                </c:pt>
                <c:pt idx="7">
                  <c:v>45874</c:v>
                </c:pt>
                <c:pt idx="8">
                  <c:v>45874</c:v>
                </c:pt>
                <c:pt idx="9">
                  <c:v>45875</c:v>
                </c:pt>
                <c:pt idx="10">
                  <c:v>45875</c:v>
                </c:pt>
                <c:pt idx="11">
                  <c:v>45875</c:v>
                </c:pt>
                <c:pt idx="12">
                  <c:v>45876</c:v>
                </c:pt>
                <c:pt idx="13">
                  <c:v>45879</c:v>
                </c:pt>
                <c:pt idx="14">
                  <c:v>45880</c:v>
                </c:pt>
                <c:pt idx="15">
                  <c:v>45881</c:v>
                </c:pt>
                <c:pt idx="16">
                  <c:v>45882</c:v>
                </c:pt>
                <c:pt idx="17">
                  <c:v>45883</c:v>
                </c:pt>
                <c:pt idx="18">
                  <c:v>45883</c:v>
                </c:pt>
                <c:pt idx="19">
                  <c:v>45884</c:v>
                </c:pt>
              </c:numCache>
            </c:numRef>
          </c:val>
          <c:smooth val="0"/>
          <c:extLst>
            <c:ext xmlns:c16="http://schemas.microsoft.com/office/drawing/2014/chart" uri="{C3380CC4-5D6E-409C-BE32-E72D297353CC}">
              <c16:uniqueId val="{00000002-3587-4A6C-945C-A59FF1F45A6F}"/>
            </c:ext>
          </c:extLst>
        </c:ser>
        <c:dLbls>
          <c:showLegendKey val="0"/>
          <c:showVal val="0"/>
          <c:showCatName val="0"/>
          <c:showSerName val="0"/>
          <c:showPercent val="0"/>
          <c:showBubbleSize val="0"/>
        </c:dLbls>
        <c:marker val="1"/>
        <c:smooth val="0"/>
        <c:axId val="1531030023"/>
        <c:axId val="1436801543"/>
      </c:lineChart>
      <c:catAx>
        <c:axId val="1729183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8330247"/>
        <c:crosses val="autoZero"/>
        <c:auto val="1"/>
        <c:lblAlgn val="ctr"/>
        <c:lblOffset val="100"/>
        <c:noMultiLvlLbl val="0"/>
      </c:catAx>
      <c:valAx>
        <c:axId val="368330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9183240"/>
        <c:crosses val="autoZero"/>
        <c:crossBetween val="between"/>
      </c:valAx>
      <c:valAx>
        <c:axId val="1436801543"/>
        <c:scaling>
          <c:orientation val="minMax"/>
        </c:scaling>
        <c:delete val="0"/>
        <c:axPos val="r"/>
        <c:numFmt formatCode="m/d/yyyy"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1030023"/>
        <c:crosses val="max"/>
        <c:crossBetween val="between"/>
      </c:valAx>
      <c:catAx>
        <c:axId val="1531030023"/>
        <c:scaling>
          <c:orientation val="minMax"/>
        </c:scaling>
        <c:delete val="1"/>
        <c:axPos val="b"/>
        <c:numFmt formatCode="General" sourceLinked="1"/>
        <c:majorTickMark val="none"/>
        <c:minorTickMark val="none"/>
        <c:tickLblPos val="nextTo"/>
        <c:crossAx val="1436801543"/>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'August Tardy and Absenteeism'!$P$1:$P$4</c:f>
              <c:strCache>
                <c:ptCount val="4"/>
                <c:pt idx="0">
                  <c:v>Tardy Count</c:v>
                </c:pt>
                <c:pt idx="1">
                  <c:v>1</c:v>
                </c:pt>
                <c:pt idx="2">
                  <c:v>19</c:v>
                </c:pt>
                <c:pt idx="3">
                  <c:v>2</c:v>
                </c:pt>
              </c:strCache>
            </c:strRef>
          </c:tx>
          <c:spPr>
            <a:solidFill>
              <a:srgbClr val="637CEF"/>
            </a:solidFill>
            <a:ln>
              <a:noFill/>
            </a:ln>
            <a:effectLst/>
          </c:spPr>
          <c:invertIfNegative val="0"/>
          <c:cat>
            <c:strRef>
              <c:f>'August Tardy and Absenteeism'!$O$5:$O$21</c:f>
              <c:strCache>
                <c:ptCount val="17"/>
                <c:pt idx="0">
                  <c:v>Health Issue</c:v>
                </c:pt>
                <c:pt idx="1">
                  <c:v>Family Matters</c:v>
                </c:pt>
                <c:pt idx="2">
                  <c:v>Late log in</c:v>
                </c:pt>
                <c:pt idx="3">
                  <c:v>Transportation issue</c:v>
                </c:pt>
                <c:pt idx="4">
                  <c:v>Heavy Rain Fall</c:v>
                </c:pt>
                <c:pt idx="5">
                  <c:v>Transportation</c:v>
                </c:pt>
                <c:pt idx="6">
                  <c:v>PC Issue</c:v>
                </c:pt>
                <c:pt idx="7">
                  <c:v>Family Emergency</c:v>
                </c:pt>
                <c:pt idx="8">
                  <c:v>Pattern Tardiness</c:v>
                </c:pt>
                <c:pt idx="9">
                  <c:v>Transportation issue</c:v>
                </c:pt>
                <c:pt idx="10">
                  <c:v>Late Log in</c:v>
                </c:pt>
                <c:pt idx="11">
                  <c:v>Transportation Issue</c:v>
                </c:pt>
                <c:pt idx="12">
                  <c:v>Late Log in</c:v>
                </c:pt>
                <c:pt idx="13">
                  <c:v>Transportation issue</c:v>
                </c:pt>
                <c:pt idx="14">
                  <c:v>Transportation issue</c:v>
                </c:pt>
                <c:pt idx="15">
                  <c:v>Heavy Traffic</c:v>
                </c:pt>
                <c:pt idx="16">
                  <c:v>PC Issue</c:v>
                </c:pt>
              </c:strCache>
            </c:strRef>
          </c:cat>
          <c:val>
            <c:numRef>
              <c:f>'August Tardy and Absenteeism'!$P$5:$P$21</c:f>
              <c:numCache>
                <c:formatCode>General</c:formatCode>
                <c:ptCount val="17"/>
                <c:pt idx="0">
                  <c:v>2</c:v>
                </c:pt>
                <c:pt idx="1">
                  <c:v>1</c:v>
                </c:pt>
                <c:pt idx="2">
                  <c:v>3</c:v>
                </c:pt>
                <c:pt idx="3">
                  <c:v>3</c:v>
                </c:pt>
                <c:pt idx="4">
                  <c:v>1</c:v>
                </c:pt>
                <c:pt idx="5">
                  <c:v>3</c:v>
                </c:pt>
                <c:pt idx="6">
                  <c:v>3</c:v>
                </c:pt>
                <c:pt idx="7">
                  <c:v>1</c:v>
                </c:pt>
                <c:pt idx="8">
                  <c:v>1</c:v>
                </c:pt>
                <c:pt idx="9">
                  <c:v>7</c:v>
                </c:pt>
                <c:pt idx="10">
                  <c:v>8</c:v>
                </c:pt>
                <c:pt idx="11">
                  <c:v>3</c:v>
                </c:pt>
                <c:pt idx="12">
                  <c:v>6</c:v>
                </c:pt>
                <c:pt idx="13">
                  <c:v>8</c:v>
                </c:pt>
                <c:pt idx="14">
                  <c:v>7</c:v>
                </c:pt>
                <c:pt idx="15">
                  <c:v>11</c:v>
                </c:pt>
                <c:pt idx="16">
                  <c:v>1</c:v>
                </c:pt>
              </c:numCache>
            </c:numRef>
          </c:val>
          <c:extLst>
            <c:ext xmlns:c16="http://schemas.microsoft.com/office/drawing/2014/chart" uri="{C3380CC4-5D6E-409C-BE32-E72D297353CC}">
              <c16:uniqueId val="{00000000-B86F-4851-A1C9-7C5B4C0C60C8}"/>
            </c:ext>
          </c:extLst>
        </c:ser>
        <c:dLbls>
          <c:showLegendKey val="0"/>
          <c:showVal val="0"/>
          <c:showCatName val="0"/>
          <c:showSerName val="0"/>
          <c:showPercent val="0"/>
          <c:showBubbleSize val="0"/>
        </c:dLbls>
        <c:gapWidth val="150"/>
        <c:axId val="1170770951"/>
        <c:axId val="1742556168"/>
      </c:barChart>
      <c:lineChart>
        <c:grouping val="standard"/>
        <c:varyColors val="0"/>
        <c:ser>
          <c:idx val="1"/>
          <c:order val="1"/>
          <c:tx>
            <c:strRef>
              <c:f>'August Tardy and Absenteeism'!$Q$1:$Q$4</c:f>
              <c:strCache>
                <c:ptCount val="4"/>
                <c:pt idx="0">
                  <c:v>Date</c:v>
                </c:pt>
                <c:pt idx="1">
                  <c:v>8/1/2025</c:v>
                </c:pt>
                <c:pt idx="2">
                  <c:v>8/1/2025</c:v>
                </c:pt>
                <c:pt idx="3">
                  <c:v>8//2/2025</c:v>
                </c:pt>
              </c:strCache>
            </c:strRef>
          </c:tx>
          <c:spPr>
            <a:ln w="28575" cap="rnd">
              <a:solidFill>
                <a:srgbClr val="E3008C"/>
              </a:solidFill>
              <a:round/>
            </a:ln>
            <a:effectLst/>
          </c:spPr>
          <c:marker>
            <c:symbol val="none"/>
          </c:marker>
          <c:cat>
            <c:strRef>
              <c:f>'August Tardy and Absenteeism'!$O$5:$O$21</c:f>
              <c:strCache>
                <c:ptCount val="17"/>
                <c:pt idx="0">
                  <c:v>Health Issue</c:v>
                </c:pt>
                <c:pt idx="1">
                  <c:v>Family Matters</c:v>
                </c:pt>
                <c:pt idx="2">
                  <c:v>Late log in</c:v>
                </c:pt>
                <c:pt idx="3">
                  <c:v>Transportation issue</c:v>
                </c:pt>
                <c:pt idx="4">
                  <c:v>Heavy Rain Fall</c:v>
                </c:pt>
                <c:pt idx="5">
                  <c:v>Transportation</c:v>
                </c:pt>
                <c:pt idx="6">
                  <c:v>PC Issue</c:v>
                </c:pt>
                <c:pt idx="7">
                  <c:v>Family Emergency</c:v>
                </c:pt>
                <c:pt idx="8">
                  <c:v>Pattern Tardiness</c:v>
                </c:pt>
                <c:pt idx="9">
                  <c:v>Transportation issue</c:v>
                </c:pt>
                <c:pt idx="10">
                  <c:v>Late Log in</c:v>
                </c:pt>
                <c:pt idx="11">
                  <c:v>Transportation Issue</c:v>
                </c:pt>
                <c:pt idx="12">
                  <c:v>Late Log in</c:v>
                </c:pt>
                <c:pt idx="13">
                  <c:v>Transportation issue</c:v>
                </c:pt>
                <c:pt idx="14">
                  <c:v>Transportation issue</c:v>
                </c:pt>
                <c:pt idx="15">
                  <c:v>Heavy Traffic</c:v>
                </c:pt>
                <c:pt idx="16">
                  <c:v>PC Issue</c:v>
                </c:pt>
              </c:strCache>
            </c:strRef>
          </c:cat>
          <c:val>
            <c:numRef>
              <c:f>'August Tardy and Absenteeism'!$Q$5:$Q$21</c:f>
              <c:numCache>
                <c:formatCode>m/d/yyyy</c:formatCode>
                <c:ptCount val="17"/>
                <c:pt idx="0">
                  <c:v>45875</c:v>
                </c:pt>
                <c:pt idx="1">
                  <c:v>45875</c:v>
                </c:pt>
                <c:pt idx="2">
                  <c:v>45875</c:v>
                </c:pt>
                <c:pt idx="3">
                  <c:v>45875</c:v>
                </c:pt>
                <c:pt idx="4">
                  <c:v>45875</c:v>
                </c:pt>
                <c:pt idx="5">
                  <c:v>45876</c:v>
                </c:pt>
                <c:pt idx="6">
                  <c:v>45876</c:v>
                </c:pt>
                <c:pt idx="7">
                  <c:v>45876</c:v>
                </c:pt>
                <c:pt idx="8">
                  <c:v>45876</c:v>
                </c:pt>
                <c:pt idx="9">
                  <c:v>45877</c:v>
                </c:pt>
                <c:pt idx="10">
                  <c:v>45879</c:v>
                </c:pt>
                <c:pt idx="11">
                  <c:v>45880</c:v>
                </c:pt>
                <c:pt idx="12">
                  <c:v>45881</c:v>
                </c:pt>
                <c:pt idx="13">
                  <c:v>45882</c:v>
                </c:pt>
                <c:pt idx="14">
                  <c:v>45883</c:v>
                </c:pt>
                <c:pt idx="15">
                  <c:v>45884</c:v>
                </c:pt>
                <c:pt idx="16">
                  <c:v>45884</c:v>
                </c:pt>
              </c:numCache>
            </c:numRef>
          </c:val>
          <c:smooth val="0"/>
          <c:extLst>
            <c:ext xmlns:c16="http://schemas.microsoft.com/office/drawing/2014/chart" uri="{C3380CC4-5D6E-409C-BE32-E72D297353CC}">
              <c16:uniqueId val="{00000002-B86F-4851-A1C9-7C5B4C0C60C8}"/>
            </c:ext>
          </c:extLst>
        </c:ser>
        <c:dLbls>
          <c:showLegendKey val="0"/>
          <c:showVal val="0"/>
          <c:showCatName val="0"/>
          <c:showSerName val="0"/>
          <c:showPercent val="0"/>
          <c:showBubbleSize val="0"/>
        </c:dLbls>
        <c:marker val="1"/>
        <c:smooth val="0"/>
        <c:axId val="29344775"/>
        <c:axId val="1797281799"/>
      </c:lineChart>
      <c:catAx>
        <c:axId val="1170770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2556168"/>
        <c:crosses val="autoZero"/>
        <c:auto val="1"/>
        <c:lblAlgn val="ctr"/>
        <c:lblOffset val="100"/>
        <c:noMultiLvlLbl val="0"/>
      </c:catAx>
      <c:valAx>
        <c:axId val="1742556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0770951"/>
        <c:crosses val="autoZero"/>
        <c:crossBetween val="between"/>
      </c:valAx>
      <c:valAx>
        <c:axId val="1797281799"/>
        <c:scaling>
          <c:orientation val="minMax"/>
        </c:scaling>
        <c:delete val="0"/>
        <c:axPos val="r"/>
        <c:numFmt formatCode="m/d/yyyy"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344775"/>
        <c:crosses val="max"/>
        <c:crossBetween val="between"/>
      </c:valAx>
      <c:catAx>
        <c:axId val="29344775"/>
        <c:scaling>
          <c:orientation val="minMax"/>
        </c:scaling>
        <c:delete val="1"/>
        <c:axPos val="b"/>
        <c:numFmt formatCode="General" sourceLinked="1"/>
        <c:majorTickMark val="none"/>
        <c:minorTickMark val="none"/>
        <c:tickLblPos val="nextTo"/>
        <c:crossAx val="179728179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'August Tardy and Absenteeism'!$M$29</c:f>
              <c:strCache>
                <c:ptCount val="1"/>
                <c:pt idx="0">
                  <c:v>Absent Count</c:v>
                </c:pt>
              </c:strCache>
            </c:strRef>
          </c:tx>
          <c:spPr>
            <a:solidFill>
              <a:srgbClr val="637CEF"/>
            </a:solidFill>
            <a:ln>
              <a:noFill/>
            </a:ln>
            <a:effectLst/>
          </c:spPr>
          <c:invertIfNegative val="0"/>
          <c:cat>
            <c:strRef>
              <c:f>'August Tardy and Absenteeism'!$L$30:$L$37</c:f>
              <c:strCache>
                <c:ptCount val="8"/>
                <c:pt idx="0">
                  <c:v>Health Issue</c:v>
                </c:pt>
                <c:pt idx="1">
                  <c:v>Health Issue</c:v>
                </c:pt>
                <c:pt idx="2">
                  <c:v>Family Matter </c:v>
                </c:pt>
                <c:pt idx="3">
                  <c:v>Health Issue</c:v>
                </c:pt>
                <c:pt idx="4">
                  <c:v>Health Issue</c:v>
                </c:pt>
                <c:pt idx="5">
                  <c:v>LWOP</c:v>
                </c:pt>
                <c:pt idx="6">
                  <c:v>Childcare</c:v>
                </c:pt>
                <c:pt idx="7">
                  <c:v>Health Issue</c:v>
                </c:pt>
              </c:strCache>
            </c:strRef>
          </c:cat>
          <c:val>
            <c:numRef>
              <c:f>'August Tardy and Absenteeism'!$M$30:$M$37</c:f>
              <c:numCache>
                <c:formatCode>General</c:formatCode>
                <c:ptCount val="8"/>
                <c:pt idx="0">
                  <c:v>1</c:v>
                </c:pt>
                <c:pt idx="1">
                  <c:v>3</c:v>
                </c:pt>
                <c:pt idx="2">
                  <c:v>1</c:v>
                </c:pt>
                <c:pt idx="3">
                  <c:v>6</c:v>
                </c:pt>
                <c:pt idx="4">
                  <c:v>1</c:v>
                </c:pt>
                <c:pt idx="5">
                  <c:v>1</c:v>
                </c:pt>
                <c:pt idx="6">
                  <c:v>2</c:v>
                </c:pt>
                <c:pt idx="7">
                  <c:v>1</c:v>
                </c:pt>
              </c:numCache>
            </c:numRef>
          </c:val>
          <c:extLst>
            <c:ext xmlns:c16="http://schemas.microsoft.com/office/drawing/2014/chart" uri="{C3380CC4-5D6E-409C-BE32-E72D297353CC}">
              <c16:uniqueId val="{00000000-C6E5-4A58-958D-F70FB2B79DE3}"/>
            </c:ext>
          </c:extLst>
        </c:ser>
        <c:dLbls>
          <c:showLegendKey val="0"/>
          <c:showVal val="0"/>
          <c:showCatName val="0"/>
          <c:showSerName val="0"/>
          <c:showPercent val="0"/>
          <c:showBubbleSize val="0"/>
        </c:dLbls>
        <c:gapWidth val="150"/>
        <c:axId val="1940303879"/>
        <c:axId val="173026824"/>
      </c:barChart>
      <c:lineChart>
        <c:grouping val="standard"/>
        <c:varyColors val="0"/>
        <c:ser>
          <c:idx val="1"/>
          <c:order val="1"/>
          <c:tx>
            <c:strRef>
              <c:f>'August Tardy and Absenteeism'!$N$29</c:f>
              <c:strCache>
                <c:ptCount val="1"/>
                <c:pt idx="0">
                  <c:v>Date</c:v>
                </c:pt>
              </c:strCache>
            </c:strRef>
          </c:tx>
          <c:spPr>
            <a:ln w="28575" cap="rnd">
              <a:solidFill>
                <a:srgbClr val="E3008C"/>
              </a:solidFill>
              <a:round/>
            </a:ln>
            <a:effectLst/>
          </c:spPr>
          <c:marker>
            <c:symbol val="none"/>
          </c:marker>
          <c:cat>
            <c:strRef>
              <c:f>'August Tardy and Absenteeism'!$L$30:$L$37</c:f>
              <c:strCache>
                <c:ptCount val="8"/>
                <c:pt idx="0">
                  <c:v>Health Issue</c:v>
                </c:pt>
                <c:pt idx="1">
                  <c:v>Health Issue</c:v>
                </c:pt>
                <c:pt idx="2">
                  <c:v>Family Matter </c:v>
                </c:pt>
                <c:pt idx="3">
                  <c:v>Health Issue</c:v>
                </c:pt>
                <c:pt idx="4">
                  <c:v>Health Issue</c:v>
                </c:pt>
                <c:pt idx="5">
                  <c:v>LWOP</c:v>
                </c:pt>
                <c:pt idx="6">
                  <c:v>Childcare</c:v>
                </c:pt>
                <c:pt idx="7">
                  <c:v>Health Issue</c:v>
                </c:pt>
              </c:strCache>
            </c:strRef>
          </c:cat>
          <c:val>
            <c:numRef>
              <c:f>'August Tardy and Absenteeism'!$N$30:$N$37</c:f>
              <c:numCache>
                <c:formatCode>m/d/yyyy</c:formatCode>
                <c:ptCount val="8"/>
                <c:pt idx="0">
                  <c:v>45885</c:v>
                </c:pt>
                <c:pt idx="1">
                  <c:v>45885</c:v>
                </c:pt>
                <c:pt idx="2">
                  <c:v>45886</c:v>
                </c:pt>
                <c:pt idx="3">
                  <c:v>45887</c:v>
                </c:pt>
                <c:pt idx="4">
                  <c:v>45888</c:v>
                </c:pt>
                <c:pt idx="5">
                  <c:v>45889</c:v>
                </c:pt>
                <c:pt idx="6">
                  <c:v>45889</c:v>
                </c:pt>
                <c:pt idx="7">
                  <c:v>45889</c:v>
                </c:pt>
              </c:numCache>
            </c:numRef>
          </c:val>
          <c:smooth val="0"/>
          <c:extLst>
            <c:ext xmlns:c16="http://schemas.microsoft.com/office/drawing/2014/chart" uri="{C3380CC4-5D6E-409C-BE32-E72D297353CC}">
              <c16:uniqueId val="{00000002-C6E5-4A58-958D-F70FB2B79DE3}"/>
            </c:ext>
          </c:extLst>
        </c:ser>
        <c:dLbls>
          <c:showLegendKey val="0"/>
          <c:showVal val="0"/>
          <c:showCatName val="0"/>
          <c:showSerName val="0"/>
          <c:showPercent val="0"/>
          <c:showBubbleSize val="0"/>
        </c:dLbls>
        <c:marker val="1"/>
        <c:smooth val="0"/>
        <c:axId val="1298219015"/>
        <c:axId val="1010968583"/>
      </c:lineChart>
      <c:catAx>
        <c:axId val="1940303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026824"/>
        <c:crosses val="autoZero"/>
        <c:auto val="1"/>
        <c:lblAlgn val="ctr"/>
        <c:lblOffset val="100"/>
        <c:noMultiLvlLbl val="0"/>
      </c:catAx>
      <c:valAx>
        <c:axId val="1730268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0303879"/>
        <c:crosses val="autoZero"/>
        <c:crossBetween val="between"/>
      </c:valAx>
      <c:valAx>
        <c:axId val="1010968583"/>
        <c:scaling>
          <c:orientation val="minMax"/>
        </c:scaling>
        <c:delete val="0"/>
        <c:axPos val="r"/>
        <c:numFmt formatCode="m/d/yyyy"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8219015"/>
        <c:crosses val="max"/>
        <c:crossBetween val="between"/>
      </c:valAx>
      <c:catAx>
        <c:axId val="1298219015"/>
        <c:scaling>
          <c:orientation val="minMax"/>
        </c:scaling>
        <c:delete val="1"/>
        <c:axPos val="b"/>
        <c:numFmt formatCode="General" sourceLinked="1"/>
        <c:majorTickMark val="none"/>
        <c:minorTickMark val="none"/>
        <c:tickLblPos val="nextTo"/>
        <c:crossAx val="1010968583"/>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'August Tardy and Absenteeism'!$M$29</c:f>
              <c:strCache>
                <c:ptCount val="1"/>
                <c:pt idx="0">
                  <c:v>Absent Count</c:v>
                </c:pt>
              </c:strCache>
            </c:strRef>
          </c:tx>
          <c:spPr>
            <a:solidFill>
              <a:srgbClr val="637CEF"/>
            </a:solidFill>
            <a:ln>
              <a:noFill/>
            </a:ln>
            <a:effectLst/>
          </c:spPr>
          <c:invertIfNegative val="0"/>
          <c:cat>
            <c:strRef>
              <c:f>'August Tardy and Absenteeism'!$L$30:$L$39</c:f>
              <c:strCache>
                <c:ptCount val="10"/>
                <c:pt idx="0">
                  <c:v>Health Issue</c:v>
                </c:pt>
                <c:pt idx="1">
                  <c:v>Health Issue</c:v>
                </c:pt>
                <c:pt idx="2">
                  <c:v>Family Matter </c:v>
                </c:pt>
                <c:pt idx="3">
                  <c:v>Health Issue</c:v>
                </c:pt>
                <c:pt idx="4">
                  <c:v>Health Issue</c:v>
                </c:pt>
                <c:pt idx="5">
                  <c:v>LWOP</c:v>
                </c:pt>
                <c:pt idx="6">
                  <c:v>Childcare</c:v>
                </c:pt>
                <c:pt idx="7">
                  <c:v>Health Issue</c:v>
                </c:pt>
                <c:pt idx="8">
                  <c:v>Health Issue</c:v>
                </c:pt>
                <c:pt idx="9">
                  <c:v>Health Issue</c:v>
                </c:pt>
              </c:strCache>
            </c:strRef>
          </c:cat>
          <c:val>
            <c:numRef>
              <c:f>'August Tardy and Absenteeism'!$M$30:$M$39</c:f>
              <c:numCache>
                <c:formatCode>General</c:formatCode>
                <c:ptCount val="10"/>
                <c:pt idx="0">
                  <c:v>1</c:v>
                </c:pt>
                <c:pt idx="1">
                  <c:v>3</c:v>
                </c:pt>
                <c:pt idx="2">
                  <c:v>1</c:v>
                </c:pt>
                <c:pt idx="3">
                  <c:v>6</c:v>
                </c:pt>
                <c:pt idx="4">
                  <c:v>1</c:v>
                </c:pt>
                <c:pt idx="5">
                  <c:v>1</c:v>
                </c:pt>
                <c:pt idx="6">
                  <c:v>2</c:v>
                </c:pt>
                <c:pt idx="7">
                  <c:v>1</c:v>
                </c:pt>
                <c:pt idx="8">
                  <c:v>1</c:v>
                </c:pt>
                <c:pt idx="9">
                  <c:v>1</c:v>
                </c:pt>
              </c:numCache>
            </c:numRef>
          </c:val>
          <c:extLst>
            <c:ext xmlns:c16="http://schemas.microsoft.com/office/drawing/2014/chart" uri="{C3380CC4-5D6E-409C-BE32-E72D297353CC}">
              <c16:uniqueId val="{00000000-5348-4BB5-B225-699A41EC4509}"/>
            </c:ext>
          </c:extLst>
        </c:ser>
        <c:dLbls>
          <c:showLegendKey val="0"/>
          <c:showVal val="0"/>
          <c:showCatName val="0"/>
          <c:showSerName val="0"/>
          <c:showPercent val="0"/>
          <c:showBubbleSize val="0"/>
        </c:dLbls>
        <c:gapWidth val="150"/>
        <c:axId val="108905480"/>
        <c:axId val="108907528"/>
      </c:barChart>
      <c:lineChart>
        <c:grouping val="standard"/>
        <c:varyColors val="0"/>
        <c:ser>
          <c:idx val="1"/>
          <c:order val="1"/>
          <c:tx>
            <c:strRef>
              <c:f>'August Tardy and Absenteeism'!$N$29</c:f>
              <c:strCache>
                <c:ptCount val="1"/>
                <c:pt idx="0">
                  <c:v>Date</c:v>
                </c:pt>
              </c:strCache>
            </c:strRef>
          </c:tx>
          <c:spPr>
            <a:ln w="28575" cap="rnd">
              <a:solidFill>
                <a:srgbClr val="E3008C"/>
              </a:solidFill>
              <a:round/>
            </a:ln>
            <a:effectLst/>
          </c:spPr>
          <c:marker>
            <c:symbol val="none"/>
          </c:marker>
          <c:cat>
            <c:strRef>
              <c:f>'August Tardy and Absenteeism'!$L$30:$L$39</c:f>
              <c:strCache>
                <c:ptCount val="10"/>
                <c:pt idx="0">
                  <c:v>Health Issue</c:v>
                </c:pt>
                <c:pt idx="1">
                  <c:v>Health Issue</c:v>
                </c:pt>
                <c:pt idx="2">
                  <c:v>Family Matter </c:v>
                </c:pt>
                <c:pt idx="3">
                  <c:v>Health Issue</c:v>
                </c:pt>
                <c:pt idx="4">
                  <c:v>Health Issue</c:v>
                </c:pt>
                <c:pt idx="5">
                  <c:v>LWOP</c:v>
                </c:pt>
                <c:pt idx="6">
                  <c:v>Childcare</c:v>
                </c:pt>
                <c:pt idx="7">
                  <c:v>Health Issue</c:v>
                </c:pt>
                <c:pt idx="8">
                  <c:v>Health Issue</c:v>
                </c:pt>
                <c:pt idx="9">
                  <c:v>Health Issue</c:v>
                </c:pt>
              </c:strCache>
            </c:strRef>
          </c:cat>
          <c:val>
            <c:numRef>
              <c:f>'August Tardy and Absenteeism'!$N$30:$N$39</c:f>
              <c:numCache>
                <c:formatCode>m/d/yyyy</c:formatCode>
                <c:ptCount val="10"/>
                <c:pt idx="0">
                  <c:v>45885</c:v>
                </c:pt>
                <c:pt idx="1">
                  <c:v>45885</c:v>
                </c:pt>
                <c:pt idx="2">
                  <c:v>45886</c:v>
                </c:pt>
                <c:pt idx="3">
                  <c:v>45887</c:v>
                </c:pt>
                <c:pt idx="4">
                  <c:v>45888</c:v>
                </c:pt>
                <c:pt idx="5">
                  <c:v>45889</c:v>
                </c:pt>
                <c:pt idx="6">
                  <c:v>45889</c:v>
                </c:pt>
                <c:pt idx="7">
                  <c:v>45889</c:v>
                </c:pt>
                <c:pt idx="8">
                  <c:v>45890</c:v>
                </c:pt>
                <c:pt idx="9">
                  <c:v>45891</c:v>
                </c:pt>
              </c:numCache>
            </c:numRef>
          </c:val>
          <c:smooth val="0"/>
          <c:extLst>
            <c:ext xmlns:c16="http://schemas.microsoft.com/office/drawing/2014/chart" uri="{C3380CC4-5D6E-409C-BE32-E72D297353CC}">
              <c16:uniqueId val="{00000002-5348-4BB5-B225-699A41EC4509}"/>
            </c:ext>
          </c:extLst>
        </c:ser>
        <c:dLbls>
          <c:showLegendKey val="0"/>
          <c:showVal val="0"/>
          <c:showCatName val="0"/>
          <c:showSerName val="0"/>
          <c:showPercent val="0"/>
          <c:showBubbleSize val="0"/>
        </c:dLbls>
        <c:marker val="1"/>
        <c:smooth val="0"/>
        <c:axId val="1866025992"/>
        <c:axId val="1866022920"/>
      </c:lineChart>
      <c:catAx>
        <c:axId val="108905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907528"/>
        <c:crosses val="autoZero"/>
        <c:auto val="1"/>
        <c:lblAlgn val="ctr"/>
        <c:lblOffset val="100"/>
        <c:noMultiLvlLbl val="0"/>
      </c:catAx>
      <c:valAx>
        <c:axId val="1089075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905480"/>
        <c:crosses val="autoZero"/>
        <c:crossBetween val="between"/>
      </c:valAx>
      <c:valAx>
        <c:axId val="1866022920"/>
        <c:scaling>
          <c:orientation val="minMax"/>
        </c:scaling>
        <c:delete val="0"/>
        <c:axPos val="r"/>
        <c:numFmt formatCode="m/d/yyyy"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6025992"/>
        <c:crosses val="max"/>
        <c:crossBetween val="between"/>
      </c:valAx>
      <c:catAx>
        <c:axId val="1866025992"/>
        <c:scaling>
          <c:orientation val="minMax"/>
        </c:scaling>
        <c:delete val="1"/>
        <c:axPos val="b"/>
        <c:numFmt formatCode="General" sourceLinked="1"/>
        <c:majorTickMark val="none"/>
        <c:minorTickMark val="none"/>
        <c:tickLblPos val="nextTo"/>
        <c:crossAx val="1866022920"/>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'August Tardy and Absenteeism'!$P$29</c:f>
              <c:strCache>
                <c:ptCount val="1"/>
                <c:pt idx="0">
                  <c:v>Tardy Count</c:v>
                </c:pt>
              </c:strCache>
            </c:strRef>
          </c:tx>
          <c:spPr>
            <a:solidFill>
              <a:srgbClr val="637CEF"/>
            </a:solidFill>
            <a:ln>
              <a:noFill/>
            </a:ln>
            <a:effectLst/>
          </c:spPr>
          <c:invertIfNegative val="0"/>
          <c:cat>
            <c:strRef>
              <c:f>'August Tardy and Absenteeism'!$O$30:$O$37</c:f>
              <c:strCache>
                <c:ptCount val="8"/>
                <c:pt idx="0">
                  <c:v>Health Issue</c:v>
                </c:pt>
                <c:pt idx="1">
                  <c:v>Family Matter</c:v>
                </c:pt>
                <c:pt idx="2">
                  <c:v>Health Issue</c:v>
                </c:pt>
                <c:pt idx="3">
                  <c:v>Health Issue</c:v>
                </c:pt>
                <c:pt idx="4">
                  <c:v>Transportation issue</c:v>
                </c:pt>
                <c:pt idx="5">
                  <c:v>Transportation issue</c:v>
                </c:pt>
                <c:pt idx="6">
                  <c:v>Elevastor Queue</c:v>
                </c:pt>
                <c:pt idx="7">
                  <c:v>Transportation issue</c:v>
                </c:pt>
              </c:strCache>
            </c:strRef>
          </c:cat>
          <c:val>
            <c:numRef>
              <c:f>'August Tardy and Absenteeism'!$P$30:$P$37</c:f>
              <c:numCache>
                <c:formatCode>General</c:formatCode>
                <c:ptCount val="8"/>
                <c:pt idx="0">
                  <c:v>2</c:v>
                </c:pt>
                <c:pt idx="1">
                  <c:v>1</c:v>
                </c:pt>
                <c:pt idx="2">
                  <c:v>3</c:v>
                </c:pt>
                <c:pt idx="3">
                  <c:v>5</c:v>
                </c:pt>
                <c:pt idx="4">
                  <c:v>6</c:v>
                </c:pt>
                <c:pt idx="5">
                  <c:v>6</c:v>
                </c:pt>
                <c:pt idx="6">
                  <c:v>1</c:v>
                </c:pt>
                <c:pt idx="7">
                  <c:v>6</c:v>
                </c:pt>
              </c:numCache>
            </c:numRef>
          </c:val>
          <c:extLst>
            <c:ext xmlns:c16="http://schemas.microsoft.com/office/drawing/2014/chart" uri="{C3380CC4-5D6E-409C-BE32-E72D297353CC}">
              <c16:uniqueId val="{00000000-2AAF-4509-A1EB-86C5725AF34A}"/>
            </c:ext>
          </c:extLst>
        </c:ser>
        <c:dLbls>
          <c:showLegendKey val="0"/>
          <c:showVal val="0"/>
          <c:showCatName val="0"/>
          <c:showSerName val="0"/>
          <c:showPercent val="0"/>
          <c:showBubbleSize val="0"/>
        </c:dLbls>
        <c:gapWidth val="150"/>
        <c:axId val="338710024"/>
        <c:axId val="338736648"/>
      </c:barChart>
      <c:lineChart>
        <c:grouping val="standard"/>
        <c:varyColors val="0"/>
        <c:ser>
          <c:idx val="1"/>
          <c:order val="1"/>
          <c:tx>
            <c:strRef>
              <c:f>'August Tardy and Absenteeism'!$Q$29</c:f>
              <c:strCache>
                <c:ptCount val="1"/>
                <c:pt idx="0">
                  <c:v>Date</c:v>
                </c:pt>
              </c:strCache>
            </c:strRef>
          </c:tx>
          <c:spPr>
            <a:ln w="28575" cap="rnd">
              <a:solidFill>
                <a:srgbClr val="E3008C"/>
              </a:solidFill>
              <a:round/>
            </a:ln>
            <a:effectLst/>
          </c:spPr>
          <c:marker>
            <c:symbol val="none"/>
          </c:marker>
          <c:cat>
            <c:strRef>
              <c:f>'August Tardy and Absenteeism'!$O$30:$O$37</c:f>
              <c:strCache>
                <c:ptCount val="8"/>
                <c:pt idx="0">
                  <c:v>Health Issue</c:v>
                </c:pt>
                <c:pt idx="1">
                  <c:v>Family Matter</c:v>
                </c:pt>
                <c:pt idx="2">
                  <c:v>Health Issue</c:v>
                </c:pt>
                <c:pt idx="3">
                  <c:v>Health Issue</c:v>
                </c:pt>
                <c:pt idx="4">
                  <c:v>Transportation issue</c:v>
                </c:pt>
                <c:pt idx="5">
                  <c:v>Transportation issue</c:v>
                </c:pt>
                <c:pt idx="6">
                  <c:v>Elevastor Queue</c:v>
                </c:pt>
                <c:pt idx="7">
                  <c:v>Transportation issue</c:v>
                </c:pt>
              </c:strCache>
            </c:strRef>
          </c:cat>
          <c:val>
            <c:numRef>
              <c:f>'August Tardy and Absenteeism'!$Q$30:$Q$37</c:f>
              <c:numCache>
                <c:formatCode>m/d/yyyy</c:formatCode>
                <c:ptCount val="8"/>
                <c:pt idx="0">
                  <c:v>45885</c:v>
                </c:pt>
                <c:pt idx="1">
                  <c:v>45886</c:v>
                </c:pt>
                <c:pt idx="2">
                  <c:v>45887</c:v>
                </c:pt>
                <c:pt idx="3">
                  <c:v>45887</c:v>
                </c:pt>
                <c:pt idx="4">
                  <c:v>45888</c:v>
                </c:pt>
                <c:pt idx="5">
                  <c:v>45889</c:v>
                </c:pt>
                <c:pt idx="6">
                  <c:v>45889</c:v>
                </c:pt>
                <c:pt idx="7">
                  <c:v>45889</c:v>
                </c:pt>
              </c:numCache>
            </c:numRef>
          </c:val>
          <c:smooth val="0"/>
          <c:extLst>
            <c:ext xmlns:c16="http://schemas.microsoft.com/office/drawing/2014/chart" uri="{C3380CC4-5D6E-409C-BE32-E72D297353CC}">
              <c16:uniqueId val="{00000002-2AAF-4509-A1EB-86C5725AF34A}"/>
            </c:ext>
          </c:extLst>
        </c:ser>
        <c:dLbls>
          <c:showLegendKey val="0"/>
          <c:showVal val="0"/>
          <c:showCatName val="0"/>
          <c:showSerName val="0"/>
          <c:showPercent val="0"/>
          <c:showBubbleSize val="0"/>
        </c:dLbls>
        <c:marker val="1"/>
        <c:smooth val="0"/>
        <c:axId val="283585032"/>
        <c:axId val="283577864"/>
      </c:lineChart>
      <c:catAx>
        <c:axId val="338710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736648"/>
        <c:crosses val="autoZero"/>
        <c:auto val="1"/>
        <c:lblAlgn val="ctr"/>
        <c:lblOffset val="100"/>
        <c:noMultiLvlLbl val="0"/>
      </c:catAx>
      <c:valAx>
        <c:axId val="338736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710024"/>
        <c:crosses val="autoZero"/>
        <c:crossBetween val="between"/>
      </c:valAx>
      <c:valAx>
        <c:axId val="283577864"/>
        <c:scaling>
          <c:orientation val="minMax"/>
        </c:scaling>
        <c:delete val="0"/>
        <c:axPos val="r"/>
        <c:numFmt formatCode="m/d/yyyy"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3585032"/>
        <c:crosses val="max"/>
        <c:crossBetween val="between"/>
      </c:valAx>
      <c:catAx>
        <c:axId val="283585032"/>
        <c:scaling>
          <c:orientation val="minMax"/>
        </c:scaling>
        <c:delete val="1"/>
        <c:axPos val="b"/>
        <c:numFmt formatCode="General" sourceLinked="1"/>
        <c:majorTickMark val="none"/>
        <c:minorTickMark val="none"/>
        <c:tickLblPos val="nextTo"/>
        <c:crossAx val="283577864"/>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DAILY ATTENDANCE</a:t>
            </a:r>
          </a:p>
        </c:rich>
      </c:tx>
      <c:overlay val="0"/>
      <c:spPr>
        <a:noFill/>
        <a:ln>
          <a:solidFill>
            <a:srgbClr val="000000"/>
          </a:solidFill>
          <a:prstDash val="solid"/>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Reporting!#REF!</c:f>
              <c:strCache>
                <c:ptCount val="1"/>
                <c:pt idx="0">
                  <c:v>#REF!</c:v>
                </c:pt>
              </c:strCache>
            </c:strRef>
          </c:tx>
          <c:spPr>
            <a:solidFill>
              <a:schemeClr val="accent1"/>
            </a:solidFill>
            <a:ln>
              <a:noFill/>
            </a:ln>
            <a:effectLst/>
          </c:spPr>
          <c:invertIfNegative val="0"/>
          <c:cat>
            <c:numRef>
              <c:f>Reporting!$C$18:$C$19</c:f>
              <c:numCache>
                <c:formatCode>General</c:formatCode>
                <c:ptCount val="2"/>
              </c:numCache>
            </c:numRef>
          </c:cat>
          <c:val>
            <c:numRef>
              <c:f>Reporting!$E$18:$E$19</c:f>
              <c:numCache>
                <c:formatCode>General</c:formatCode>
                <c:ptCount val="2"/>
              </c:numCache>
            </c:numRef>
          </c:val>
          <c:extLst>
            <c:ext xmlns:c16="http://schemas.microsoft.com/office/drawing/2014/chart" uri="{C3380CC4-5D6E-409C-BE32-E72D297353CC}">
              <c16:uniqueId val="{00000001-19B1-4F3C-868E-E697CB9A1F31}"/>
            </c:ext>
          </c:extLst>
        </c:ser>
        <c:ser>
          <c:idx val="1"/>
          <c:order val="1"/>
          <c:tx>
            <c:strRef>
              <c:f>Reporting!#REF!</c:f>
              <c:strCache>
                <c:ptCount val="1"/>
                <c:pt idx="0">
                  <c:v>#REF!</c:v>
                </c:pt>
              </c:strCache>
            </c:strRef>
          </c:tx>
          <c:spPr>
            <a:solidFill>
              <a:schemeClr val="accent2"/>
            </a:solidFill>
            <a:ln>
              <a:noFill/>
            </a:ln>
            <a:effectLst/>
          </c:spPr>
          <c:invertIfNegative val="0"/>
          <c:cat>
            <c:numRef>
              <c:f>Reporting!$C$18:$C$19</c:f>
              <c:numCache>
                <c:formatCode>General</c:formatCode>
                <c:ptCount val="2"/>
              </c:numCache>
            </c:numRef>
          </c:cat>
          <c:val>
            <c:numRef>
              <c:f>Reporting!$F$18:$F$19</c:f>
              <c:numCache>
                <c:formatCode>General</c:formatCode>
                <c:ptCount val="2"/>
              </c:numCache>
            </c:numRef>
          </c:val>
          <c:extLst>
            <c:ext xmlns:c16="http://schemas.microsoft.com/office/drawing/2014/chart" uri="{C3380CC4-5D6E-409C-BE32-E72D297353CC}">
              <c16:uniqueId val="{00000003-19B1-4F3C-868E-E697CB9A1F31}"/>
            </c:ext>
          </c:extLst>
        </c:ser>
        <c:ser>
          <c:idx val="2"/>
          <c:order val="2"/>
          <c:tx>
            <c:strRef>
              <c:f>Reporting!#REF!</c:f>
              <c:strCache>
                <c:ptCount val="1"/>
                <c:pt idx="0">
                  <c:v>#REF!</c:v>
                </c:pt>
              </c:strCache>
            </c:strRef>
          </c:tx>
          <c:spPr>
            <a:solidFill>
              <a:schemeClr val="accent3"/>
            </a:solidFill>
            <a:ln>
              <a:noFill/>
            </a:ln>
            <a:effectLst/>
          </c:spPr>
          <c:invertIfNegative val="0"/>
          <c:cat>
            <c:numRef>
              <c:f>Reporting!$C$18:$C$19</c:f>
              <c:numCache>
                <c:formatCode>General</c:formatCode>
                <c:ptCount val="2"/>
              </c:numCache>
            </c:numRef>
          </c:cat>
          <c:val>
            <c:numRef>
              <c:f>Reporting!$G$18:$G$19</c:f>
              <c:numCache>
                <c:formatCode>General</c:formatCode>
                <c:ptCount val="2"/>
              </c:numCache>
            </c:numRef>
          </c:val>
          <c:extLst>
            <c:ext xmlns:c16="http://schemas.microsoft.com/office/drawing/2014/chart" uri="{C3380CC4-5D6E-409C-BE32-E72D297353CC}">
              <c16:uniqueId val="{00000005-19B1-4F3C-868E-E697CB9A1F31}"/>
            </c:ext>
          </c:extLst>
        </c:ser>
        <c:ser>
          <c:idx val="3"/>
          <c:order val="3"/>
          <c:tx>
            <c:strRef>
              <c:f>Reporting!#REF!</c:f>
              <c:strCache>
                <c:ptCount val="1"/>
                <c:pt idx="0">
                  <c:v>#REF!</c:v>
                </c:pt>
              </c:strCache>
            </c:strRef>
          </c:tx>
          <c:spPr>
            <a:solidFill>
              <a:schemeClr val="accent4"/>
            </a:solidFill>
            <a:ln>
              <a:noFill/>
            </a:ln>
            <a:effectLst/>
          </c:spPr>
          <c:invertIfNegative val="0"/>
          <c:cat>
            <c:numRef>
              <c:f>Reporting!$C$18:$C$19</c:f>
              <c:numCache>
                <c:formatCode>General</c:formatCode>
                <c:ptCount val="2"/>
              </c:numCache>
            </c:numRef>
          </c:cat>
          <c:val>
            <c:numRef>
              <c:f>Reporting!$H$18:$H$19</c:f>
              <c:numCache>
                <c:formatCode>General</c:formatCode>
                <c:ptCount val="2"/>
              </c:numCache>
            </c:numRef>
          </c:val>
          <c:extLst>
            <c:ext xmlns:c16="http://schemas.microsoft.com/office/drawing/2014/chart" uri="{C3380CC4-5D6E-409C-BE32-E72D297353CC}">
              <c16:uniqueId val="{00000007-19B1-4F3C-868E-E697CB9A1F31}"/>
            </c:ext>
          </c:extLst>
        </c:ser>
        <c:dLbls>
          <c:showLegendKey val="0"/>
          <c:showVal val="0"/>
          <c:showCatName val="0"/>
          <c:showSerName val="0"/>
          <c:showPercent val="0"/>
          <c:showBubbleSize val="0"/>
        </c:dLbls>
        <c:gapWidth val="0"/>
        <c:axId val="1265772040"/>
        <c:axId val="1383551496"/>
      </c:barChart>
      <c:lineChart>
        <c:grouping val="standard"/>
        <c:varyColors val="0"/>
        <c:ser>
          <c:idx val="4"/>
          <c:order val="4"/>
          <c:tx>
            <c:strRef>
              <c:f>Reporting!#REF!</c:f>
              <c:strCache>
                <c:ptCount val="1"/>
                <c:pt idx="0">
                  <c:v>#REF!</c:v>
                </c:pt>
              </c:strCache>
            </c:strRef>
          </c:tx>
          <c:spPr>
            <a:ln w="28575" cap="rnd">
              <a:solidFill>
                <a:schemeClr val="accent5"/>
              </a:solidFill>
              <a:round/>
            </a:ln>
            <a:effectLst/>
          </c:spPr>
          <c:marker>
            <c:symbol val="none"/>
          </c:marker>
          <c:cat>
            <c:numRef>
              <c:f>Reporting!$C$18:$C$19</c:f>
              <c:numCache>
                <c:formatCode>General</c:formatCode>
                <c:ptCount val="2"/>
              </c:numCache>
            </c:numRef>
          </c:cat>
          <c:val>
            <c:numRef>
              <c:f>Reporting!$I$18:$I$19</c:f>
              <c:numCache>
                <c:formatCode>General</c:formatCode>
                <c:ptCount val="2"/>
              </c:numCache>
            </c:numRef>
          </c:val>
          <c:smooth val="0"/>
          <c:extLst>
            <c:ext xmlns:c16="http://schemas.microsoft.com/office/drawing/2014/chart" uri="{C3380CC4-5D6E-409C-BE32-E72D297353CC}">
              <c16:uniqueId val="{00000009-19B1-4F3C-868E-E697CB9A1F31}"/>
            </c:ext>
          </c:extLst>
        </c:ser>
        <c:ser>
          <c:idx val="5"/>
          <c:order val="5"/>
          <c:tx>
            <c:strRef>
              <c:f>Reporting!#REF!</c:f>
              <c:strCache>
                <c:ptCount val="1"/>
                <c:pt idx="0">
                  <c:v>#REF!</c:v>
                </c:pt>
              </c:strCache>
            </c:strRef>
          </c:tx>
          <c:spPr>
            <a:ln w="28575" cap="rnd">
              <a:solidFill>
                <a:schemeClr val="accent6"/>
              </a:solidFill>
              <a:round/>
            </a:ln>
            <a:effectLst/>
          </c:spPr>
          <c:marker>
            <c:symbol val="none"/>
          </c:marker>
          <c:cat>
            <c:numRef>
              <c:f>Reporting!$C$18:$C$19</c:f>
              <c:numCache>
                <c:formatCode>General</c:formatCode>
                <c:ptCount val="2"/>
              </c:numCache>
            </c:numRef>
          </c:cat>
          <c:val>
            <c:numRef>
              <c:f>Reporting!$J$18:$J$19</c:f>
              <c:numCache>
                <c:formatCode>General</c:formatCode>
                <c:ptCount val="2"/>
              </c:numCache>
            </c:numRef>
          </c:val>
          <c:smooth val="0"/>
          <c:extLst>
            <c:ext xmlns:c16="http://schemas.microsoft.com/office/drawing/2014/chart" uri="{C3380CC4-5D6E-409C-BE32-E72D297353CC}">
              <c16:uniqueId val="{0000000B-19B1-4F3C-868E-E697CB9A1F31}"/>
            </c:ext>
          </c:extLst>
        </c:ser>
        <c:ser>
          <c:idx val="6"/>
          <c:order val="6"/>
          <c:tx>
            <c:strRef>
              <c:f>Reporting!#REF!</c:f>
              <c:strCache>
                <c:ptCount val="1"/>
                <c:pt idx="0">
                  <c:v>#REF!</c:v>
                </c:pt>
              </c:strCache>
            </c:strRef>
          </c:tx>
          <c:spPr>
            <a:ln w="28575" cap="rnd">
              <a:solidFill>
                <a:schemeClr val="accent1">
                  <a:lumMod val="60000"/>
                </a:schemeClr>
              </a:solidFill>
              <a:round/>
            </a:ln>
            <a:effectLst/>
          </c:spPr>
          <c:marker>
            <c:symbol val="none"/>
          </c:marker>
          <c:cat>
            <c:numRef>
              <c:f>Reporting!$C$18:$C$19</c:f>
              <c:numCache>
                <c:formatCode>General</c:formatCode>
                <c:ptCount val="2"/>
              </c:numCache>
            </c:numRef>
          </c:cat>
          <c:val>
            <c:numRef>
              <c:f>Reporting!$K$18:$K$19</c:f>
              <c:numCache>
                <c:formatCode>General</c:formatCode>
                <c:ptCount val="2"/>
              </c:numCache>
            </c:numRef>
          </c:val>
          <c:smooth val="0"/>
          <c:extLst>
            <c:ext xmlns:c16="http://schemas.microsoft.com/office/drawing/2014/chart" uri="{C3380CC4-5D6E-409C-BE32-E72D297353CC}">
              <c16:uniqueId val="{0000000D-19B1-4F3C-868E-E697CB9A1F31}"/>
            </c:ext>
          </c:extLst>
        </c:ser>
        <c:dLbls>
          <c:showLegendKey val="0"/>
          <c:showVal val="0"/>
          <c:showCatName val="0"/>
          <c:showSerName val="0"/>
          <c:showPercent val="0"/>
          <c:showBubbleSize val="0"/>
        </c:dLbls>
        <c:marker val="1"/>
        <c:smooth val="0"/>
        <c:axId val="1265772040"/>
        <c:axId val="1383551496"/>
      </c:lineChart>
      <c:catAx>
        <c:axId val="1265772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3551496"/>
        <c:crosses val="autoZero"/>
        <c:auto val="1"/>
        <c:lblAlgn val="ctr"/>
        <c:lblOffset val="100"/>
        <c:noMultiLvlLbl val="0"/>
      </c:catAx>
      <c:valAx>
        <c:axId val="1383551496"/>
        <c:scaling>
          <c:orientation val="minMax"/>
          <c:max val="1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577204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000" b="1"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'OVERALL ATTENDANCE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'Comparative Attendance Report'!A7</c:f>
              <c:strCache>
                <c:ptCount val="1"/>
                <c:pt idx="0">
                  <c:v>Actual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'Comparative Attendance Report'!$B$2:$J$2</c:f>
              <c:numCache>
                <c:formatCode>General</c:formatCode>
                <c:ptCount val="9"/>
                <c:pt idx="0">
                  <c:v>2165</c:v>
                </c:pt>
                <c:pt idx="1">
                  <c:v>78</c:v>
                </c:pt>
                <c:pt idx="2">
                  <c:v>42</c:v>
                </c:pt>
                <c:pt idx="3">
                  <c:v>1313</c:v>
                </c:pt>
                <c:pt idx="4">
                  <c:v>3081</c:v>
                </c:pt>
                <c:pt idx="5">
                  <c:v>2318</c:v>
                </c:pt>
                <c:pt idx="6">
                  <c:v>2331</c:v>
                </c:pt>
                <c:pt idx="7">
                  <c:v>3295</c:v>
                </c:pt>
                <c:pt idx="8">
                  <c:v>98</c:v>
                </c:pt>
              </c:numCache>
            </c:numRef>
          </c:cat>
          <c:val>
            <c:numRef>
              <c:f>'Comparative Attendance Report'!$B$7:$J$7</c:f>
              <c:numCache>
                <c:formatCode>General</c:formatCode>
                <c:ptCount val="9"/>
                <c:pt idx="0">
                  <c:v>79</c:v>
                </c:pt>
                <c:pt idx="1">
                  <c:v>32</c:v>
                </c:pt>
                <c:pt idx="2">
                  <c:v>27</c:v>
                </c:pt>
                <c:pt idx="3">
                  <c:v>73</c:v>
                </c:pt>
                <c:pt idx="4">
                  <c:v>69</c:v>
                </c:pt>
                <c:pt idx="5">
                  <c:v>70</c:v>
                </c:pt>
                <c:pt idx="6">
                  <c:v>75</c:v>
                </c:pt>
                <c:pt idx="7">
                  <c:v>73</c:v>
                </c:pt>
                <c:pt idx="8">
                  <c:v>23</c:v>
                </c:pt>
              </c:numCache>
            </c:numRef>
          </c:val>
          <c:extLst>
            <c:ext xmlns:c16="http://schemas.microsoft.com/office/drawing/2014/chart" uri="{C3380CC4-5D6E-409C-BE32-E72D297353CC}">
              <c16:uniqueId val="{47E4A8B9-27D3-411C-A055-DDD2126A0408}"/>
            </c:ext>
          </c:extLst>
        </c:ser>
        <c:dLbls>
          <c:showLegendKey val="0"/>
          <c:showVal val="0"/>
          <c:showCatName val="0"/>
          <c:showSerName val="0"/>
          <c:showPercent val="0"/>
          <c:showBubbleSize val="0"/>
        </c:dLbls>
        <c:gapWidth val="33"/>
        <c:overlap val="-30"/>
        <c:axId val="1733496328"/>
        <c:axId val="1733522952"/>
      </c:barChart>
      <c:catAx>
        <c:axId val="17334963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Overall</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3522952"/>
        <c:crosses val="autoZero"/>
        <c:auto val="1"/>
        <c:lblAlgn val="ctr"/>
        <c:lblOffset val="100"/>
        <c:noMultiLvlLbl val="0"/>
      </c:catAx>
      <c:valAx>
        <c:axId val="17335229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Actual</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349632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OVERALL ATTENDANCE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'Comparative Attendance Report'!A7</c:f>
              <c:strCache>
                <c:ptCount val="1"/>
                <c:pt idx="0">
                  <c:v>Actual</c:v>
                </c:pt>
              </c:strCache>
            </c:strRef>
          </c:tx>
          <c:spPr>
            <a:solidFill>
              <a:schemeClr val="accent1"/>
            </a:solidFill>
            <a:ln>
              <a:noFill/>
            </a:ln>
            <a:effectLst/>
          </c:spPr>
          <c:invertIfNegative val="0"/>
          <c:cat>
            <c:numRef>
              <c:f>'Comparative Attendance Report'!$B$2:$J$2</c:f>
              <c:numCache>
                <c:formatCode>General</c:formatCode>
                <c:ptCount val="9"/>
                <c:pt idx="0">
                  <c:v>2165</c:v>
                </c:pt>
                <c:pt idx="1">
                  <c:v>78</c:v>
                </c:pt>
                <c:pt idx="2">
                  <c:v>42</c:v>
                </c:pt>
                <c:pt idx="3">
                  <c:v>1313</c:v>
                </c:pt>
                <c:pt idx="4">
                  <c:v>3081</c:v>
                </c:pt>
                <c:pt idx="5">
                  <c:v>2318</c:v>
                </c:pt>
                <c:pt idx="6">
                  <c:v>2331</c:v>
                </c:pt>
                <c:pt idx="7">
                  <c:v>3295</c:v>
                </c:pt>
                <c:pt idx="8">
                  <c:v>98</c:v>
                </c:pt>
              </c:numCache>
            </c:numRef>
          </c:cat>
          <c:val>
            <c:numRef>
              <c:f>'Comparative Attendance Report'!$B$7:$J$7</c:f>
              <c:numCache>
                <c:formatCode>General</c:formatCode>
                <c:ptCount val="9"/>
                <c:pt idx="0">
                  <c:v>79</c:v>
                </c:pt>
                <c:pt idx="1">
                  <c:v>32</c:v>
                </c:pt>
                <c:pt idx="2">
                  <c:v>27</c:v>
                </c:pt>
                <c:pt idx="3">
                  <c:v>73</c:v>
                </c:pt>
                <c:pt idx="4">
                  <c:v>69</c:v>
                </c:pt>
                <c:pt idx="5">
                  <c:v>70</c:v>
                </c:pt>
                <c:pt idx="6">
                  <c:v>75</c:v>
                </c:pt>
                <c:pt idx="7">
                  <c:v>73</c:v>
                </c:pt>
                <c:pt idx="8">
                  <c:v>23</c:v>
                </c:pt>
              </c:numCache>
            </c:numRef>
          </c:val>
          <c:extLst>
            <c:ext xmlns:c16="http://schemas.microsoft.com/office/drawing/2014/chart" uri="{C3380CC4-5D6E-409C-BE32-E72D297353CC}">
              <c16:uniqueId val="{718F0E48-393E-4CDA-A6E4-DE1B8FC371B9}"/>
            </c:ext>
          </c:extLst>
        </c:ser>
        <c:dLbls>
          <c:showLegendKey val="0"/>
          <c:showVal val="0"/>
          <c:showCatName val="0"/>
          <c:showSerName val="0"/>
          <c:showPercent val="0"/>
          <c:showBubbleSize val="0"/>
        </c:dLbls>
        <c:gapWidth val="33"/>
        <c:overlap val="-30"/>
        <c:axId val="74252296"/>
        <c:axId val="74255368"/>
      </c:barChart>
      <c:catAx>
        <c:axId val="742522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Overall</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255368"/>
        <c:crosses val="autoZero"/>
        <c:auto val="1"/>
        <c:lblAlgn val="ctr"/>
        <c:lblOffset val="100"/>
        <c:noMultiLvlLbl val="0"/>
      </c:catAx>
      <c:valAx>
        <c:axId val="742553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Actual</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25229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'Scheduled Employees'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'AUGUST EOW'!C1</c:f>
              <c:strCache>
                <c:ptCount val="1"/>
                <c:pt idx="0">
                  <c:v>Scheduled Employees</c:v>
                </c:pt>
              </c:strCache>
            </c:strRef>
          </c:tx>
          <c:spPr>
            <a:solidFill>
              <a:schemeClr val="accent1"/>
            </a:solidFill>
            <a:ln>
              <a:noFill/>
            </a:ln>
            <a:effectLst/>
          </c:spPr>
          <c:invertIfNegative val="0"/>
          <c:val>
            <c:numRef>
              <c:f>'AUGUST EOW'!$C$2:$C$6</c:f>
              <c:numCache>
                <c:formatCode>General</c:formatCode>
                <c:ptCount val="5"/>
                <c:pt idx="0">
                  <c:v>17</c:v>
                </c:pt>
                <c:pt idx="1">
                  <c:v>104</c:v>
                </c:pt>
                <c:pt idx="2">
                  <c:v>103</c:v>
                </c:pt>
                <c:pt idx="3">
                  <c:v>101</c:v>
                </c:pt>
                <c:pt idx="4">
                  <c:v>106</c:v>
                </c:pt>
              </c:numCache>
            </c:numRef>
          </c:val>
          <c:extLst>
            <c:ext xmlns:c16="http://schemas.microsoft.com/office/drawing/2014/chart" uri="{C3380CC4-5D6E-409C-BE32-E72D297353CC}">
              <c16:uniqueId val="{25BB1750-ECC1-471D-BB4E-265502A5CC47}"/>
            </c:ext>
          </c:extLst>
        </c:ser>
        <c:dLbls>
          <c:showLegendKey val="0"/>
          <c:showVal val="0"/>
          <c:showCatName val="0"/>
          <c:showSerName val="0"/>
          <c:showPercent val="0"/>
          <c:showBubbleSize val="0"/>
        </c:dLbls>
        <c:gapWidth val="33"/>
        <c:overlap val="-30"/>
        <c:axId val="1086146568"/>
        <c:axId val="1087509512"/>
      </c:barChart>
      <c:catAx>
        <c:axId val="1086146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7509512"/>
        <c:crosses val="autoZero"/>
        <c:auto val="1"/>
        <c:lblAlgn val="ctr"/>
        <c:lblOffset val="100"/>
        <c:noMultiLvlLbl val="0"/>
      </c:catAx>
      <c:valAx>
        <c:axId val="10875095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Scheduled Employees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61465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'Absent Employees'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'AUGUST EOW'!D1</c:f>
              <c:strCache>
                <c:ptCount val="1"/>
                <c:pt idx="0">
                  <c:v>Absent Employees</c:v>
                </c:pt>
              </c:strCache>
            </c:strRef>
          </c:tx>
          <c:spPr>
            <a:solidFill>
              <a:schemeClr val="accent1"/>
            </a:solidFill>
            <a:ln>
              <a:noFill/>
            </a:ln>
            <a:effectLst/>
          </c:spPr>
          <c:invertIfNegative val="0"/>
          <c:val>
            <c:numRef>
              <c:f>'AUGUST EOW'!$D$2:$D$6</c:f>
              <c:numCache>
                <c:formatCode>General</c:formatCode>
                <c:ptCount val="5"/>
                <c:pt idx="0">
                  <c:v>0</c:v>
                </c:pt>
                <c:pt idx="1">
                  <c:v>9</c:v>
                </c:pt>
                <c:pt idx="2">
                  <c:v>4</c:v>
                </c:pt>
                <c:pt idx="3">
                  <c:v>2</c:v>
                </c:pt>
                <c:pt idx="4">
                  <c:v>5</c:v>
                </c:pt>
              </c:numCache>
            </c:numRef>
          </c:val>
          <c:extLst>
            <c:ext xmlns:c16="http://schemas.microsoft.com/office/drawing/2014/chart" uri="{C3380CC4-5D6E-409C-BE32-E72D297353CC}">
              <c16:uniqueId val="{7D3FBEF2-D06F-465D-9BFF-91F7E27EAFC1}"/>
            </c:ext>
          </c:extLst>
        </c:ser>
        <c:dLbls>
          <c:showLegendKey val="0"/>
          <c:showVal val="0"/>
          <c:showCatName val="0"/>
          <c:showSerName val="0"/>
          <c:showPercent val="0"/>
          <c:showBubbleSize val="0"/>
        </c:dLbls>
        <c:gapWidth val="33"/>
        <c:overlap val="-30"/>
        <c:axId val="971672584"/>
        <c:axId val="1087557128"/>
      </c:barChart>
      <c:catAx>
        <c:axId val="971672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7557128"/>
        <c:crosses val="autoZero"/>
        <c:auto val="1"/>
        <c:lblAlgn val="ctr"/>
        <c:lblOffset val="100"/>
        <c:noMultiLvlLbl val="0"/>
      </c:catAx>
      <c:valAx>
        <c:axId val="10875571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Absent Employees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16725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'Tardy Employees'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'AUGUST EOW'!E1</c:f>
              <c:strCache>
                <c:ptCount val="1"/>
                <c:pt idx="0">
                  <c:v>Tardy Employees</c:v>
                </c:pt>
              </c:strCache>
            </c:strRef>
          </c:tx>
          <c:spPr>
            <a:solidFill>
              <a:schemeClr val="accent1"/>
            </a:solidFill>
            <a:ln>
              <a:noFill/>
            </a:ln>
            <a:effectLst/>
          </c:spPr>
          <c:invertIfNegative val="0"/>
          <c:val>
            <c:numRef>
              <c:f>'AUGUST EOW'!$E$2:$E$6</c:f>
              <c:numCache>
                <c:formatCode>General</c:formatCode>
                <c:ptCount val="5"/>
                <c:pt idx="0">
                  <c:v>0</c:v>
                </c:pt>
                <c:pt idx="1">
                  <c:v>10</c:v>
                </c:pt>
                <c:pt idx="2">
                  <c:v>7</c:v>
                </c:pt>
                <c:pt idx="3">
                  <c:v>7</c:v>
                </c:pt>
                <c:pt idx="4">
                  <c:v>7</c:v>
                </c:pt>
              </c:numCache>
            </c:numRef>
          </c:val>
          <c:extLst>
            <c:ext xmlns:c16="http://schemas.microsoft.com/office/drawing/2014/chart" uri="{C3380CC4-5D6E-409C-BE32-E72D297353CC}">
              <c16:uniqueId val="{B50AC35A-4295-4FAE-A303-E275F985C1DC}"/>
            </c:ext>
          </c:extLst>
        </c:ser>
        <c:dLbls>
          <c:showLegendKey val="0"/>
          <c:showVal val="0"/>
          <c:showCatName val="0"/>
          <c:showSerName val="0"/>
          <c:showPercent val="0"/>
          <c:showBubbleSize val="0"/>
        </c:dLbls>
        <c:gapWidth val="33"/>
        <c:overlap val="-30"/>
        <c:axId val="1687130119"/>
        <c:axId val="1687132167"/>
      </c:barChart>
      <c:catAx>
        <c:axId val="1687130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7132167"/>
        <c:crosses val="autoZero"/>
        <c:auto val="1"/>
        <c:lblAlgn val="ctr"/>
        <c:lblOffset val="100"/>
        <c:noMultiLvlLbl val="0"/>
      </c:catAx>
      <c:valAx>
        <c:axId val="16871321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Tardy Employees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713011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'AUGUST EOW'!$F$1</c:f>
              <c:strCache>
                <c:ptCount val="1"/>
                <c:pt idx="0">
                  <c:v>VL&amp;LWOP</c:v>
                </c:pt>
              </c:strCache>
            </c:strRef>
          </c:tx>
          <c:spPr>
            <a:solidFill>
              <a:srgbClr val="637CEF"/>
            </a:solidFill>
            <a:ln>
              <a:noFill/>
            </a:ln>
            <a:effectLst/>
          </c:spPr>
          <c:invertIfNegative val="0"/>
          <c:val>
            <c:numRef>
              <c:f>'AUGUST EOW'!$F$2:$F$6</c:f>
              <c:numCache>
                <c:formatCode>General</c:formatCode>
                <c:ptCount val="5"/>
                <c:pt idx="0">
                  <c:v>2</c:v>
                </c:pt>
                <c:pt idx="1">
                  <c:v>1</c:v>
                </c:pt>
                <c:pt idx="2">
                  <c:v>1</c:v>
                </c:pt>
                <c:pt idx="3">
                  <c:v>1</c:v>
                </c:pt>
                <c:pt idx="4">
                  <c:v>0</c:v>
                </c:pt>
              </c:numCache>
            </c:numRef>
          </c:val>
          <c:extLst>
            <c:ext xmlns:c16="http://schemas.microsoft.com/office/drawing/2014/chart" uri="{C3380CC4-5D6E-409C-BE32-E72D297353CC}">
              <c16:uniqueId val="{00000000-456E-4A46-A187-FCAE9DD62443}"/>
            </c:ext>
          </c:extLst>
        </c:ser>
        <c:dLbls>
          <c:showLegendKey val="0"/>
          <c:showVal val="0"/>
          <c:showCatName val="0"/>
          <c:showSerName val="0"/>
          <c:showPercent val="0"/>
          <c:showBubbleSize val="0"/>
        </c:dLbls>
        <c:gapWidth val="150"/>
        <c:axId val="758084616"/>
        <c:axId val="1101415431"/>
      </c:barChart>
      <c:catAx>
        <c:axId val="75808461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1415431"/>
        <c:crosses val="autoZero"/>
        <c:auto val="1"/>
        <c:lblAlgn val="ctr"/>
        <c:lblOffset val="100"/>
        <c:noMultiLvlLbl val="0"/>
      </c:catAx>
      <c:valAx>
        <c:axId val="11014154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80846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'AUGUST EOW'!$G$1</c:f>
              <c:strCache>
                <c:ptCount val="1"/>
                <c:pt idx="0">
                  <c:v>Tardiness Rate (%)</c:v>
                </c:pt>
              </c:strCache>
            </c:strRef>
          </c:tx>
          <c:spPr>
            <a:solidFill>
              <a:srgbClr val="637CEF"/>
            </a:solidFill>
            <a:ln>
              <a:noFill/>
            </a:ln>
            <a:effectLst/>
          </c:spPr>
          <c:invertIfNegative val="0"/>
          <c:val>
            <c:numRef>
              <c:f>'AUGUST EOW'!$G$2:$G$6</c:f>
              <c:numCache>
                <c:formatCode>0.00%</c:formatCode>
                <c:ptCount val="5"/>
                <c:pt idx="0">
                  <c:v>0</c:v>
                </c:pt>
                <c:pt idx="1">
                  <c:v>1.5227831791027294E-3</c:v>
                </c:pt>
                <c:pt idx="2">
                  <c:v>1.7539125742039934E-3</c:v>
                </c:pt>
                <c:pt idx="3">
                  <c:v>2.0693688425030368E-3</c:v>
                </c:pt>
                <c:pt idx="4">
                  <c:v>1.7412003261995548E-3</c:v>
                </c:pt>
              </c:numCache>
            </c:numRef>
          </c:val>
          <c:extLst>
            <c:ext xmlns:c16="http://schemas.microsoft.com/office/drawing/2014/chart" uri="{C3380CC4-5D6E-409C-BE32-E72D297353CC}">
              <c16:uniqueId val="{00000000-EDF4-45D9-9743-2D656219B766}"/>
            </c:ext>
          </c:extLst>
        </c:ser>
        <c:dLbls>
          <c:showLegendKey val="0"/>
          <c:showVal val="0"/>
          <c:showCatName val="0"/>
          <c:showSerName val="0"/>
          <c:showPercent val="0"/>
          <c:showBubbleSize val="0"/>
        </c:dLbls>
        <c:gapWidth val="150"/>
        <c:axId val="1569441799"/>
        <c:axId val="544260103"/>
      </c:barChart>
      <c:catAx>
        <c:axId val="156944179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4260103"/>
        <c:crosses val="autoZero"/>
        <c:auto val="1"/>
        <c:lblAlgn val="ctr"/>
        <c:lblOffset val="100"/>
        <c:noMultiLvlLbl val="0"/>
      </c:catAx>
      <c:valAx>
        <c:axId val="54426010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944179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1"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'AUGUST EOW'!$H$1</c:f>
              <c:strCache>
                <c:ptCount val="1"/>
                <c:pt idx="0">
                  <c:v>Absenteeism Rate (%)</c:v>
                </c:pt>
              </c:strCache>
            </c:strRef>
          </c:tx>
          <c:spPr>
            <a:solidFill>
              <a:srgbClr val="637CEF"/>
            </a:solidFill>
            <a:ln>
              <a:noFill/>
            </a:ln>
            <a:effectLst/>
          </c:spPr>
          <c:invertIfNegative val="0"/>
          <c:val>
            <c:numRef>
              <c:f>'AUGUST EOW'!$H$2:$H$7</c:f>
              <c:numCache>
                <c:formatCode>0.00%</c:formatCode>
                <c:ptCount val="6"/>
                <c:pt idx="0">
                  <c:v>0</c:v>
                </c:pt>
                <c:pt idx="1">
                  <c:v>8.6538461538461536E-2</c:v>
                </c:pt>
                <c:pt idx="2">
                  <c:v>3.8834951456310676E-2</c:v>
                </c:pt>
                <c:pt idx="3">
                  <c:v>1.9801980198019802E-2</c:v>
                </c:pt>
                <c:pt idx="4">
                  <c:v>4.716981132075472E-2</c:v>
                </c:pt>
                <c:pt idx="5">
                  <c:v>4.716981132075472E-2</c:v>
                </c:pt>
              </c:numCache>
            </c:numRef>
          </c:val>
          <c:extLst>
            <c:ext xmlns:c16="http://schemas.microsoft.com/office/drawing/2014/chart" uri="{C3380CC4-5D6E-409C-BE32-E72D297353CC}">
              <c16:uniqueId val="{00000000-29C3-4B55-8A00-5B28E937BFAF}"/>
            </c:ext>
          </c:extLst>
        </c:ser>
        <c:dLbls>
          <c:showLegendKey val="0"/>
          <c:showVal val="0"/>
          <c:showCatName val="0"/>
          <c:showSerName val="0"/>
          <c:showPercent val="0"/>
          <c:showBubbleSize val="0"/>
        </c:dLbls>
        <c:gapWidth val="150"/>
        <c:axId val="544268295"/>
        <c:axId val="544270343"/>
      </c:barChart>
      <c:catAx>
        <c:axId val="54426829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4270343"/>
        <c:crosses val="autoZero"/>
        <c:auto val="1"/>
        <c:lblAlgn val="ctr"/>
        <c:lblOffset val="100"/>
        <c:noMultiLvlLbl val="0"/>
      </c:catAx>
      <c:valAx>
        <c:axId val="54427034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426829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1"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'AUGUST EOW'!$I$1</c:f>
              <c:strCache>
                <c:ptCount val="1"/>
                <c:pt idx="0">
                  <c:v>Attendance</c:v>
                </c:pt>
              </c:strCache>
            </c:strRef>
          </c:tx>
          <c:spPr>
            <a:solidFill>
              <a:srgbClr val="637CEF"/>
            </a:solidFill>
            <a:ln>
              <a:noFill/>
            </a:ln>
            <a:effectLst/>
          </c:spPr>
          <c:invertIfNegative val="0"/>
          <c:val>
            <c:numRef>
              <c:f>'AUGUST EOW'!$I$2:$I$7</c:f>
              <c:numCache>
                <c:formatCode>0%</c:formatCode>
                <c:ptCount val="6"/>
                <c:pt idx="0">
                  <c:v>1</c:v>
                </c:pt>
                <c:pt idx="1">
                  <c:v>0.91207264957264955</c:v>
                </c:pt>
                <c:pt idx="2">
                  <c:v>0.95948220064724921</c:v>
                </c:pt>
                <c:pt idx="3">
                  <c:v>0.97817381738173814</c:v>
                </c:pt>
                <c:pt idx="4">
                  <c:v>0.95117400419287212</c:v>
                </c:pt>
                <c:pt idx="5">
                  <c:v>0.9420335429769392</c:v>
                </c:pt>
              </c:numCache>
            </c:numRef>
          </c:val>
          <c:extLst>
            <c:ext xmlns:c16="http://schemas.microsoft.com/office/drawing/2014/chart" uri="{C3380CC4-5D6E-409C-BE32-E72D297353CC}">
              <c16:uniqueId val="{00000000-4962-4797-8160-A40B1B004434}"/>
            </c:ext>
          </c:extLst>
        </c:ser>
        <c:dLbls>
          <c:showLegendKey val="0"/>
          <c:showVal val="0"/>
          <c:showCatName val="0"/>
          <c:showSerName val="0"/>
          <c:showPercent val="0"/>
          <c:showBubbleSize val="0"/>
        </c:dLbls>
        <c:gapWidth val="150"/>
        <c:axId val="546459655"/>
        <c:axId val="546461703"/>
      </c:barChart>
      <c:catAx>
        <c:axId val="54645965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461703"/>
        <c:crosses val="autoZero"/>
        <c:auto val="1"/>
        <c:lblAlgn val="ctr"/>
        <c:lblOffset val="100"/>
        <c:noMultiLvlLbl val="0"/>
      </c:catAx>
      <c:valAx>
        <c:axId val="54646170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4596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2.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3.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4.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5.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6.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14.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15.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16.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0</xdr:col>
      <xdr:colOff>161925</xdr:colOff>
      <xdr:row>0</xdr:row>
      <xdr:rowOff>28575</xdr:rowOff>
    </xdr:from>
    <xdr:to>
      <xdr:col>0</xdr:col>
      <xdr:colOff>161925</xdr:colOff>
      <xdr:row>0</xdr:row>
      <xdr:rowOff>28575</xdr:rowOff>
    </xdr:to>
    <xdr:graphicFrame macro="">
      <xdr:nvGraphicFramePr>
        <xdr:cNvPr id="4" name="Chart 3">
          <a:extLst>
            <a:ext uri="{FF2B5EF4-FFF2-40B4-BE49-F238E27FC236}">
              <a16:creationId xmlns:a16="http://schemas.microsoft.com/office/drawing/2014/main" id="{FBAE43DC-E188-3B61-4F65-EF696707FC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447675</xdr:colOff>
      <xdr:row>0</xdr:row>
      <xdr:rowOff>19050</xdr:rowOff>
    </xdr:from>
    <xdr:to>
      <xdr:col>22</xdr:col>
      <xdr:colOff>1114425</xdr:colOff>
      <xdr:row>21</xdr:row>
      <xdr:rowOff>19050</xdr:rowOff>
    </xdr:to>
    <xdr:graphicFrame macro="">
      <xdr:nvGraphicFramePr>
        <xdr:cNvPr id="11" name="Chart 10">
          <a:extLst>
            <a:ext uri="{FF2B5EF4-FFF2-40B4-BE49-F238E27FC236}">
              <a16:creationId xmlns:a16="http://schemas.microsoft.com/office/drawing/2014/main" id="{5216F50F-CEA0-5AFA-DDA0-47EE0EE53882}"/>
            </a:ext>
            <a:ext uri="{147F2762-F138-4A5C-976F-8EAC2B608ADB}">
              <a16:predDERef xmlns:a16="http://schemas.microsoft.com/office/drawing/2014/main" pred="{FBAE43DC-E188-3B61-4F65-EF696707FC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1438275</xdr:colOff>
      <xdr:row>0</xdr:row>
      <xdr:rowOff>0</xdr:rowOff>
    </xdr:from>
    <xdr:to>
      <xdr:col>28</xdr:col>
      <xdr:colOff>457200</xdr:colOff>
      <xdr:row>21</xdr:row>
      <xdr:rowOff>38100</xdr:rowOff>
    </xdr:to>
    <xdr:graphicFrame macro="">
      <xdr:nvGraphicFramePr>
        <xdr:cNvPr id="13" name="Chart 12">
          <a:extLst>
            <a:ext uri="{FF2B5EF4-FFF2-40B4-BE49-F238E27FC236}">
              <a16:creationId xmlns:a16="http://schemas.microsoft.com/office/drawing/2014/main" id="{B2C2443E-E276-1099-F8FE-96AECEA26947}"/>
            </a:ext>
            <a:ext uri="{147F2762-F138-4A5C-976F-8EAC2B608ADB}">
              <a16:predDERef xmlns:a16="http://schemas.microsoft.com/office/drawing/2014/main" pred="{5216F50F-CEA0-5AFA-DDA0-47EE0EE538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714375</xdr:colOff>
      <xdr:row>18</xdr:row>
      <xdr:rowOff>47625</xdr:rowOff>
    </xdr:from>
    <xdr:to>
      <xdr:col>0</xdr:col>
      <xdr:colOff>714375</xdr:colOff>
      <xdr:row>18</xdr:row>
      <xdr:rowOff>47625</xdr:rowOff>
    </xdr:to>
    <xdr:graphicFrame macro="">
      <xdr:nvGraphicFramePr>
        <xdr:cNvPr id="2" name="Chart 1">
          <a:extLst>
            <a:ext uri="{FF2B5EF4-FFF2-40B4-BE49-F238E27FC236}">
              <a16:creationId xmlns:a16="http://schemas.microsoft.com/office/drawing/2014/main" id="{A2C1660F-B3A5-BECF-2ECA-E6306BC8315B}"/>
            </a:ext>
            <a:ext uri="{147F2762-F138-4A5C-976F-8EAC2B608ADB}">
              <a16:predDERef xmlns:a16="http://schemas.microsoft.com/office/drawing/2014/main" pred="{B2C2443E-E276-1099-F8FE-96AECEA269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514350</xdr:colOff>
      <xdr:row>25</xdr:row>
      <xdr:rowOff>28575</xdr:rowOff>
    </xdr:from>
    <xdr:to>
      <xdr:col>22</xdr:col>
      <xdr:colOff>695325</xdr:colOff>
      <xdr:row>39</xdr:row>
      <xdr:rowOff>76200</xdr:rowOff>
    </xdr:to>
    <xdr:graphicFrame macro="">
      <xdr:nvGraphicFramePr>
        <xdr:cNvPr id="8" name="Chart 7">
          <a:extLst>
            <a:ext uri="{FF2B5EF4-FFF2-40B4-BE49-F238E27FC236}">
              <a16:creationId xmlns:a16="http://schemas.microsoft.com/office/drawing/2014/main" id="{55AF32A4-21D0-0247-BC8B-357129FD2078}"/>
            </a:ext>
            <a:ext uri="{147F2762-F138-4A5C-976F-8EAC2B608ADB}">
              <a16:predDERef xmlns:a16="http://schemas.microsoft.com/office/drawing/2014/main" pred="{A2C1660F-B3A5-BECF-2ECA-E6306BC831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23</xdr:col>
      <xdr:colOff>142875</xdr:colOff>
      <xdr:row>25</xdr:row>
      <xdr:rowOff>114300</xdr:rowOff>
    </xdr:from>
    <xdr:to>
      <xdr:col>28</xdr:col>
      <xdr:colOff>457200</xdr:colOff>
      <xdr:row>39</xdr:row>
      <xdr:rowOff>161925</xdr:rowOff>
    </xdr:to>
    <xdr:graphicFrame macro="">
      <xdr:nvGraphicFramePr>
        <xdr:cNvPr id="9" name="Chart 8">
          <a:extLst>
            <a:ext uri="{FF2B5EF4-FFF2-40B4-BE49-F238E27FC236}">
              <a16:creationId xmlns:a16="http://schemas.microsoft.com/office/drawing/2014/main" id="{E495EC80-F41A-A126-3A8C-94AB79F8B90D}"/>
            </a:ext>
            <a:ext uri="{147F2762-F138-4A5C-976F-8EAC2B608ADB}">
              <a16:predDERef xmlns:a16="http://schemas.microsoft.com/office/drawing/2014/main" pred="{55AF32A4-21D0-0247-BC8B-357129FD20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-95250</xdr:colOff>
      <xdr:row>42</xdr:row>
      <xdr:rowOff>19050</xdr:rowOff>
    </xdr:from>
    <xdr:to>
      <xdr:col>2</xdr:col>
      <xdr:colOff>-95250</xdr:colOff>
      <xdr:row>42</xdr:row>
      <xdr:rowOff>19050</xdr:rowOff>
    </xdr:to>
    <xdr:graphicFrame macro="">
      <xdr:nvGraphicFramePr>
        <xdr:cNvPr id="4" name="Chart 3">
          <a:extLst>
            <a:ext uri="{FF2B5EF4-FFF2-40B4-BE49-F238E27FC236}">
              <a16:creationId xmlns:a16="http://schemas.microsoft.com/office/drawing/2014/main" id="{B1A5C301-2D8F-AD83-41C0-85587091FB14}"/>
            </a:ext>
            <a:ext uri="{147F2762-F138-4A5C-976F-8EAC2B608ADB}">
              <a16:predDERef xmlns:a16="http://schemas.microsoft.com/office/drawing/2014/main" pred="{AF75EDD5-2D7E-F424-69B3-C743719AF2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542925</xdr:colOff>
      <xdr:row>0</xdr:row>
      <xdr:rowOff>0</xdr:rowOff>
    </xdr:from>
    <xdr:to>
      <xdr:col>18</xdr:col>
      <xdr:colOff>581025</xdr:colOff>
      <xdr:row>13</xdr:row>
      <xdr:rowOff>171450</xdr:rowOff>
    </xdr:to>
    <xdr:graphicFrame macro="">
      <xdr:nvGraphicFramePr>
        <xdr:cNvPr id="10" name="Chart 9" descr="Chart type: Clustered Column. 'Actual'&#10;&#10;Description automatically generated">
          <a:extLst>
            <a:ext uri="{FF2B5EF4-FFF2-40B4-BE49-F238E27FC236}">
              <a16:creationId xmlns:a16="http://schemas.microsoft.com/office/drawing/2014/main" id="{CBCD6099-BACB-85CF-9C44-57799921EC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571500</xdr:colOff>
      <xdr:row>16</xdr:row>
      <xdr:rowOff>28575</xdr:rowOff>
    </xdr:from>
    <xdr:to>
      <xdr:col>18</xdr:col>
      <xdr:colOff>266700</xdr:colOff>
      <xdr:row>30</xdr:row>
      <xdr:rowOff>9525</xdr:rowOff>
    </xdr:to>
    <xdr:graphicFrame macro="">
      <xdr:nvGraphicFramePr>
        <xdr:cNvPr id="2" name="Chart 1" descr="Chart type: Clustered Column. 'Actual'&#10;&#10;Description automatically generated">
          <a:extLst>
            <a:ext uri="{FF2B5EF4-FFF2-40B4-BE49-F238E27FC236}">
              <a16:creationId xmlns:a16="http://schemas.microsoft.com/office/drawing/2014/main" id="{A99D9528-956D-60B1-75FA-4F76AC0FE51E}"/>
            </a:ext>
            <a:ext uri="{147F2762-F138-4A5C-976F-8EAC2B608ADB}">
              <a16:predDERef xmlns:a16="http://schemas.microsoft.com/office/drawing/2014/main" pred="{CBCD6099-BACB-85CF-9C44-57799921EC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11</xdr:col>
      <xdr:colOff>295275</xdr:colOff>
      <xdr:row>27</xdr:row>
      <xdr:rowOff>104775</xdr:rowOff>
    </xdr:from>
    <xdr:to>
      <xdr:col>17</xdr:col>
      <xdr:colOff>361950</xdr:colOff>
      <xdr:row>41</xdr:row>
      <xdr:rowOff>180975</xdr:rowOff>
    </xdr:to>
    <xdr:graphicFrame macro="">
      <xdr:nvGraphicFramePr>
        <xdr:cNvPr id="3" name="Chart 2" descr="Chart type: Clustered Column. 'Scheduled Employees'&#10;&#10;Description automatically generated">
          <a:extLst>
            <a:ext uri="{FF2B5EF4-FFF2-40B4-BE49-F238E27FC236}">
              <a16:creationId xmlns:a16="http://schemas.microsoft.com/office/drawing/2014/main" id="{08723F25-F43C-A329-F212-B24EA5F5DA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571500</xdr:colOff>
      <xdr:row>28</xdr:row>
      <xdr:rowOff>57150</xdr:rowOff>
    </xdr:from>
    <xdr:to>
      <xdr:col>26</xdr:col>
      <xdr:colOff>266700</xdr:colOff>
      <xdr:row>42</xdr:row>
      <xdr:rowOff>133350</xdr:rowOff>
    </xdr:to>
    <xdr:graphicFrame macro="">
      <xdr:nvGraphicFramePr>
        <xdr:cNvPr id="4" name="Chart 3" descr="Chart type: Clustered Column. 'Absent Employees'&#10;&#10;Description automatically generated">
          <a:extLst>
            <a:ext uri="{FF2B5EF4-FFF2-40B4-BE49-F238E27FC236}">
              <a16:creationId xmlns:a16="http://schemas.microsoft.com/office/drawing/2014/main" id="{60AB407D-8A42-4C60-2895-99B684A8E05C}"/>
            </a:ext>
            <a:ext uri="{147F2762-F138-4A5C-976F-8EAC2B608ADB}">
              <a16:predDERef xmlns:a16="http://schemas.microsoft.com/office/drawing/2014/main" pred="{08723F25-F43C-A329-F212-B24EA5F5DA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123825</xdr:colOff>
      <xdr:row>12</xdr:row>
      <xdr:rowOff>85725</xdr:rowOff>
    </xdr:from>
    <xdr:to>
      <xdr:col>16</xdr:col>
      <xdr:colOff>428625</xdr:colOff>
      <xdr:row>26</xdr:row>
      <xdr:rowOff>161925</xdr:rowOff>
    </xdr:to>
    <xdr:graphicFrame macro="">
      <xdr:nvGraphicFramePr>
        <xdr:cNvPr id="5" name="Chart 4" descr="Chart type: Clustered Column. 'Tardy Employees'&#10;&#10;Description automatically generated">
          <a:extLst>
            <a:ext uri="{FF2B5EF4-FFF2-40B4-BE49-F238E27FC236}">
              <a16:creationId xmlns:a16="http://schemas.microsoft.com/office/drawing/2014/main" id="{9AA936DC-C51D-1201-486F-7F6379BD0863}"/>
            </a:ext>
            <a:ext uri="{147F2762-F138-4A5C-976F-8EAC2B608ADB}">
              <a16:predDERef xmlns:a16="http://schemas.microsoft.com/office/drawing/2014/main" pred="{60AB407D-8A42-4C60-2895-99B684A8E0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95250</xdr:colOff>
      <xdr:row>12</xdr:row>
      <xdr:rowOff>19050</xdr:rowOff>
    </xdr:from>
    <xdr:to>
      <xdr:col>24</xdr:col>
      <xdr:colOff>400050</xdr:colOff>
      <xdr:row>26</xdr:row>
      <xdr:rowOff>95250</xdr:rowOff>
    </xdr:to>
    <xdr:graphicFrame macro="">
      <xdr:nvGraphicFramePr>
        <xdr:cNvPr id="2" name="Chart 1">
          <a:extLst>
            <a:ext uri="{FF2B5EF4-FFF2-40B4-BE49-F238E27FC236}">
              <a16:creationId xmlns:a16="http://schemas.microsoft.com/office/drawing/2014/main" id="{521D875D-528D-6440-D8AF-0C44CA115527}"/>
            </a:ext>
            <a:ext uri="{147F2762-F138-4A5C-976F-8EAC2B608ADB}">
              <a16:predDERef xmlns:a16="http://schemas.microsoft.com/office/drawing/2014/main" pred="{9AA936DC-C51D-1201-486F-7F6379BD08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123825</xdr:colOff>
      <xdr:row>0</xdr:row>
      <xdr:rowOff>0</xdr:rowOff>
    </xdr:from>
    <xdr:to>
      <xdr:col>16</xdr:col>
      <xdr:colOff>428625</xdr:colOff>
      <xdr:row>12</xdr:row>
      <xdr:rowOff>0</xdr:rowOff>
    </xdr:to>
    <xdr:graphicFrame macro="">
      <xdr:nvGraphicFramePr>
        <xdr:cNvPr id="8" name="Chart 7">
          <a:extLst>
            <a:ext uri="{FF2B5EF4-FFF2-40B4-BE49-F238E27FC236}">
              <a16:creationId xmlns:a16="http://schemas.microsoft.com/office/drawing/2014/main" id="{A5662A42-1F15-2B7C-27E2-614C0F8F633F}"/>
            </a:ext>
            <a:ext uri="{147F2762-F138-4A5C-976F-8EAC2B608ADB}">
              <a16:predDERef xmlns:a16="http://schemas.microsoft.com/office/drawing/2014/main" pred="{521D875D-528D-6440-D8AF-0C44CA1155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38100</xdr:colOff>
      <xdr:row>0</xdr:row>
      <xdr:rowOff>0</xdr:rowOff>
    </xdr:from>
    <xdr:to>
      <xdr:col>24</xdr:col>
      <xdr:colOff>342900</xdr:colOff>
      <xdr:row>12</xdr:row>
      <xdr:rowOff>0</xdr:rowOff>
    </xdr:to>
    <xdr:graphicFrame macro="">
      <xdr:nvGraphicFramePr>
        <xdr:cNvPr id="9" name="Chart 8">
          <a:extLst>
            <a:ext uri="{FF2B5EF4-FFF2-40B4-BE49-F238E27FC236}">
              <a16:creationId xmlns:a16="http://schemas.microsoft.com/office/drawing/2014/main" id="{F6135735-DF10-840F-3D3A-03093DF6E2FB}"/>
            </a:ext>
            <a:ext uri="{147F2762-F138-4A5C-976F-8EAC2B608ADB}">
              <a16:predDERef xmlns:a16="http://schemas.microsoft.com/office/drawing/2014/main" pred="{A5662A42-1F15-2B7C-27E2-614C0F8F63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1219200</xdr:colOff>
      <xdr:row>29</xdr:row>
      <xdr:rowOff>0</xdr:rowOff>
    </xdr:from>
    <xdr:to>
      <xdr:col>11</xdr:col>
      <xdr:colOff>152400</xdr:colOff>
      <xdr:row>43</xdr:row>
      <xdr:rowOff>76200</xdr:rowOff>
    </xdr:to>
    <xdr:graphicFrame macro="">
      <xdr:nvGraphicFramePr>
        <xdr:cNvPr id="10" name="Chart 9">
          <a:extLst>
            <a:ext uri="{FF2B5EF4-FFF2-40B4-BE49-F238E27FC236}">
              <a16:creationId xmlns:a16="http://schemas.microsoft.com/office/drawing/2014/main" id="{015B8371-D0D8-B98C-FECA-027B9BF7098D}"/>
            </a:ext>
            <a:ext uri="{147F2762-F138-4A5C-976F-8EAC2B608ADB}">
              <a16:predDERef xmlns:a16="http://schemas.microsoft.com/office/drawing/2014/main" pred="{F6135735-DF10-840F-3D3A-03093DF6E2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_rels/pivotCacheDefinition10.xml.rels><?xml version="1.0" encoding="UTF-8" standalone="yes"?>
<Relationships xmlns="http://schemas.openxmlformats.org/package/2006/relationships"><Relationship Id="rId1" Type="http://schemas.openxmlformats.org/officeDocument/2006/relationships/pivotCacheRecords" Target="pivotCacheRecords10.xml"/></Relationships>
</file>

<file path=xl/pivotCache/_rels/pivotCacheDefinition11.xml.rels><?xml version="1.0" encoding="UTF-8" standalone="yes"?>
<Relationships xmlns="http://schemas.openxmlformats.org/package/2006/relationships"><Relationship Id="rId1" Type="http://schemas.openxmlformats.org/officeDocument/2006/relationships/pivotCacheRecords" Target="pivotCacheRecords11.xml"/></Relationships>
</file>

<file path=xl/pivotCache/_rels/pivotCacheDefinition12.xml.rels><?xml version="1.0" encoding="UTF-8" standalone="yes"?>
<Relationships xmlns="http://schemas.openxmlformats.org/package/2006/relationships"><Relationship Id="rId1" Type="http://schemas.openxmlformats.org/officeDocument/2006/relationships/pivotCacheRecords" Target="pivotCacheRecords12.xml"/></Relationships>
</file>

<file path=xl/pivotCache/_rels/pivotCacheDefinition13.xml.rels><?xml version="1.0" encoding="UTF-8" standalone="yes"?>
<Relationships xmlns="http://schemas.openxmlformats.org/package/2006/relationships"><Relationship Id="rId1" Type="http://schemas.openxmlformats.org/officeDocument/2006/relationships/pivotCacheRecords" Target="pivotCacheRecords13.xml"/></Relationships>
</file>

<file path=xl/pivotCache/_rels/pivotCacheDefinition14.xml.rels><?xml version="1.0" encoding="UTF-8" standalone="yes"?>
<Relationships xmlns="http://schemas.openxmlformats.org/package/2006/relationships"><Relationship Id="rId1" Type="http://schemas.openxmlformats.org/officeDocument/2006/relationships/pivotCacheRecords" Target="pivotCacheRecords1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OSHIBA" refreshedDate="45834.917526504629" createdVersion="8" refreshedVersion="8" minRefreshableVersion="3" recordCount="97" xr:uid="{7B74B58A-572C-4FFA-9437-EEC86F82A154}">
  <cacheSource type="worksheet">
    <worksheetSource ref="A1:R1048576" sheet="JWeek2"/>
  </cacheSource>
  <cacheFields count="18">
    <cacheField name="Department" numFmtId="0">
      <sharedItems containsBlank="1" count="7">
        <s v="Billing"/>
        <s v="Rejection"/>
        <s v="Intake"/>
        <s v="Rebill"/>
        <s v="Mpen"/>
        <s v="ALF"/>
        <m/>
      </sharedItems>
    </cacheField>
    <cacheField name="Full Name" numFmtId="0">
      <sharedItems containsBlank="1" count="95">
        <s v="Alexandra Ortiz"/>
        <s v="Alyssa DeGuzman "/>
        <s v="Analyn Caniedo "/>
        <s v="Analyn Diaz "/>
        <s v="Andrea Fonacier"/>
        <s v="Angelica Bautista"/>
        <s v="Angelo Agron "/>
        <s v="Anthea Ann Lumen "/>
        <s v="Anthony Valdez"/>
        <s v="Ar Jean Tudtud"/>
        <s v="Arah Blancia "/>
        <s v="Avril Rie Son"/>
        <s v="Bea Mercado "/>
        <s v="Charlene Valdez"/>
        <s v="Charyselle Cadelina "/>
        <s v="Collen Silapan"/>
        <s v="Danielle Generao "/>
        <s v="Edmark Bania"/>
        <s v="Eldrick Loreno"/>
        <s v="Erika Ramos"/>
        <s v="Ethel Gregorio "/>
        <s v="Eunice Bargo "/>
        <s v="Eunice Padadnan"/>
        <s v="Femie DC Domenden "/>
        <s v="Francis Alba"/>
        <s v="Francis Narboneta "/>
        <s v="Gladys Astilla "/>
        <s v="Glessie DeJesus"/>
        <s v="Glory Nabayra "/>
        <s v="Hanna Arceo"/>
        <s v="Hans Ruan"/>
        <s v="Hazelyn Rodrigo"/>
        <s v="Iris Dahnielle Andalleon "/>
        <s v="Isabela Arellano"/>
        <s v="Iverson Libranda"/>
        <s v="Jason Cruz"/>
        <s v="Jean Tan"/>
        <s v="Jeannie Bajaro"/>
        <s v="Jericho Crame "/>
        <s v="Jesslyn Gatbunton "/>
        <s v="Jewel Mondina"/>
        <s v="Jimwell Osiang"/>
        <s v="Jizelle Delos Reyes "/>
        <s v="Joanna Cabrera"/>
        <s v="Johnella Lopez "/>
        <s v="Jonathan Marquez "/>
        <s v="Josea Aseron"/>
        <s v="Joshua Joaquin"/>
        <s v="Jouse Baquiran"/>
        <s v="Julieann Manasan"/>
        <s v="Jullyca Oblefias"/>
        <s v="Karl Solomon"/>
        <s v="Karlos De Leon "/>
        <s v="Kate Constantino"/>
        <s v="Katrina Go"/>
        <s v="Kaxyleh Masilongan "/>
        <s v="Kiana Brown"/>
        <s v="Kizzy Serrano "/>
        <s v="Kyzen Hayagan "/>
        <s v="Lea Alagadmo"/>
        <s v="Leo Olesco "/>
        <s v="Lorraine Cabantac "/>
        <s v="Louis Cantillion"/>
        <s v="Margie Theres A Magluyan "/>
        <s v="Marion Vien Santos"/>
        <s v="Mark Bienes "/>
        <s v="Mark Frankie Pecolera"/>
        <s v="Mark Metra"/>
        <s v="Mary Dela Cruz "/>
        <s v="Mary Kilario"/>
        <s v="Mayann Somera"/>
        <s v="Mherica Santos "/>
        <s v="Mikaella Santos"/>
        <s v="Nerissa Ong"/>
        <s v="Noemi Landerito"/>
        <s v="Patricia Busio "/>
        <s v="Rafunzel M Manuel "/>
        <s v="Raphael Macasocol"/>
        <s v="Remaden Bautista "/>
        <s v="Rhona Sanejo"/>
        <s v="Ricalyn Clarencio "/>
        <s v="Roxinne Madolid "/>
        <s v="Rubyneil Abejero"/>
        <s v="Ruth Dela Cruz"/>
        <s v="Ryan Rillo"/>
        <s v="Sandarah Cruz"/>
        <s v="Sean Edulan "/>
        <s v="Stephanie Del Rosario"/>
        <s v="Syra Jade Yaranon"/>
        <s v="Tricia Galsim"/>
        <s v="Vincent Paolo Villasenor"/>
        <s v="Vladimir Patio"/>
        <s v="Xenrel Mae O Dacubar "/>
        <m/>
        <s v="Vianka Ylaine Ortiz " u="1"/>
      </sharedItems>
    </cacheField>
    <cacheField name="State" numFmtId="0">
      <sharedItems containsBlank="1"/>
    </cacheField>
    <cacheField name="SUNDAY" numFmtId="0">
      <sharedItems containsBlank="1" containsMixedTypes="1" containsNumber="1" containsInteger="1" minValue="19" maxValue="19"/>
    </cacheField>
    <cacheField name="MONDAY" numFmtId="0">
      <sharedItems containsBlank="1" containsMixedTypes="1" containsNumber="1" containsInteger="1" minValue="1" maxValue="450"/>
    </cacheField>
    <cacheField name="TUESDAY" numFmtId="0">
      <sharedItems containsBlank="1" containsMixedTypes="1" containsNumber="1" containsInteger="1" minValue="4" maxValue="450"/>
    </cacheField>
    <cacheField name="WEDNESDAY" numFmtId="0">
      <sharedItems containsBlank="1" containsMixedTypes="1" containsNumber="1" containsInteger="1" minValue="1" maxValue="450"/>
    </cacheField>
    <cacheField name="THURSDAY" numFmtId="0">
      <sharedItems containsBlank="1" containsMixedTypes="1" containsNumber="1" containsInteger="1" minValue="2" maxValue="450"/>
    </cacheField>
    <cacheField name="FRIDAY" numFmtId="0">
      <sharedItems containsBlank="1" containsMixedTypes="1" containsNumber="1" containsInteger="1" minValue="1" maxValue="450"/>
    </cacheField>
    <cacheField name="SATURDAY" numFmtId="0">
      <sharedItems containsBlank="1" containsMixedTypes="1" containsNumber="1" containsInteger="1" minValue="202" maxValue="450"/>
    </cacheField>
    <cacheField name="Tardiness" numFmtId="0">
      <sharedItems containsString="0" containsBlank="1" containsNumber="1" minValue="0" maxValue="2660"/>
    </cacheField>
    <cacheField name="Absences" numFmtId="0">
      <sharedItems containsString="0" containsBlank="1" containsNumber="1" minValue="0" maxValue="9000"/>
    </cacheField>
    <cacheField name="Lost Hours" numFmtId="0">
      <sharedItems containsString="0" containsBlank="1" containsNumber="1" minValue="0" maxValue="11660"/>
    </cacheField>
    <cacheField name="Target" numFmtId="0">
      <sharedItems containsString="0" containsBlank="1" containsNumber="1" containsInteger="1" minValue="1800" maxValue="206100"/>
    </cacheField>
    <cacheField name="Completed" numFmtId="0">
      <sharedItems containsString="0" containsBlank="1" containsNumber="1" containsInteger="1" minValue="1255" maxValue="194440"/>
    </cacheField>
    <cacheField name="Attendance" numFmtId="0">
      <sharedItems containsString="0" containsBlank="1" containsNumber="1" minValue="0.55777777777777782" maxValue="1"/>
    </cacheField>
    <cacheField name="VL" numFmtId="0">
      <sharedItems containsString="0" containsBlank="1" containsNumber="1" containsInteger="1" minValue="1" maxValue="1"/>
    </cacheField>
    <cacheField name="LWOP" numFmtId="0">
      <sharedItems containsString="0" containsBlank="1" containsNumber="1" containsInteger="1" minValue="1" maxValue="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OSHIBA" refreshedDate="45834.917529050923" createdVersion="8" refreshedVersion="8" minRefreshableVersion="3" recordCount="98" xr:uid="{2A94BB2C-5FB3-4B8E-B9D6-3448B2DB21C1}">
  <cacheSource type="worksheet">
    <worksheetSource ref="A1:V1048576" sheet="May "/>
  </cacheSource>
  <cacheFields count="22">
    <cacheField name="Department" numFmtId="0">
      <sharedItems containsBlank="1" count="7">
        <s v="Billing"/>
        <s v="Rejection"/>
        <s v="Intake"/>
        <s v="Mpen"/>
        <m/>
        <s v="Rebill" u="1"/>
        <s v="ALF" u="1"/>
      </sharedItems>
    </cacheField>
    <cacheField name="Team Lead" numFmtId="0">
      <sharedItems containsBlank="1" count="11">
        <s v="Kate Constantino"/>
        <s v="Vladimir Patio"/>
        <s v="Louis Cantillion"/>
        <s v="Edmark Bania"/>
        <s v="Kiana Brown"/>
        <s v="Rhoda De Jesus"/>
        <s v="Hans Ruan"/>
        <s v="Jason Cruz"/>
        <s v="Noemi Landerito"/>
        <s v="Eldrick Loreno"/>
        <m/>
      </sharedItems>
    </cacheField>
    <cacheField name="Full Name" numFmtId="0">
      <sharedItems containsBlank="1" count="98">
        <s v="Alexandra Ortiz"/>
        <s v="Alyssa DeGuzman "/>
        <s v="Analyn Caniedo "/>
        <s v="Analyn Diaz "/>
        <s v="Andrea Fonacier"/>
        <s v="Angelica Bautista"/>
        <s v="Angelo Agron "/>
        <s v="Anthea Ann Lumen "/>
        <s v="Anthony Valdez"/>
        <s v="Ar Jean Tudtud"/>
        <s v="Arah Blancia "/>
        <s v="Audrey De Leon"/>
        <s v="Avril Rie Son"/>
        <s v="Bea Mercado "/>
        <s v="Charlene Valdez"/>
        <s v="Charyselle Cadelina "/>
        <s v="Collen Silapan"/>
        <s v="Danielle Generao "/>
        <s v="Edmark Bania"/>
        <s v="Eldrick Loreno"/>
        <s v="Erika Ramos"/>
        <s v="Ethel Gregorio "/>
        <s v="Eunice Bargo "/>
        <s v="Eunice Padadnan"/>
        <s v="Femie DC Domenden "/>
        <s v="Francis Alba"/>
        <s v="Francis Narboneta "/>
        <s v="Gladys Astilla "/>
        <s v="Glessie DeJesus"/>
        <s v="Glory Nabayra "/>
        <s v="Hanna Arceo"/>
        <s v="Hans Ruan"/>
        <s v="Hazelyn Rodrigo"/>
        <s v="Iris Dahnielle Andalleon "/>
        <s v="Isabela Arellano"/>
        <s v="Iverson Libranda"/>
        <s v="Jason Cruz"/>
        <s v="Jean Tan"/>
        <s v="Jeannie Bajaro"/>
        <s v="Jericho Crame "/>
        <s v="Jesslyn Gatbunton "/>
        <s v="Jester Limpin"/>
        <s v="Jewel Mondina"/>
        <s v="Jimwell Osiang"/>
        <s v="Jizelle Delos Reyes "/>
        <s v="Joanna Cabrera"/>
        <s v="Johnella Lopez "/>
        <s v="Jonathan Marquez "/>
        <s v="Josea Aseron"/>
        <s v="Joshua Joaquin"/>
        <s v="Julieann Manasan"/>
        <s v="Jullyca Oblefias"/>
        <s v="Karl Solomon"/>
        <s v="Karlos De Leon "/>
        <s v="Kate Constantino"/>
        <s v="Katrina Go"/>
        <s v="Kaxyleh Masilongan "/>
        <s v="Kiana Brown"/>
        <s v="Kizzy Serrano "/>
        <s v="Kyzen Hayagan "/>
        <s v="Lea Alagadmo"/>
        <s v="Leo Olesco "/>
        <s v="Lorraine Cabantac "/>
        <s v="Louis Cantillion"/>
        <s v="Margie Theres A Magluyan "/>
        <s v="Marion Vien Santos"/>
        <s v="Mark Bienes "/>
        <s v="Mark Frankie Pecolera"/>
        <s v="Mark Metra"/>
        <s v="Mary Dela Cruz "/>
        <s v="Mary Kilario"/>
        <s v="Mayann Somera"/>
        <s v="Mherica Santos "/>
        <s v="Mikaella Santos"/>
        <s v="Nerissa Ong"/>
        <s v="Noemi Landerito"/>
        <s v="Patricia Busio "/>
        <s v="Rafunzel M Manuel "/>
        <s v="Raphael Macasocol"/>
        <s v="Remaden Bautista "/>
        <s v="Rhona Sanejo"/>
        <s v="Ricalyn Clarencio "/>
        <s v="Rosalinda Pantua"/>
        <s v="Roxinne Madolid "/>
        <s v="Rubyneil Abejero"/>
        <s v="Ruth Dela Cruz"/>
        <s v="Ryan Rillo"/>
        <s v="Sandarah Cruz"/>
        <s v="Sean Edulan "/>
        <s v="Stephanie Del Rosario"/>
        <s v="Syra Jade Yaranon"/>
        <s v="Theresa Ma Alvaro "/>
        <s v="Tricia Galsim"/>
        <s v="Vianka Ylaine Ortiz "/>
        <s v="Vincent Paolo Villasenor"/>
        <s v="Vladimir Patio"/>
        <s v="Xenrel Mae O Dacubar "/>
        <m/>
      </sharedItems>
    </cacheField>
    <cacheField name="State" numFmtId="0">
      <sharedItems containsBlank="1"/>
    </cacheField>
    <cacheField name="Tardiness" numFmtId="0">
      <sharedItems containsString="0" containsBlank="1" containsNumber="1" containsInteger="1" minValue="0" maxValue="582"/>
    </cacheField>
    <cacheField name="Absences" numFmtId="0">
      <sharedItems containsString="0" containsBlank="1" containsNumber="1" containsInteger="1" minValue="0" maxValue="5940"/>
    </cacheField>
    <cacheField name="Lost Hours" numFmtId="0">
      <sharedItems containsString="0" containsBlank="1" containsNumber="1" containsInteger="1" minValue="0" maxValue="5940"/>
    </cacheField>
    <cacheField name="Target" numFmtId="0">
      <sharedItems containsString="0" containsBlank="1" containsNumber="1" containsInteger="1" minValue="9720" maxValue="12420"/>
    </cacheField>
    <cacheField name="Completed" numFmtId="0">
      <sharedItems containsString="0" containsBlank="1" containsNumber="1" containsInteger="1" minValue="5940" maxValue="12420"/>
    </cacheField>
    <cacheField name="Attendance" numFmtId="0">
      <sharedItems containsString="0" containsBlank="1" containsNumber="1" minValue="0.5" maxValue="1"/>
    </cacheField>
    <cacheField name="Late" numFmtId="0">
      <sharedItems containsString="0" containsBlank="1" containsNumber="1" containsInteger="1" minValue="1" maxValue="16"/>
    </cacheField>
    <cacheField name="Absent" numFmtId="0">
      <sharedItems containsString="0" containsBlank="1" containsNumber="1" containsInteger="1" minValue="1" maxValue="5"/>
    </cacheField>
    <cacheField name="VL" numFmtId="0">
      <sharedItems containsString="0" containsBlank="1" containsNumber="1" containsInteger="1" minValue="1" maxValue="4"/>
    </cacheField>
    <cacheField name="SL" numFmtId="0">
      <sharedItems containsString="0" containsBlank="1" containsNumber="1" containsInteger="1" minValue="1" maxValue="11"/>
    </cacheField>
    <cacheField name="LWOP" numFmtId="0">
      <sharedItems containsString="0" containsBlank="1" containsNumber="1" containsInteger="1" minValue="1" maxValue="3"/>
    </cacheField>
    <cacheField name="SPL" numFmtId="0">
      <sharedItems containsNonDate="0" containsString="0" containsBlank="1"/>
    </cacheField>
    <cacheField name="Emergency" numFmtId="0">
      <sharedItems containsNonDate="0" containsString="0" containsBlank="1"/>
    </cacheField>
    <cacheField name="Infraction Issued" numFmtId="0">
      <sharedItems containsNonDate="0" containsString="0" containsBlank="1"/>
    </cacheField>
    <cacheField name="Offense" numFmtId="0">
      <sharedItems containsNonDate="0" containsString="0" containsBlank="1"/>
    </cacheField>
    <cacheField name="Coaching Log #" numFmtId="0">
      <sharedItems containsNonDate="0" containsString="0" containsBlank="1"/>
    </cacheField>
    <cacheField name="Date Issued" numFmtId="0">
      <sharedItems containsNonDate="0" containsString="0" containsBlank="1"/>
    </cacheField>
    <cacheField name="Infraction"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OSHIBA" refreshedDate="45834.917546412034" createdVersion="8" refreshedVersion="8" minRefreshableVersion="3" recordCount="100" xr:uid="{974E845F-4B53-4AAE-B25C-3E69A779EE2A}">
  <cacheSource type="worksheet">
    <worksheetSource ref="A1:R1048576" sheet="JWeek 1"/>
  </cacheSource>
  <cacheFields count="18">
    <cacheField name="Department" numFmtId="0">
      <sharedItems containsBlank="1" count="7">
        <s v="Billing"/>
        <s v="Rejection"/>
        <s v="Intake"/>
        <s v="Rebill"/>
        <s v="Mpen"/>
        <s v="ALF"/>
        <m/>
      </sharedItems>
    </cacheField>
    <cacheField name="Full Name" numFmtId="0">
      <sharedItems containsBlank="1" count="97">
        <s v="Alexandra Ortiz"/>
        <s v="Alyssa DeGuzman "/>
        <s v="Analyn Caniedo "/>
        <s v="Analyn Diaz "/>
        <s v="Andrea Fonacier"/>
        <s v="Angelica Bautista"/>
        <s v="Angelo Agron "/>
        <s v="Anthea Ann Lumen "/>
        <s v="Anthony Valdez"/>
        <s v="Ar Jean Tudtud"/>
        <s v="Arah Blancia "/>
        <s v="Avril Rie Son"/>
        <s v="Bea Mercado "/>
        <s v="Charlene Valdez"/>
        <s v="Charyselle Cadelina "/>
        <s v="Collen Silapan"/>
        <s v="Danielle Generao "/>
        <s v="Edmark Bania"/>
        <s v="Eldrick Loreno"/>
        <s v="Erika Ramos"/>
        <s v="Ethel Gregorio "/>
        <s v="Eunice Bargo "/>
        <s v="Eunice Padadnan"/>
        <s v="Femie DC Domenden "/>
        <s v="Francis Alba"/>
        <s v="Francis Narboneta "/>
        <s v="Gladys Astilla "/>
        <s v="Glessie DeJesus"/>
        <s v="Glory Nabayra "/>
        <s v="Hanna Arceo"/>
        <s v="Hans Ruan"/>
        <s v="Hazelyn Rodrigo"/>
        <s v="Iris Dahnielle Andalleon "/>
        <s v="Isabela Arellano"/>
        <s v="Iverson Libranda"/>
        <s v="Jason Cruz"/>
        <s v="Jean Tan"/>
        <s v="Jeannie Bajaro"/>
        <s v="Jericho Crame "/>
        <s v="Jesslyn Gatbunton "/>
        <s v="Jewel Mondina"/>
        <s v="Jimwell Osiang"/>
        <s v="Jizelle Delos Reyes "/>
        <s v="Joanna Cabrera"/>
        <s v="Johnella Lopez "/>
        <s v="Jonathan Marquez "/>
        <s v="Josea Aseron"/>
        <s v="Joshua Joaquin"/>
        <s v="Jouse Baquiran"/>
        <s v="Julieann Manasan"/>
        <s v="Jullyca Oblefias"/>
        <s v="Karl Solomon"/>
        <s v="Karlos De Leon "/>
        <s v="Kate Constantino"/>
        <s v="Katrina Go"/>
        <s v="Kaxyleh Masilongan "/>
        <s v="Kiana Brown"/>
        <s v="Kizzy Serrano "/>
        <s v="Kyzen Hayagan "/>
        <s v="Lea Alagadmo"/>
        <s v="Leo Olesco "/>
        <s v="Lorraine Cabantac "/>
        <s v="Louis Cantillion"/>
        <s v="Margie Theres A Magluyan "/>
        <s v="Marion Vien Santos"/>
        <s v="Mark Bienes "/>
        <s v="Mark Frankie Pecolera"/>
        <s v="Mark Metra"/>
        <s v="Mary Dela Cruz "/>
        <s v="Mary Kilario"/>
        <s v="Mayann Somera"/>
        <s v="Mherica Santos "/>
        <s v="Mikaella Santos"/>
        <s v="Nerissa Ong"/>
        <s v="Noemi Landerito"/>
        <s v="Patricia Busio "/>
        <s v="Rafunzel M Manuel "/>
        <s v="Raphael Macasocol"/>
        <s v="Remaden Bautista "/>
        <s v="Rhona Sanejo"/>
        <s v="Ricalyn Clarencio "/>
        <s v="Rosalinda Pantua"/>
        <s v="Roxinne Madolid "/>
        <s v="Rubyneil Abejero"/>
        <s v="Ruth Dela Cruz"/>
        <s v="Ryan Rillo"/>
        <s v="Sandarah Cruz"/>
        <s v="Sean Edulan "/>
        <s v="Stephanie Del Rosario"/>
        <s v="Syra Jade Yaranon"/>
        <s v="Theresa Ma Alvaro "/>
        <s v="Tricia Galsim"/>
        <s v="Vianka Ylaine Ortiz "/>
        <s v="Vincent Paolo Villasenor"/>
        <s v="Vladimir Patio"/>
        <s v="Xenrel Mae O Dacubar "/>
        <m/>
      </sharedItems>
    </cacheField>
    <cacheField name="State" numFmtId="0">
      <sharedItems containsBlank="1"/>
    </cacheField>
    <cacheField name="SUNDAY" numFmtId="0">
      <sharedItems containsBlank="1" containsMixedTypes="1" containsNumber="1" containsInteger="1" minValue="5" maxValue="25"/>
    </cacheField>
    <cacheField name="MONDAY" numFmtId="0">
      <sharedItems containsBlank="1" containsMixedTypes="1" containsNumber="1" containsInteger="1" minValue="1" maxValue="450"/>
    </cacheField>
    <cacheField name="TUESDAY" numFmtId="0">
      <sharedItems containsBlank="1" containsMixedTypes="1" containsNumber="1" containsInteger="1" minValue="1" maxValue="450"/>
    </cacheField>
    <cacheField name="WEDNESDAY" numFmtId="0">
      <sharedItems containsBlank="1" containsMixedTypes="1" containsNumber="1" containsInteger="1" minValue="1" maxValue="143"/>
    </cacheField>
    <cacheField name="THURSDAY" numFmtId="0">
      <sharedItems containsBlank="1" containsMixedTypes="1" containsNumber="1" containsInteger="1" minValue="1" maxValue="270"/>
    </cacheField>
    <cacheField name="FRIDAY" numFmtId="0">
      <sharedItems containsBlank="1" containsMixedTypes="1" containsNumber="1" containsInteger="1" minValue="3" maxValue="298"/>
    </cacheField>
    <cacheField name="SATURDAY" numFmtId="0">
      <sharedItems containsBlank="1"/>
    </cacheField>
    <cacheField name="Tardiness" numFmtId="0">
      <sharedItems containsString="0" containsBlank="1" containsNumber="1" minValue="0" maxValue="2362"/>
    </cacheField>
    <cacheField name="Absences" numFmtId="0">
      <sharedItems containsString="0" containsBlank="1" containsNumber="1" minValue="0" maxValue="3150"/>
    </cacheField>
    <cacheField name="Lost Hours" numFmtId="0">
      <sharedItems containsString="0" containsBlank="1" containsNumber="1" minValue="0" maxValue="5512"/>
    </cacheField>
    <cacheField name="Target" numFmtId="0">
      <sharedItems containsString="0" containsBlank="1" containsNumber="1" containsInteger="1" minValue="1800" maxValue="215100"/>
    </cacheField>
    <cacheField name="Completed" numFmtId="0">
      <sharedItems containsString="0" containsBlank="1" containsNumber="1" containsInteger="1" minValue="1314" maxValue="209588"/>
    </cacheField>
    <cacheField name="Attendance" numFmtId="0">
      <sharedItems containsString="0" containsBlank="1" containsNumber="1" minValue="0.58399999999999996" maxValue="1"/>
    </cacheField>
    <cacheField name="VL" numFmtId="0">
      <sharedItems containsString="0" containsBlank="1" containsNumber="1" containsInteger="1" minValue="1" maxValue="2"/>
    </cacheField>
    <cacheField name="LWOP" numFmtId="0">
      <sharedItems containsString="0" containsBlank="1" containsNumber="1" containsInteger="1" minValue="1" maxValue="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OSHIBA" refreshedDate="45834.917549652775" createdVersion="8" refreshedVersion="8" minRefreshableVersion="3" recordCount="102" xr:uid="{638310AF-8018-43F5-A0F4-8D2F9ED37EA6}">
  <cacheSource type="worksheet">
    <worksheetSource ref="A1:R1048576" sheet="MWeek 4"/>
  </cacheSource>
  <cacheFields count="18">
    <cacheField name="Department" numFmtId="0">
      <sharedItems containsBlank="1" count="7">
        <s v="Billing"/>
        <s v="Rejection"/>
        <s v="Intake"/>
        <s v="Rebill"/>
        <s v="Mpen"/>
        <s v="ALF"/>
        <m/>
      </sharedItems>
    </cacheField>
    <cacheField name="Full Name" numFmtId="0">
      <sharedItems containsBlank="1"/>
    </cacheField>
    <cacheField name="State" numFmtId="0">
      <sharedItems containsBlank="1"/>
    </cacheField>
    <cacheField name="Sunday" numFmtId="0">
      <sharedItems containsBlank="1" containsMixedTypes="1" containsNumber="1" containsInteger="1" minValue="1" maxValue="450"/>
    </cacheField>
    <cacheField name="Monday" numFmtId="0">
      <sharedItems containsBlank="1" containsMixedTypes="1" containsNumber="1" containsInteger="1" minValue="2" maxValue="450"/>
    </cacheField>
    <cacheField name="Tuesday" numFmtId="0">
      <sharedItems containsBlank="1" containsMixedTypes="1" containsNumber="1" containsInteger="1" minValue="1" maxValue="450"/>
    </cacheField>
    <cacheField name="Wednesday" numFmtId="0">
      <sharedItems containsBlank="1" containsMixedTypes="1" containsNumber="1" containsInteger="1" minValue="5" maxValue="450"/>
    </cacheField>
    <cacheField name="Thursday" numFmtId="0">
      <sharedItems containsBlank="1" containsMixedTypes="1" containsNumber="1" containsInteger="1" minValue="8" maxValue="450"/>
    </cacheField>
    <cacheField name="Friday" numFmtId="0">
      <sharedItems containsBlank="1" containsMixedTypes="1" containsNumber="1" containsInteger="1" minValue="1" maxValue="540"/>
    </cacheField>
    <cacheField name="Saturday" numFmtId="0">
      <sharedItems containsBlank="1" containsMixedTypes="1" containsNumber="1" containsInteger="1" minValue="4" maxValue="450"/>
    </cacheField>
    <cacheField name="Tardiness" numFmtId="0">
      <sharedItems containsString="0" containsBlank="1" containsNumber="1" minValue="0" maxValue="1340"/>
    </cacheField>
    <cacheField name="Absences" numFmtId="0">
      <sharedItems containsString="0" containsBlank="1" containsNumber="1" minValue="0" maxValue="17640"/>
    </cacheField>
    <cacheField name="Lost Hours" numFmtId="0">
      <sharedItems containsString="0" containsBlank="1" containsNumber="1" minValue="0" maxValue="18440"/>
    </cacheField>
    <cacheField name="Target" numFmtId="0">
      <sharedItems containsString="0" containsBlank="1" containsNumber="1" containsInteger="1" minValue="1350" maxValue="213300"/>
    </cacheField>
    <cacheField name="Completed" numFmtId="0">
      <sharedItems containsString="0" containsBlank="1" containsNumber="1" containsInteger="1" minValue="-450" maxValue="193060"/>
    </cacheField>
    <cacheField name="Attendance" numFmtId="0">
      <sharedItems containsString="0" containsBlank="1" containsNumber="1" minValue="-0.2" maxValue="1"/>
    </cacheField>
    <cacheField name="VL" numFmtId="0">
      <sharedItems containsString="0" containsBlank="1" containsNumber="1" containsInteger="1" minValue="1" maxValue="2"/>
    </cacheField>
    <cacheField name="LWOP" numFmtId="0">
      <sharedItems containsString="0" containsBlank="1" containsNumber="1" containsInteger="1" minValue="1" maxValue="2"/>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OSHIBA" refreshedDate="45834.917551157407" createdVersion="8" refreshedVersion="8" minRefreshableVersion="3" recordCount="103" xr:uid="{A456E7DA-32F0-49A4-804F-C451E3020067}">
  <cacheSource type="worksheet">
    <worksheetSource ref="A1:R1048576" sheet="MWeek 3"/>
  </cacheSource>
  <cacheFields count="18">
    <cacheField name="Department" numFmtId="0">
      <sharedItems containsBlank="1" count="7">
        <s v="Billing"/>
        <s v="Rejection"/>
        <s v="Intake"/>
        <s v="Rebill"/>
        <s v="Mpen"/>
        <s v="ALF"/>
        <m/>
      </sharedItems>
    </cacheField>
    <cacheField name="Full Name" numFmtId="0">
      <sharedItems containsBlank="1"/>
    </cacheField>
    <cacheField name="State" numFmtId="0">
      <sharedItems containsBlank="1"/>
    </cacheField>
    <cacheField name="Sunday" numFmtId="0">
      <sharedItems containsBlank="1" containsMixedTypes="1" containsNumber="1" containsInteger="1" minValue="21" maxValue="218"/>
    </cacheField>
    <cacheField name="Monday" numFmtId="0">
      <sharedItems containsBlank="1" containsMixedTypes="1" containsNumber="1" containsInteger="1" minValue="1" maxValue="450"/>
    </cacheField>
    <cacheField name="Tuesday" numFmtId="0">
      <sharedItems containsBlank="1" containsMixedTypes="1" containsNumber="1" containsInteger="1" minValue="1" maxValue="450"/>
    </cacheField>
    <cacheField name="Wednesday" numFmtId="0">
      <sharedItems containsBlank="1" containsMixedTypes="1" containsNumber="1" containsInteger="1" minValue="1" maxValue="450"/>
    </cacheField>
    <cacheField name="Thursday" numFmtId="0">
      <sharedItems containsBlank="1" containsMixedTypes="1" containsNumber="1" containsInteger="1" minValue="1" maxValue="450"/>
    </cacheField>
    <cacheField name="Friday" numFmtId="0">
      <sharedItems containsBlank="1" containsMixedTypes="1" containsNumber="1" containsInteger="1" minValue="2" maxValue="450"/>
    </cacheField>
    <cacheField name="Saturday" numFmtId="0">
      <sharedItems containsBlank="1" containsMixedTypes="1" containsNumber="1" containsInteger="1" minValue="93" maxValue="450"/>
    </cacheField>
    <cacheField name="Tardiness" numFmtId="0">
      <sharedItems containsString="0" containsBlank="1" containsNumber="1" containsInteger="1" minValue="0" maxValue="2199"/>
    </cacheField>
    <cacheField name="Absences" numFmtId="0">
      <sharedItems containsString="0" containsBlank="1" containsNumber="1" containsInteger="1" minValue="0" maxValue="13050"/>
    </cacheField>
    <cacheField name="Lost Hours" numFmtId="0">
      <sharedItems containsString="0" containsBlank="1" containsNumber="1" minValue="0" maxValue="15249"/>
    </cacheField>
    <cacheField name="Target" numFmtId="0">
      <sharedItems containsString="0" containsBlank="1" containsNumber="1" containsInteger="1" minValue="1350" maxValue="215190"/>
    </cacheField>
    <cacheField name="Completed" numFmtId="0">
      <sharedItems containsString="0" containsBlank="1" containsNumber="1" containsInteger="1" minValue="438" maxValue="199941"/>
    </cacheField>
    <cacheField name="Attendance" numFmtId="0">
      <sharedItems containsString="0" containsBlank="1" containsNumber="1" minValue="0.2" maxValue="1"/>
    </cacheField>
    <cacheField name="VL" numFmtId="0">
      <sharedItems containsString="0" containsBlank="1" containsNumber="1" containsInteger="1" minValue="1" maxValue="2"/>
    </cacheField>
    <cacheField name="LWOP" numFmtId="0">
      <sharedItems containsString="0" containsBlank="1" containsNumber="1" containsInteger="1" minValue="1" maxValue="1"/>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OSHIBA" refreshedDate="45834.9175525463" createdVersion="8" refreshedVersion="8" minRefreshableVersion="3" recordCount="103" xr:uid="{0F6D7174-910E-4A41-AA4C-7DD89D8A00DF}">
  <cacheSource type="worksheet">
    <worksheetSource ref="A1:R1048576" sheet="MWeek 2"/>
  </cacheSource>
  <cacheFields count="18">
    <cacheField name="Department" numFmtId="0">
      <sharedItems containsBlank="1" count="7">
        <s v="Billing"/>
        <s v="Rejection"/>
        <s v="Intake"/>
        <s v="Rebill"/>
        <s v="Mpen"/>
        <s v="ALF"/>
        <m/>
      </sharedItems>
    </cacheField>
    <cacheField name="Full Name" numFmtId="0">
      <sharedItems containsBlank="1"/>
    </cacheField>
    <cacheField name="State" numFmtId="0">
      <sharedItems containsBlank="1"/>
    </cacheField>
    <cacheField name="Sunday" numFmtId="0">
      <sharedItems containsBlank="1" containsMixedTypes="1" containsNumber="1" containsInteger="1" minValue="7" maxValue="270"/>
    </cacheField>
    <cacheField name="Monday" numFmtId="0">
      <sharedItems containsBlank="1" containsMixedTypes="1" containsNumber="1" containsInteger="1" minValue="1" maxValue="450"/>
    </cacheField>
    <cacheField name="Tuesday" numFmtId="0">
      <sharedItems containsBlank="1" containsMixedTypes="1" containsNumber="1" containsInteger="1" minValue="1" maxValue="450"/>
    </cacheField>
    <cacheField name="Wednesday" numFmtId="0">
      <sharedItems containsBlank="1" containsMixedTypes="1" containsNumber="1" containsInteger="1" minValue="2" maxValue="450"/>
    </cacheField>
    <cacheField name="Thursday" numFmtId="0">
      <sharedItems containsBlank="1" containsMixedTypes="1" containsNumber="1" containsInteger="1" minValue="1" maxValue="450"/>
    </cacheField>
    <cacheField name="Friday" numFmtId="0">
      <sharedItems containsBlank="1" containsMixedTypes="1" containsNumber="1" containsInteger="1" minValue="2" maxValue="450"/>
    </cacheField>
    <cacheField name="Saturday" numFmtId="0">
      <sharedItems containsBlank="1" containsMixedTypes="1" containsNumber="1" containsInteger="1" minValue="14" maxValue="450"/>
    </cacheField>
    <cacheField name="Tardiness" numFmtId="0">
      <sharedItems containsString="0" containsBlank="1" containsNumber="1" containsInteger="1" minValue="0" maxValue="2079"/>
    </cacheField>
    <cacheField name="Absences" numFmtId="0">
      <sharedItems containsString="0" containsBlank="1" containsNumber="1" containsInteger="1" minValue="0" maxValue="15300"/>
    </cacheField>
    <cacheField name="Lost Hours" numFmtId="0">
      <sharedItems containsString="0" containsBlank="1" containsNumber="1" minValue="0" maxValue="17379"/>
    </cacheField>
    <cacheField name="Target" numFmtId="0">
      <sharedItems containsString="0" containsBlank="1" containsNumber="1" containsInteger="1" minValue="900" maxValue="207900"/>
    </cacheField>
    <cacheField name="Completed" numFmtId="0">
      <sharedItems containsString="0" containsBlank="1" containsNumber="1" containsInteger="1" minValue="0" maxValue="190521"/>
    </cacheField>
    <cacheField name="Attendance" numFmtId="0">
      <sharedItems containsString="0" containsBlank="1" containsNumber="1" minValue="0" maxValue="1"/>
    </cacheField>
    <cacheField name="VL" numFmtId="0">
      <sharedItems containsString="0" containsBlank="1" containsNumber="1" containsInteger="1" minValue="1" maxValue="2"/>
    </cacheField>
    <cacheField name="LWOP" numFmtId="0">
      <sharedItems containsString="0" containsBlank="1" containsNumber="1" containsInteger="1" minValue="1" maxValue="3"/>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OSHIBA" refreshedDate="45834.917554050924" createdVersion="8" refreshedVersion="8" minRefreshableVersion="3" recordCount="103" xr:uid="{1DE5ADD0-F050-47B0-8A8F-ED3EF7ACDAC4}">
  <cacheSource type="worksheet">
    <worksheetSource ref="A1:U1048576" sheet="MWeek 1"/>
  </cacheSource>
  <cacheFields count="21">
    <cacheField name="Department" numFmtId="0">
      <sharedItems containsBlank="1" count="7">
        <s v="Billing"/>
        <s v="Rejection"/>
        <s v="Intake"/>
        <s v="Rebill"/>
        <s v="Mpen"/>
        <s v="ALF"/>
        <m/>
      </sharedItems>
    </cacheField>
    <cacheField name="Full Name" numFmtId="0">
      <sharedItems containsBlank="1"/>
    </cacheField>
    <cacheField name="State" numFmtId="0">
      <sharedItems containsBlank="1"/>
    </cacheField>
    <cacheField name="Thursday" numFmtId="0">
      <sharedItems containsBlank="1" containsMixedTypes="1" containsNumber="1" containsInteger="1" minValue="6" maxValue="450"/>
    </cacheField>
    <cacheField name="Friday" numFmtId="0">
      <sharedItems containsBlank="1" containsMixedTypes="1" containsNumber="1" containsInteger="1" minValue="1" maxValue="450"/>
    </cacheField>
    <cacheField name="Saturday" numFmtId="0">
      <sharedItems containsBlank="1" containsMixedTypes="1" containsNumber="1" containsInteger="1" minValue="2" maxValue="2"/>
    </cacheField>
    <cacheField name="Sunday" numFmtId="0">
      <sharedItems containsBlank="1" containsMixedTypes="1" containsNumber="1" containsInteger="1" minValue="47" maxValue="47"/>
    </cacheField>
    <cacheField name="Monday" numFmtId="0">
      <sharedItems containsBlank="1" containsMixedTypes="1" containsNumber="1" containsInteger="1" minValue="450" maxValue="450"/>
    </cacheField>
    <cacheField name="Tuesday" numFmtId="0">
      <sharedItems containsBlank="1" containsMixedTypes="1" containsNumber="1" containsInteger="1" minValue="3" maxValue="450"/>
    </cacheField>
    <cacheField name="Wednesday" numFmtId="0">
      <sharedItems containsBlank="1" containsMixedTypes="1" containsNumber="1" containsInteger="1" minValue="1" maxValue="450"/>
    </cacheField>
    <cacheField name="Thursday2" numFmtId="0">
      <sharedItems containsBlank="1" containsMixedTypes="1" containsNumber="1" containsInteger="1" minValue="2" maxValue="450"/>
    </cacheField>
    <cacheField name="Friday2" numFmtId="0">
      <sharedItems containsBlank="1" containsMixedTypes="1" containsNumber="1" containsInteger="1" minValue="1" maxValue="450"/>
    </cacheField>
    <cacheField name="Saturday2" numFmtId="0">
      <sharedItems containsBlank="1" containsMixedTypes="1" containsNumber="1" containsInteger="1" minValue="17" maxValue="450"/>
    </cacheField>
    <cacheField name="Tardiness" numFmtId="0">
      <sharedItems containsString="0" containsBlank="1" containsNumber="1" containsInteger="1" minValue="0" maxValue="3203"/>
    </cacheField>
    <cacheField name="Absences" numFmtId="0">
      <sharedItems containsString="0" containsBlank="1" containsNumber="1" containsInteger="1" minValue="0" maxValue="0"/>
    </cacheField>
    <cacheField name="Lost Hours" numFmtId="0">
      <sharedItems containsString="0" containsBlank="1" containsNumber="1" minValue="0" maxValue="3203"/>
    </cacheField>
    <cacheField name="Target" numFmtId="0">
      <sharedItems containsString="0" containsBlank="1" containsNumber="1" containsInteger="1" minValue="2250" maxValue="307350"/>
    </cacheField>
    <cacheField name="Completed" numFmtId="0">
      <sharedItems containsString="0" containsBlank="1" containsNumber="1" containsInteger="1" minValue="2210" maxValue="304147"/>
    </cacheField>
    <cacheField name="Attendance" numFmtId="0">
      <sharedItems containsString="0" containsBlank="1" containsNumber="1" minValue="0.8674074074074074" maxValue="1"/>
    </cacheField>
    <cacheField name="VL" numFmtId="0">
      <sharedItems containsBlank="1" containsMixedTypes="1" containsNumber="1" containsInteger="1" minValue="1" maxValue="2"/>
    </cacheField>
    <cacheField name="LWOP" numFmtId="0">
      <sharedItems containsString="0" containsBlank="1" containsNumber="1" containsInteger="1" minValue="1" maxValue="1"/>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OSHIBA" refreshedDate="45834.917562152776" createdVersion="8" refreshedVersion="8" minRefreshableVersion="3" recordCount="111" xr:uid="{A05457D5-0690-43B7-BD41-D1A548CFDA29}">
  <cacheSource type="worksheet">
    <worksheetSource ref="A1:S1048576" sheet="JWeek3"/>
  </cacheSource>
  <cacheFields count="19">
    <cacheField name="Department" numFmtId="0">
      <sharedItems containsBlank="1" count="7">
        <s v="Billing"/>
        <s v="Rejection"/>
        <s v="Intake"/>
        <s v="Rebill"/>
        <s v="Mpen"/>
        <s v="ALF"/>
        <m/>
      </sharedItems>
    </cacheField>
    <cacheField name="Full Name" numFmtId="0">
      <sharedItems containsBlank="1" count="94">
        <s v="Alexandra Ortiz"/>
        <s v="Alyssa DeGuzman "/>
        <s v="Analyn Caniedo "/>
        <s v="Analyn Diaz "/>
        <s v="Andrea Fonacier"/>
        <s v="Angelica Bautista"/>
        <s v="Angelo Agron "/>
        <s v="Anthea Ann Lumen "/>
        <s v="Anthony Valdez"/>
        <s v="Ar Jean Tudtud"/>
        <s v="Arah Blancia "/>
        <s v="Avril Rie Son"/>
        <s v="Bea Mercado "/>
        <s v="Charlene Valdez"/>
        <s v="Charyselle Cadelina "/>
        <s v="Collen Silapan"/>
        <s v="Danielle Generao "/>
        <s v="Edmark Bania"/>
        <s v="Eldrick Loreno"/>
        <s v="Erika Ramos"/>
        <s v="Ethel Gregorio "/>
        <s v="Eunice Bargo "/>
        <s v="Eunice Padadnan"/>
        <s v="Femie DC Domenden "/>
        <s v="Francis Alba"/>
        <s v="Francis Narboneta "/>
        <s v="Gladys Astilla "/>
        <s v="Glessie DeJesus"/>
        <s v="Glory Nabayra "/>
        <s v="Hanna Arceo"/>
        <s v="Hans Ruan"/>
        <s v="Hazelyn Rodrigo"/>
        <s v="Iris Dahnielle Andalleon "/>
        <s v="Isabela Arellano"/>
        <s v="Iverson Libranda"/>
        <s v="Jason Cruz"/>
        <s v="Jean Tan"/>
        <s v="Jeannie Bajaro"/>
        <s v="Jericho Crame "/>
        <s v="Jesslyn Gatbunton "/>
        <s v="Jewel Mondina"/>
        <s v="Jimwell Osiang"/>
        <s v="Jizelle Delos Reyes "/>
        <s v="Joanna Cabrera"/>
        <s v="Johnella Lopez "/>
        <s v="Jonathan Marquez "/>
        <s v="Josea Aseron"/>
        <s v="Joshua Joaquin"/>
        <s v="Jouse Baquiran"/>
        <s v="Julieann Manasan"/>
        <s v="Jullyca Oblefias"/>
        <s v="Karl Solomon"/>
        <s v="Karlos De Leon "/>
        <s v="Kate Constantino"/>
        <s v="Katrina Go"/>
        <s v="Kaxyleh Masilongan "/>
        <s v="Kiana Brown"/>
        <s v="Kizzy Serrano "/>
        <s v="Kyzen Hayagan "/>
        <s v="Lea Alagadmo"/>
        <s v="Leo Olesco "/>
        <s v="Lorraine Cabantac "/>
        <s v="Louis Cantillion"/>
        <s v="Margie Theres A Magluyan "/>
        <s v="Marion Vien Santos"/>
        <s v="Mark Bienes "/>
        <s v="Mark Frankie Pecolera"/>
        <s v="Mark Metra"/>
        <s v="Mary Dela Cruz "/>
        <s v="Mary Kilario"/>
        <s v="Mayann Somera"/>
        <s v="Mherica Santos "/>
        <s v="Mikaella Santos"/>
        <s v="Nerissa Ong"/>
        <s v="Noemi Landerito"/>
        <s v="Patricia Busio "/>
        <s v="Rafunzel M Manuel "/>
        <s v="Raphael Macasocol"/>
        <s v="Remaden Bautista "/>
        <s v="Rhona Sanejo"/>
        <s v="Ricalyn Clarencio "/>
        <s v="Roxinne Madolid "/>
        <s v="Rubyneil Abejero"/>
        <s v="Ruth Dela Cruz"/>
        <s v="Ryan Rillo"/>
        <s v="Sandarah Cruz"/>
        <s v="Sean Edulan "/>
        <s v="Stephanie Del Rosario"/>
        <s v="Syra Jade Yaranon"/>
        <s v="Tricia Galsim"/>
        <s v="Vincent Paolo Villasenor"/>
        <s v="Vladimir Patio"/>
        <s v="Xenrel Mae O Dacubar "/>
        <m/>
      </sharedItems>
    </cacheField>
    <cacheField name="State" numFmtId="0">
      <sharedItems containsBlank="1"/>
    </cacheField>
    <cacheField name="SUNDAY" numFmtId="0">
      <sharedItems containsBlank="1" containsMixedTypes="1" containsNumber="1" containsInteger="1" minValue="3" maxValue="450"/>
    </cacheField>
    <cacheField name="MONDAY" numFmtId="0">
      <sharedItems containsBlank="1" containsMixedTypes="1" containsNumber="1" containsInteger="1" minValue="4" maxValue="450"/>
    </cacheField>
    <cacheField name="TUESDAY" numFmtId="0">
      <sharedItems containsBlank="1" containsMixedTypes="1" containsNumber="1" containsInteger="1" minValue="1" maxValue="450"/>
    </cacheField>
    <cacheField name="WEDNESDAY" numFmtId="0">
      <sharedItems containsBlank="1" containsMixedTypes="1" containsNumber="1" containsInteger="1" minValue="1" maxValue="450"/>
    </cacheField>
    <cacheField name="THURSDAY" numFmtId="0">
      <sharedItems containsBlank="1" containsMixedTypes="1" containsNumber="1" containsInteger="1" minValue="1" maxValue="450"/>
    </cacheField>
    <cacheField name="FRIDAY" numFmtId="0">
      <sharedItems containsBlank="1" containsMixedTypes="1" containsNumber="1" containsInteger="1" minValue="1" maxValue="450"/>
    </cacheField>
    <cacheField name="SATURDAY" numFmtId="0">
      <sharedItems containsBlank="1" containsMixedTypes="1" containsNumber="1" containsInteger="1" minValue="1" maxValue="1"/>
    </cacheField>
    <cacheField name="Tardiness" numFmtId="0">
      <sharedItems containsBlank="1" containsMixedTypes="1" containsNumber="1" minValue="0" maxValue="1107"/>
    </cacheField>
    <cacheField name="Absences" numFmtId="0">
      <sharedItems containsString="0" containsBlank="1" containsNumber="1" minValue="0" maxValue="8100"/>
    </cacheField>
    <cacheField name="Lost Hours" numFmtId="0">
      <sharedItems containsString="0" containsBlank="1" containsNumber="1" minValue="0" maxValue="9207"/>
    </cacheField>
    <cacheField name="Target" numFmtId="0">
      <sharedItems containsString="0" containsBlank="1" containsNumber="1" containsInteger="1" minValue="1350" maxValue="202050"/>
    </cacheField>
    <cacheField name="Completed" numFmtId="0">
      <sharedItems containsString="0" containsBlank="1" containsNumber="1" containsInteger="1" minValue="0" maxValue="192843"/>
    </cacheField>
    <cacheField name="Attendance" numFmtId="0">
      <sharedItems containsString="0" containsBlank="1" containsNumber="1" minValue="0" maxValue="1"/>
    </cacheField>
    <cacheField name="VL" numFmtId="0">
      <sharedItems containsString="0" containsBlank="1" containsNumber="1" containsInteger="1" minValue="1" maxValue="1"/>
    </cacheField>
    <cacheField name="LWOP" numFmtId="0">
      <sharedItems containsString="0" containsBlank="1" containsNumber="1" containsInteger="1" minValue="1" maxValue="2"/>
    </cacheField>
    <cacheField name="SL" numFmtId="0">
      <sharedItems containsString="0" containsBlank="1" containsNumber="1" containsInteger="1" minValue="1" maxValue="1"/>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OSHIBA" refreshedDate="45839.656605555552" createdVersion="8" refreshedVersion="8" minRefreshableVersion="3" recordCount="111" xr:uid="{3208EDF4-C6CD-4714-A463-BDA1A7331817}">
  <cacheSource type="worksheet">
    <worksheetSource ref="A1:R1048576" sheet="JWeek4"/>
  </cacheSource>
  <cacheFields count="18">
    <cacheField name="Department" numFmtId="0">
      <sharedItems containsBlank="1" count="7">
        <s v="Billing"/>
        <s v="Rejection"/>
        <s v="Intake"/>
        <s v="Rebill"/>
        <s v="Mpen"/>
        <s v="ALF"/>
        <m/>
      </sharedItems>
    </cacheField>
    <cacheField name="Full Name" numFmtId="0">
      <sharedItems containsBlank="1" count="92">
        <s v="Alexandra Ortiz"/>
        <s v="Alyssa DeGuzman "/>
        <s v="Analyn Caniedo "/>
        <s v="Analyn Diaz "/>
        <s v="Andrea Fonacier"/>
        <s v="Angelica Bautista"/>
        <s v="Angelo Agron "/>
        <s v="Anthea Ann Lumen "/>
        <s v="Anthony Valdez"/>
        <s v="Ar Jean Tudtud"/>
        <s v="Arah Blancia "/>
        <s v="Avril Rie Son"/>
        <s v="Charlene Valdez"/>
        <s v="Charyselle Cadelina "/>
        <s v="Collen Silapan"/>
        <s v="Danielle Generao "/>
        <s v="Edmark Bania"/>
        <s v="Eldrick Loreno"/>
        <s v="Erika Ramos"/>
        <s v="Ethel Gregorio "/>
        <s v="Eunice Bargo "/>
        <s v="Eunice Padadnan"/>
        <s v="Femie DC Domenden "/>
        <s v="Francis Alba"/>
        <s v="Francis Narboneta "/>
        <s v="Gladys Astilla "/>
        <s v="Glessie DeJesus"/>
        <s v="Glory Nabayra "/>
        <s v="Hanna Arceo"/>
        <s v="Hans Ruan"/>
        <s v="Hazelyn Rodrigo"/>
        <s v="Iris Dahnielle Andalleon "/>
        <s v="Isabela Arellano"/>
        <s v="Iverson Libranda"/>
        <s v="Jason Cruz"/>
        <s v="Jean Tan"/>
        <s v="Jeannie Bajaro"/>
        <s v="Jericho Crame "/>
        <s v="Jesslyn Gatbunton "/>
        <s v="Jewel Mondina"/>
        <s v="Jimwell Osiang"/>
        <s v="Jizelle Delos Reyes "/>
        <s v="Joanna Cabrera"/>
        <s v="Johnella Lopez "/>
        <s v="Jonathan Marquez "/>
        <s v="Josea Aseron"/>
        <s v="Joshua Joaquin"/>
        <s v="Josue Baquiran"/>
        <s v="Julieann Manasan"/>
        <s v="Jullyca Oblefias"/>
        <s v="Karl Solomon"/>
        <s v="Kate Constantino"/>
        <s v="Katrina Go"/>
        <s v="Kaxyleh Masilongan "/>
        <s v="Kiana Brown"/>
        <s v="Kizzy Serrano "/>
        <s v="Kyzen Hayagan "/>
        <s v="Lea Alagadmo"/>
        <s v="Leo Olesco "/>
        <s v="Lorraine Cabantac "/>
        <s v="Louis Cantillion"/>
        <s v="Margie Theres A Magluyan "/>
        <s v="Marion Vien Santos"/>
        <s v="Mark Bienes "/>
        <s v="Mark Frankie Pecolera"/>
        <s v="Mark Metra"/>
        <s v="Mary Dela Cruz "/>
        <s v="Mary Kilario"/>
        <s v="Mayann Somera"/>
        <s v="Mherica Santos "/>
        <s v="Mikaella Santos"/>
        <s v="Nerissa Ong"/>
        <s v="Noemi Landerito"/>
        <s v="Patricia Busio "/>
        <s v="Rafunzel M Manuel "/>
        <s v="Raphael Macasocol"/>
        <s v="Remaden Bautista "/>
        <s v="Rhona Sanejo"/>
        <s v="Ricalyn Clarencio "/>
        <s v="Roxinne Madolid "/>
        <s v="Rubyneil Abejero"/>
        <s v="Ruth Dela Cruz"/>
        <s v="Ryan Rillo"/>
        <s v="Sandarah Cruz"/>
        <s v="Sean Edulan "/>
        <s v="Stephanie Del Rosario"/>
        <s v="Syra Jade Yaranon"/>
        <s v="Tricia Galsim"/>
        <s v="Vincent Paolo Villasenor"/>
        <s v="Vladimir Patio"/>
        <s v="Xenrel Mae O Dacubar "/>
        <m/>
      </sharedItems>
    </cacheField>
    <cacheField name="State" numFmtId="0">
      <sharedItems containsBlank="1" count="7">
        <s v="KY"/>
        <s v="IL"/>
        <s v="NJ"/>
        <s v="Multi"/>
        <s v="NY"/>
        <s v="MA"/>
        <m/>
      </sharedItems>
    </cacheField>
    <cacheField name="SUNDAY" numFmtId="0">
      <sharedItems containsBlank="1" containsMixedTypes="1" containsNumber="1" containsInteger="1" minValue="2" maxValue="80"/>
    </cacheField>
    <cacheField name="MONDAY" numFmtId="0">
      <sharedItems containsBlank="1" containsMixedTypes="1" containsNumber="1" containsInteger="1" minValue="2" maxValue="450"/>
    </cacheField>
    <cacheField name="TUESDAY" numFmtId="0">
      <sharedItems containsBlank="1" containsMixedTypes="1" containsNumber="1" containsInteger="1" minValue="1" maxValue="450"/>
    </cacheField>
    <cacheField name="WEDNESDAY" numFmtId="0">
      <sharedItems containsBlank="1" containsMixedTypes="1" containsNumber="1" containsInteger="1" minValue="2" maxValue="450"/>
    </cacheField>
    <cacheField name="THURSDAY" numFmtId="0">
      <sharedItems containsBlank="1" containsMixedTypes="1" containsNumber="1" containsInteger="1" minValue="4" maxValue="265"/>
    </cacheField>
    <cacheField name="FRIDAY" numFmtId="0">
      <sharedItems containsBlank="1" containsMixedTypes="1" containsNumber="1" containsInteger="1" minValue="1" maxValue="450"/>
    </cacheField>
    <cacheField name="SATURDAY" numFmtId="0">
      <sharedItems containsBlank="1" containsMixedTypes="1" containsNumber="1" containsInteger="1" minValue="16" maxValue="16"/>
    </cacheField>
    <cacheField name="SUNDAY2" numFmtId="0">
      <sharedItems containsBlank="1"/>
    </cacheField>
    <cacheField name="MONDAY2" numFmtId="0">
      <sharedItems containsBlank="1" containsMixedTypes="1" containsNumber="1" containsInteger="1" minValue="1" maxValue="222"/>
    </cacheField>
    <cacheField name="Tardiness" numFmtId="0">
      <sharedItems containsBlank="1" containsMixedTypes="1" containsNumber="1" minValue="0" maxValue="2158"/>
    </cacheField>
    <cacheField name="Absences" numFmtId="0">
      <sharedItems containsString="0" containsBlank="1" containsNumber="1" minValue="0" maxValue="6300"/>
    </cacheField>
    <cacheField name="Lost Hours" numFmtId="0">
      <sharedItems containsString="0" containsBlank="1" containsNumber="1" minValue="0" maxValue="8458"/>
    </cacheField>
    <cacheField name="Target" numFmtId="0">
      <sharedItems containsString="0" containsBlank="1" containsNumber="1" containsInteger="1" minValue="900" maxValue="238950"/>
    </cacheField>
    <cacheField name="Completed" numFmtId="0">
      <sharedItems containsString="0" containsBlank="1" containsNumber="1" containsInteger="1" minValue="450" maxValue="230492"/>
    </cacheField>
    <cacheField name="Attendance" numFmtId="0">
      <sharedItems containsString="0" containsBlank="1" containsNumber="1" minValue="0.33333333333333331" maxValue="1"/>
    </cacheField>
  </cacheFields>
  <extLst>
    <ext xmlns:x14="http://schemas.microsoft.com/office/spreadsheetml/2009/9/main" uri="{725AE2AE-9491-48be-B2B4-4EB974FC3084}">
      <x14:pivotCacheDefinition/>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874.22438240741" createdVersion="8" refreshedVersion="8" minRefreshableVersion="3" recordCount="91" xr:uid="{BEFC2746-F646-4A2B-8AF8-DCFD3BF191AC}">
  <cacheSource type="worksheet">
    <worksheetSource ref="A2:AH93" sheet="July"/>
  </cacheSource>
  <cacheFields count="34">
    <cacheField name="Full Name" numFmtId="0">
      <sharedItems count="90">
        <s v="Alexandra Ortiz"/>
        <s v="Alyssa DeGuzman "/>
        <s v="Analyn Caniedo "/>
        <s v="Analyn Diaz "/>
        <s v="Andrea Fonacier"/>
        <s v="Angelica Bautista"/>
        <s v="Angelo Agron "/>
        <s v="Anthea Ann Lumen "/>
        <s v="Anthony Valdez"/>
        <s v="Ar Jean Tudtud"/>
        <s v="Arah Blancia "/>
        <s v="Avril Rie Son"/>
        <s v="Charlene Valdez"/>
        <s v="Charyselle Cadelina "/>
        <s v="Collen Silapan"/>
        <s v="Edmark Bania"/>
        <s v="Eldrick Loreno"/>
        <s v="Erika Ramos"/>
        <s v="Eunice Bargo "/>
        <s v="Eunice Padadnan"/>
        <s v="Femie DC Domenden "/>
        <s v="Francis Alba"/>
        <s v="Francis Narboneta "/>
        <s v="Gladys Astilla "/>
        <s v="Danielle Generao "/>
        <s v="Glessie DeJesus"/>
        <s v="Glory Nabayra "/>
        <s v="Hanna Arceo"/>
        <s v="Hans Ruan"/>
        <s v="Hazelyn Rodrigo"/>
        <s v="Iris Dahnielle Andalleon "/>
        <s v="Isabela Arellano"/>
        <s v="Iverson Libranda"/>
        <s v="Jean Tan"/>
        <s v="Jeannie Bajaro"/>
        <s v="Jericho Crame "/>
        <s v="Jesslyn Gatbunton "/>
        <s v="Jewel Mondina"/>
        <s v="Jason Cruz"/>
        <s v="Jimwell Osiang"/>
        <s v="Jizelle Delos Reyes "/>
        <s v="Joanna Cabrera"/>
        <s v="Johnella Lopez "/>
        <s v="Jonathan Marquez "/>
        <s v="Josea Aseron"/>
        <s v="Joshua Joaquin"/>
        <s v="Josue Baquiran"/>
        <s v="Julieann Manasan"/>
        <s v="Jullyca Oblefias"/>
        <s v="Karl Solomon"/>
        <s v="Kate Constantino"/>
        <s v="Katrina Go"/>
        <s v="Kaxyleh Masilongan "/>
        <s v="Kiana Brown"/>
        <s v="Kyzen Hayagan"/>
        <s v="Lea Alagadmo"/>
        <s v="Leo Olesco "/>
        <s v="Lorraine Cabantac "/>
        <s v="Louis Cantillion"/>
        <s v="Margie Theres A Magluyan "/>
        <s v="Marion Vien Santos"/>
        <s v="John Mark Bienes "/>
        <s v="Mark Frankie Pecolera"/>
        <s v="Mark Metra"/>
        <s v="Kizzy Serrano "/>
        <s v="Mary Dela Cruz "/>
        <s v="Mary Kilario"/>
        <s v="Mayann Somera"/>
        <s v="Mherica Santos "/>
        <s v="Nerissa Ong"/>
        <s v="Noemi Landerito"/>
        <s v="Patricia Busio "/>
        <s v="Rafunzel M Manuel "/>
        <s v="Raphael Macasocol"/>
        <s v="Remaden Bautista "/>
        <s v="Mikaella Santos"/>
        <s v="Rhona Sanejo"/>
        <s v="Ricalyn Clarencio "/>
        <s v="Roxinne Madolid "/>
        <s v="Rubyneil Abejero"/>
        <s v="Ruth Dela Cruz"/>
        <s v="Ryan Rillo"/>
        <s v="Sandarah Cruz"/>
        <s v="Sean Edulan "/>
        <s v="Stephanie Del Rosario"/>
        <s v="Syra Jade Yaranon"/>
        <s v="Tricia Galsim"/>
        <s v="Vincent Paolo Villasenor"/>
        <s v="Vladimir Patio"/>
        <s v="Xenrel Mae O Dacubar "/>
      </sharedItems>
    </cacheField>
    <cacheField name="Department" numFmtId="0">
      <sharedItems count="6">
        <s v="Billing"/>
        <s v="Rejection"/>
        <s v="Intake"/>
        <s v="Rebill"/>
        <s v="Mpen"/>
        <s v="ALF"/>
      </sharedItems>
    </cacheField>
    <cacheField name="State" numFmtId="0">
      <sharedItems count="6">
        <s v="KY"/>
        <s v="IL"/>
        <s v="NJ"/>
        <s v="Multi"/>
        <s v="NY"/>
        <s v="MA"/>
      </sharedItems>
    </cacheField>
    <cacheField name="TUESDAY" numFmtId="0">
      <sharedItems containsMixedTypes="1" containsNumber="1" containsInteger="1" minValue="4" maxValue="450" count="13">
        <s v="P"/>
        <s v="RD"/>
        <n v="15"/>
        <n v="10"/>
        <s v="LWOP"/>
        <n v="450"/>
        <s v="VL"/>
        <n v="7"/>
        <n v="61"/>
        <n v="4"/>
        <n v="11"/>
        <n v="12"/>
        <n v="9"/>
      </sharedItems>
    </cacheField>
    <cacheField name="WEDNESDAY" numFmtId="0">
      <sharedItems containsMixedTypes="1" containsNumber="1" containsInteger="1" minValue="2" maxValue="450" count="13">
        <s v="P"/>
        <s v="RD"/>
        <s v="LWOP"/>
        <n v="240"/>
        <n v="2"/>
        <s v="VL"/>
        <n v="450"/>
        <n v="26"/>
        <n v="19"/>
        <n v="18"/>
        <n v="190"/>
        <n v="256"/>
        <n v="17"/>
      </sharedItems>
    </cacheField>
    <cacheField name="THURSDAY" numFmtId="0">
      <sharedItems containsMixedTypes="1" containsNumber="1" containsInteger="1" minValue="1" maxValue="450" count="13">
        <s v="P"/>
        <s v="LWOP"/>
        <n v="12"/>
        <n v="4"/>
        <s v="RD"/>
        <n v="13"/>
        <n v="450"/>
        <n v="1"/>
        <n v="7"/>
        <n v="60"/>
        <s v="VL"/>
        <n v="16"/>
        <n v="47"/>
      </sharedItems>
    </cacheField>
    <cacheField name="FRIDAY" numFmtId="0">
      <sharedItems containsMixedTypes="1" containsNumber="1" containsInteger="1" minValue="1" maxValue="450" count="14">
        <s v="P"/>
        <s v="LWOP"/>
        <s v="RD"/>
        <n v="1"/>
        <n v="15"/>
        <n v="450"/>
        <n v="88"/>
        <n v="165"/>
        <s v="VL"/>
        <n v="18"/>
        <n v="14"/>
        <n v="222"/>
        <n v="11"/>
        <n v="3"/>
      </sharedItems>
    </cacheField>
    <cacheField name="SATURDAY" numFmtId="0">
      <sharedItems containsMixedTypes="1" containsNumber="1" containsInteger="1" minValue="5" maxValue="450" count="6">
        <s v="RD"/>
        <s v="P"/>
        <s v="LWOP"/>
        <s v="Rejection"/>
        <n v="450"/>
        <n v="5"/>
      </sharedItems>
    </cacheField>
    <cacheField name="SUNDAY" numFmtId="0">
      <sharedItems containsMixedTypes="1" containsNumber="1" containsInteger="1" minValue="450" maxValue="450" count="3">
        <s v="RD"/>
        <s v="P"/>
        <n v="450"/>
      </sharedItems>
    </cacheField>
    <cacheField name="MONDAY" numFmtId="0">
      <sharedItems containsMixedTypes="1" containsNumber="1" containsInteger="1" minValue="3" maxValue="450" count="13">
        <s v="P"/>
        <n v="9"/>
        <n v="4"/>
        <s v="RD"/>
        <n v="450"/>
        <n v="3"/>
        <n v="5"/>
        <n v="253"/>
        <n v="55"/>
        <s v="VL"/>
        <n v="113"/>
        <n v="81"/>
        <n v="18"/>
      </sharedItems>
    </cacheField>
    <cacheField name="TUESDAY2" numFmtId="0">
      <sharedItems containsMixedTypes="1" containsNumber="1" containsInteger="1" minValue="1" maxValue="450" count="13">
        <s v="P"/>
        <s v="RD"/>
        <n v="5"/>
        <s v="VL"/>
        <n v="450"/>
        <n v="16"/>
        <n v="234"/>
        <n v="1"/>
        <n v="15"/>
        <n v="9"/>
        <n v="14"/>
        <n v="23"/>
        <n v="32"/>
      </sharedItems>
    </cacheField>
    <cacheField name="WEDNESDAY2" numFmtId="0">
      <sharedItems containsMixedTypes="1" containsNumber="1" containsInteger="1" minValue="1" maxValue="450" count="14">
        <s v="P"/>
        <s v="RD"/>
        <n v="14"/>
        <n v="19"/>
        <n v="450"/>
        <n v="8"/>
        <n v="241"/>
        <n v="1"/>
        <n v="28"/>
        <n v="230"/>
        <n v="2"/>
        <n v="6"/>
        <n v="47"/>
        <n v="20"/>
      </sharedItems>
    </cacheField>
    <cacheField name="THURSDAY2" numFmtId="0">
      <sharedItems containsMixedTypes="1" containsNumber="1" containsInteger="1" minValue="3" maxValue="450" count="12">
        <s v="P"/>
        <n v="4"/>
        <n v="38"/>
        <s v="RD"/>
        <n v="10"/>
        <n v="3"/>
        <n v="450"/>
        <n v="12"/>
        <n v="20"/>
        <n v="15"/>
        <n v="18"/>
        <n v="7"/>
      </sharedItems>
    </cacheField>
    <cacheField name="FRIDAY2" numFmtId="0">
      <sharedItems containsMixedTypes="1" containsNumber="1" containsInteger="1" minValue="1" maxValue="450" count="20">
        <n v="7"/>
        <n v="450"/>
        <n v="2"/>
        <s v="P"/>
        <s v="RD"/>
        <n v="4"/>
        <n v="88"/>
        <n v="20"/>
        <n v="12"/>
        <n v="28"/>
        <s v="VL"/>
        <n v="17"/>
        <n v="1"/>
        <n v="13"/>
        <s v="LWOP"/>
        <n v="15"/>
        <n v="9"/>
        <n v="264"/>
        <n v="43"/>
        <n v="26"/>
      </sharedItems>
    </cacheField>
    <cacheField name="SATURDAY2" numFmtId="0">
      <sharedItems containsMixedTypes="1" containsNumber="1" containsInteger="1" minValue="2" maxValue="14" count="6">
        <s v="RD"/>
        <n v="14"/>
        <s v="P"/>
        <n v="3"/>
        <n v="2"/>
        <s v="LWOP"/>
      </sharedItems>
    </cacheField>
    <cacheField name="SUNDAY2" numFmtId="0">
      <sharedItems containsMixedTypes="1" containsNumber="1" containsInteger="1" minValue="1" maxValue="74" count="4">
        <s v="RD"/>
        <n v="1"/>
        <s v="P"/>
        <n v="74"/>
      </sharedItems>
    </cacheField>
    <cacheField name="MONDAY2" numFmtId="0">
      <sharedItems containsMixedTypes="1" containsNumber="1" containsInteger="1" minValue="6" maxValue="450" count="13">
        <s v="P"/>
        <n v="6"/>
        <s v="RD"/>
        <s v="VL"/>
        <n v="450"/>
        <n v="8"/>
        <n v="12"/>
        <n v="24"/>
        <n v="52"/>
        <n v="236"/>
        <s v="LWOP"/>
        <n v="9"/>
        <n v="7"/>
      </sharedItems>
    </cacheField>
    <cacheField name="TUESDAY3" numFmtId="0">
      <sharedItems containsMixedTypes="1" containsNumber="1" containsInteger="1" minValue="1" maxValue="450"/>
    </cacheField>
    <cacheField name="WEDNESDAY3" numFmtId="0">
      <sharedItems containsMixedTypes="1" containsNumber="1" containsInteger="1" minValue="1" maxValue="450"/>
    </cacheField>
    <cacheField name="THURSDAY3" numFmtId="0">
      <sharedItems containsMixedTypes="1" containsNumber="1" containsInteger="1" minValue="1" maxValue="450"/>
    </cacheField>
    <cacheField name="FRIDAY3" numFmtId="0">
      <sharedItems containsMixedTypes="1" containsNumber="1" containsInteger="1" minValue="11" maxValue="450"/>
    </cacheField>
    <cacheField name="SATURDAY3" numFmtId="0">
      <sharedItems containsMixedTypes="1" containsNumber="1" containsInteger="1" minValue="30" maxValue="450"/>
    </cacheField>
    <cacheField name="SUNDAY3" numFmtId="0">
      <sharedItems containsMixedTypes="1" containsNumber="1" containsInteger="1" minValue="450" maxValue="450"/>
    </cacheField>
    <cacheField name="MONDAY3" numFmtId="0">
      <sharedItems containsMixedTypes="1" containsNumber="1" containsInteger="1" minValue="450" maxValue="450"/>
    </cacheField>
    <cacheField name="TUESDAY4" numFmtId="0">
      <sharedItems containsMixedTypes="1" containsNumber="1" containsInteger="1" minValue="450" maxValue="450"/>
    </cacheField>
    <cacheField name="WEDNESDAY4" numFmtId="0">
      <sharedItems containsMixedTypes="1" containsNumber="1" containsInteger="1" minValue="450" maxValue="450"/>
    </cacheField>
    <cacheField name="THURSDAY4" numFmtId="0">
      <sharedItems containsMixedTypes="1" containsNumber="1" containsInteger="1" minValue="291" maxValue="450"/>
    </cacheField>
    <cacheField name="FRIDAY4" numFmtId="0">
      <sharedItems containsMixedTypes="1" containsNumber="1" containsInteger="1" minValue="450" maxValue="450"/>
    </cacheField>
    <cacheField name="SATURDAY4" numFmtId="0">
      <sharedItems containsMixedTypes="1" containsNumber="1" containsInteger="1" minValue="11" maxValue="450"/>
    </cacheField>
    <cacheField name="SUNDAY4" numFmtId="0">
      <sharedItems containsMixedTypes="1" containsNumber="1" containsInteger="1" minValue="219" maxValue="450"/>
    </cacheField>
    <cacheField name="MONDAY4" numFmtId="0">
      <sharedItems containsMixedTypes="1" containsNumber="1" containsInteger="1" minValue="1" maxValue="450"/>
    </cacheField>
    <cacheField name="TUESDAY5" numFmtId="0">
      <sharedItems containsMixedTypes="1" containsNumber="1" containsInteger="1" minValue="3" maxValue="450"/>
    </cacheField>
    <cacheField name="WEDNESDAY5" numFmtId="0">
      <sharedItems containsMixedTypes="1" containsNumber="1" containsInteger="1" minValue="2" maxValue="450"/>
    </cacheField>
    <cacheField name="THURSDAY5" numFmtId="0">
      <sharedItems containsBlank="1"/>
    </cacheField>
  </cacheFields>
  <extLst>
    <ext xmlns:x14="http://schemas.microsoft.com/office/spreadsheetml/2009/9/main" uri="{725AE2AE-9491-48be-B2B4-4EB974FC3084}">
      <x14:pivotCacheDefinition/>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878.010376388891" createdVersion="8" refreshedVersion="8" minRefreshableVersion="3" recordCount="304" xr:uid="{A14BB856-C4CD-4129-8C86-CF2E00DDFDA4}">
  <cacheSource type="worksheet">
    <worksheetSource ref="A1:D1048576" sheet="July Tardy and Absenteeism"/>
  </cacheSource>
  <cacheFields count="4">
    <cacheField name="Name" numFmtId="0">
      <sharedItems containsBlank="1" count="76">
        <s v="Alexandra Ortiz"/>
        <s v="Alyssa DeGuzman "/>
        <s v="Analyn Caniedo "/>
        <s v="Analyn Diaz "/>
        <s v="Andrea Fonacier"/>
        <s v="Angelica Bautista"/>
        <s v="Angelo Agron "/>
        <s v="Anthea Ann Lumen "/>
        <s v="Arah Blancia "/>
        <s v="Avril Rie Son"/>
        <s v="Charlene Valdez"/>
        <s v="Collen Silapan"/>
        <s v="Danielle Generao "/>
        <s v="Edmark Bania"/>
        <s v="Eldrick Loreno"/>
        <s v="Erika Ramos"/>
        <s v="Eunice Bargo "/>
        <s v="Femie DC Domenden "/>
        <s v="Francis Alba"/>
        <s v="Francis Narboneta "/>
        <s v="Gladys Astilla "/>
        <s v="Glory Nabayra "/>
        <s v="Hanna Arceo"/>
        <s v="Hans Ruan"/>
        <s v="Hazelyn Rodrigo"/>
        <s v="Isabela Arellano"/>
        <s v="Iverson Libranda"/>
        <s v="Jason Cruz"/>
        <s v="Jean Tan"/>
        <s v="Jeannie Bajaro"/>
        <s v="Jesslyn Gatbunton "/>
        <s v="Jewel Mondina"/>
        <s v="Jimwell Osiang"/>
        <s v="Joanna Cabrera"/>
        <s v="John Mark Bienes "/>
        <s v="Johnella Lopez "/>
        <s v="Mark Frankie Pecolera"/>
        <s v="Mark Metra"/>
        <s v="Mayann Somera"/>
        <s v="Mherica Santos "/>
        <s v="Nerissa Ong"/>
        <s v="Noemi Landerito"/>
        <s v="Patricia Busio "/>
        <s v="Rafunzel M Manuel "/>
        <s v="Raphael Macasocol"/>
        <s v="Remaden Bautista "/>
        <s v="Rhona Sanejo"/>
        <s v="Ricalyn Clarencio "/>
        <s v="Ruth Dela Cruz"/>
        <s v="Ryan Rillo"/>
        <s v="Sandarah Cruz"/>
        <s v="Sean Edulan "/>
        <s v="Stephanie Del Rosario"/>
        <s v="Syra Jade Yaranon"/>
        <s v="Tricia Galsim"/>
        <s v="Vincent Paolo Villasenor"/>
        <s v="Xenrel Mae O Dacubar "/>
        <s v="Anderson Corpuz"/>
        <s v="Kimberly Daanoy"/>
        <s v="Sean Lalangan"/>
        <s v="Vincent Villanueva"/>
        <s v="Herald David"/>
        <s v="Tedd Sumaden"/>
        <s v="Cristina Fuentes"/>
        <s v="Emerson Valdez"/>
        <s v="Roy Lauzon"/>
        <s v="Angelica DPena"/>
        <s v="Danpaul Devebar"/>
        <s v="Homer Macamay"/>
        <s v="Jefferson Cuyugan"/>
        <s v="Regine Karasig"/>
        <s v="Kaycee Tanjusay"/>
        <s v="Maximillian Parangan"/>
        <s v="Michelle Matusalem"/>
        <s v="Nikka Villasenor"/>
        <m/>
      </sharedItems>
    </cacheField>
    <cacheField name="Absent/Tardy" numFmtId="0">
      <sharedItems containsBlank="1" count="5">
        <s v="Absent"/>
        <s v="Tardy"/>
        <s v="Yes"/>
        <s v="Halday"/>
        <m/>
      </sharedItems>
    </cacheField>
    <cacheField name="Date" numFmtId="0">
      <sharedItems containsNonDate="0" containsDate="1" containsString="0" containsBlank="1" minDate="2025-07-01T00:00:00" maxDate="2025-07-31T00:00:00" count="31">
        <d v="2025-07-16T00:00:00"/>
        <d v="2025-07-21T00:00:00"/>
        <d v="2025-07-22T00:00:00"/>
        <d v="2025-07-11T00:00:00"/>
        <d v="2025-07-12T00:00:00"/>
        <d v="2025-07-13T00:00:00"/>
        <d v="2025-07-17T00:00:00"/>
        <d v="2025-07-03T00:00:00"/>
        <d v="2025-07-08T00:00:00"/>
        <d v="2025-07-14T00:00:00"/>
        <d v="2025-07-01T00:00:00"/>
        <d v="2025-07-10T00:00:00"/>
        <d v="2025-07-04T00:00:00"/>
        <d v="2025-07-09T00:00:00"/>
        <d v="2025-07-15T00:00:00"/>
        <d v="2025-07-19T00:00:00"/>
        <d v="2025-07-20T00:00:00"/>
        <d v="2025-07-07T00:00:00"/>
        <d v="2025-07-02T00:00:00"/>
        <d v="2025-07-05T00:00:00"/>
        <d v="2025-07-06T00:00:00"/>
        <d v="2025-07-24T00:00:00"/>
        <d v="2025-07-29T00:00:00"/>
        <d v="2025-07-28T00:00:00"/>
        <d v="2025-07-23T00:00:00"/>
        <d v="2025-07-18T00:00:00"/>
        <d v="2025-07-30T00:00:00"/>
        <d v="2025-07-25T00:00:00"/>
        <d v="2025-07-26T00:00:00"/>
        <d v="2025-07-27T00:00:00"/>
        <m/>
      </sharedItems>
    </cacheField>
    <cacheField name="Reason" numFmtId="0">
      <sharedItems containsBlank="1" count="18">
        <s v="Inclement Weather"/>
        <s v="Childcare"/>
        <s v="Late log in"/>
        <s v="Transporation Issue"/>
        <s v="Family Emergency"/>
        <s v="Not feeling well"/>
        <s v="Sick"/>
        <s v="SL"/>
        <s v="Halday"/>
        <s v="Personal Matter"/>
        <s v="Transportation Issue"/>
        <s v="Personal Matters"/>
        <s v="Gout"/>
        <s v="Family Matters"/>
        <s v="NCNS"/>
        <s v="Absent"/>
        <s v="Typhoon"/>
        <m/>
      </sharedItems>
    </cacheField>
  </cacheFields>
  <extLst>
    <ext xmlns:x14="http://schemas.microsoft.com/office/spreadsheetml/2009/9/main" uri="{725AE2AE-9491-48be-B2B4-4EB974FC3084}">
      <x14:pivotCacheDefinition/>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883.914668634257" createdVersion="8" refreshedVersion="8" minRefreshableVersion="3" recordCount="7" xr:uid="{59874ACC-4FA8-4852-94C8-F0A6970B23B0}">
  <cacheSource type="worksheet">
    <worksheetSource ref="A1:I8" sheet="AUGUST EOW"/>
  </cacheSource>
  <cacheFields count="9">
    <cacheField name="Day" numFmtId="0">
      <sharedItems/>
    </cacheField>
    <cacheField name="Date" numFmtId="14">
      <sharedItems containsSemiMixedTypes="0" containsNonDate="0" containsDate="1" containsString="0" minDate="2025-08-10T00:00:00" maxDate="2025-08-17T00:00:00" count="7">
        <d v="2025-08-10T00:00:00"/>
        <d v="2025-08-11T00:00:00"/>
        <d v="2025-08-12T00:00:00"/>
        <d v="2025-08-13T00:00:00"/>
        <d v="2025-08-14T00:00:00"/>
        <d v="2025-08-15T00:00:00"/>
        <d v="2025-08-16T00:00:00"/>
      </sharedItems>
    </cacheField>
    <cacheField name="Scheduled Employees" numFmtId="0">
      <sharedItems containsString="0" containsBlank="1" containsNumber="1" containsInteger="1" minValue="20" maxValue="106"/>
    </cacheField>
    <cacheField name="Absent Employees" numFmtId="0">
      <sharedItems containsString="0" containsBlank="1" containsNumber="1" containsInteger="1" minValue="0" maxValue="7"/>
    </cacheField>
    <cacheField name="Tardy Employees" numFmtId="0">
      <sharedItems containsString="0" containsBlank="1" containsNumber="1" containsInteger="1" minValue="0" maxValue="10"/>
    </cacheField>
    <cacheField name="VL&amp;LWOP" numFmtId="0">
      <sharedItems containsString="0" containsBlank="1" containsNumber="1" containsInteger="1" minValue="0" maxValue="1"/>
    </cacheField>
    <cacheField name="Tardiness Rate (%)" numFmtId="10">
      <sharedItems containsString="0" containsBlank="1" containsNumber="1" minValue="0" maxValue="3.4856784082790276E-3"/>
    </cacheField>
    <cacheField name="Absenteeism Rate (%)" numFmtId="10">
      <sharedItems containsString="0" containsBlank="1" containsNumber="1" minValue="0" maxValue="6.8627450980392163E-2"/>
    </cacheField>
    <cacheField name="Attendance" numFmtId="9">
      <sharedItems containsString="0" containsBlank="1" containsNumber="1" minValue="0.92976034858387802" maxValue="1"/>
    </cacheField>
  </cacheFields>
  <extLst>
    <ext xmlns:x14="http://schemas.microsoft.com/office/spreadsheetml/2009/9/main" uri="{725AE2AE-9491-48be-B2B4-4EB974FC3084}">
      <x14:pivotCacheDefinition/>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891.145519328704" createdVersion="8" refreshedVersion="8" minRefreshableVersion="3" recordCount="5" xr:uid="{8E3E809A-FF93-43A0-8050-C2CAA3254B91}">
  <cacheSource type="worksheet">
    <worksheetSource ref="B2:J7" sheet="Reporting"/>
  </cacheSource>
  <cacheFields count="9">
    <cacheField name="Day" numFmtId="0">
      <sharedItems count="5">
        <s v="Sunday"/>
        <s v="Monday"/>
        <s v="Tuesday"/>
        <s v="Wednesday"/>
        <s v="Thursday"/>
      </sharedItems>
    </cacheField>
    <cacheField name="Date" numFmtId="14">
      <sharedItems containsSemiMixedTypes="0" containsNonDate="0" containsDate="1" containsString="0" minDate="2025-08-17T00:00:00" maxDate="2025-08-22T00:00:00" count="5">
        <d v="2025-08-17T00:00:00"/>
        <d v="2025-08-18T00:00:00"/>
        <d v="2025-08-19T00:00:00"/>
        <d v="2025-08-20T00:00:00"/>
        <d v="2025-08-21T00:00:00"/>
      </sharedItems>
    </cacheField>
    <cacheField name="Scheduled Employees" numFmtId="0">
      <sharedItems containsSemiMixedTypes="0" containsString="0" containsNumber="1" containsInteger="1" minValue="25" maxValue="106"/>
    </cacheField>
    <cacheField name="Absent Employees" numFmtId="0">
      <sharedItems containsSemiMixedTypes="0" containsString="0" containsNumber="1" containsInteger="1" minValue="2" maxValue="7"/>
    </cacheField>
    <cacheField name="Tardy Employees" numFmtId="0">
      <sharedItems containsSemiMixedTypes="0" containsString="0" containsNumber="1" containsInteger="1" minValue="1" maxValue="11"/>
    </cacheField>
    <cacheField name="VL&amp;LWOP" numFmtId="0">
      <sharedItems containsSemiMixedTypes="0" containsString="0" containsNumber="1" containsInteger="1" minValue="0" maxValue="3"/>
    </cacheField>
    <cacheField name="Absenteeism Rate (%)" numFmtId="10">
      <sharedItems containsSemiMixedTypes="0" containsString="0" containsNumber="1" minValue="2.8301886792452831E-2" maxValue="0.08"/>
    </cacheField>
    <cacheField name="Tardiness Rate (%)" numFmtId="10">
      <sharedItems containsSemiMixedTypes="0" containsString="0" containsNumber="1" minValue="8.1699346405228761E-4" maxValue="7.2277920261133131E-3"/>
    </cacheField>
    <cacheField name="Attendance" numFmtId="9">
      <sharedItems containsSemiMixedTypes="0" containsString="0" containsNumber="1" minValue="0.9177777777777778" maxValue="0.96974842767295599"/>
    </cacheField>
  </cacheFields>
  <extLst>
    <ext xmlns:x14="http://schemas.microsoft.com/office/spreadsheetml/2009/9/main" uri="{725AE2AE-9491-48be-B2B4-4EB974FC3084}">
      <x14:pivotCacheDefinition/>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891.148252199077" createdVersion="8" refreshedVersion="8" minRefreshableVersion="3" recordCount="7" xr:uid="{4DB55235-F56D-4546-A5CB-62C88D7F7B2E}">
  <cacheSource type="worksheet">
    <worksheetSource ref="B20:E27" sheet="Reporting"/>
  </cacheSource>
  <cacheFields count="4">
    <cacheField name="Name of Absent " numFmtId="0">
      <sharedItems containsBlank="1" count="4">
        <s v="Iverson Libranda"/>
        <s v="Joanna Cabrera"/>
        <s v="Rubyneil Abejero"/>
        <m/>
      </sharedItems>
    </cacheField>
    <cacheField name="REASON" numFmtId="0">
      <sharedItems containsBlank="1" count="2">
        <s v="Health Issue"/>
        <m/>
      </sharedItems>
    </cacheField>
    <cacheField name="Name of Tardy" numFmtId="0">
      <sharedItems count="7">
        <s v="Femie DC Domenden"/>
        <s v="Roy Lauzon"/>
        <s v="Syra Jade Yaranon"/>
        <s v="Collen Silapan"/>
        <s v="Herald David"/>
        <s v="Analyn Caniedo"/>
        <s v="Tricia Galsim"/>
      </sharedItems>
    </cacheField>
    <cacheField name="REASON2" numFmtId="0">
      <sharedItems count="2">
        <s v="Elevator Queue"/>
        <s v="Transportation Issue"/>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7">
  <r>
    <x v="0"/>
    <x v="0"/>
    <s v="KY"/>
    <s v="RD"/>
    <s v="P"/>
    <n v="106"/>
    <s v="P"/>
    <s v="P"/>
    <s v="LWOP"/>
    <s v="RD"/>
    <n v="106"/>
    <n v="0"/>
    <n v="106"/>
    <n v="1800"/>
    <n v="1694"/>
    <n v="0.94111111111111112"/>
    <m/>
    <n v="1"/>
  </r>
  <r>
    <x v="1"/>
    <x v="1"/>
    <s v="KY"/>
    <s v="P"/>
    <s v="P"/>
    <s v="RD"/>
    <s v="RD"/>
    <n v="450"/>
    <n v="7"/>
    <s v="P"/>
    <n v="7"/>
    <n v="450"/>
    <n v="457"/>
    <n v="2250"/>
    <n v="1793"/>
    <n v="0.79688888888888887"/>
    <m/>
    <m/>
  </r>
  <r>
    <x v="1"/>
    <x v="2"/>
    <s v="IL"/>
    <s v="P"/>
    <s v="P"/>
    <s v="RD"/>
    <s v="RD"/>
    <s v="P"/>
    <n v="2"/>
    <s v="P"/>
    <n v="2"/>
    <n v="0"/>
    <n v="2"/>
    <n v="2250"/>
    <n v="2248"/>
    <n v="0.99911111111111106"/>
    <m/>
    <m/>
  </r>
  <r>
    <x v="0"/>
    <x v="3"/>
    <s v="NJ"/>
    <s v="RD"/>
    <n v="6"/>
    <n v="4"/>
    <n v="48"/>
    <s v="P"/>
    <s v="P"/>
    <s v="RD"/>
    <n v="58"/>
    <n v="0"/>
    <n v="58"/>
    <n v="2250"/>
    <n v="2192"/>
    <n v="0.97422222222222221"/>
    <m/>
    <m/>
  </r>
  <r>
    <x v="1"/>
    <x v="4"/>
    <s v="KY/IL"/>
    <s v="RD"/>
    <n v="16"/>
    <s v="P"/>
    <s v="P"/>
    <n v="5"/>
    <n v="11"/>
    <s v="RD"/>
    <n v="32"/>
    <n v="0"/>
    <n v="32"/>
    <n v="2250"/>
    <n v="2218"/>
    <n v="0.98577777777777775"/>
    <m/>
    <m/>
  </r>
  <r>
    <x v="2"/>
    <x v="5"/>
    <s v="Multi"/>
    <s v="P"/>
    <s v="P"/>
    <s v="P"/>
    <s v="P"/>
    <s v="P"/>
    <s v="RD"/>
    <s v="RD"/>
    <n v="0"/>
    <n v="0"/>
    <n v="0"/>
    <n v="2250"/>
    <n v="2250"/>
    <n v="1"/>
    <m/>
    <m/>
  </r>
  <r>
    <x v="0"/>
    <x v="6"/>
    <s v="NJ"/>
    <s v="RD"/>
    <n v="13"/>
    <s v="LWOP"/>
    <s v="P"/>
    <s v="P"/>
    <s v="P"/>
    <s v="RD"/>
    <n v="13"/>
    <n v="0"/>
    <n v="13"/>
    <n v="1800"/>
    <n v="1787"/>
    <n v="0.99277777777777776"/>
    <m/>
    <m/>
  </r>
  <r>
    <x v="0"/>
    <x v="7"/>
    <s v="KY"/>
    <s v="RD"/>
    <s v="P"/>
    <n v="6"/>
    <s v="P"/>
    <s v="P"/>
    <n v="115"/>
    <s v="RD"/>
    <n v="121"/>
    <n v="0"/>
    <n v="121"/>
    <n v="2250"/>
    <n v="2129"/>
    <n v="0.94622222222222219"/>
    <m/>
    <m/>
  </r>
  <r>
    <x v="0"/>
    <x v="8"/>
    <s v="KY"/>
    <s v="RD"/>
    <s v="P"/>
    <s v="P"/>
    <s v="P"/>
    <s v="P"/>
    <s v="P"/>
    <s v="RD"/>
    <n v="0"/>
    <n v="0"/>
    <n v="0"/>
    <n v="2250"/>
    <n v="2250"/>
    <n v="1"/>
    <m/>
    <m/>
  </r>
  <r>
    <x v="2"/>
    <x v="9"/>
    <s v="Multi"/>
    <s v="RD"/>
    <s v="RD"/>
    <s v="P"/>
    <s v="P"/>
    <s v="P"/>
    <s v="P"/>
    <s v="P"/>
    <n v="0"/>
    <n v="0"/>
    <n v="0"/>
    <n v="2250"/>
    <n v="2250"/>
    <n v="1"/>
    <m/>
    <m/>
  </r>
  <r>
    <x v="1"/>
    <x v="10"/>
    <s v="IL"/>
    <s v="P"/>
    <s v="P"/>
    <s v="P"/>
    <s v="RD"/>
    <s v="RD"/>
    <s v="P"/>
    <s v="P"/>
    <n v="0"/>
    <n v="0"/>
    <n v="0"/>
    <n v="2250"/>
    <n v="2250"/>
    <n v="1"/>
    <m/>
    <m/>
  </r>
  <r>
    <x v="1"/>
    <x v="11"/>
    <s v="NJ"/>
    <s v="RD"/>
    <n v="16"/>
    <s v="P"/>
    <n v="26"/>
    <s v="P"/>
    <n v="6"/>
    <s v="RD"/>
    <m/>
    <n v="0"/>
    <n v="0"/>
    <n v="2250"/>
    <n v="2250"/>
    <n v="1"/>
    <m/>
    <m/>
  </r>
  <r>
    <x v="1"/>
    <x v="12"/>
    <s v="NJ"/>
    <s v="RD"/>
    <s v="P"/>
    <s v="P"/>
    <s v="P"/>
    <s v="P"/>
    <s v="P"/>
    <s v="RD"/>
    <n v="0"/>
    <n v="0"/>
    <n v="0"/>
    <n v="2250"/>
    <n v="2250"/>
    <n v="1"/>
    <m/>
    <m/>
  </r>
  <r>
    <x v="1"/>
    <x v="13"/>
    <s v="MA/NY/NJ (KY/IL)"/>
    <s v="RD"/>
    <s v="P"/>
    <s v="P"/>
    <s v="P"/>
    <s v="P"/>
    <s v="P"/>
    <s v="RD"/>
    <n v="0"/>
    <n v="0"/>
    <n v="0"/>
    <n v="2250"/>
    <n v="2250"/>
    <n v="1"/>
    <m/>
    <m/>
  </r>
  <r>
    <x v="1"/>
    <x v="14"/>
    <s v="KY"/>
    <s v="RD"/>
    <n v="4"/>
    <n v="9"/>
    <s v="P"/>
    <s v="P"/>
    <n v="1"/>
    <s v="RD"/>
    <n v="14"/>
    <n v="0"/>
    <n v="14"/>
    <n v="2250"/>
    <n v="2236"/>
    <n v="0.99377777777777776"/>
    <m/>
    <m/>
  </r>
  <r>
    <x v="2"/>
    <x v="15"/>
    <s v="Multi"/>
    <s v="P"/>
    <s v="P"/>
    <s v="P"/>
    <s v="P"/>
    <s v="P"/>
    <s v="RD"/>
    <s v="RD"/>
    <n v="0"/>
    <n v="0"/>
    <n v="0"/>
    <n v="2250"/>
    <n v="2250"/>
    <n v="1"/>
    <m/>
    <m/>
  </r>
  <r>
    <x v="1"/>
    <x v="16"/>
    <s v="KY"/>
    <s v="RD"/>
    <s v="P"/>
    <n v="40"/>
    <n v="11"/>
    <s v="P"/>
    <n v="83"/>
    <s v="RD"/>
    <n v="134"/>
    <n v="0"/>
    <n v="134"/>
    <n v="2250"/>
    <n v="2116"/>
    <n v="0.94044444444444442"/>
    <m/>
    <m/>
  </r>
  <r>
    <x v="1"/>
    <x v="17"/>
    <s v="Multi"/>
    <s v="P"/>
    <n v="2"/>
    <s v="P"/>
    <s v="RD"/>
    <s v="RD"/>
    <n v="450"/>
    <n v="450"/>
    <n v="2"/>
    <n v="900"/>
    <n v="902"/>
    <n v="2250"/>
    <n v="1348"/>
    <n v="0.59911111111111115"/>
    <m/>
    <m/>
  </r>
  <r>
    <x v="0"/>
    <x v="18"/>
    <s v="NY"/>
    <s v="RD"/>
    <s v="P"/>
    <s v="P"/>
    <s v="P"/>
    <s v="P"/>
    <n v="450"/>
    <s v="RD"/>
    <m/>
    <n v="450"/>
    <n v="450"/>
    <n v="2250"/>
    <n v="1800"/>
    <n v="0.8"/>
    <m/>
    <m/>
  </r>
  <r>
    <x v="3"/>
    <x v="19"/>
    <s v="Multi"/>
    <s v="RD"/>
    <s v="P"/>
    <s v="P"/>
    <s v="P"/>
    <s v="P"/>
    <s v="P"/>
    <s v="RD"/>
    <n v="0"/>
    <n v="0"/>
    <n v="0"/>
    <n v="2250"/>
    <n v="2250"/>
    <n v="1"/>
    <m/>
    <m/>
  </r>
  <r>
    <x v="0"/>
    <x v="20"/>
    <s v="MA"/>
    <s v="RD"/>
    <n v="17"/>
    <n v="18"/>
    <n v="2"/>
    <n v="3"/>
    <n v="11"/>
    <s v="RD"/>
    <n v="51"/>
    <n v="0"/>
    <n v="51"/>
    <n v="2250"/>
    <n v="2199"/>
    <n v="0.97733333333333339"/>
    <m/>
    <m/>
  </r>
  <r>
    <x v="0"/>
    <x v="21"/>
    <s v="MA"/>
    <s v="RD"/>
    <n v="1"/>
    <n v="14"/>
    <s v="P"/>
    <s v="P"/>
    <s v="P"/>
    <s v="RD"/>
    <n v="15"/>
    <n v="0"/>
    <n v="15"/>
    <n v="2250"/>
    <n v="2235"/>
    <n v="0.99333333333333329"/>
    <m/>
    <m/>
  </r>
  <r>
    <x v="1"/>
    <x v="22"/>
    <s v="NY"/>
    <s v="RD"/>
    <s v="P"/>
    <s v="P"/>
    <s v="P"/>
    <s v="P"/>
    <s v="P"/>
    <s v="RD"/>
    <n v="0"/>
    <n v="0"/>
    <n v="0"/>
    <n v="2250"/>
    <n v="2250"/>
    <n v="1"/>
    <m/>
    <m/>
  </r>
  <r>
    <x v="0"/>
    <x v="23"/>
    <s v="IL"/>
    <s v="RD"/>
    <n v="9"/>
    <s v="P"/>
    <s v="P"/>
    <s v="P"/>
    <s v="P"/>
    <s v="RD"/>
    <n v="9"/>
    <n v="0"/>
    <n v="9"/>
    <n v="2250"/>
    <n v="2241"/>
    <n v="0.996"/>
    <m/>
    <m/>
  </r>
  <r>
    <x v="1"/>
    <x v="24"/>
    <s v="Multi"/>
    <s v="RD"/>
    <s v="P"/>
    <s v="P"/>
    <s v="P"/>
    <s v="P"/>
    <s v="VL"/>
    <s v="RD"/>
    <n v="0"/>
    <n v="0"/>
    <n v="0"/>
    <n v="2250"/>
    <n v="2250"/>
    <n v="1"/>
    <n v="1"/>
    <m/>
  </r>
  <r>
    <x v="0"/>
    <x v="25"/>
    <s v="IL"/>
    <s v="RD"/>
    <s v="P"/>
    <n v="232"/>
    <n v="450"/>
    <n v="240"/>
    <s v="P"/>
    <s v="RD"/>
    <n v="472"/>
    <n v="450"/>
    <n v="922"/>
    <n v="2250"/>
    <n v="1328"/>
    <n v="0.5902222222222222"/>
    <m/>
    <m/>
  </r>
  <r>
    <x v="0"/>
    <x v="26"/>
    <s v="MA"/>
    <s v="RD"/>
    <n v="8"/>
    <s v="P"/>
    <s v="P"/>
    <s v="P"/>
    <s v="VL"/>
    <s v="RD"/>
    <n v="8"/>
    <n v="0"/>
    <n v="8"/>
    <n v="1800"/>
    <n v="1792"/>
    <n v="0.99555555555555553"/>
    <n v="1"/>
    <m/>
  </r>
  <r>
    <x v="1"/>
    <x v="27"/>
    <s v="KY"/>
    <s v="RD"/>
    <s v="P"/>
    <s v="P"/>
    <s v="P"/>
    <s v="P"/>
    <s v="P"/>
    <s v="RD"/>
    <n v="0"/>
    <n v="0"/>
    <n v="0"/>
    <n v="2250"/>
    <n v="2250"/>
    <n v="1"/>
    <m/>
    <m/>
  </r>
  <r>
    <x v="0"/>
    <x v="28"/>
    <s v="IL"/>
    <s v="RD"/>
    <s v="P"/>
    <s v="P"/>
    <s v="P"/>
    <s v="P"/>
    <n v="45"/>
    <s v="RD"/>
    <n v="45"/>
    <n v="0"/>
    <n v="45"/>
    <n v="2250"/>
    <n v="2205"/>
    <n v="0.98"/>
    <m/>
    <m/>
  </r>
  <r>
    <x v="1"/>
    <x v="29"/>
    <s v="KY"/>
    <s v="RD"/>
    <s v="P"/>
    <n v="13"/>
    <n v="115"/>
    <n v="2"/>
    <n v="17"/>
    <s v="RD"/>
    <n v="147"/>
    <n v="0"/>
    <n v="147"/>
    <n v="2250"/>
    <n v="2103"/>
    <n v="0.93466666666666665"/>
    <m/>
    <m/>
  </r>
  <r>
    <x v="4"/>
    <x v="30"/>
    <s v="Multi"/>
    <s v="RD"/>
    <s v="RD"/>
    <s v="VL"/>
    <s v="P"/>
    <s v="P"/>
    <s v="P"/>
    <s v="P"/>
    <n v="0"/>
    <n v="0"/>
    <n v="0"/>
    <n v="1800"/>
    <n v="1800"/>
    <n v="1"/>
    <m/>
    <m/>
  </r>
  <r>
    <x v="2"/>
    <x v="31"/>
    <s v="Multi"/>
    <n v="19"/>
    <n v="18"/>
    <s v="RD"/>
    <s v="RD"/>
    <s v="P"/>
    <s v="P"/>
    <n v="202"/>
    <n v="239"/>
    <n v="0"/>
    <n v="239"/>
    <n v="2250"/>
    <n v="2011"/>
    <n v="0.89377777777777778"/>
    <m/>
    <m/>
  </r>
  <r>
    <x v="1"/>
    <x v="32"/>
    <s v="Multi"/>
    <s v="P"/>
    <s v="P"/>
    <s v="P"/>
    <s v="RD"/>
    <s v="RD"/>
    <s v="P"/>
    <s v="P"/>
    <n v="0"/>
    <n v="0"/>
    <n v="0"/>
    <n v="2250"/>
    <n v="2250"/>
    <n v="1"/>
    <m/>
    <m/>
  </r>
  <r>
    <x v="2"/>
    <x v="33"/>
    <s v="Multi"/>
    <s v="P"/>
    <s v="P"/>
    <s v="P"/>
    <s v="P"/>
    <s v="P"/>
    <s v="RD"/>
    <s v="RD"/>
    <n v="0"/>
    <n v="0"/>
    <n v="0"/>
    <n v="2250"/>
    <n v="2250"/>
    <n v="1"/>
    <m/>
    <m/>
  </r>
  <r>
    <x v="0"/>
    <x v="34"/>
    <s v="IL"/>
    <s v="RD"/>
    <s v="P"/>
    <s v="P"/>
    <s v="P"/>
    <s v="P"/>
    <n v="10"/>
    <s v="RD"/>
    <n v="10"/>
    <n v="0"/>
    <n v="10"/>
    <n v="2250"/>
    <n v="2240"/>
    <n v="0.99555555555555553"/>
    <m/>
    <m/>
  </r>
  <r>
    <x v="0"/>
    <x v="35"/>
    <s v="MA"/>
    <s v="RD"/>
    <s v="P"/>
    <s v="P"/>
    <s v="P"/>
    <s v="P"/>
    <s v="P"/>
    <s v="RD"/>
    <n v="0"/>
    <n v="0"/>
    <n v="0"/>
    <n v="2250"/>
    <n v="2250"/>
    <n v="1"/>
    <m/>
    <m/>
  </r>
  <r>
    <x v="1"/>
    <x v="36"/>
    <s v="NY NJ"/>
    <s v="RD"/>
    <s v="P"/>
    <s v="P"/>
    <s v="P"/>
    <s v="P"/>
    <s v="P"/>
    <s v="RD"/>
    <n v="0"/>
    <n v="0"/>
    <n v="0"/>
    <n v="2250"/>
    <n v="2250"/>
    <n v="1"/>
    <m/>
    <m/>
  </r>
  <r>
    <x v="1"/>
    <x v="37"/>
    <s v="Multi"/>
    <s v="P"/>
    <s v="VL"/>
    <s v="RD"/>
    <s v="RD"/>
    <s v="P"/>
    <s v="P"/>
    <s v="P"/>
    <n v="0"/>
    <n v="0"/>
    <n v="0"/>
    <n v="2250"/>
    <n v="2250"/>
    <n v="1"/>
    <n v="1"/>
    <m/>
  </r>
  <r>
    <x v="1"/>
    <x v="38"/>
    <s v="NJ"/>
    <s v="RD"/>
    <s v="P"/>
    <s v="LWOP"/>
    <s v="P"/>
    <s v="P"/>
    <s v="P"/>
    <s v="RD"/>
    <n v="0"/>
    <n v="0"/>
    <n v="0"/>
    <n v="2250"/>
    <n v="2250"/>
    <n v="1"/>
    <m/>
    <n v="1"/>
  </r>
  <r>
    <x v="0"/>
    <x v="39"/>
    <s v="NJ"/>
    <s v="RD"/>
    <n v="12"/>
    <n v="240"/>
    <s v="P"/>
    <s v="P"/>
    <s v="P"/>
    <s v="RD"/>
    <n v="252"/>
    <n v="0"/>
    <n v="252"/>
    <n v="2250"/>
    <n v="1998"/>
    <n v="0.88800000000000001"/>
    <m/>
    <m/>
  </r>
  <r>
    <x v="3"/>
    <x v="40"/>
    <s v="Multi"/>
    <s v="RD"/>
    <s v="P"/>
    <s v="P"/>
    <s v="P"/>
    <s v="P"/>
    <s v="P"/>
    <s v="RD"/>
    <n v="0"/>
    <n v="0"/>
    <n v="0"/>
    <n v="2250"/>
    <n v="2250"/>
    <n v="1"/>
    <m/>
    <m/>
  </r>
  <r>
    <x v="0"/>
    <x v="41"/>
    <s v="MA"/>
    <s v="RD"/>
    <s v="P"/>
    <s v="P"/>
    <s v="P"/>
    <s v="P"/>
    <n v="17"/>
    <s v="RD"/>
    <n v="17"/>
    <n v="0"/>
    <n v="17"/>
    <n v="2250"/>
    <n v="2233"/>
    <n v="0.99244444444444446"/>
    <m/>
    <m/>
  </r>
  <r>
    <x v="1"/>
    <x v="42"/>
    <s v="NY"/>
    <s v="RD"/>
    <s v="P"/>
    <s v="P"/>
    <s v="P"/>
    <s v="P"/>
    <s v="P"/>
    <s v="RD"/>
    <n v="0"/>
    <n v="0"/>
    <n v="0"/>
    <n v="2250"/>
    <n v="2250"/>
    <n v="1"/>
    <m/>
    <m/>
  </r>
  <r>
    <x v="1"/>
    <x v="43"/>
    <s v="NJ"/>
    <s v="RD"/>
    <s v="P"/>
    <n v="5"/>
    <s v="P"/>
    <s v="P"/>
    <n v="5"/>
    <s v="RD"/>
    <n v="10"/>
    <n v="0"/>
    <n v="10"/>
    <n v="2250"/>
    <n v="2240"/>
    <n v="0.99555555555555553"/>
    <m/>
    <m/>
  </r>
  <r>
    <x v="0"/>
    <x v="44"/>
    <s v="KY"/>
    <s v="RD"/>
    <s v="P"/>
    <s v="P"/>
    <s v="P"/>
    <n v="55"/>
    <n v="450"/>
    <s v="RD"/>
    <n v="55"/>
    <n v="450"/>
    <n v="505"/>
    <n v="2250"/>
    <n v="1745"/>
    <n v="0.77555555555555555"/>
    <m/>
    <m/>
  </r>
  <r>
    <x v="1"/>
    <x v="45"/>
    <s v="Multi"/>
    <s v="RD"/>
    <s v="P"/>
    <s v="P"/>
    <s v="P"/>
    <s v="P"/>
    <s v="VL"/>
    <s v="RD"/>
    <n v="0"/>
    <n v="0"/>
    <n v="0"/>
    <n v="2250"/>
    <n v="2250"/>
    <n v="1"/>
    <n v="1"/>
    <m/>
  </r>
  <r>
    <x v="2"/>
    <x v="46"/>
    <s v="Multi"/>
    <s v="RD"/>
    <s v="RD"/>
    <s v="P"/>
    <s v="P"/>
    <s v="P"/>
    <s v="P"/>
    <n v="450"/>
    <n v="0"/>
    <n v="450"/>
    <n v="450"/>
    <n v="2250"/>
    <n v="1800"/>
    <n v="0.8"/>
    <m/>
    <m/>
  </r>
  <r>
    <x v="0"/>
    <x v="47"/>
    <s v="IL"/>
    <s v="RD"/>
    <s v="P"/>
    <s v="P"/>
    <s v="P"/>
    <s v="P"/>
    <s v="P"/>
    <s v="RD"/>
    <n v="0"/>
    <n v="0"/>
    <n v="0"/>
    <n v="2250"/>
    <n v="2250"/>
    <n v="1"/>
    <m/>
    <m/>
  </r>
  <r>
    <x v="0"/>
    <x v="48"/>
    <s v="NJ"/>
    <s v="RD"/>
    <s v="VL"/>
    <s v="P"/>
    <s v="P"/>
    <s v="P"/>
    <s v="P"/>
    <s v="RD"/>
    <n v="0"/>
    <n v="0"/>
    <n v="0"/>
    <n v="1800"/>
    <n v="1800"/>
    <n v="1"/>
    <m/>
    <m/>
  </r>
  <r>
    <x v="0"/>
    <x v="49"/>
    <s v="MA"/>
    <s v="RD"/>
    <s v="P"/>
    <s v="P"/>
    <s v="P"/>
    <s v="P"/>
    <s v="P"/>
    <s v="RD"/>
    <n v="0"/>
    <n v="0"/>
    <n v="0"/>
    <n v="2250"/>
    <n v="2250"/>
    <n v="1"/>
    <m/>
    <m/>
  </r>
  <r>
    <x v="1"/>
    <x v="50"/>
    <s v="NY"/>
    <s v="RD"/>
    <s v="P"/>
    <s v="P"/>
    <s v="P"/>
    <s v="P"/>
    <s v="LWOP"/>
    <s v="RD"/>
    <n v="0"/>
    <n v="0"/>
    <n v="0"/>
    <n v="2250"/>
    <n v="2250"/>
    <n v="1"/>
    <m/>
    <n v="1"/>
  </r>
  <r>
    <x v="4"/>
    <x v="51"/>
    <s v="Multi"/>
    <s v="RD"/>
    <n v="6"/>
    <s v="P"/>
    <s v="P"/>
    <n v="2"/>
    <n v="70"/>
    <s v="RD"/>
    <n v="0"/>
    <n v="0"/>
    <n v="0"/>
    <n v="2250"/>
    <n v="2250"/>
    <n v="1"/>
    <m/>
    <m/>
  </r>
  <r>
    <x v="1"/>
    <x v="52"/>
    <s v="NJ"/>
    <s v="RD"/>
    <s v="P"/>
    <n v="59"/>
    <s v="P"/>
    <s v="P"/>
    <s v="P"/>
    <s v="RD"/>
    <n v="59"/>
    <n v="0"/>
    <n v="59"/>
    <n v="2250"/>
    <n v="2191"/>
    <n v="0.97377777777777774"/>
    <m/>
    <m/>
  </r>
  <r>
    <x v="0"/>
    <x v="53"/>
    <s v="KY"/>
    <s v="RD"/>
    <s v="P"/>
    <s v="P"/>
    <s v="P"/>
    <s v="P"/>
    <s v="P"/>
    <s v="RD"/>
    <n v="0"/>
    <n v="0"/>
    <n v="0"/>
    <n v="2250"/>
    <n v="2250"/>
    <n v="1"/>
    <m/>
    <m/>
  </r>
  <r>
    <x v="2"/>
    <x v="54"/>
    <s v="Multi"/>
    <s v="RD"/>
    <s v="RD"/>
    <s v="P"/>
    <s v="P"/>
    <s v="P"/>
    <s v="P"/>
    <s v="P"/>
    <n v="0"/>
    <n v="0"/>
    <n v="0"/>
    <n v="2250"/>
    <n v="2250"/>
    <n v="1"/>
    <m/>
    <m/>
  </r>
  <r>
    <x v="1"/>
    <x v="55"/>
    <s v="NY"/>
    <s v="RD"/>
    <s v="P"/>
    <n v="51"/>
    <s v="P"/>
    <s v="P"/>
    <n v="5"/>
    <s v="RD"/>
    <n v="56"/>
    <n v="0"/>
    <n v="56"/>
    <n v="2250"/>
    <n v="2194"/>
    <n v="0.97511111111111115"/>
    <m/>
    <m/>
  </r>
  <r>
    <x v="2"/>
    <x v="56"/>
    <s v="Multi"/>
    <s v="RD"/>
    <s v="RD"/>
    <s v="P"/>
    <s v="P"/>
    <s v="P"/>
    <s v="P"/>
    <s v="P"/>
    <n v="0"/>
    <n v="0"/>
    <n v="0"/>
    <n v="2250"/>
    <n v="2250"/>
    <n v="1"/>
    <m/>
    <m/>
  </r>
  <r>
    <x v="1"/>
    <x v="57"/>
    <s v="IL"/>
    <s v="RD"/>
    <s v="P"/>
    <n v="45"/>
    <n v="16"/>
    <s v="P"/>
    <s v="P"/>
    <s v="RD"/>
    <n v="61"/>
    <n v="0"/>
    <n v="61"/>
    <n v="2250"/>
    <n v="2189"/>
    <n v="0.97288888888888891"/>
    <m/>
    <m/>
  </r>
  <r>
    <x v="0"/>
    <x v="58"/>
    <s v="MA"/>
    <s v="RD"/>
    <s v="P"/>
    <s v="P"/>
    <s v="P"/>
    <s v="P"/>
    <s v="P"/>
    <s v="RD"/>
    <n v="0"/>
    <n v="0"/>
    <n v="0"/>
    <n v="2250"/>
    <n v="2250"/>
    <n v="1"/>
    <m/>
    <m/>
  </r>
  <r>
    <x v="0"/>
    <x v="59"/>
    <s v="MA"/>
    <s v="RD"/>
    <s v="P"/>
    <s v="P"/>
    <s v="P"/>
    <s v="P"/>
    <s v="P"/>
    <s v="RD"/>
    <n v="0"/>
    <n v="0"/>
    <n v="0"/>
    <n v="2250"/>
    <n v="2250"/>
    <n v="1"/>
    <m/>
    <m/>
  </r>
  <r>
    <x v="4"/>
    <x v="60"/>
    <s v="Multi"/>
    <s v="RD"/>
    <s v="P"/>
    <s v="P"/>
    <s v="P"/>
    <s v="P"/>
    <n v="450"/>
    <s v="RD"/>
    <n v="0"/>
    <n v="450"/>
    <n v="450"/>
    <n v="2250"/>
    <n v="1800"/>
    <n v="0.8"/>
    <m/>
    <m/>
  </r>
  <r>
    <x v="0"/>
    <x v="61"/>
    <s v="NJ"/>
    <s v="RD"/>
    <s v="P"/>
    <n v="450"/>
    <s v="P"/>
    <n v="450"/>
    <s v="P"/>
    <s v="RD"/>
    <n v="0"/>
    <n v="900"/>
    <n v="900"/>
    <n v="2250"/>
    <n v="1350"/>
    <n v="0.6"/>
    <m/>
    <m/>
  </r>
  <r>
    <x v="0"/>
    <x v="62"/>
    <s v="NJ"/>
    <s v="RD"/>
    <s v="P"/>
    <s v="VL"/>
    <s v="P"/>
    <s v="P"/>
    <s v="P"/>
    <s v="RD"/>
    <n v="0"/>
    <n v="0"/>
    <n v="0"/>
    <n v="1800"/>
    <n v="1800"/>
    <n v="1"/>
    <m/>
    <m/>
  </r>
  <r>
    <x v="1"/>
    <x v="63"/>
    <s v="Multi"/>
    <s v="P"/>
    <s v="P"/>
    <s v="RD"/>
    <s v="RD"/>
    <s v="P"/>
    <s v="P"/>
    <s v="P"/>
    <n v="0"/>
    <n v="0"/>
    <n v="0"/>
    <n v="2250"/>
    <n v="2250"/>
    <n v="1"/>
    <m/>
    <m/>
  </r>
  <r>
    <x v="0"/>
    <x v="64"/>
    <s v="KY"/>
    <s v="RD"/>
    <n v="450"/>
    <n v="450"/>
    <n v="95"/>
    <s v="P"/>
    <s v="P"/>
    <s v="RD"/>
    <n v="95"/>
    <n v="900"/>
    <n v="995"/>
    <n v="2250"/>
    <n v="1255"/>
    <n v="0.55777777777777782"/>
    <m/>
    <m/>
  </r>
  <r>
    <x v="0"/>
    <x v="65"/>
    <s v="NY"/>
    <s v="RD"/>
    <n v="91"/>
    <s v="P"/>
    <s v="P"/>
    <s v="P"/>
    <s v="P"/>
    <s v="RD"/>
    <n v="91"/>
    <n v="0"/>
    <n v="91"/>
    <n v="2250"/>
    <n v="2159"/>
    <n v="0.95955555555555561"/>
    <m/>
    <m/>
  </r>
  <r>
    <x v="0"/>
    <x v="66"/>
    <s v="IL"/>
    <s v="RD"/>
    <s v="P"/>
    <s v="P"/>
    <s v="P"/>
    <s v="P"/>
    <s v="P"/>
    <s v="RD"/>
    <n v="0"/>
    <n v="0"/>
    <n v="0"/>
    <n v="2250"/>
    <n v="2250"/>
    <n v="1"/>
    <m/>
    <m/>
  </r>
  <r>
    <x v="4"/>
    <x v="67"/>
    <s v="Multi"/>
    <s v="RD"/>
    <n v="450"/>
    <s v="P"/>
    <s v="P"/>
    <s v="P"/>
    <s v="P"/>
    <s v="RD"/>
    <n v="0"/>
    <n v="450"/>
    <n v="450"/>
    <n v="2250"/>
    <n v="1800"/>
    <n v="0.8"/>
    <m/>
    <m/>
  </r>
  <r>
    <x v="1"/>
    <x v="68"/>
    <s v="IL"/>
    <s v="RD"/>
    <s v="P"/>
    <s v="P"/>
    <s v="P"/>
    <s v="P"/>
    <s v="P"/>
    <s v="RD"/>
    <n v="0"/>
    <n v="0"/>
    <n v="0"/>
    <n v="2250"/>
    <n v="2250"/>
    <n v="1"/>
    <m/>
    <m/>
  </r>
  <r>
    <x v="1"/>
    <x v="69"/>
    <s v="KY/IL"/>
    <s v="RD"/>
    <s v="P"/>
    <s v="P"/>
    <s v="P"/>
    <s v="P"/>
    <s v="P"/>
    <s v="RD"/>
    <n v="0"/>
    <n v="0"/>
    <n v="0"/>
    <n v="2250"/>
    <n v="2250"/>
    <n v="1"/>
    <m/>
    <m/>
  </r>
  <r>
    <x v="5"/>
    <x v="70"/>
    <s v="Multi"/>
    <s v="RD"/>
    <s v="P"/>
    <s v="P"/>
    <s v="P"/>
    <s v="P"/>
    <s v="P"/>
    <s v="RD"/>
    <n v="0"/>
    <n v="0"/>
    <n v="0"/>
    <n v="2250"/>
    <n v="2250"/>
    <n v="1"/>
    <m/>
    <m/>
  </r>
  <r>
    <x v="0"/>
    <x v="71"/>
    <s v="KY"/>
    <s v="RD"/>
    <n v="2"/>
    <s v="P"/>
    <s v="P"/>
    <n v="5"/>
    <s v="P"/>
    <s v="RD"/>
    <n v="7"/>
    <n v="0"/>
    <n v="7"/>
    <n v="2250"/>
    <n v="2243"/>
    <n v="0.99688888888888894"/>
    <m/>
    <m/>
  </r>
  <r>
    <x v="1"/>
    <x v="72"/>
    <s v="Multi"/>
    <s v="P"/>
    <s v="P"/>
    <s v="RD"/>
    <s v="RD"/>
    <s v="P"/>
    <s v="P"/>
    <s v="P"/>
    <n v="0"/>
    <n v="0"/>
    <n v="0"/>
    <n v="2250"/>
    <n v="2250"/>
    <n v="1"/>
    <m/>
    <m/>
  </r>
  <r>
    <x v="2"/>
    <x v="73"/>
    <s v="Multi"/>
    <s v="RD"/>
    <s v="RD"/>
    <n v="240"/>
    <s v="P"/>
    <s v="P"/>
    <s v="P"/>
    <s v="LWOP"/>
    <n v="240"/>
    <n v="0"/>
    <n v="240"/>
    <n v="1800"/>
    <n v="1560"/>
    <n v="0.8666666666666667"/>
    <m/>
    <n v="1"/>
  </r>
  <r>
    <x v="0"/>
    <x v="74"/>
    <s v="IL"/>
    <s v="RD"/>
    <s v="P"/>
    <s v="P"/>
    <s v="P"/>
    <s v="P"/>
    <s v="P"/>
    <s v="RD"/>
    <n v="0"/>
    <n v="0"/>
    <n v="0"/>
    <n v="2250"/>
    <n v="2250"/>
    <n v="1"/>
    <m/>
    <m/>
  </r>
  <r>
    <x v="0"/>
    <x v="75"/>
    <s v="NJ"/>
    <s v="RD"/>
    <n v="10"/>
    <n v="13"/>
    <s v="P"/>
    <s v="P"/>
    <s v="P"/>
    <s v="RD"/>
    <n v="23"/>
    <n v="0"/>
    <n v="23"/>
    <n v="2250"/>
    <n v="2227"/>
    <n v="0.98977777777777776"/>
    <m/>
    <m/>
  </r>
  <r>
    <x v="0"/>
    <x v="76"/>
    <s v="MA"/>
    <s v="RD"/>
    <n v="16"/>
    <n v="17"/>
    <s v="P"/>
    <s v="P"/>
    <s v="P"/>
    <s v="RD"/>
    <n v="33"/>
    <n v="0"/>
    <n v="33"/>
    <n v="2250"/>
    <n v="2217"/>
    <n v="0.98533333333333328"/>
    <m/>
    <m/>
  </r>
  <r>
    <x v="0"/>
    <x v="77"/>
    <s v="IL"/>
    <s v="RD"/>
    <s v="P"/>
    <s v="P"/>
    <s v="P"/>
    <s v="P"/>
    <s v="P"/>
    <s v="RD"/>
    <n v="0"/>
    <n v="0"/>
    <n v="0"/>
    <n v="2250"/>
    <n v="2250"/>
    <n v="1"/>
    <m/>
    <m/>
  </r>
  <r>
    <x v="2"/>
    <x v="78"/>
    <s v="Multi"/>
    <s v="RD"/>
    <s v="P"/>
    <n v="12"/>
    <s v="P"/>
    <s v="P"/>
    <s v="P"/>
    <s v="RD"/>
    <n v="12"/>
    <n v="0"/>
    <n v="12"/>
    <n v="2250"/>
    <n v="2238"/>
    <n v="0.9946666666666667"/>
    <m/>
    <m/>
  </r>
  <r>
    <x v="1"/>
    <x v="79"/>
    <s v="KY"/>
    <s v="P"/>
    <s v="P"/>
    <s v="P"/>
    <s v="RD"/>
    <s v="RD"/>
    <s v="P"/>
    <s v="P"/>
    <n v="0"/>
    <n v="0"/>
    <n v="0"/>
    <n v="2250"/>
    <n v="2250"/>
    <n v="1"/>
    <m/>
    <m/>
  </r>
  <r>
    <x v="0"/>
    <x v="80"/>
    <s v="IL"/>
    <s v="RD"/>
    <s v="P"/>
    <n v="450"/>
    <s v="P"/>
    <s v="P"/>
    <n v="11"/>
    <s v="RD"/>
    <n v="11"/>
    <n v="450"/>
    <n v="461"/>
    <n v="2250"/>
    <n v="1789"/>
    <n v="0.7951111111111111"/>
    <m/>
    <m/>
  </r>
  <r>
    <x v="0"/>
    <x v="81"/>
    <s v="IL"/>
    <s v="RD"/>
    <s v="P"/>
    <s v="P"/>
    <s v="P"/>
    <s v="P"/>
    <s v="P"/>
    <s v="RD"/>
    <n v="0"/>
    <n v="0"/>
    <n v="0"/>
    <n v="2250"/>
    <n v="2250"/>
    <n v="1"/>
    <m/>
    <m/>
  </r>
  <r>
    <x v="1"/>
    <x v="82"/>
    <s v="Multi"/>
    <s v="RD"/>
    <s v="P"/>
    <s v="P"/>
    <s v="P"/>
    <s v="P"/>
    <s v="P"/>
    <s v="RD"/>
    <n v="0"/>
    <n v="0"/>
    <n v="0"/>
    <n v="2250"/>
    <n v="2250"/>
    <n v="1"/>
    <m/>
    <m/>
  </r>
  <r>
    <x v="1"/>
    <x v="83"/>
    <s v="KY/IL"/>
    <s v="RD"/>
    <s v="P"/>
    <s v="P"/>
    <s v="P"/>
    <s v="P"/>
    <s v="P"/>
    <s v="RD"/>
    <n v="0"/>
    <n v="0"/>
    <n v="0"/>
    <n v="2250"/>
    <n v="2250"/>
    <n v="1"/>
    <m/>
    <m/>
  </r>
  <r>
    <x v="0"/>
    <x v="84"/>
    <s v="KY"/>
    <s v="RD"/>
    <s v="P"/>
    <s v="P"/>
    <s v="P"/>
    <n v="450"/>
    <s v="P"/>
    <s v="RD"/>
    <n v="0"/>
    <n v="450"/>
    <n v="450"/>
    <n v="2250"/>
    <n v="1800"/>
    <n v="0.8"/>
    <m/>
    <m/>
  </r>
  <r>
    <x v="1"/>
    <x v="85"/>
    <s v="IL"/>
    <s v="RD"/>
    <s v="P"/>
    <s v="P"/>
    <s v="P"/>
    <s v="P"/>
    <s v="P"/>
    <s v="RD"/>
    <n v="0"/>
    <n v="0"/>
    <n v="0"/>
    <n v="2250"/>
    <n v="2250"/>
    <n v="1"/>
    <m/>
    <m/>
  </r>
  <r>
    <x v="0"/>
    <x v="86"/>
    <s v="NJ"/>
    <s v="RD"/>
    <n v="28"/>
    <s v="P"/>
    <n v="1"/>
    <s v="P"/>
    <n v="3"/>
    <s v="RD"/>
    <n v="32"/>
    <n v="0"/>
    <n v="32"/>
    <n v="2250"/>
    <n v="2218"/>
    <n v="0.98577777777777775"/>
    <m/>
    <m/>
  </r>
  <r>
    <x v="0"/>
    <x v="87"/>
    <s v="NJ"/>
    <s v="RD"/>
    <n v="450"/>
    <n v="450"/>
    <s v="P"/>
    <s v="P"/>
    <s v="P"/>
    <s v="RD"/>
    <n v="0"/>
    <n v="900"/>
    <n v="900"/>
    <n v="2250"/>
    <n v="1350"/>
    <n v="0.6"/>
    <m/>
    <m/>
  </r>
  <r>
    <x v="0"/>
    <x v="88"/>
    <s v="NY"/>
    <s v="RD"/>
    <n v="4"/>
    <s v="P"/>
    <s v="P"/>
    <s v="P"/>
    <n v="14"/>
    <s v="RD"/>
    <n v="18"/>
    <n v="0"/>
    <n v="18"/>
    <n v="2250"/>
    <n v="2232"/>
    <n v="0.99199999999999999"/>
    <m/>
    <m/>
  </r>
  <r>
    <x v="1"/>
    <x v="89"/>
    <s v="NJ"/>
    <s v="RD"/>
    <n v="450"/>
    <s v="P"/>
    <s v="P"/>
    <s v="P"/>
    <n v="450"/>
    <s v="RD"/>
    <n v="0"/>
    <n v="900"/>
    <n v="900"/>
    <n v="2250"/>
    <n v="1350"/>
    <n v="0.6"/>
    <m/>
    <m/>
  </r>
  <r>
    <x v="1"/>
    <x v="90"/>
    <s v="Multi"/>
    <s v="RD"/>
    <s v="P"/>
    <n v="450"/>
    <n v="28"/>
    <s v="P"/>
    <s v="P"/>
    <s v="RD"/>
    <n v="28"/>
    <n v="450"/>
    <n v="478"/>
    <n v="2250"/>
    <n v="1772"/>
    <n v="0.78755555555555556"/>
    <m/>
    <m/>
  </r>
  <r>
    <x v="1"/>
    <x v="91"/>
    <s v="Multi"/>
    <s v="RD"/>
    <s v="P"/>
    <s v="P"/>
    <s v="P"/>
    <s v="P"/>
    <s v="P"/>
    <s v="RD"/>
    <n v="0"/>
    <n v="0"/>
    <n v="0"/>
    <n v="2250"/>
    <n v="2250"/>
    <n v="1"/>
    <m/>
    <m/>
  </r>
  <r>
    <x v="0"/>
    <x v="92"/>
    <s v="NY"/>
    <s v="RD"/>
    <n v="7"/>
    <s v="P"/>
    <n v="68"/>
    <s v="P"/>
    <s v="P"/>
    <s v="RD"/>
    <n v="75"/>
    <n v="0"/>
    <n v="75"/>
    <n v="2250"/>
    <n v="2175"/>
    <n v="0.96666666666666667"/>
    <m/>
    <m/>
  </r>
  <r>
    <x v="6"/>
    <x v="93"/>
    <m/>
    <m/>
    <m/>
    <m/>
    <m/>
    <m/>
    <m/>
    <m/>
    <n v="2660"/>
    <n v="9000"/>
    <n v="11660"/>
    <n v="206100"/>
    <n v="194440"/>
    <n v="0.94383870967741901"/>
    <m/>
    <m/>
  </r>
  <r>
    <x v="6"/>
    <x v="93"/>
    <m/>
    <m/>
    <m/>
    <m/>
    <m/>
    <m/>
    <m/>
    <m/>
    <m/>
    <m/>
    <m/>
    <m/>
    <m/>
    <m/>
    <m/>
    <m/>
  </r>
  <r>
    <x v="6"/>
    <x v="93"/>
    <m/>
    <m/>
    <m/>
    <m/>
    <m/>
    <m/>
    <m/>
    <m/>
    <n v="1.2906356137797186E-2"/>
    <n v="4.3668122270742356E-2"/>
    <n v="5.6574478408539547E-2"/>
    <m/>
    <m/>
    <m/>
    <m/>
    <m/>
  </r>
  <r>
    <x v="6"/>
    <x v="93"/>
    <m/>
    <m/>
    <m/>
    <m/>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
  <r>
    <x v="0"/>
    <x v="0"/>
    <x v="0"/>
    <s v="KY"/>
    <n v="231"/>
    <n v="1620"/>
    <n v="1620"/>
    <n v="10800"/>
    <n v="9180"/>
    <n v="0.85"/>
    <n v="5"/>
    <m/>
    <m/>
    <n v="3"/>
    <m/>
    <m/>
    <m/>
    <m/>
    <m/>
    <m/>
    <m/>
    <m/>
  </r>
  <r>
    <x v="1"/>
    <x v="1"/>
    <x v="1"/>
    <s v="KY"/>
    <n v="262"/>
    <n v="540"/>
    <n v="802"/>
    <n v="11880"/>
    <n v="11078"/>
    <n v="0.93249158249158248"/>
    <n v="9"/>
    <n v="1"/>
    <m/>
    <m/>
    <n v="2"/>
    <m/>
    <m/>
    <m/>
    <m/>
    <m/>
    <m/>
    <m/>
  </r>
  <r>
    <x v="1"/>
    <x v="1"/>
    <x v="2"/>
    <s v="IL"/>
    <n v="374"/>
    <n v="540"/>
    <n v="914"/>
    <n v="11880"/>
    <n v="10966"/>
    <n v="0.92306397306397303"/>
    <n v="9"/>
    <n v="1"/>
    <m/>
    <m/>
    <m/>
    <m/>
    <m/>
    <m/>
    <m/>
    <m/>
    <m/>
    <m/>
  </r>
  <r>
    <x v="0"/>
    <x v="2"/>
    <x v="3"/>
    <s v="NJ"/>
    <n v="32"/>
    <n v="2160"/>
    <n v="2192"/>
    <n v="11880"/>
    <n v="9688"/>
    <n v="0.81548821548821548"/>
    <n v="3"/>
    <n v="4"/>
    <m/>
    <m/>
    <m/>
    <m/>
    <m/>
    <m/>
    <m/>
    <m/>
    <m/>
    <m/>
  </r>
  <r>
    <x v="1"/>
    <x v="3"/>
    <x v="4"/>
    <s v="KY/IL"/>
    <n v="31"/>
    <m/>
    <n v="31"/>
    <n v="11880"/>
    <n v="11849"/>
    <n v="0.99739057239057238"/>
    <n v="7"/>
    <m/>
    <m/>
    <m/>
    <m/>
    <m/>
    <m/>
    <m/>
    <m/>
    <m/>
    <m/>
    <m/>
  </r>
  <r>
    <x v="2"/>
    <x v="4"/>
    <x v="5"/>
    <s v="Multi"/>
    <n v="533"/>
    <n v="540"/>
    <n v="1073"/>
    <n v="11880"/>
    <n v="10807"/>
    <n v="0.90968013468013464"/>
    <n v="4"/>
    <n v="1"/>
    <m/>
    <m/>
    <m/>
    <m/>
    <m/>
    <m/>
    <m/>
    <m/>
    <m/>
    <m/>
  </r>
  <r>
    <x v="0"/>
    <x v="2"/>
    <x v="6"/>
    <s v="NJ"/>
    <n v="27"/>
    <n v="2160"/>
    <n v="2187"/>
    <n v="11340"/>
    <n v="9153"/>
    <n v="0.80714285714285716"/>
    <n v="7"/>
    <n v="4"/>
    <m/>
    <m/>
    <n v="1"/>
    <m/>
    <m/>
    <m/>
    <m/>
    <m/>
    <m/>
    <m/>
  </r>
  <r>
    <x v="0"/>
    <x v="0"/>
    <x v="7"/>
    <s v="KY"/>
    <n v="41"/>
    <m/>
    <n v="41"/>
    <n v="11340"/>
    <n v="11299"/>
    <n v="0.99638447971781308"/>
    <n v="4"/>
    <m/>
    <m/>
    <m/>
    <n v="1"/>
    <m/>
    <m/>
    <m/>
    <m/>
    <m/>
    <m/>
    <m/>
  </r>
  <r>
    <x v="0"/>
    <x v="0"/>
    <x v="8"/>
    <s v="KY"/>
    <n v="0"/>
    <n v="540"/>
    <n v="540"/>
    <n v="10260"/>
    <n v="9720"/>
    <n v="0.94736842105263153"/>
    <m/>
    <m/>
    <n v="3"/>
    <n v="1"/>
    <m/>
    <m/>
    <m/>
    <m/>
    <m/>
    <m/>
    <m/>
    <m/>
  </r>
  <r>
    <x v="2"/>
    <x v="4"/>
    <x v="9"/>
    <s v="Multi"/>
    <n v="8"/>
    <m/>
    <n v="8"/>
    <n v="11880"/>
    <n v="11872"/>
    <n v="0.99932659932659929"/>
    <n v="2"/>
    <m/>
    <m/>
    <m/>
    <m/>
    <m/>
    <m/>
    <m/>
    <m/>
    <m/>
    <m/>
    <m/>
  </r>
  <r>
    <x v="1"/>
    <x v="1"/>
    <x v="10"/>
    <s v="IL"/>
    <m/>
    <n v="1620"/>
    <n v="1620"/>
    <n v="11880"/>
    <n v="10260"/>
    <n v="0.86363636363636365"/>
    <m/>
    <n v="3"/>
    <m/>
    <m/>
    <m/>
    <m/>
    <m/>
    <m/>
    <m/>
    <m/>
    <m/>
    <m/>
  </r>
  <r>
    <x v="1"/>
    <x v="3"/>
    <x v="11"/>
    <s v="NJ"/>
    <m/>
    <n v="1080"/>
    <n v="1080"/>
    <n v="10800"/>
    <n v="9720"/>
    <n v="0.9"/>
    <m/>
    <n v="1"/>
    <n v="2"/>
    <n v="1"/>
    <m/>
    <m/>
    <m/>
    <m/>
    <m/>
    <m/>
    <m/>
    <m/>
  </r>
  <r>
    <x v="1"/>
    <x v="1"/>
    <x v="12"/>
    <s v="NJ"/>
    <n v="44"/>
    <n v="540"/>
    <n v="584"/>
    <n v="11880"/>
    <n v="11296"/>
    <n v="0.95084175084175082"/>
    <n v="5"/>
    <n v="1"/>
    <m/>
    <m/>
    <m/>
    <m/>
    <m/>
    <m/>
    <m/>
    <m/>
    <m/>
    <m/>
  </r>
  <r>
    <x v="1"/>
    <x v="1"/>
    <x v="13"/>
    <s v="NJ"/>
    <m/>
    <n v="1080"/>
    <n v="1080"/>
    <n v="11340"/>
    <n v="10260"/>
    <n v="0.90476190476190477"/>
    <m/>
    <n v="2"/>
    <m/>
    <m/>
    <n v="1"/>
    <m/>
    <m/>
    <m/>
    <m/>
    <m/>
    <m/>
    <m/>
  </r>
  <r>
    <x v="1"/>
    <x v="1"/>
    <x v="14"/>
    <s v="MA/NY/NJ (KY/IL)"/>
    <n v="46"/>
    <n v="540"/>
    <n v="586"/>
    <n v="11880"/>
    <n v="11294"/>
    <n v="0.95067340067340067"/>
    <n v="3"/>
    <m/>
    <m/>
    <n v="1"/>
    <m/>
    <m/>
    <m/>
    <m/>
    <m/>
    <m/>
    <m/>
    <m/>
  </r>
  <r>
    <x v="1"/>
    <x v="1"/>
    <x v="15"/>
    <s v="KY"/>
    <n v="29"/>
    <n v="1080"/>
    <n v="1109"/>
    <n v="11880"/>
    <n v="10771"/>
    <n v="0.90664983164983159"/>
    <n v="3"/>
    <m/>
    <m/>
    <n v="2"/>
    <m/>
    <m/>
    <m/>
    <m/>
    <m/>
    <m/>
    <m/>
    <m/>
  </r>
  <r>
    <x v="2"/>
    <x v="4"/>
    <x v="16"/>
    <s v="Multi"/>
    <n v="48"/>
    <m/>
    <n v="48"/>
    <n v="11340"/>
    <n v="11292"/>
    <n v="0.99576719576719575"/>
    <n v="3"/>
    <m/>
    <m/>
    <m/>
    <m/>
    <m/>
    <m/>
    <m/>
    <m/>
    <m/>
    <m/>
    <m/>
  </r>
  <r>
    <x v="1"/>
    <x v="1"/>
    <x v="17"/>
    <s v="KY"/>
    <n v="194"/>
    <n v="1080"/>
    <n v="1274"/>
    <n v="10800"/>
    <n v="9526"/>
    <n v="0.88203703703703706"/>
    <n v="7"/>
    <n v="2"/>
    <m/>
    <m/>
    <n v="2"/>
    <m/>
    <m/>
    <m/>
    <m/>
    <m/>
    <m/>
    <m/>
  </r>
  <r>
    <x v="1"/>
    <x v="5"/>
    <x v="18"/>
    <s v="Multi"/>
    <m/>
    <n v="540"/>
    <n v="540"/>
    <n v="10800"/>
    <n v="10260"/>
    <n v="0.95"/>
    <m/>
    <m/>
    <n v="2"/>
    <n v="1"/>
    <m/>
    <m/>
    <m/>
    <m/>
    <m/>
    <m/>
    <m/>
    <m/>
  </r>
  <r>
    <x v="0"/>
    <x v="5"/>
    <x v="19"/>
    <s v="NY"/>
    <n v="419"/>
    <n v="1080"/>
    <n v="1499"/>
    <n v="10260"/>
    <n v="8761"/>
    <n v="0.85389863547758282"/>
    <n v="3"/>
    <m/>
    <n v="3"/>
    <n v="2"/>
    <m/>
    <m/>
    <m/>
    <m/>
    <m/>
    <m/>
    <m/>
    <m/>
  </r>
  <r>
    <x v="3"/>
    <x v="6"/>
    <x v="20"/>
    <s v="Rebill"/>
    <n v="16"/>
    <n v="0"/>
    <n v="16"/>
    <n v="11880"/>
    <n v="11864"/>
    <n v="0.99865319865319868"/>
    <n v="1"/>
    <m/>
    <m/>
    <m/>
    <m/>
    <m/>
    <m/>
    <m/>
    <m/>
    <m/>
    <m/>
    <m/>
  </r>
  <r>
    <x v="0"/>
    <x v="7"/>
    <x v="21"/>
    <s v="MA"/>
    <n v="237"/>
    <n v="1620"/>
    <n v="1857"/>
    <n v="11880"/>
    <n v="10023"/>
    <n v="0.84368686868686871"/>
    <n v="16"/>
    <n v="3"/>
    <m/>
    <m/>
    <m/>
    <m/>
    <m/>
    <m/>
    <m/>
    <m/>
    <m/>
    <m/>
  </r>
  <r>
    <x v="0"/>
    <x v="7"/>
    <x v="22"/>
    <s v="MA"/>
    <n v="77"/>
    <n v="540"/>
    <n v="617"/>
    <n v="11880"/>
    <n v="11263"/>
    <n v="0.94806397306397305"/>
    <n v="8"/>
    <m/>
    <m/>
    <n v="1"/>
    <m/>
    <m/>
    <m/>
    <m/>
    <m/>
    <m/>
    <m/>
    <m/>
  </r>
  <r>
    <x v="1"/>
    <x v="3"/>
    <x v="23"/>
    <s v="NY"/>
    <n v="1"/>
    <m/>
    <n v="1"/>
    <n v="11880"/>
    <n v="11879"/>
    <n v="0.99991582491582487"/>
    <n v="1"/>
    <m/>
    <m/>
    <m/>
    <m/>
    <m/>
    <m/>
    <m/>
    <m/>
    <m/>
    <m/>
    <m/>
  </r>
  <r>
    <x v="0"/>
    <x v="8"/>
    <x v="24"/>
    <s v="IL"/>
    <n v="39"/>
    <m/>
    <n v="39"/>
    <n v="11880"/>
    <n v="11841"/>
    <n v="0.99671717171717167"/>
    <n v="3"/>
    <m/>
    <m/>
    <m/>
    <n v="1"/>
    <m/>
    <m/>
    <m/>
    <m/>
    <m/>
    <m/>
    <m/>
  </r>
  <r>
    <x v="1"/>
    <x v="1"/>
    <x v="25"/>
    <s v="Multi"/>
    <n v="42"/>
    <n v="540"/>
    <n v="582"/>
    <n v="10800"/>
    <n v="10218"/>
    <n v="0.94611111111111112"/>
    <n v="2"/>
    <m/>
    <n v="2"/>
    <n v="1"/>
    <m/>
    <m/>
    <m/>
    <m/>
    <m/>
    <m/>
    <m/>
    <m/>
  </r>
  <r>
    <x v="0"/>
    <x v="8"/>
    <x v="26"/>
    <s v="IL"/>
    <n v="317"/>
    <n v="2700"/>
    <n v="3017"/>
    <n v="11340"/>
    <n v="8323"/>
    <n v="0.73395061728395061"/>
    <n v="3"/>
    <n v="5"/>
    <n v="1"/>
    <m/>
    <n v="1"/>
    <m/>
    <m/>
    <m/>
    <m/>
    <m/>
    <m/>
    <m/>
  </r>
  <r>
    <x v="0"/>
    <x v="7"/>
    <x v="27"/>
    <s v="MA"/>
    <n v="26"/>
    <m/>
    <n v="26"/>
    <n v="11880"/>
    <n v="11854"/>
    <n v="0.99781144781144782"/>
    <n v="3"/>
    <m/>
    <m/>
    <m/>
    <m/>
    <m/>
    <m/>
    <m/>
    <m/>
    <m/>
    <m/>
    <m/>
  </r>
  <r>
    <x v="1"/>
    <x v="1"/>
    <x v="28"/>
    <s v="KY"/>
    <m/>
    <n v="1620"/>
    <n v="1620"/>
    <n v="11880"/>
    <n v="10260"/>
    <n v="0.86363636363636365"/>
    <m/>
    <n v="3"/>
    <m/>
    <m/>
    <m/>
    <m/>
    <m/>
    <m/>
    <m/>
    <m/>
    <m/>
    <m/>
  </r>
  <r>
    <x v="0"/>
    <x v="8"/>
    <x v="29"/>
    <s v="IL"/>
    <n v="23"/>
    <n v="540"/>
    <n v="563"/>
    <n v="11880"/>
    <n v="11317"/>
    <n v="0.95260942760942757"/>
    <n v="3"/>
    <n v="1"/>
    <m/>
    <m/>
    <m/>
    <m/>
    <m/>
    <m/>
    <m/>
    <m/>
    <m/>
    <m/>
  </r>
  <r>
    <x v="1"/>
    <x v="1"/>
    <x v="30"/>
    <s v="KY"/>
    <n v="71"/>
    <n v="1080"/>
    <n v="1151"/>
    <n v="11880"/>
    <n v="10729"/>
    <n v="0.90311447811447809"/>
    <n v="8"/>
    <m/>
    <m/>
    <n v="2"/>
    <m/>
    <m/>
    <m/>
    <m/>
    <m/>
    <m/>
    <m/>
    <m/>
  </r>
  <r>
    <x v="3"/>
    <x v="5"/>
    <x v="31"/>
    <s v="Multi"/>
    <n v="9"/>
    <n v="540"/>
    <n v="549"/>
    <n v="11340"/>
    <n v="10791"/>
    <n v="0.95158730158730154"/>
    <n v="1"/>
    <m/>
    <n v="1"/>
    <n v="1"/>
    <m/>
    <m/>
    <m/>
    <m/>
    <m/>
    <m/>
    <m/>
    <m/>
  </r>
  <r>
    <x v="2"/>
    <x v="4"/>
    <x v="32"/>
    <s v="Multi"/>
    <n v="300"/>
    <m/>
    <n v="300"/>
    <n v="11340"/>
    <n v="11040"/>
    <n v="0.97354497354497349"/>
    <n v="6"/>
    <m/>
    <m/>
    <m/>
    <m/>
    <m/>
    <m/>
    <m/>
    <m/>
    <m/>
    <m/>
    <m/>
  </r>
  <r>
    <x v="1"/>
    <x v="1"/>
    <x v="33"/>
    <s v="Multi"/>
    <n v="9"/>
    <n v="0"/>
    <n v="9"/>
    <n v="11340"/>
    <n v="11331"/>
    <n v="0.99920634920634921"/>
    <n v="2"/>
    <m/>
    <n v="1"/>
    <m/>
    <m/>
    <m/>
    <m/>
    <m/>
    <m/>
    <m/>
    <m/>
    <m/>
  </r>
  <r>
    <x v="2"/>
    <x v="4"/>
    <x v="34"/>
    <s v="Multi"/>
    <n v="303"/>
    <m/>
    <n v="303"/>
    <n v="11340"/>
    <n v="11037"/>
    <n v="0.9732804232804233"/>
    <n v="6"/>
    <m/>
    <m/>
    <m/>
    <n v="1"/>
    <m/>
    <m/>
    <m/>
    <m/>
    <m/>
    <m/>
    <m/>
  </r>
  <r>
    <x v="0"/>
    <x v="8"/>
    <x v="35"/>
    <s v="IL"/>
    <n v="151"/>
    <n v="540"/>
    <n v="691"/>
    <n v="11880"/>
    <n v="11189"/>
    <n v="0.9418350168350168"/>
    <n v="5"/>
    <m/>
    <m/>
    <m/>
    <m/>
    <m/>
    <m/>
    <m/>
    <m/>
    <m/>
    <m/>
    <m/>
  </r>
  <r>
    <x v="0"/>
    <x v="5"/>
    <x v="36"/>
    <s v="MA"/>
    <n v="15"/>
    <n v="540"/>
    <n v="555"/>
    <n v="10260"/>
    <n v="9705"/>
    <n v="0.94590643274853803"/>
    <n v="1"/>
    <m/>
    <n v="3"/>
    <n v="1"/>
    <m/>
    <m/>
    <m/>
    <m/>
    <m/>
    <m/>
    <m/>
    <m/>
  </r>
  <r>
    <x v="1"/>
    <x v="1"/>
    <x v="37"/>
    <s v="NY NJ"/>
    <n v="1"/>
    <n v="540"/>
    <n v="541"/>
    <n v="11880"/>
    <n v="11339"/>
    <n v="0.95446127946127945"/>
    <n v="1"/>
    <m/>
    <m/>
    <n v="1"/>
    <m/>
    <m/>
    <m/>
    <m/>
    <m/>
    <m/>
    <m/>
    <m/>
  </r>
  <r>
    <x v="1"/>
    <x v="3"/>
    <x v="38"/>
    <s v="Multi"/>
    <m/>
    <n v="540"/>
    <n v="540"/>
    <n v="11340"/>
    <n v="10800"/>
    <n v="0.95238095238095233"/>
    <m/>
    <m/>
    <n v="1"/>
    <n v="1"/>
    <m/>
    <m/>
    <m/>
    <m/>
    <m/>
    <m/>
    <m/>
    <m/>
  </r>
  <r>
    <x v="1"/>
    <x v="3"/>
    <x v="39"/>
    <s v="NJ"/>
    <n v="0"/>
    <n v="0"/>
    <n v="0"/>
    <n v="11880"/>
    <n v="11880"/>
    <n v="1"/>
    <m/>
    <m/>
    <m/>
    <m/>
    <m/>
    <m/>
    <m/>
    <m/>
    <m/>
    <m/>
    <m/>
    <m/>
  </r>
  <r>
    <x v="0"/>
    <x v="2"/>
    <x v="40"/>
    <s v="NJ"/>
    <n v="485"/>
    <m/>
    <n v="485"/>
    <n v="11880"/>
    <n v="11395"/>
    <n v="0.95917508417508412"/>
    <n v="7"/>
    <m/>
    <m/>
    <m/>
    <m/>
    <m/>
    <m/>
    <m/>
    <m/>
    <m/>
    <m/>
    <m/>
  </r>
  <r>
    <x v="1"/>
    <x v="3"/>
    <x v="41"/>
    <s v="Multi"/>
    <n v="104"/>
    <n v="1620"/>
    <n v="1724"/>
    <n v="11880"/>
    <n v="10156"/>
    <n v="0.85488215488215491"/>
    <n v="3"/>
    <m/>
    <m/>
    <n v="3"/>
    <m/>
    <m/>
    <m/>
    <m/>
    <m/>
    <m/>
    <m/>
    <m/>
  </r>
  <r>
    <x v="3"/>
    <x v="6"/>
    <x v="42"/>
    <s v="Rebill"/>
    <n v="0"/>
    <n v="540"/>
    <n v="540"/>
    <n v="11880"/>
    <n v="11340"/>
    <n v="0.95454545454545459"/>
    <m/>
    <n v="1"/>
    <m/>
    <m/>
    <m/>
    <m/>
    <m/>
    <m/>
    <m/>
    <m/>
    <m/>
    <m/>
  </r>
  <r>
    <x v="0"/>
    <x v="7"/>
    <x v="43"/>
    <s v="MA"/>
    <n v="64"/>
    <n v="0"/>
    <n v="64"/>
    <n v="11880"/>
    <n v="11816"/>
    <n v="0.99461279461279462"/>
    <n v="4"/>
    <m/>
    <m/>
    <m/>
    <m/>
    <m/>
    <m/>
    <m/>
    <m/>
    <m/>
    <m/>
    <m/>
  </r>
  <r>
    <x v="1"/>
    <x v="1"/>
    <x v="44"/>
    <s v="NY"/>
    <m/>
    <n v="540"/>
    <n v="540"/>
    <n v="11880"/>
    <n v="11340"/>
    <n v="0.95454545454545459"/>
    <m/>
    <n v="1"/>
    <m/>
    <m/>
    <m/>
    <m/>
    <m/>
    <m/>
    <m/>
    <m/>
    <m/>
    <m/>
  </r>
  <r>
    <x v="1"/>
    <x v="1"/>
    <x v="45"/>
    <s v="NJ"/>
    <n v="209"/>
    <n v="540"/>
    <n v="749"/>
    <n v="11880"/>
    <n v="11131"/>
    <n v="0.93695286195286198"/>
    <n v="7"/>
    <m/>
    <m/>
    <n v="1"/>
    <m/>
    <m/>
    <m/>
    <m/>
    <m/>
    <m/>
    <m/>
    <m/>
  </r>
  <r>
    <x v="0"/>
    <x v="0"/>
    <x v="46"/>
    <s v="KY"/>
    <n v="160"/>
    <n v="540"/>
    <n v="700"/>
    <n v="11880"/>
    <n v="11180"/>
    <n v="0.94107744107744107"/>
    <n v="5"/>
    <n v="1"/>
    <m/>
    <m/>
    <m/>
    <m/>
    <m/>
    <m/>
    <m/>
    <m/>
    <m/>
    <m/>
  </r>
  <r>
    <x v="1"/>
    <x v="3"/>
    <x v="47"/>
    <s v="Multi"/>
    <n v="113"/>
    <m/>
    <n v="113"/>
    <n v="11880"/>
    <n v="11767"/>
    <n v="0.99048821548821553"/>
    <n v="9"/>
    <m/>
    <m/>
    <m/>
    <m/>
    <m/>
    <m/>
    <m/>
    <m/>
    <m/>
    <m/>
    <m/>
  </r>
  <r>
    <x v="2"/>
    <x v="4"/>
    <x v="48"/>
    <s v="Multi"/>
    <n v="28"/>
    <m/>
    <n v="28"/>
    <n v="12420"/>
    <n v="12392"/>
    <n v="0.9977455716586151"/>
    <n v="1"/>
    <m/>
    <m/>
    <m/>
    <n v="1"/>
    <m/>
    <m/>
    <m/>
    <m/>
    <m/>
    <m/>
    <m/>
  </r>
  <r>
    <x v="0"/>
    <x v="8"/>
    <x v="49"/>
    <s v="IL"/>
    <n v="1"/>
    <m/>
    <n v="1"/>
    <n v="11880"/>
    <n v="11879"/>
    <n v="0.99991582491582487"/>
    <n v="1"/>
    <m/>
    <m/>
    <m/>
    <m/>
    <m/>
    <m/>
    <m/>
    <m/>
    <m/>
    <m/>
    <m/>
  </r>
  <r>
    <x v="0"/>
    <x v="7"/>
    <x v="50"/>
    <s v="MA"/>
    <n v="0"/>
    <n v="2160"/>
    <n v="2160"/>
    <n v="11340"/>
    <n v="9180"/>
    <n v="0.80952380952380953"/>
    <m/>
    <m/>
    <n v="1"/>
    <n v="4"/>
    <m/>
    <m/>
    <m/>
    <m/>
    <m/>
    <m/>
    <m/>
    <m/>
  </r>
  <r>
    <x v="1"/>
    <x v="3"/>
    <x v="51"/>
    <s v="NY"/>
    <m/>
    <m/>
    <n v="0"/>
    <n v="11880"/>
    <n v="11880"/>
    <n v="1"/>
    <m/>
    <m/>
    <m/>
    <m/>
    <m/>
    <m/>
    <m/>
    <m/>
    <m/>
    <m/>
    <m/>
    <m/>
  </r>
  <r>
    <x v="3"/>
    <x v="6"/>
    <x v="52"/>
    <s v="Multi"/>
    <n v="37"/>
    <m/>
    <n v="37"/>
    <n v="10800"/>
    <n v="10763"/>
    <n v="0.99657407407407406"/>
    <n v="3"/>
    <m/>
    <n v="2"/>
    <m/>
    <m/>
    <m/>
    <m/>
    <m/>
    <m/>
    <m/>
    <m/>
    <m/>
  </r>
  <r>
    <x v="1"/>
    <x v="3"/>
    <x v="53"/>
    <s v="NJ"/>
    <m/>
    <n v="5940"/>
    <n v="5940"/>
    <n v="11880"/>
    <n v="5940"/>
    <n v="0.5"/>
    <m/>
    <m/>
    <m/>
    <n v="11"/>
    <m/>
    <m/>
    <m/>
    <m/>
    <m/>
    <m/>
    <m/>
    <m/>
  </r>
  <r>
    <x v="0"/>
    <x v="5"/>
    <x v="54"/>
    <s v="KY"/>
    <n v="14"/>
    <n v="540"/>
    <n v="554"/>
    <n v="10260"/>
    <n v="9706"/>
    <n v="0.94600389863547762"/>
    <n v="1"/>
    <m/>
    <n v="3"/>
    <n v="1"/>
    <m/>
    <m/>
    <m/>
    <m/>
    <m/>
    <m/>
    <m/>
    <m/>
  </r>
  <r>
    <x v="2"/>
    <x v="4"/>
    <x v="55"/>
    <s v="Multi"/>
    <m/>
    <n v="540"/>
    <n v="540"/>
    <n v="11880"/>
    <n v="11340"/>
    <n v="0.95454545454545459"/>
    <m/>
    <m/>
    <m/>
    <n v="1"/>
    <m/>
    <m/>
    <m/>
    <m/>
    <m/>
    <m/>
    <m/>
    <m/>
  </r>
  <r>
    <x v="1"/>
    <x v="3"/>
    <x v="56"/>
    <s v="NY"/>
    <n v="39"/>
    <m/>
    <n v="39"/>
    <n v="11880"/>
    <n v="11841"/>
    <n v="0.99671717171717167"/>
    <n v="6"/>
    <m/>
    <m/>
    <m/>
    <m/>
    <m/>
    <m/>
    <m/>
    <m/>
    <m/>
    <m/>
    <m/>
  </r>
  <r>
    <x v="2"/>
    <x v="5"/>
    <x v="57"/>
    <s v="Multi"/>
    <n v="0"/>
    <n v="0"/>
    <n v="0"/>
    <n v="12420"/>
    <n v="12420"/>
    <n v="1"/>
    <m/>
    <m/>
    <m/>
    <m/>
    <m/>
    <m/>
    <m/>
    <m/>
    <m/>
    <m/>
    <m/>
    <m/>
  </r>
  <r>
    <x v="1"/>
    <x v="3"/>
    <x v="58"/>
    <s v="IL"/>
    <n v="67"/>
    <n v="1080"/>
    <n v="1147"/>
    <n v="11880"/>
    <n v="10733"/>
    <n v="0.9034511784511785"/>
    <n v="4"/>
    <m/>
    <m/>
    <n v="2"/>
    <m/>
    <m/>
    <m/>
    <m/>
    <m/>
    <m/>
    <m/>
    <m/>
  </r>
  <r>
    <x v="0"/>
    <x v="7"/>
    <x v="59"/>
    <s v="MA"/>
    <n v="11"/>
    <n v="1080"/>
    <n v="1091"/>
    <n v="11880"/>
    <n v="10789"/>
    <n v="0.90816498316498318"/>
    <n v="2"/>
    <n v="2"/>
    <m/>
    <m/>
    <m/>
    <m/>
    <m/>
    <m/>
    <m/>
    <m/>
    <m/>
    <m/>
  </r>
  <r>
    <x v="0"/>
    <x v="7"/>
    <x v="60"/>
    <s v="MA"/>
    <n v="61"/>
    <n v="540"/>
    <n v="601"/>
    <n v="9720"/>
    <n v="9119"/>
    <n v="0.93816872427983544"/>
    <n v="3"/>
    <n v="1"/>
    <n v="4"/>
    <m/>
    <m/>
    <m/>
    <m/>
    <m/>
    <m/>
    <m/>
    <m/>
    <m/>
  </r>
  <r>
    <x v="3"/>
    <x v="6"/>
    <x v="61"/>
    <s v="Multi"/>
    <n v="0"/>
    <n v="0"/>
    <n v="0"/>
    <n v="11340"/>
    <n v="11340"/>
    <n v="1"/>
    <m/>
    <m/>
    <n v="1"/>
    <m/>
    <m/>
    <m/>
    <m/>
    <m/>
    <m/>
    <m/>
    <m/>
    <m/>
  </r>
  <r>
    <x v="0"/>
    <x v="2"/>
    <x v="62"/>
    <s v="NJ"/>
    <n v="218"/>
    <n v="1080"/>
    <n v="1298"/>
    <n v="11880"/>
    <n v="10582"/>
    <n v="0.89074074074074072"/>
    <n v="1"/>
    <m/>
    <m/>
    <n v="2"/>
    <m/>
    <m/>
    <m/>
    <m/>
    <m/>
    <m/>
    <m/>
    <m/>
  </r>
  <r>
    <x v="0"/>
    <x v="5"/>
    <x v="63"/>
    <s v="NJ"/>
    <n v="15"/>
    <n v="0"/>
    <n v="15"/>
    <n v="11340"/>
    <n v="11325"/>
    <n v="0.99867724867724872"/>
    <n v="1"/>
    <m/>
    <m/>
    <m/>
    <m/>
    <m/>
    <m/>
    <m/>
    <m/>
    <m/>
    <m/>
    <m/>
  </r>
  <r>
    <x v="1"/>
    <x v="3"/>
    <x v="64"/>
    <s v="Multi"/>
    <n v="453"/>
    <m/>
    <n v="453"/>
    <n v="11880"/>
    <n v="11427"/>
    <n v="0.96186868686868687"/>
    <n v="4"/>
    <m/>
    <m/>
    <m/>
    <m/>
    <m/>
    <m/>
    <m/>
    <m/>
    <m/>
    <m/>
    <m/>
  </r>
  <r>
    <x v="0"/>
    <x v="0"/>
    <x v="65"/>
    <s v="KY"/>
    <n v="46"/>
    <n v="2700"/>
    <n v="2746"/>
    <n v="11880"/>
    <n v="9134"/>
    <n v="0.7688552188552189"/>
    <n v="4"/>
    <n v="5"/>
    <m/>
    <m/>
    <m/>
    <m/>
    <m/>
    <m/>
    <m/>
    <m/>
    <m/>
    <m/>
  </r>
  <r>
    <x v="0"/>
    <x v="9"/>
    <x v="66"/>
    <s v="NY"/>
    <n v="252"/>
    <m/>
    <n v="252"/>
    <n v="11880"/>
    <n v="11628"/>
    <n v="0.97878787878787876"/>
    <n v="4"/>
    <m/>
    <m/>
    <m/>
    <m/>
    <m/>
    <m/>
    <m/>
    <m/>
    <m/>
    <m/>
    <m/>
  </r>
  <r>
    <x v="0"/>
    <x v="8"/>
    <x v="67"/>
    <s v="IL"/>
    <n v="274"/>
    <m/>
    <n v="274"/>
    <n v="11880"/>
    <n v="11606"/>
    <n v="0.97693602693602699"/>
    <n v="2"/>
    <m/>
    <m/>
    <m/>
    <m/>
    <m/>
    <m/>
    <m/>
    <m/>
    <m/>
    <m/>
    <m/>
  </r>
  <r>
    <x v="3"/>
    <x v="6"/>
    <x v="68"/>
    <s v="Multi"/>
    <n v="43"/>
    <n v="2700"/>
    <n v="2743"/>
    <n v="10260"/>
    <n v="7517"/>
    <n v="0.73265107212475633"/>
    <n v="3"/>
    <n v="1"/>
    <m/>
    <n v="4"/>
    <n v="3"/>
    <m/>
    <m/>
    <m/>
    <m/>
    <m/>
    <m/>
    <m/>
  </r>
  <r>
    <x v="1"/>
    <x v="3"/>
    <x v="69"/>
    <s v="IL"/>
    <n v="0"/>
    <n v="0"/>
    <n v="0"/>
    <n v="11880"/>
    <n v="11880"/>
    <n v="1"/>
    <m/>
    <m/>
    <m/>
    <m/>
    <m/>
    <m/>
    <m/>
    <m/>
    <m/>
    <m/>
    <m/>
    <m/>
  </r>
  <r>
    <x v="1"/>
    <x v="1"/>
    <x v="70"/>
    <s v="KY/IL"/>
    <n v="3"/>
    <n v="540"/>
    <n v="543"/>
    <n v="11880"/>
    <n v="11337"/>
    <n v="0.9542929292929293"/>
    <n v="1"/>
    <m/>
    <m/>
    <n v="1"/>
    <m/>
    <m/>
    <m/>
    <m/>
    <m/>
    <m/>
    <m/>
    <m/>
  </r>
  <r>
    <x v="3"/>
    <x v="6"/>
    <x v="71"/>
    <s v="ALF"/>
    <n v="0"/>
    <n v="0"/>
    <n v="0"/>
    <n v="10800"/>
    <n v="10800"/>
    <n v="1"/>
    <m/>
    <m/>
    <n v="2"/>
    <m/>
    <m/>
    <m/>
    <m/>
    <m/>
    <m/>
    <m/>
    <m/>
    <m/>
  </r>
  <r>
    <x v="0"/>
    <x v="0"/>
    <x v="72"/>
    <s v="KY"/>
    <n v="44"/>
    <m/>
    <n v="44"/>
    <n v="11880"/>
    <n v="11836"/>
    <n v="0.99629629629629635"/>
    <n v="4"/>
    <m/>
    <m/>
    <m/>
    <m/>
    <m/>
    <m/>
    <m/>
    <m/>
    <m/>
    <m/>
    <m/>
  </r>
  <r>
    <x v="1"/>
    <x v="1"/>
    <x v="73"/>
    <s v="Multi"/>
    <n v="0"/>
    <n v="0"/>
    <n v="0"/>
    <n v="11340"/>
    <n v="11340"/>
    <n v="1"/>
    <m/>
    <m/>
    <n v="1"/>
    <m/>
    <m/>
    <m/>
    <m/>
    <m/>
    <m/>
    <m/>
    <m/>
    <m/>
  </r>
  <r>
    <x v="2"/>
    <x v="4"/>
    <x v="74"/>
    <s v="Multi"/>
    <n v="41"/>
    <n v="3240"/>
    <n v="3281"/>
    <n v="11880"/>
    <n v="8599"/>
    <n v="0.72382154882154881"/>
    <n v="4"/>
    <n v="1"/>
    <m/>
    <n v="5"/>
    <m/>
    <m/>
    <m/>
    <m/>
    <m/>
    <m/>
    <m/>
    <m/>
  </r>
  <r>
    <x v="0"/>
    <x v="5"/>
    <x v="75"/>
    <s v="IL"/>
    <n v="73"/>
    <n v="2160"/>
    <n v="2233"/>
    <n v="11340"/>
    <n v="9107"/>
    <n v="0.80308641975308637"/>
    <n v="6"/>
    <m/>
    <n v="1"/>
    <n v="4"/>
    <m/>
    <m/>
    <m/>
    <m/>
    <m/>
    <m/>
    <m/>
    <m/>
  </r>
  <r>
    <x v="0"/>
    <x v="2"/>
    <x v="76"/>
    <s v="NJ"/>
    <n v="31"/>
    <n v="540"/>
    <n v="571"/>
    <n v="11340"/>
    <n v="10769"/>
    <n v="0.94964726631393304"/>
    <n v="2"/>
    <m/>
    <m/>
    <m/>
    <n v="1"/>
    <m/>
    <m/>
    <m/>
    <m/>
    <m/>
    <m/>
    <m/>
  </r>
  <r>
    <x v="0"/>
    <x v="7"/>
    <x v="77"/>
    <s v="MA"/>
    <n v="40"/>
    <n v="540"/>
    <n v="580"/>
    <n v="11880"/>
    <n v="11300"/>
    <n v="0.95117845117845112"/>
    <n v="3"/>
    <m/>
    <m/>
    <n v="1"/>
    <m/>
    <m/>
    <m/>
    <m/>
    <m/>
    <m/>
    <m/>
    <m/>
  </r>
  <r>
    <x v="0"/>
    <x v="8"/>
    <x v="78"/>
    <s v="IL"/>
    <n v="19"/>
    <n v="540"/>
    <n v="559"/>
    <n v="11880"/>
    <n v="11321"/>
    <n v="0.95294612794612799"/>
    <n v="2"/>
    <m/>
    <n v="2"/>
    <n v="1"/>
    <m/>
    <m/>
    <m/>
    <m/>
    <m/>
    <m/>
    <m/>
    <m/>
  </r>
  <r>
    <x v="2"/>
    <x v="4"/>
    <x v="79"/>
    <s v="Multi"/>
    <n v="43"/>
    <m/>
    <n v="43"/>
    <n v="11880"/>
    <n v="11837"/>
    <n v="0.99638047138047137"/>
    <n v="5"/>
    <m/>
    <m/>
    <m/>
    <m/>
    <m/>
    <m/>
    <m/>
    <m/>
    <m/>
    <m/>
    <m/>
  </r>
  <r>
    <x v="1"/>
    <x v="3"/>
    <x v="80"/>
    <s v="KY"/>
    <n v="0"/>
    <n v="0"/>
    <n v="0"/>
    <n v="11340"/>
    <n v="11340"/>
    <n v="1"/>
    <m/>
    <m/>
    <m/>
    <m/>
    <m/>
    <m/>
    <m/>
    <m/>
    <m/>
    <m/>
    <m/>
    <m/>
  </r>
  <r>
    <x v="0"/>
    <x v="8"/>
    <x v="81"/>
    <s v="IL"/>
    <n v="261"/>
    <n v="540"/>
    <n v="801"/>
    <n v="11880"/>
    <n v="11079"/>
    <n v="0.93257575757575761"/>
    <n v="4"/>
    <n v="1"/>
    <m/>
    <m/>
    <m/>
    <m/>
    <m/>
    <m/>
    <m/>
    <m/>
    <m/>
    <m/>
  </r>
  <r>
    <x v="0"/>
    <x v="7"/>
    <x v="82"/>
    <s v="MA"/>
    <n v="5"/>
    <n v="2160"/>
    <n v="2165"/>
    <n v="10800"/>
    <n v="8635"/>
    <n v="0.79953703703703705"/>
    <n v="2"/>
    <m/>
    <m/>
    <n v="4"/>
    <n v="2"/>
    <m/>
    <m/>
    <m/>
    <m/>
    <m/>
    <m/>
    <m/>
  </r>
  <r>
    <x v="0"/>
    <x v="8"/>
    <x v="83"/>
    <s v="IL"/>
    <m/>
    <m/>
    <n v="0"/>
    <n v="11880"/>
    <n v="11880"/>
    <n v="1"/>
    <m/>
    <m/>
    <m/>
    <m/>
    <m/>
    <m/>
    <m/>
    <m/>
    <m/>
    <m/>
    <m/>
    <m/>
  </r>
  <r>
    <x v="1"/>
    <x v="3"/>
    <x v="84"/>
    <s v="Multi"/>
    <n v="20"/>
    <m/>
    <n v="20"/>
    <n v="11880"/>
    <n v="11860"/>
    <n v="0.99831649831649827"/>
    <n v="1"/>
    <m/>
    <m/>
    <m/>
    <m/>
    <m/>
    <m/>
    <m/>
    <m/>
    <m/>
    <m/>
    <m/>
  </r>
  <r>
    <x v="1"/>
    <x v="3"/>
    <x v="85"/>
    <s v="KY/IL"/>
    <n v="0"/>
    <n v="1620"/>
    <n v="1620"/>
    <n v="11340"/>
    <n v="9720"/>
    <n v="0.8571428571428571"/>
    <m/>
    <m/>
    <m/>
    <n v="3"/>
    <m/>
    <m/>
    <m/>
    <m/>
    <m/>
    <m/>
    <m/>
    <m/>
  </r>
  <r>
    <x v="0"/>
    <x v="0"/>
    <x v="86"/>
    <s v="KY"/>
    <n v="298"/>
    <n v="540"/>
    <n v="838"/>
    <n v="10260"/>
    <n v="9422"/>
    <n v="0.91832358674463943"/>
    <n v="4"/>
    <n v="1"/>
    <m/>
    <m/>
    <n v="3"/>
    <m/>
    <m/>
    <m/>
    <m/>
    <m/>
    <m/>
    <m/>
  </r>
  <r>
    <x v="1"/>
    <x v="3"/>
    <x v="87"/>
    <s v="IL"/>
    <n v="77"/>
    <n v="2160"/>
    <n v="2237"/>
    <n v="11880"/>
    <n v="9643"/>
    <n v="0.8117003367003367"/>
    <n v="7"/>
    <m/>
    <m/>
    <n v="4"/>
    <m/>
    <m/>
    <m/>
    <m/>
    <m/>
    <m/>
    <m/>
    <m/>
  </r>
  <r>
    <x v="0"/>
    <x v="2"/>
    <x v="88"/>
    <s v="NJ"/>
    <n v="50"/>
    <n v="540"/>
    <n v="590"/>
    <n v="11340"/>
    <n v="10750"/>
    <n v="0.94797178130511461"/>
    <n v="3"/>
    <n v="1"/>
    <m/>
    <m/>
    <n v="1"/>
    <m/>
    <m/>
    <m/>
    <m/>
    <m/>
    <m/>
    <m/>
  </r>
  <r>
    <x v="0"/>
    <x v="2"/>
    <x v="89"/>
    <s v="NJ"/>
    <n v="37"/>
    <n v="1620"/>
    <n v="1657"/>
    <n v="11880"/>
    <n v="10223"/>
    <n v="0.86052188552188558"/>
    <n v="4"/>
    <m/>
    <m/>
    <n v="3"/>
    <m/>
    <m/>
    <m/>
    <m/>
    <m/>
    <m/>
    <m/>
    <m/>
  </r>
  <r>
    <x v="0"/>
    <x v="9"/>
    <x v="90"/>
    <s v="NY"/>
    <n v="110"/>
    <n v="1080"/>
    <n v="1190"/>
    <n v="11880"/>
    <n v="10690"/>
    <n v="0.89983164983164987"/>
    <n v="6"/>
    <m/>
    <m/>
    <n v="2"/>
    <m/>
    <m/>
    <m/>
    <m/>
    <m/>
    <m/>
    <m/>
    <m/>
  </r>
  <r>
    <x v="0"/>
    <x v="2"/>
    <x v="91"/>
    <s v="NJ"/>
    <n v="212"/>
    <n v="1080"/>
    <n v="1292"/>
    <n v="11880"/>
    <n v="10588"/>
    <n v="0.89124579124579129"/>
    <n v="4"/>
    <n v="2"/>
    <m/>
    <m/>
    <m/>
    <m/>
    <m/>
    <m/>
    <m/>
    <m/>
    <m/>
    <m/>
  </r>
  <r>
    <x v="1"/>
    <x v="1"/>
    <x v="92"/>
    <s v="NJ"/>
    <n v="125"/>
    <n v="1620"/>
    <n v="1745"/>
    <n v="11880"/>
    <n v="10135"/>
    <n v="0.85311447811447816"/>
    <n v="7"/>
    <m/>
    <m/>
    <n v="3"/>
    <m/>
    <m/>
    <m/>
    <m/>
    <m/>
    <m/>
    <m/>
    <m/>
  </r>
  <r>
    <x v="0"/>
    <x v="9"/>
    <x v="93"/>
    <s v="NY"/>
    <n v="2"/>
    <m/>
    <n v="2"/>
    <n v="10800"/>
    <n v="10798"/>
    <n v="0.99981481481481482"/>
    <n v="2"/>
    <m/>
    <n v="2"/>
    <m/>
    <m/>
    <m/>
    <m/>
    <m/>
    <m/>
    <m/>
    <m/>
    <m/>
  </r>
  <r>
    <x v="1"/>
    <x v="1"/>
    <x v="94"/>
    <s v="Multi"/>
    <n v="582"/>
    <n v="2700"/>
    <n v="3282"/>
    <n v="11880"/>
    <n v="8598"/>
    <n v="0.72373737373737379"/>
    <n v="10"/>
    <n v="5"/>
    <m/>
    <m/>
    <m/>
    <m/>
    <m/>
    <m/>
    <m/>
    <m/>
    <m/>
    <m/>
  </r>
  <r>
    <x v="1"/>
    <x v="5"/>
    <x v="95"/>
    <s v="Multi"/>
    <n v="7"/>
    <n v="0"/>
    <n v="7"/>
    <n v="11880"/>
    <n v="11873"/>
    <n v="0.99941077441077442"/>
    <n v="1"/>
    <m/>
    <m/>
    <m/>
    <m/>
    <m/>
    <m/>
    <m/>
    <m/>
    <m/>
    <m/>
    <m/>
  </r>
  <r>
    <x v="0"/>
    <x v="9"/>
    <x v="96"/>
    <s v="NY"/>
    <n v="33"/>
    <n v="1620"/>
    <n v="1653"/>
    <n v="11340"/>
    <n v="9687"/>
    <n v="0.85423280423280423"/>
    <n v="4"/>
    <m/>
    <m/>
    <n v="3"/>
    <n v="1"/>
    <m/>
    <m/>
    <m/>
    <m/>
    <m/>
    <m/>
    <m/>
  </r>
  <r>
    <x v="4"/>
    <x v="10"/>
    <x v="97"/>
    <m/>
    <m/>
    <m/>
    <m/>
    <m/>
    <m/>
    <m/>
    <m/>
    <m/>
    <m/>
    <m/>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s v="KY"/>
    <s v="RD"/>
    <n v="450"/>
    <n v="5"/>
    <s v="P"/>
    <n v="19"/>
    <s v="P"/>
    <s v="RD"/>
    <n v="24"/>
    <n v="450"/>
    <n v="474"/>
    <n v="2250"/>
    <n v="1776"/>
    <n v="0.78933333333333333"/>
    <m/>
    <m/>
  </r>
  <r>
    <x v="1"/>
    <x v="1"/>
    <s v="KY"/>
    <s v="P"/>
    <n v="17"/>
    <s v="RD"/>
    <s v="RD"/>
    <n v="4"/>
    <s v="P"/>
    <s v="P"/>
    <n v="21"/>
    <n v="0"/>
    <n v="21"/>
    <n v="2250"/>
    <n v="2229"/>
    <n v="0.9906666666666667"/>
    <m/>
    <m/>
  </r>
  <r>
    <x v="1"/>
    <x v="2"/>
    <s v="IL"/>
    <n v="25"/>
    <n v="4"/>
    <s v="RD"/>
    <s v="RD"/>
    <s v="P"/>
    <s v="P"/>
    <s v="P"/>
    <n v="29"/>
    <n v="0"/>
    <n v="29"/>
    <n v="2250"/>
    <n v="2221"/>
    <n v="0.98711111111111116"/>
    <m/>
    <m/>
  </r>
  <r>
    <x v="0"/>
    <x v="3"/>
    <s v="NJ"/>
    <s v="RD"/>
    <n v="9"/>
    <n v="4"/>
    <s v="P"/>
    <n v="8"/>
    <n v="9"/>
    <s v="RD"/>
    <n v="30"/>
    <n v="0"/>
    <n v="30"/>
    <n v="2250"/>
    <n v="2220"/>
    <n v="0.98666666666666669"/>
    <m/>
    <m/>
  </r>
  <r>
    <x v="1"/>
    <x v="4"/>
    <s v="KY/IL"/>
    <s v="RD"/>
    <n v="450"/>
    <s v="P"/>
    <n v="13"/>
    <s v="P"/>
    <s v="P"/>
    <s v="RD"/>
    <n v="13"/>
    <n v="450"/>
    <n v="463"/>
    <n v="2250"/>
    <n v="1787"/>
    <n v="0.79422222222222227"/>
    <m/>
    <m/>
  </r>
  <r>
    <x v="2"/>
    <x v="5"/>
    <s v="Multi"/>
    <s v="P"/>
    <n v="1"/>
    <n v="1"/>
    <s v="P"/>
    <s v="P"/>
    <s v="RD"/>
    <s v="RD"/>
    <n v="2"/>
    <n v="0"/>
    <n v="2"/>
    <n v="2250"/>
    <n v="2248"/>
    <n v="0.99911111111111106"/>
    <m/>
    <m/>
  </r>
  <r>
    <x v="0"/>
    <x v="6"/>
    <s v="NJ"/>
    <s v="P"/>
    <s v="P"/>
    <s v="P"/>
    <n v="2"/>
    <s v="P"/>
    <s v="P"/>
    <s v="RD"/>
    <n v="2"/>
    <n v="0"/>
    <n v="2"/>
    <n v="2250"/>
    <n v="2248"/>
    <n v="0.99911111111111106"/>
    <m/>
    <m/>
  </r>
  <r>
    <x v="0"/>
    <x v="7"/>
    <s v="KY"/>
    <s v="P"/>
    <n v="5"/>
    <s v="P"/>
    <s v="P"/>
    <n v="7"/>
    <n v="17"/>
    <s v="RD"/>
    <n v="29"/>
    <n v="0"/>
    <n v="29"/>
    <n v="2250"/>
    <n v="2221"/>
    <n v="0.98711111111111116"/>
    <m/>
    <m/>
  </r>
  <r>
    <x v="0"/>
    <x v="8"/>
    <s v="KY"/>
    <s v="P"/>
    <s v="P"/>
    <s v="P"/>
    <s v="P"/>
    <s v="P"/>
    <s v="P"/>
    <s v="RD"/>
    <n v="0"/>
    <n v="0"/>
    <n v="0"/>
    <n v="2250"/>
    <n v="2250"/>
    <n v="1"/>
    <m/>
    <m/>
  </r>
  <r>
    <x v="2"/>
    <x v="9"/>
    <s v="Multi"/>
    <s v="RD"/>
    <s v="RD"/>
    <s v="P"/>
    <s v="P"/>
    <s v="P"/>
    <s v="P"/>
    <s v="P"/>
    <n v="0"/>
    <n v="0"/>
    <n v="0"/>
    <n v="2250"/>
    <n v="2250"/>
    <n v="1"/>
    <m/>
    <m/>
  </r>
  <r>
    <x v="1"/>
    <x v="10"/>
    <s v="IL"/>
    <s v="P"/>
    <s v="P"/>
    <n v="6"/>
    <s v="RD"/>
    <s v="RD"/>
    <s v="P"/>
    <s v="P"/>
    <n v="6"/>
    <n v="0"/>
    <n v="6"/>
    <n v="2250"/>
    <n v="2244"/>
    <n v="0.99733333333333329"/>
    <m/>
    <m/>
  </r>
  <r>
    <x v="1"/>
    <x v="11"/>
    <s v="NJ"/>
    <s v="RD"/>
    <n v="450"/>
    <s v="P"/>
    <s v="P"/>
    <s v="P"/>
    <s v="P"/>
    <s v="RD"/>
    <m/>
    <n v="450"/>
    <n v="450"/>
    <n v="2250"/>
    <n v="1800"/>
    <n v="0.8"/>
    <m/>
    <m/>
  </r>
  <r>
    <x v="1"/>
    <x v="12"/>
    <s v="NJ"/>
    <s v="RD"/>
    <s v="P"/>
    <s v="P"/>
    <s v="P"/>
    <s v="P"/>
    <s v="P"/>
    <s v="RD"/>
    <n v="0"/>
    <n v="0"/>
    <n v="0"/>
    <n v="2250"/>
    <n v="2250"/>
    <n v="1"/>
    <m/>
    <n v="1"/>
  </r>
  <r>
    <x v="1"/>
    <x v="13"/>
    <s v="MA/NY/NJ (KY/IL)"/>
    <s v="RD"/>
    <s v="P"/>
    <s v="P"/>
    <n v="3"/>
    <s v="P"/>
    <s v="P"/>
    <s v="RD"/>
    <n v="3"/>
    <n v="0"/>
    <n v="3"/>
    <n v="2250"/>
    <n v="2247"/>
    <n v="0.9986666666666667"/>
    <m/>
    <m/>
  </r>
  <r>
    <x v="1"/>
    <x v="14"/>
    <s v="KY"/>
    <s v="RD"/>
    <n v="5"/>
    <s v="P"/>
    <s v="P"/>
    <s v="P"/>
    <s v="P"/>
    <s v="RD"/>
    <n v="5"/>
    <n v="0"/>
    <n v="5"/>
    <n v="2250"/>
    <n v="2245"/>
    <n v="0.99777777777777776"/>
    <m/>
    <m/>
  </r>
  <r>
    <x v="2"/>
    <x v="15"/>
    <s v="Multi"/>
    <n v="5"/>
    <s v="P"/>
    <s v="P"/>
    <s v="P"/>
    <s v="P"/>
    <s v="RD"/>
    <s v="RD"/>
    <n v="5"/>
    <n v="0"/>
    <n v="5"/>
    <n v="2250"/>
    <n v="2245"/>
    <n v="0.99777777777777776"/>
    <m/>
    <m/>
  </r>
  <r>
    <x v="1"/>
    <x v="16"/>
    <s v="KY"/>
    <s v="RD"/>
    <s v="P"/>
    <s v="P"/>
    <n v="8"/>
    <n v="6"/>
    <s v="P"/>
    <s v="RD"/>
    <n v="14"/>
    <n v="0"/>
    <n v="14"/>
    <n v="2250"/>
    <n v="2236"/>
    <n v="0.99377777777777776"/>
    <m/>
    <m/>
  </r>
  <r>
    <x v="1"/>
    <x v="17"/>
    <s v="Multi"/>
    <s v="RD"/>
    <s v="P"/>
    <s v="P"/>
    <s v="RD"/>
    <s v="RD"/>
    <s v="P"/>
    <s v="P"/>
    <n v="0"/>
    <n v="0"/>
    <n v="0"/>
    <n v="1800"/>
    <n v="1800"/>
    <n v="1"/>
    <n v="2"/>
    <m/>
  </r>
  <r>
    <x v="0"/>
    <x v="18"/>
    <s v="NY"/>
    <s v="P"/>
    <s v="P"/>
    <s v="P"/>
    <s v="P"/>
    <s v="P"/>
    <s v="P"/>
    <s v="RD"/>
    <n v="0"/>
    <n v="0"/>
    <n v="0"/>
    <n v="2250"/>
    <n v="2250"/>
    <n v="1"/>
    <n v="1"/>
    <m/>
  </r>
  <r>
    <x v="3"/>
    <x v="19"/>
    <s v="Multi"/>
    <s v="RD"/>
    <n v="12"/>
    <s v="P"/>
    <s v="P"/>
    <s v="P"/>
    <s v="P"/>
    <s v="RD"/>
    <n v="12"/>
    <n v="0"/>
    <n v="12"/>
    <n v="2250"/>
    <n v="2238"/>
    <n v="0.9946666666666667"/>
    <m/>
    <m/>
  </r>
  <r>
    <x v="0"/>
    <x v="20"/>
    <s v="MA"/>
    <s v="P"/>
    <n v="26"/>
    <n v="13"/>
    <n v="143"/>
    <n v="11"/>
    <s v="P"/>
    <s v="RD"/>
    <n v="193"/>
    <n v="0"/>
    <n v="193"/>
    <n v="2250"/>
    <n v="2057"/>
    <n v="0.91422222222222227"/>
    <m/>
    <m/>
  </r>
  <r>
    <x v="0"/>
    <x v="21"/>
    <s v="MA"/>
    <s v="RD"/>
    <s v="P"/>
    <s v="P"/>
    <s v="P"/>
    <s v="P"/>
    <s v="P"/>
    <s v="RD"/>
    <n v="0"/>
    <n v="0"/>
    <n v="0"/>
    <n v="2250"/>
    <n v="2250"/>
    <n v="1"/>
    <m/>
    <m/>
  </r>
  <r>
    <x v="1"/>
    <x v="22"/>
    <s v="NY"/>
    <s v="RD"/>
    <s v="P"/>
    <s v="P"/>
    <s v="P"/>
    <s v="P"/>
    <s v="P"/>
    <s v="RD"/>
    <n v="0"/>
    <n v="0"/>
    <n v="0"/>
    <n v="2250"/>
    <n v="2250"/>
    <n v="1"/>
    <m/>
    <m/>
  </r>
  <r>
    <x v="0"/>
    <x v="23"/>
    <s v="IL"/>
    <s v="P"/>
    <s v="P"/>
    <s v="P"/>
    <s v="P"/>
    <s v="P"/>
    <s v="P"/>
    <s v="RD"/>
    <n v="0"/>
    <n v="0"/>
    <n v="0"/>
    <n v="2250"/>
    <n v="2250"/>
    <n v="1"/>
    <m/>
    <m/>
  </r>
  <r>
    <x v="1"/>
    <x v="24"/>
    <s v="Multi"/>
    <s v="RD"/>
    <s v="P"/>
    <s v="P"/>
    <s v="P"/>
    <n v="34"/>
    <s v="P"/>
    <s v="RD"/>
    <n v="34"/>
    <n v="0"/>
    <n v="34"/>
    <n v="2250"/>
    <n v="2216"/>
    <n v="0.98488888888888892"/>
    <n v="2"/>
    <m/>
  </r>
  <r>
    <x v="0"/>
    <x v="25"/>
    <s v="IL"/>
    <s v="RD"/>
    <n v="450"/>
    <n v="8"/>
    <s v="P"/>
    <n v="3"/>
    <s v="P"/>
    <s v="RD"/>
    <n v="11"/>
    <n v="450"/>
    <n v="461"/>
    <n v="2250"/>
    <n v="1789"/>
    <n v="0.7951111111111111"/>
    <m/>
    <m/>
  </r>
  <r>
    <x v="0"/>
    <x v="26"/>
    <s v="MA"/>
    <s v="P"/>
    <s v="P"/>
    <s v="P"/>
    <n v="9"/>
    <s v="P"/>
    <s v="P"/>
    <s v="RD"/>
    <n v="9"/>
    <n v="0"/>
    <n v="9"/>
    <n v="2250"/>
    <n v="2241"/>
    <n v="0.996"/>
    <m/>
    <m/>
  </r>
  <r>
    <x v="1"/>
    <x v="27"/>
    <s v="KY"/>
    <s v="RD"/>
    <s v="P"/>
    <s v="P"/>
    <s v="P"/>
    <s v="P"/>
    <s v="P"/>
    <s v="RD"/>
    <n v="0"/>
    <n v="0"/>
    <n v="0"/>
    <n v="2250"/>
    <n v="2250"/>
    <n v="1"/>
    <m/>
    <m/>
  </r>
  <r>
    <x v="0"/>
    <x v="28"/>
    <s v="IL"/>
    <s v="P"/>
    <n v="4"/>
    <s v="P"/>
    <s v="P"/>
    <n v="5"/>
    <s v="P"/>
    <s v="RD"/>
    <n v="9"/>
    <n v="0"/>
    <n v="9"/>
    <n v="2250"/>
    <n v="2241"/>
    <n v="0.996"/>
    <m/>
    <m/>
  </r>
  <r>
    <x v="1"/>
    <x v="29"/>
    <s v="KY"/>
    <s v="RD"/>
    <n v="6"/>
    <s v="P"/>
    <s v="P"/>
    <s v="P"/>
    <n v="13"/>
    <s v="RD"/>
    <n v="19"/>
    <n v="0"/>
    <n v="19"/>
    <n v="2250"/>
    <n v="2231"/>
    <n v="0.99155555555555552"/>
    <m/>
    <m/>
  </r>
  <r>
    <x v="4"/>
    <x v="30"/>
    <s v="Multi"/>
    <s v="RD"/>
    <s v="P"/>
    <s v="P"/>
    <s v="P"/>
    <s v="P"/>
    <s v="P"/>
    <s v="RD"/>
    <n v="0"/>
    <n v="0"/>
    <n v="0"/>
    <n v="2250"/>
    <n v="2250"/>
    <n v="1"/>
    <m/>
    <m/>
  </r>
  <r>
    <x v="2"/>
    <x v="31"/>
    <s v="Multi"/>
    <n v="7"/>
    <n v="5"/>
    <s v="RD"/>
    <s v="RD"/>
    <s v="P"/>
    <n v="13"/>
    <s v="P"/>
    <n v="25"/>
    <n v="0"/>
    <n v="25"/>
    <n v="2250"/>
    <n v="2225"/>
    <n v="0.98888888888888893"/>
    <m/>
    <m/>
  </r>
  <r>
    <x v="1"/>
    <x v="32"/>
    <s v="Multi"/>
    <s v="P"/>
    <s v="P"/>
    <n v="3"/>
    <s v="RD"/>
    <s v="RD"/>
    <s v="P"/>
    <s v="P"/>
    <n v="3"/>
    <n v="0"/>
    <n v="3"/>
    <n v="2250"/>
    <n v="2247"/>
    <n v="0.9986666666666667"/>
    <n v="1"/>
    <m/>
  </r>
  <r>
    <x v="2"/>
    <x v="33"/>
    <s v="Multi"/>
    <s v="P"/>
    <s v="P"/>
    <s v="P"/>
    <s v="P"/>
    <n v="7"/>
    <s v="RD"/>
    <s v="RD"/>
    <n v="7"/>
    <n v="0"/>
    <n v="7"/>
    <n v="2250"/>
    <n v="2243"/>
    <n v="0.99688888888888894"/>
    <m/>
    <m/>
  </r>
  <r>
    <x v="0"/>
    <x v="34"/>
    <s v="IL"/>
    <s v="RD"/>
    <s v="LWOP"/>
    <s v="P"/>
    <n v="28"/>
    <s v="P"/>
    <s v="P"/>
    <s v="RD"/>
    <n v="28"/>
    <n v="0"/>
    <n v="28"/>
    <n v="2250"/>
    <n v="2222"/>
    <n v="0.98755555555555552"/>
    <m/>
    <m/>
  </r>
  <r>
    <x v="0"/>
    <x v="35"/>
    <s v="MA"/>
    <s v="P"/>
    <s v="P"/>
    <s v="P"/>
    <s v="P"/>
    <s v="P"/>
    <s v="P"/>
    <s v="RD"/>
    <n v="0"/>
    <n v="0"/>
    <n v="0"/>
    <n v="2250"/>
    <n v="2250"/>
    <n v="1"/>
    <m/>
    <m/>
  </r>
  <r>
    <x v="1"/>
    <x v="36"/>
    <s v="NY NJ"/>
    <s v="RD"/>
    <s v="P"/>
    <s v="P"/>
    <s v="P"/>
    <s v="P"/>
    <s v="P"/>
    <s v="RD"/>
    <n v="0"/>
    <n v="0"/>
    <n v="0"/>
    <n v="2250"/>
    <n v="2250"/>
    <n v="1"/>
    <m/>
    <m/>
  </r>
  <r>
    <x v="1"/>
    <x v="37"/>
    <s v="Multi"/>
    <s v="P"/>
    <s v="P"/>
    <s v="P"/>
    <s v="RD"/>
    <s v="RD"/>
    <s v="P"/>
    <s v="P"/>
    <n v="0"/>
    <n v="0"/>
    <n v="0"/>
    <n v="2250"/>
    <n v="2250"/>
    <n v="1"/>
    <m/>
    <m/>
  </r>
  <r>
    <x v="1"/>
    <x v="38"/>
    <s v="NJ"/>
    <s v="RD"/>
    <s v="P"/>
    <s v="P"/>
    <s v="P"/>
    <s v="P"/>
    <s v="P"/>
    <s v="RD"/>
    <n v="0"/>
    <n v="0"/>
    <n v="0"/>
    <n v="2250"/>
    <n v="2250"/>
    <n v="1"/>
    <m/>
    <m/>
  </r>
  <r>
    <x v="0"/>
    <x v="39"/>
    <s v="NJ"/>
    <s v="RD"/>
    <n v="1"/>
    <n v="12"/>
    <s v="P"/>
    <s v="P"/>
    <s v="P"/>
    <s v="RD"/>
    <n v="13"/>
    <n v="0"/>
    <n v="13"/>
    <n v="2250"/>
    <n v="2237"/>
    <n v="0.99422222222222223"/>
    <m/>
    <m/>
  </r>
  <r>
    <x v="3"/>
    <x v="40"/>
    <s v="Multi"/>
    <s v="RD"/>
    <s v="P"/>
    <s v="P"/>
    <s v="P"/>
    <n v="48"/>
    <s v="P"/>
    <s v="RD"/>
    <n v="48"/>
    <n v="0"/>
    <n v="48"/>
    <n v="2250"/>
    <n v="2202"/>
    <n v="0.97866666666666668"/>
    <m/>
    <m/>
  </r>
  <r>
    <x v="0"/>
    <x v="41"/>
    <s v="MA"/>
    <s v="P"/>
    <n v="10"/>
    <s v="P"/>
    <s v="P"/>
    <n v="10"/>
    <s v="P"/>
    <s v="RD"/>
    <n v="20"/>
    <n v="0"/>
    <n v="20"/>
    <n v="2250"/>
    <n v="2230"/>
    <n v="0.99111111111111116"/>
    <m/>
    <m/>
  </r>
  <r>
    <x v="1"/>
    <x v="42"/>
    <s v="NY"/>
    <s v="RD"/>
    <s v="P"/>
    <s v="P"/>
    <s v="P"/>
    <s v="P"/>
    <s v="P"/>
    <s v="RD"/>
    <n v="0"/>
    <n v="0"/>
    <n v="0"/>
    <n v="2250"/>
    <n v="2250"/>
    <n v="1"/>
    <m/>
    <m/>
  </r>
  <r>
    <x v="1"/>
    <x v="43"/>
    <s v="NJ"/>
    <s v="RD"/>
    <s v="P"/>
    <s v="P"/>
    <s v="P"/>
    <s v="P"/>
    <s v="P"/>
    <s v="RD"/>
    <n v="0"/>
    <n v="0"/>
    <n v="0"/>
    <n v="2250"/>
    <n v="2250"/>
    <n v="1"/>
    <m/>
    <m/>
  </r>
  <r>
    <x v="0"/>
    <x v="44"/>
    <s v="KY"/>
    <s v="P"/>
    <s v="P"/>
    <n v="69"/>
    <s v="P"/>
    <s v="P"/>
    <s v="P"/>
    <s v="RD"/>
    <n v="69"/>
    <n v="0"/>
    <n v="69"/>
    <n v="2250"/>
    <n v="2181"/>
    <n v="0.96933333333333338"/>
    <m/>
    <m/>
  </r>
  <r>
    <x v="1"/>
    <x v="45"/>
    <s v="Multi"/>
    <s v="RD"/>
    <n v="6"/>
    <s v="P"/>
    <s v="P"/>
    <s v="P"/>
    <s v="P"/>
    <s v="RD"/>
    <n v="6"/>
    <n v="0"/>
    <n v="6"/>
    <n v="2250"/>
    <n v="2244"/>
    <n v="0.99733333333333329"/>
    <m/>
    <m/>
  </r>
  <r>
    <x v="2"/>
    <x v="46"/>
    <s v="Multi"/>
    <s v="RD"/>
    <s v="RD"/>
    <s v="P"/>
    <s v="P"/>
    <s v="P"/>
    <s v="P"/>
    <s v="LWOP"/>
    <n v="0"/>
    <n v="0"/>
    <n v="0"/>
    <n v="2250"/>
    <n v="2250"/>
    <n v="1"/>
    <m/>
    <m/>
  </r>
  <r>
    <x v="0"/>
    <x v="47"/>
    <s v="IL"/>
    <s v="P"/>
    <s v="P"/>
    <s v="P"/>
    <s v="P"/>
    <s v="P"/>
    <s v="P"/>
    <s v="RD"/>
    <n v="0"/>
    <n v="0"/>
    <n v="0"/>
    <n v="2250"/>
    <n v="2250"/>
    <n v="1"/>
    <m/>
    <m/>
  </r>
  <r>
    <x v="0"/>
    <x v="48"/>
    <s v="NJ"/>
    <s v="P"/>
    <n v="1"/>
    <s v="P"/>
    <s v="P"/>
    <s v="P"/>
    <s v="P"/>
    <s v="RD"/>
    <n v="1"/>
    <n v="0"/>
    <n v="1"/>
    <n v="2250"/>
    <n v="2249"/>
    <n v="0.99955555555555553"/>
    <m/>
    <m/>
  </r>
  <r>
    <x v="0"/>
    <x v="49"/>
    <s v="MA"/>
    <s v="P"/>
    <s v="P"/>
    <s v="P"/>
    <s v="P"/>
    <s v="P"/>
    <s v="P"/>
    <s v="RD"/>
    <n v="0"/>
    <n v="0"/>
    <n v="0"/>
    <n v="2250"/>
    <n v="2250"/>
    <n v="1"/>
    <m/>
    <m/>
  </r>
  <r>
    <x v="1"/>
    <x v="50"/>
    <s v="NY"/>
    <s v="RD"/>
    <s v="P"/>
    <s v="P"/>
    <s v="P"/>
    <s v="P"/>
    <s v="P"/>
    <s v="RD"/>
    <n v="0"/>
    <n v="0"/>
    <n v="0"/>
    <n v="2250"/>
    <n v="2250"/>
    <n v="1"/>
    <m/>
    <m/>
  </r>
  <r>
    <x v="4"/>
    <x v="51"/>
    <s v="Multi"/>
    <s v="RD"/>
    <n v="450"/>
    <s v="P"/>
    <s v="P"/>
    <s v="P"/>
    <s v="P"/>
    <s v="RD"/>
    <n v="0"/>
    <n v="450"/>
    <n v="450"/>
    <n v="2250"/>
    <n v="1800"/>
    <n v="0.8"/>
    <m/>
    <m/>
  </r>
  <r>
    <x v="1"/>
    <x v="52"/>
    <s v="NJ"/>
    <s v="RD"/>
    <s v="P"/>
    <s v="P"/>
    <s v="P"/>
    <s v="P"/>
    <s v="P"/>
    <s v="RD"/>
    <n v="0"/>
    <n v="0"/>
    <n v="0"/>
    <n v="2250"/>
    <n v="2250"/>
    <n v="1"/>
    <m/>
    <m/>
  </r>
  <r>
    <x v="0"/>
    <x v="53"/>
    <s v="KY"/>
    <s v="P"/>
    <s v="P"/>
    <s v="P"/>
    <s v="P"/>
    <s v="P"/>
    <s v="P"/>
    <s v="RD"/>
    <n v="0"/>
    <n v="0"/>
    <n v="0"/>
    <n v="2250"/>
    <n v="2250"/>
    <n v="1"/>
    <m/>
    <m/>
  </r>
  <r>
    <x v="2"/>
    <x v="54"/>
    <s v="Multi"/>
    <s v="RD"/>
    <s v="RD"/>
    <s v="P"/>
    <s v="P"/>
    <s v="P"/>
    <s v="P"/>
    <s v="P"/>
    <n v="0"/>
    <n v="0"/>
    <n v="0"/>
    <n v="2250"/>
    <n v="2250"/>
    <n v="1"/>
    <m/>
    <m/>
  </r>
  <r>
    <x v="1"/>
    <x v="55"/>
    <s v="NY"/>
    <s v="RD"/>
    <s v="P"/>
    <n v="7"/>
    <s v="P"/>
    <s v="P"/>
    <s v="P"/>
    <s v="RD"/>
    <n v="7"/>
    <n v="0"/>
    <n v="7"/>
    <n v="2250"/>
    <n v="2243"/>
    <n v="0.99688888888888894"/>
    <m/>
    <m/>
  </r>
  <r>
    <x v="2"/>
    <x v="56"/>
    <s v="Multi"/>
    <s v="RD"/>
    <s v="RD"/>
    <s v="P"/>
    <s v="P"/>
    <s v="P"/>
    <s v="P"/>
    <s v="P"/>
    <n v="0"/>
    <n v="0"/>
    <n v="0"/>
    <n v="2250"/>
    <n v="2250"/>
    <n v="1"/>
    <m/>
    <m/>
  </r>
  <r>
    <x v="1"/>
    <x v="57"/>
    <s v="IL"/>
    <s v="RD"/>
    <s v="P"/>
    <s v="P"/>
    <n v="3"/>
    <s v="P"/>
    <s v="P"/>
    <s v="RD"/>
    <n v="3"/>
    <n v="0"/>
    <n v="3"/>
    <n v="2250"/>
    <n v="2247"/>
    <n v="0.9986666666666667"/>
    <m/>
    <m/>
  </r>
  <r>
    <x v="0"/>
    <x v="58"/>
    <s v="MA"/>
    <s v="P"/>
    <n v="11"/>
    <s v="P"/>
    <s v="P"/>
    <s v="P"/>
    <s v="P"/>
    <s v="RD"/>
    <n v="11"/>
    <n v="0"/>
    <n v="11"/>
    <n v="2250"/>
    <n v="2239"/>
    <n v="0.99511111111111106"/>
    <m/>
    <m/>
  </r>
  <r>
    <x v="0"/>
    <x v="59"/>
    <s v="MA"/>
    <s v="P"/>
    <s v="P"/>
    <s v="P"/>
    <s v="P"/>
    <s v="P"/>
    <s v="P"/>
    <s v="RD"/>
    <n v="0"/>
    <n v="0"/>
    <n v="0"/>
    <n v="2250"/>
    <n v="2250"/>
    <n v="1"/>
    <m/>
    <m/>
  </r>
  <r>
    <x v="4"/>
    <x v="60"/>
    <s v="Multi"/>
    <s v="RD"/>
    <s v="P"/>
    <s v="P"/>
    <s v="P"/>
    <s v="P"/>
    <s v="P"/>
    <s v="RD"/>
    <n v="0"/>
    <n v="0"/>
    <n v="0"/>
    <n v="2250"/>
    <n v="2250"/>
    <n v="1"/>
    <m/>
    <m/>
  </r>
  <r>
    <x v="0"/>
    <x v="61"/>
    <s v="NJ"/>
    <s v="P"/>
    <s v="P"/>
    <s v="P"/>
    <s v="P"/>
    <s v="P"/>
    <s v="P"/>
    <s v="RD"/>
    <n v="0"/>
    <n v="0"/>
    <n v="0"/>
    <n v="2250"/>
    <n v="2250"/>
    <n v="1"/>
    <m/>
    <m/>
  </r>
  <r>
    <x v="0"/>
    <x v="62"/>
    <s v="NJ"/>
    <s v="P"/>
    <s v="P"/>
    <n v="2"/>
    <n v="10"/>
    <s v="P"/>
    <s v="P"/>
    <s v="RD"/>
    <n v="12"/>
    <n v="0"/>
    <n v="12"/>
    <n v="2250"/>
    <n v="2238"/>
    <n v="0.9946666666666667"/>
    <m/>
    <m/>
  </r>
  <r>
    <x v="1"/>
    <x v="63"/>
    <s v="Multi"/>
    <s v="P"/>
    <s v="P"/>
    <s v="P"/>
    <s v="RD"/>
    <s v="RD"/>
    <s v="P"/>
    <s v="P"/>
    <n v="0"/>
    <n v="0"/>
    <n v="0"/>
    <n v="2250"/>
    <n v="2250"/>
    <n v="1"/>
    <m/>
    <m/>
  </r>
  <r>
    <x v="0"/>
    <x v="64"/>
    <s v="KY"/>
    <s v="P"/>
    <n v="12"/>
    <s v="P"/>
    <n v="13"/>
    <n v="3"/>
    <n v="19"/>
    <s v="RD"/>
    <n v="47"/>
    <n v="0"/>
    <n v="47"/>
    <n v="2250"/>
    <n v="2203"/>
    <n v="0.97911111111111115"/>
    <m/>
    <m/>
  </r>
  <r>
    <x v="0"/>
    <x v="65"/>
    <s v="NY"/>
    <s v="P"/>
    <s v="P"/>
    <s v="P"/>
    <s v="P"/>
    <n v="270"/>
    <s v="P"/>
    <s v="RD"/>
    <n v="270"/>
    <n v="0"/>
    <n v="270"/>
    <n v="2250"/>
    <n v="1980"/>
    <n v="0.88"/>
    <m/>
    <m/>
  </r>
  <r>
    <x v="0"/>
    <x v="66"/>
    <s v="IL"/>
    <s v="P"/>
    <s v="P"/>
    <s v="P"/>
    <s v="P"/>
    <s v="P"/>
    <s v="P"/>
    <s v="RD"/>
    <n v="0"/>
    <n v="0"/>
    <n v="0"/>
    <n v="2250"/>
    <n v="2250"/>
    <n v="1"/>
    <m/>
    <m/>
  </r>
  <r>
    <x v="4"/>
    <x v="67"/>
    <s v="Multi"/>
    <s v="RD"/>
    <s v="P"/>
    <n v="19"/>
    <s v="P"/>
    <s v="P"/>
    <s v="P"/>
    <s v="RD"/>
    <n v="0"/>
    <n v="0"/>
    <n v="0"/>
    <n v="2250"/>
    <n v="2250"/>
    <n v="1"/>
    <m/>
    <m/>
  </r>
  <r>
    <x v="1"/>
    <x v="68"/>
    <s v="IL"/>
    <s v="RD"/>
    <s v="P"/>
    <s v="P"/>
    <s v="P"/>
    <s v="P"/>
    <s v="P"/>
    <s v="RD"/>
    <n v="0"/>
    <n v="0"/>
    <n v="0"/>
    <n v="2250"/>
    <n v="2250"/>
    <n v="1"/>
    <m/>
    <m/>
  </r>
  <r>
    <x v="1"/>
    <x v="69"/>
    <s v="KY/IL"/>
    <s v="RD"/>
    <s v="P"/>
    <s v="P"/>
    <s v="P"/>
    <s v="P"/>
    <s v="P"/>
    <s v="RD"/>
    <n v="0"/>
    <n v="0"/>
    <n v="0"/>
    <n v="2250"/>
    <n v="2250"/>
    <n v="1"/>
    <m/>
    <m/>
  </r>
  <r>
    <x v="5"/>
    <x v="70"/>
    <s v="Multi"/>
    <s v="RD"/>
    <s v="P"/>
    <s v="P"/>
    <s v="P"/>
    <s v="P"/>
    <s v="P"/>
    <s v="RD"/>
    <n v="0"/>
    <n v="0"/>
    <n v="0"/>
    <n v="2250"/>
    <n v="2250"/>
    <n v="1"/>
    <m/>
    <m/>
  </r>
  <r>
    <x v="0"/>
    <x v="71"/>
    <s v="KY"/>
    <s v="P"/>
    <n v="14"/>
    <n v="18"/>
    <n v="1"/>
    <n v="3"/>
    <s v="P"/>
    <s v="RD"/>
    <n v="36"/>
    <n v="0"/>
    <n v="36"/>
    <n v="2250"/>
    <n v="2214"/>
    <n v="0.98399999999999999"/>
    <m/>
    <m/>
  </r>
  <r>
    <x v="1"/>
    <x v="72"/>
    <s v="Multi"/>
    <s v="P"/>
    <s v="P"/>
    <s v="RD"/>
    <s v="RD"/>
    <s v="P"/>
    <s v="P"/>
    <s v="P"/>
    <n v="0"/>
    <n v="0"/>
    <n v="0"/>
    <n v="2250"/>
    <n v="2250"/>
    <n v="1"/>
    <n v="1"/>
    <m/>
  </r>
  <r>
    <x v="2"/>
    <x v="73"/>
    <s v="Multi"/>
    <s v="RD"/>
    <s v="RD"/>
    <n v="270"/>
    <n v="10"/>
    <n v="17"/>
    <s v="P"/>
    <s v="P"/>
    <n v="297"/>
    <n v="0"/>
    <n v="297"/>
    <n v="2250"/>
    <n v="1953"/>
    <n v="0.86799999999999999"/>
    <m/>
    <m/>
  </r>
  <r>
    <x v="0"/>
    <x v="74"/>
    <s v="IL"/>
    <s v="P"/>
    <s v="P"/>
    <s v="P"/>
    <n v="5"/>
    <s v="P"/>
    <s v="P"/>
    <s v="RD"/>
    <n v="5"/>
    <n v="0"/>
    <n v="5"/>
    <n v="2250"/>
    <n v="2245"/>
    <n v="0.99777777777777776"/>
    <m/>
    <m/>
  </r>
  <r>
    <x v="0"/>
    <x v="75"/>
    <s v="NJ"/>
    <s v="RD"/>
    <s v="P"/>
    <s v="P"/>
    <s v="P"/>
    <n v="11"/>
    <s v="P"/>
    <s v="RD"/>
    <n v="11"/>
    <n v="0"/>
    <n v="11"/>
    <n v="2250"/>
    <n v="2239"/>
    <n v="0.99511111111111106"/>
    <m/>
    <m/>
  </r>
  <r>
    <x v="0"/>
    <x v="76"/>
    <s v="MA"/>
    <s v="RD"/>
    <s v="P"/>
    <n v="11"/>
    <s v="P"/>
    <n v="7"/>
    <s v="P"/>
    <s v="RD"/>
    <n v="18"/>
    <n v="0"/>
    <n v="18"/>
    <n v="2250"/>
    <n v="2232"/>
    <n v="0.99199999999999999"/>
    <m/>
    <m/>
  </r>
  <r>
    <x v="0"/>
    <x v="77"/>
    <s v="IL"/>
    <s v="RD"/>
    <s v="P"/>
    <s v="P"/>
    <s v="P"/>
    <s v="P"/>
    <s v="P"/>
    <s v="RD"/>
    <n v="0"/>
    <n v="0"/>
    <n v="0"/>
    <n v="2250"/>
    <n v="2250"/>
    <n v="1"/>
    <m/>
    <m/>
  </r>
  <r>
    <x v="2"/>
    <x v="78"/>
    <s v="Multi"/>
    <s v="RD"/>
    <s v="P"/>
    <s v="P"/>
    <s v="P"/>
    <n v="5"/>
    <n v="298"/>
    <s v="P"/>
    <n v="303"/>
    <n v="0"/>
    <n v="303"/>
    <n v="2250"/>
    <n v="1947"/>
    <n v="0.86533333333333329"/>
    <m/>
    <m/>
  </r>
  <r>
    <x v="1"/>
    <x v="79"/>
    <s v="KY"/>
    <s v="P"/>
    <s v="P"/>
    <s v="P"/>
    <s v="RD"/>
    <s v="RD"/>
    <s v="P"/>
    <s v="P"/>
    <n v="0"/>
    <n v="0"/>
    <n v="0"/>
    <n v="2250"/>
    <n v="2250"/>
    <n v="1"/>
    <m/>
    <m/>
  </r>
  <r>
    <x v="0"/>
    <x v="80"/>
    <s v="IL"/>
    <s v="P"/>
    <n v="9"/>
    <s v="P"/>
    <n v="28"/>
    <s v="P"/>
    <s v="P"/>
    <s v="RD"/>
    <n v="37"/>
    <n v="0"/>
    <n v="37"/>
    <n v="2250"/>
    <n v="2213"/>
    <n v="0.98355555555555552"/>
    <m/>
    <m/>
  </r>
  <r>
    <x v="0"/>
    <x v="81"/>
    <s v="MA"/>
    <s v="RD"/>
    <s v="MLOA"/>
    <s v="MLOA"/>
    <s v="MLOA"/>
    <s v="MLOA"/>
    <s v="MLOA"/>
    <s v="RD"/>
    <n v="0"/>
    <n v="0"/>
    <n v="0"/>
    <n v="2250"/>
    <n v="2250"/>
    <n v="1"/>
    <m/>
    <m/>
  </r>
  <r>
    <x v="0"/>
    <x v="82"/>
    <s v="IL"/>
    <s v="P"/>
    <s v="P"/>
    <s v="P"/>
    <s v="P"/>
    <s v="P"/>
    <s v="P"/>
    <s v="RD"/>
    <n v="0"/>
    <n v="0"/>
    <n v="0"/>
    <n v="2250"/>
    <n v="2250"/>
    <n v="1"/>
    <m/>
    <m/>
  </r>
  <r>
    <x v="1"/>
    <x v="83"/>
    <s v="Multi"/>
    <s v="RD"/>
    <s v="P"/>
    <s v="P"/>
    <s v="P"/>
    <s v="P"/>
    <s v="P"/>
    <s v="RD"/>
    <n v="0"/>
    <n v="0"/>
    <n v="0"/>
    <n v="2250"/>
    <n v="2250"/>
    <n v="1"/>
    <m/>
    <m/>
  </r>
  <r>
    <x v="1"/>
    <x v="84"/>
    <s v="KY/IL"/>
    <s v="RD"/>
    <s v="P"/>
    <s v="P"/>
    <s v="P"/>
    <s v="P"/>
    <s v="P"/>
    <s v="RD"/>
    <n v="0"/>
    <n v="0"/>
    <n v="0"/>
    <n v="2250"/>
    <n v="2250"/>
    <n v="1"/>
    <m/>
    <m/>
  </r>
  <r>
    <x v="0"/>
    <x v="85"/>
    <s v="KY"/>
    <s v="RD"/>
    <s v="P"/>
    <n v="450"/>
    <s v="P"/>
    <n v="1"/>
    <s v="P"/>
    <s v="RD"/>
    <n v="1"/>
    <n v="450"/>
    <n v="451"/>
    <n v="2250"/>
    <n v="1799"/>
    <n v="0.79955555555555557"/>
    <m/>
    <m/>
  </r>
  <r>
    <x v="1"/>
    <x v="86"/>
    <s v="IL"/>
    <s v="RD"/>
    <n v="2"/>
    <s v="P"/>
    <s v="P"/>
    <s v="P"/>
    <s v="P"/>
    <s v="RD"/>
    <n v="2"/>
    <n v="0"/>
    <n v="2"/>
    <n v="2250"/>
    <n v="2248"/>
    <n v="0.99911111111111106"/>
    <m/>
    <m/>
  </r>
  <r>
    <x v="0"/>
    <x v="87"/>
    <s v="NJ"/>
    <s v="P"/>
    <s v="P"/>
    <s v="P"/>
    <s v="LWOP"/>
    <s v="P"/>
    <s v="P"/>
    <s v="RD"/>
    <n v="0"/>
    <n v="0"/>
    <n v="0"/>
    <n v="1800"/>
    <n v="1800"/>
    <n v="1"/>
    <m/>
    <n v="1"/>
  </r>
  <r>
    <x v="0"/>
    <x v="88"/>
    <s v="NJ"/>
    <s v="RD"/>
    <s v="P"/>
    <s v="P"/>
    <s v="P"/>
    <s v="P"/>
    <n v="3"/>
    <s v="RD"/>
    <n v="3"/>
    <n v="0"/>
    <n v="3"/>
    <n v="2250"/>
    <n v="2247"/>
    <n v="0.9986666666666667"/>
    <m/>
    <m/>
  </r>
  <r>
    <x v="0"/>
    <x v="89"/>
    <s v="NY"/>
    <s v="P"/>
    <s v="P"/>
    <s v="P"/>
    <s v="P"/>
    <n v="3"/>
    <s v="P"/>
    <s v="RD"/>
    <n v="3"/>
    <n v="0"/>
    <n v="3"/>
    <n v="2250"/>
    <n v="2247"/>
    <n v="0.9986666666666667"/>
    <m/>
    <m/>
  </r>
  <r>
    <x v="0"/>
    <x v="90"/>
    <s v="NJ"/>
    <s v="RD"/>
    <s v="P"/>
    <s v="P"/>
    <s v="P"/>
    <n v="18"/>
    <s v="P"/>
    <s v="RD"/>
    <n v="18"/>
    <n v="0"/>
    <n v="18"/>
    <n v="2250"/>
    <n v="2232"/>
    <n v="0.99199999999999999"/>
    <m/>
    <m/>
  </r>
  <r>
    <x v="1"/>
    <x v="91"/>
    <s v="NJ"/>
    <s v="RD"/>
    <n v="450"/>
    <n v="15"/>
    <n v="7"/>
    <n v="14"/>
    <s v="P"/>
    <s v="RD"/>
    <n v="486"/>
    <n v="450"/>
    <n v="936"/>
    <n v="2250"/>
    <n v="1314"/>
    <n v="0.58399999999999996"/>
    <m/>
    <m/>
  </r>
  <r>
    <x v="0"/>
    <x v="92"/>
    <s v="NY"/>
    <s v="P"/>
    <s v="P"/>
    <s v="P"/>
    <s v="P"/>
    <s v="P"/>
    <s v="P"/>
    <s v="RD"/>
    <n v="0"/>
    <n v="0"/>
    <n v="0"/>
    <n v="2250"/>
    <n v="2250"/>
    <n v="1"/>
    <m/>
    <m/>
  </r>
  <r>
    <x v="1"/>
    <x v="93"/>
    <s v="Multi"/>
    <s v="RD"/>
    <n v="35"/>
    <n v="11"/>
    <n v="8"/>
    <n v="44"/>
    <s v="P"/>
    <s v="RD"/>
    <n v="98"/>
    <n v="0"/>
    <n v="98"/>
    <n v="2250"/>
    <n v="2152"/>
    <n v="0.95644444444444443"/>
    <m/>
    <m/>
  </r>
  <r>
    <x v="1"/>
    <x v="94"/>
    <s v="Multi"/>
    <s v="RD"/>
    <s v="PTO"/>
    <s v="P"/>
    <s v="P"/>
    <s v="P"/>
    <s v="P"/>
    <s v="RD"/>
    <n v="0"/>
    <n v="0"/>
    <n v="0"/>
    <n v="2250"/>
    <n v="2250"/>
    <n v="1"/>
    <m/>
    <m/>
  </r>
  <r>
    <x v="0"/>
    <x v="95"/>
    <s v="NY"/>
    <s v="RD"/>
    <s v="P"/>
    <n v="4"/>
    <s v="P"/>
    <s v="P"/>
    <s v="P"/>
    <s v="RD"/>
    <n v="4"/>
    <n v="0"/>
    <n v="4"/>
    <n v="2250"/>
    <n v="2246"/>
    <n v="0.99822222222222223"/>
    <m/>
    <m/>
  </r>
  <r>
    <x v="6"/>
    <x v="96"/>
    <m/>
    <m/>
    <m/>
    <m/>
    <m/>
    <m/>
    <m/>
    <m/>
    <n v="2362"/>
    <n v="3150"/>
    <n v="5512"/>
    <n v="215100"/>
    <n v="209588"/>
    <n v="0.97448148148148139"/>
    <m/>
    <m/>
  </r>
  <r>
    <x v="6"/>
    <x v="96"/>
    <m/>
    <m/>
    <m/>
    <m/>
    <m/>
    <m/>
    <m/>
    <m/>
    <m/>
    <m/>
    <m/>
    <m/>
    <m/>
    <m/>
    <m/>
    <m/>
  </r>
  <r>
    <x v="6"/>
    <x v="96"/>
    <m/>
    <m/>
    <m/>
    <m/>
    <m/>
    <m/>
    <m/>
    <m/>
    <n v="1.098093909809391E-2"/>
    <n v="1.4644351464435146E-2"/>
    <n v="2.5625290562529057E-2"/>
    <m/>
    <m/>
    <m/>
    <m/>
    <m/>
  </r>
  <r>
    <x v="6"/>
    <x v="96"/>
    <m/>
    <m/>
    <m/>
    <m/>
    <m/>
    <m/>
    <m/>
    <m/>
    <m/>
    <m/>
    <m/>
    <m/>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
  <r>
    <x v="0"/>
    <s v="Alexandra Ortiz"/>
    <s v="KY"/>
    <s v="RD"/>
    <s v="P"/>
    <n v="37"/>
    <s v="LWOP"/>
    <s v="P"/>
    <s v="LWOP"/>
    <s v="RD"/>
    <n v="37"/>
    <n v="0"/>
    <n v="37"/>
    <n v="1350"/>
    <n v="1313"/>
    <n v="0.97259259259259256"/>
    <m/>
    <n v="2"/>
  </r>
  <r>
    <x v="1"/>
    <s v="Alyssa DeGuzman "/>
    <s v="KY"/>
    <s v="P"/>
    <s v="P"/>
    <s v="RD"/>
    <s v="RD"/>
    <n v="32"/>
    <s v="LWOP"/>
    <s v="P"/>
    <n v="32"/>
    <n v="0"/>
    <n v="32"/>
    <n v="1800"/>
    <n v="1768"/>
    <n v="0.98222222222222222"/>
    <m/>
    <n v="1"/>
  </r>
  <r>
    <x v="1"/>
    <s v="Analyn Caniedo "/>
    <s v="IL"/>
    <n v="1"/>
    <s v="P"/>
    <s v="RD"/>
    <s v="RD"/>
    <s v="P"/>
    <s v="P"/>
    <s v="P"/>
    <n v="1"/>
    <n v="0"/>
    <n v="1"/>
    <n v="2250"/>
    <n v="2249"/>
    <n v="0.99955555555555553"/>
    <m/>
    <m/>
  </r>
  <r>
    <x v="0"/>
    <s v="Analyn Diaz "/>
    <s v="NJ"/>
    <s v="RD"/>
    <n v="12"/>
    <n v="450"/>
    <s v="P"/>
    <s v="P"/>
    <n v="26"/>
    <s v="RD"/>
    <n v="38"/>
    <n v="450"/>
    <n v="488"/>
    <n v="2250"/>
    <n v="1762"/>
    <n v="0.78311111111111109"/>
    <m/>
    <m/>
  </r>
  <r>
    <x v="1"/>
    <s v="Andrea Fonacier"/>
    <s v="KY/IL"/>
    <s v="RD"/>
    <n v="2"/>
    <n v="2"/>
    <s v="P"/>
    <s v="P"/>
    <s v="P"/>
    <s v="RD"/>
    <n v="4"/>
    <n v="0"/>
    <n v="4"/>
    <n v="2250"/>
    <n v="2246"/>
    <n v="0.99822222222222223"/>
    <m/>
    <m/>
  </r>
  <r>
    <x v="2"/>
    <s v="Angelica Bautista"/>
    <s v="Multi"/>
    <n v="3"/>
    <s v="P"/>
    <s v="P"/>
    <s v="P"/>
    <s v="P"/>
    <s v="RD"/>
    <s v="RD"/>
    <n v="3"/>
    <n v="0"/>
    <n v="3"/>
    <n v="2250"/>
    <n v="2247"/>
    <n v="0.9986666666666667"/>
    <m/>
    <m/>
  </r>
  <r>
    <x v="0"/>
    <s v="Angelo Agron "/>
    <s v="NJ"/>
    <s v="RD"/>
    <s v="P"/>
    <n v="2"/>
    <n v="11"/>
    <s v="LWOP"/>
    <n v="450"/>
    <s v="RD"/>
    <n v="13"/>
    <n v="450"/>
    <n v="463"/>
    <n v="1800"/>
    <n v="1337"/>
    <n v="0.74277777777777776"/>
    <m/>
    <n v="1"/>
  </r>
  <r>
    <x v="0"/>
    <s v="Anthea Ann Lumen "/>
    <s v="KY"/>
    <s v="RD"/>
    <s v="P"/>
    <n v="2"/>
    <s v="P"/>
    <s v="P"/>
    <s v="P"/>
    <s v="RD"/>
    <n v="2"/>
    <n v="0"/>
    <n v="2"/>
    <n v="2250"/>
    <n v="2248"/>
    <n v="0.99911111111111106"/>
    <m/>
    <m/>
  </r>
  <r>
    <x v="0"/>
    <s v="Anthony Valdez"/>
    <s v="KY"/>
    <s v="RD"/>
    <s v="P"/>
    <s v="P"/>
    <s v="P"/>
    <s v="P"/>
    <s v="P"/>
    <s v="RD"/>
    <n v="0"/>
    <n v="0"/>
    <n v="0"/>
    <n v="2250"/>
    <n v="2250"/>
    <n v="1"/>
    <m/>
    <m/>
  </r>
  <r>
    <x v="2"/>
    <s v="Ar Jean Tudtud"/>
    <s v="Multi"/>
    <s v="RD"/>
    <s v="RD"/>
    <s v="P"/>
    <s v="P"/>
    <s v="P"/>
    <s v="P"/>
    <n v="4"/>
    <n v="4"/>
    <n v="0"/>
    <n v="4"/>
    <n v="2250"/>
    <n v="2246"/>
    <n v="0.99822222222222223"/>
    <m/>
    <m/>
  </r>
  <r>
    <x v="1"/>
    <s v="Arah Blancia "/>
    <s v="IL"/>
    <s v="P"/>
    <s v="P"/>
    <s v="P"/>
    <s v="RD"/>
    <s v="RD"/>
    <s v="P"/>
    <s v="P"/>
    <n v="0"/>
    <n v="0"/>
    <n v="0"/>
    <n v="2250"/>
    <n v="2250"/>
    <n v="1"/>
    <m/>
    <m/>
  </r>
  <r>
    <x v="1"/>
    <s v="Audrey De Leon"/>
    <s v="NJ"/>
    <s v="P"/>
    <s v="P"/>
    <s v="P"/>
    <s v="VL"/>
    <s v="VL"/>
    <n v="450"/>
    <s v="RD"/>
    <m/>
    <n v="450"/>
    <n v="450"/>
    <n v="1800"/>
    <n v="1350"/>
    <n v="0.75"/>
    <n v="2"/>
    <m/>
  </r>
  <r>
    <x v="1"/>
    <s v="Avril Rie Son"/>
    <s v="NJ"/>
    <s v="P"/>
    <s v="P"/>
    <s v="P"/>
    <n v="450"/>
    <s v="P"/>
    <s v="P"/>
    <s v="RD"/>
    <m/>
    <n v="450"/>
    <n v="450"/>
    <n v="2250"/>
    <n v="1800"/>
    <n v="0.8"/>
    <m/>
    <m/>
  </r>
  <r>
    <x v="1"/>
    <s v="Bea Mercado "/>
    <s v="NJ"/>
    <s v="RD"/>
    <s v="P"/>
    <s v="P"/>
    <s v="P"/>
    <s v="P"/>
    <s v="P"/>
    <s v="RD"/>
    <n v="0"/>
    <n v="0"/>
    <n v="0"/>
    <n v="2250"/>
    <n v="2250"/>
    <n v="1"/>
    <m/>
    <m/>
  </r>
  <r>
    <x v="1"/>
    <s v="Charlene Valdez"/>
    <s v="MA/NY/NJ (KY/IL)"/>
    <s v="RD"/>
    <s v="P"/>
    <n v="450"/>
    <s v="P"/>
    <s v="P"/>
    <s v="P"/>
    <s v="RD"/>
    <m/>
    <n v="450"/>
    <n v="450"/>
    <n v="2250"/>
    <n v="1800"/>
    <n v="0.8"/>
    <m/>
    <m/>
  </r>
  <r>
    <x v="1"/>
    <s v="Charyselle Cadelina "/>
    <s v="KY"/>
    <s v="RD"/>
    <s v="P"/>
    <s v="P"/>
    <s v="P"/>
    <n v="450"/>
    <n v="450"/>
    <s v="RD"/>
    <m/>
    <n v="900"/>
    <n v="900"/>
    <n v="2250"/>
    <n v="1350"/>
    <n v="0.6"/>
    <m/>
    <m/>
  </r>
  <r>
    <x v="2"/>
    <s v="Collen Silapan"/>
    <s v="Multi"/>
    <s v="P"/>
    <s v="P"/>
    <n v="28"/>
    <s v="P"/>
    <s v="P"/>
    <s v="RD"/>
    <s v="RD"/>
    <n v="28"/>
    <n v="0"/>
    <n v="28"/>
    <n v="2250"/>
    <n v="2222"/>
    <n v="0.98755555555555552"/>
    <m/>
    <m/>
  </r>
  <r>
    <x v="1"/>
    <s v="Danielle Generao "/>
    <s v="KY"/>
    <s v="RD"/>
    <n v="107"/>
    <s v="P"/>
    <s v="P"/>
    <s v="P"/>
    <s v="LWOP"/>
    <s v="RD"/>
    <n v="107"/>
    <n v="0"/>
    <n v="107"/>
    <n v="1800"/>
    <n v="1693"/>
    <n v="0.94055555555555559"/>
    <m/>
    <n v="1"/>
  </r>
  <r>
    <x v="1"/>
    <s v="Edmark Bania"/>
    <s v="Multi"/>
    <s v="RD"/>
    <s v="P"/>
    <s v="P"/>
    <s v="P"/>
    <s v="P"/>
    <s v="P"/>
    <s v="RD"/>
    <n v="0"/>
    <n v="0"/>
    <n v="0"/>
    <n v="2250"/>
    <n v="2250"/>
    <n v="1"/>
    <m/>
    <m/>
  </r>
  <r>
    <x v="0"/>
    <s v="Eldrick Loreno"/>
    <s v="NY"/>
    <s v="RD"/>
    <s v="VL"/>
    <s v="P"/>
    <n v="61"/>
    <n v="450"/>
    <s v="P"/>
    <s v="RD"/>
    <n v="61"/>
    <n v="450"/>
    <n v="511"/>
    <n v="1800"/>
    <n v="1289"/>
    <n v="0.71611111111111114"/>
    <n v="1"/>
    <m/>
  </r>
  <r>
    <x v="3"/>
    <s v="Erika Ramos"/>
    <s v="Multi"/>
    <s v="RD"/>
    <s v="P"/>
    <n v="16"/>
    <s v="P"/>
    <s v="P"/>
    <s v="P"/>
    <s v="RD"/>
    <n v="16"/>
    <n v="0"/>
    <n v="16"/>
    <n v="2250"/>
    <n v="2234"/>
    <n v="0.99288888888888893"/>
    <m/>
    <m/>
  </r>
  <r>
    <x v="0"/>
    <s v="Ethel Gregorio "/>
    <s v="MA"/>
    <s v="RD"/>
    <s v="P"/>
    <n v="450"/>
    <n v="12"/>
    <n v="8"/>
    <n v="13"/>
    <s v="RD"/>
    <n v="33"/>
    <n v="450"/>
    <n v="483"/>
    <n v="2250"/>
    <n v="1767"/>
    <n v="0.78533333333333333"/>
    <m/>
    <m/>
  </r>
  <r>
    <x v="0"/>
    <s v="Eunice Bargo "/>
    <s v="MA"/>
    <s v="RD"/>
    <s v="P"/>
    <s v="P"/>
    <s v="P"/>
    <s v="P"/>
    <s v="P"/>
    <s v="RD"/>
    <n v="0"/>
    <n v="0"/>
    <n v="0"/>
    <n v="2250"/>
    <n v="2250"/>
    <n v="1"/>
    <m/>
    <m/>
  </r>
  <r>
    <x v="1"/>
    <s v="Eunice Padadnan"/>
    <s v="NY"/>
    <s v="RD"/>
    <s v="P"/>
    <s v="P"/>
    <s v="P"/>
    <s v="P"/>
    <s v="P"/>
    <s v="RD"/>
    <n v="0"/>
    <n v="0"/>
    <n v="0"/>
    <n v="2250"/>
    <n v="2250"/>
    <n v="1"/>
    <m/>
    <m/>
  </r>
  <r>
    <x v="0"/>
    <s v="Femie DC Domenden "/>
    <s v="IL"/>
    <s v="RD"/>
    <s v="P"/>
    <s v="P"/>
    <s v="P"/>
    <s v="P"/>
    <s v="P"/>
    <s v="RD"/>
    <n v="0"/>
    <n v="0"/>
    <n v="0"/>
    <n v="2250"/>
    <n v="2250"/>
    <n v="1"/>
    <m/>
    <m/>
  </r>
  <r>
    <x v="1"/>
    <s v="Francis Alba"/>
    <s v="Multi"/>
    <s v="RD"/>
    <n v="450"/>
    <s v="P"/>
    <s v="P"/>
    <s v="P"/>
    <s v="P"/>
    <s v="RD"/>
    <m/>
    <n v="450"/>
    <n v="450"/>
    <n v="2250"/>
    <n v="1800"/>
    <n v="0.8"/>
    <m/>
    <m/>
  </r>
  <r>
    <x v="0"/>
    <s v="Francis Narboneta "/>
    <s v="IL"/>
    <s v="RD"/>
    <s v="P"/>
    <s v="P"/>
    <s v="LWOP"/>
    <s v="P"/>
    <s v="P"/>
    <s v="RD"/>
    <n v="0"/>
    <n v="0"/>
    <n v="0"/>
    <n v="1800"/>
    <n v="1800"/>
    <n v="1"/>
    <m/>
    <n v="1"/>
  </r>
  <r>
    <x v="0"/>
    <s v="Gladys Astilla "/>
    <s v="MA"/>
    <s v="RD"/>
    <s v="P"/>
    <n v="5"/>
    <s v="P"/>
    <s v="P"/>
    <s v="P"/>
    <s v="RD"/>
    <n v="5"/>
    <n v="0"/>
    <n v="5"/>
    <n v="2250"/>
    <n v="2245"/>
    <n v="0.99777777777777776"/>
    <m/>
    <m/>
  </r>
  <r>
    <x v="1"/>
    <s v="Glessie DeJesus"/>
    <s v="KY"/>
    <s v="RD"/>
    <s v="P"/>
    <n v="450"/>
    <n v="450"/>
    <s v="P"/>
    <s v="P"/>
    <s v="RD"/>
    <m/>
    <n v="900"/>
    <n v="900"/>
    <n v="2250"/>
    <n v="1350"/>
    <n v="0.6"/>
    <m/>
    <m/>
  </r>
  <r>
    <x v="0"/>
    <s v="Glory Nabayra "/>
    <s v="IL"/>
    <s v="RD"/>
    <n v="3"/>
    <s v="P"/>
    <s v="P"/>
    <n v="12"/>
    <s v="P"/>
    <s v="RD"/>
    <n v="15"/>
    <n v="0"/>
    <n v="15"/>
    <n v="2250"/>
    <n v="2235"/>
    <n v="0.99333333333333329"/>
    <m/>
    <m/>
  </r>
  <r>
    <x v="1"/>
    <s v="Hanna Arceo"/>
    <s v="KY"/>
    <s v="RD"/>
    <s v="P"/>
    <n v="5"/>
    <s v="P"/>
    <s v="P"/>
    <s v="P"/>
    <s v="RD"/>
    <n v="5"/>
    <n v="0"/>
    <n v="5"/>
    <n v="2250"/>
    <n v="2245"/>
    <n v="0.99777777777777776"/>
    <m/>
    <m/>
  </r>
  <r>
    <x v="4"/>
    <s v="Hans Ruan"/>
    <s v="Multi"/>
    <s v="RD"/>
    <s v="VL"/>
    <s v="P"/>
    <s v="P"/>
    <s v="P"/>
    <n v="9"/>
    <s v="RD"/>
    <n v="9"/>
    <n v="0"/>
    <n v="9"/>
    <n v="1800"/>
    <n v="1791"/>
    <n v="0.995"/>
    <n v="1"/>
    <m/>
  </r>
  <r>
    <x v="2"/>
    <s v="Hazelyn Rodrigo"/>
    <s v="Multi"/>
    <s v="P"/>
    <s v="P"/>
    <s v="RD"/>
    <s v="RD"/>
    <n v="15"/>
    <s v="P"/>
    <n v="43"/>
    <n v="58"/>
    <n v="0"/>
    <n v="58"/>
    <n v="2250"/>
    <n v="2192"/>
    <n v="0.97422222222222221"/>
    <m/>
    <m/>
  </r>
  <r>
    <x v="1"/>
    <s v="Iris Dahnielle Andalleon "/>
    <s v="Multi"/>
    <s v="P"/>
    <s v="P"/>
    <s v="P"/>
    <s v="RD"/>
    <s v="RD"/>
    <n v="1"/>
    <s v="P"/>
    <n v="1"/>
    <n v="0"/>
    <n v="1"/>
    <n v="2250"/>
    <n v="2249"/>
    <n v="0.99955555555555553"/>
    <m/>
    <m/>
  </r>
  <r>
    <x v="2"/>
    <s v="Isabela Arellano"/>
    <s v="Multi"/>
    <s v="P"/>
    <n v="4"/>
    <s v="P"/>
    <s v="P"/>
    <s v="P"/>
    <s v="RD"/>
    <s v="RD"/>
    <n v="4"/>
    <n v="0"/>
    <n v="4"/>
    <n v="2250"/>
    <n v="2246"/>
    <n v="0.99822222222222223"/>
    <m/>
    <m/>
  </r>
  <r>
    <x v="0"/>
    <s v="Iverson Libranda"/>
    <s v="IL"/>
    <s v="RD"/>
    <s v="P"/>
    <s v="P"/>
    <n v="8"/>
    <s v="P"/>
    <s v="P"/>
    <s v="RD"/>
    <n v="8"/>
    <n v="0"/>
    <n v="8"/>
    <n v="2250"/>
    <n v="2242"/>
    <n v="0.99644444444444447"/>
    <m/>
    <m/>
  </r>
  <r>
    <x v="0"/>
    <s v="Jason Cruz"/>
    <s v="MA"/>
    <s v="RD"/>
    <n v="15"/>
    <s v="VL"/>
    <s v="P"/>
    <s v="P"/>
    <s v="P"/>
    <s v="RD"/>
    <n v="15"/>
    <n v="0"/>
    <n v="15"/>
    <n v="1800"/>
    <n v="1785"/>
    <n v="0.9916666666666667"/>
    <n v="1"/>
    <m/>
  </r>
  <r>
    <x v="1"/>
    <s v="Jean Tan"/>
    <s v="NY NJ"/>
    <s v="RD"/>
    <s v="P"/>
    <s v="P"/>
    <s v="P"/>
    <s v="P"/>
    <s v="P"/>
    <s v="RD"/>
    <n v="0"/>
    <n v="0"/>
    <n v="0"/>
    <n v="2250"/>
    <n v="2250"/>
    <n v="1"/>
    <m/>
    <m/>
  </r>
  <r>
    <x v="1"/>
    <s v="Jeannie Bajaro"/>
    <s v="Multi"/>
    <s v="P"/>
    <s v="P"/>
    <s v="RD"/>
    <s v="RD"/>
    <s v="P"/>
    <s v="P"/>
    <s v="P"/>
    <n v="0"/>
    <n v="0"/>
    <n v="0"/>
    <n v="2250"/>
    <n v="2250"/>
    <n v="1"/>
    <m/>
    <m/>
  </r>
  <r>
    <x v="1"/>
    <s v="Jericho Crame "/>
    <s v="NJ"/>
    <s v="RD"/>
    <s v="P"/>
    <s v="P"/>
    <s v="P"/>
    <s v="P"/>
    <s v="P"/>
    <s v="RD"/>
    <n v="0"/>
    <n v="0"/>
    <n v="0"/>
    <n v="2250"/>
    <n v="2250"/>
    <n v="1"/>
    <m/>
    <m/>
  </r>
  <r>
    <x v="0"/>
    <s v="Jesslyn Gatbunton "/>
    <s v="NJ"/>
    <s v="RD"/>
    <s v="P"/>
    <s v="P"/>
    <s v="P"/>
    <n v="283"/>
    <n v="44"/>
    <s v="RD"/>
    <n v="327"/>
    <n v="0"/>
    <n v="327"/>
    <n v="2250"/>
    <n v="1923"/>
    <n v="0.85466666666666669"/>
    <m/>
    <m/>
  </r>
  <r>
    <x v="1"/>
    <s v="Jester Limpin"/>
    <s v="Multi"/>
    <s v="P"/>
    <n v="450"/>
    <s v="P"/>
    <s v="RD"/>
    <s v="P"/>
    <s v="P"/>
    <s v="RD"/>
    <m/>
    <n v="450"/>
    <n v="450"/>
    <n v="2250"/>
    <n v="1800"/>
    <n v="0.8"/>
    <m/>
    <m/>
  </r>
  <r>
    <x v="3"/>
    <s v="Jewel Mondina"/>
    <s v="Multi"/>
    <s v="RD"/>
    <s v="P"/>
    <n v="450"/>
    <s v="P"/>
    <s v="P"/>
    <s v="P"/>
    <s v="RD"/>
    <m/>
    <n v="450"/>
    <n v="450"/>
    <n v="2250"/>
    <n v="1800"/>
    <n v="0.8"/>
    <m/>
    <m/>
  </r>
  <r>
    <x v="0"/>
    <s v="Jimwell Osiang"/>
    <s v="MA"/>
    <s v="RD"/>
    <s v="P"/>
    <n v="1"/>
    <s v="P"/>
    <s v="P"/>
    <s v="P"/>
    <s v="RD"/>
    <n v="1"/>
    <n v="0"/>
    <n v="1"/>
    <n v="2250"/>
    <n v="2249"/>
    <n v="0.99955555555555553"/>
    <m/>
    <m/>
  </r>
  <r>
    <x v="1"/>
    <s v="Jizelle Delos Reyes "/>
    <s v="NY"/>
    <s v="RD"/>
    <s v="P"/>
    <s v="P"/>
    <s v="P"/>
    <s v="P"/>
    <s v="P"/>
    <s v="RD"/>
    <n v="0"/>
    <n v="0"/>
    <n v="0"/>
    <n v="2250"/>
    <n v="2250"/>
    <n v="1"/>
    <m/>
    <m/>
  </r>
  <r>
    <x v="1"/>
    <s v="Joanna Cabrera"/>
    <s v="NJ"/>
    <s v="RD"/>
    <s v="P"/>
    <s v="P"/>
    <s v="P"/>
    <s v="P"/>
    <s v="P"/>
    <s v="RD"/>
    <n v="0"/>
    <n v="0"/>
    <n v="0"/>
    <n v="2250"/>
    <n v="2250"/>
    <n v="1"/>
    <m/>
    <m/>
  </r>
  <r>
    <x v="0"/>
    <s v="Johnella Lopez "/>
    <s v="KY"/>
    <s v="RD"/>
    <s v="P"/>
    <s v="P"/>
    <n v="5"/>
    <s v="P"/>
    <s v="P"/>
    <s v="RD"/>
    <n v="5"/>
    <n v="0"/>
    <n v="5"/>
    <n v="2250"/>
    <n v="2245"/>
    <n v="0.99777777777777776"/>
    <m/>
    <m/>
  </r>
  <r>
    <x v="1"/>
    <s v="Jonathan Marquez "/>
    <s v="Multi"/>
    <s v="RD"/>
    <n v="9"/>
    <n v="2"/>
    <s v="P"/>
    <n v="18"/>
    <n v="3"/>
    <n v="14"/>
    <n v="46"/>
    <n v="0"/>
    <n v="46"/>
    <n v="2250"/>
    <n v="2204"/>
    <n v="0.97955555555555551"/>
    <m/>
    <m/>
  </r>
  <r>
    <x v="2"/>
    <s v="Josea Aseron"/>
    <s v="Multi"/>
    <s v="RD"/>
    <s v="RD"/>
    <n v="28"/>
    <s v="P"/>
    <s v="P"/>
    <s v="P"/>
    <s v="P"/>
    <n v="28"/>
    <n v="0"/>
    <n v="28"/>
    <n v="2250"/>
    <n v="2222"/>
    <n v="0.98755555555555552"/>
    <m/>
    <m/>
  </r>
  <r>
    <x v="0"/>
    <s v="Joshua Joaquin"/>
    <s v="IL"/>
    <s v="RD"/>
    <s v="P"/>
    <s v="P"/>
    <s v="P"/>
    <s v="P"/>
    <s v="P"/>
    <s v="RD"/>
    <n v="0"/>
    <n v="0"/>
    <n v="0"/>
    <n v="2250"/>
    <n v="2250"/>
    <n v="1"/>
    <m/>
    <m/>
  </r>
  <r>
    <x v="0"/>
    <s v="Jouse Baquiran"/>
    <s v="NJ"/>
    <s v="RD"/>
    <s v="P"/>
    <s v="P"/>
    <s v="P"/>
    <s v="P"/>
    <s v="P"/>
    <s v="RD"/>
    <n v="0"/>
    <n v="0"/>
    <n v="0"/>
    <n v="2250"/>
    <n v="2250"/>
    <n v="1"/>
    <m/>
    <m/>
  </r>
  <r>
    <x v="0"/>
    <s v="Julieann Manasan"/>
    <s v="MA"/>
    <s v="RD"/>
    <s v="P"/>
    <s v="P"/>
    <s v="P"/>
    <s v="P"/>
    <s v="P"/>
    <s v="RD"/>
    <n v="0"/>
    <n v="0"/>
    <n v="0"/>
    <n v="2250"/>
    <n v="2250"/>
    <n v="1"/>
    <m/>
    <m/>
  </r>
  <r>
    <x v="1"/>
    <s v="Jullyca Oblefias"/>
    <s v="NY"/>
    <s v="RD"/>
    <s v="P"/>
    <s v="P"/>
    <s v="P"/>
    <s v="P"/>
    <s v="P"/>
    <s v="RD"/>
    <n v="0"/>
    <n v="0"/>
    <n v="0"/>
    <n v="2250"/>
    <n v="2250"/>
    <n v="1"/>
    <m/>
    <m/>
  </r>
  <r>
    <x v="4"/>
    <s v="Karl Solomon"/>
    <s v="Multi"/>
    <s v="RD"/>
    <s v="P"/>
    <s v="P"/>
    <s v="P"/>
    <s v="P"/>
    <s v="P"/>
    <s v="RD"/>
    <n v="0"/>
    <n v="0"/>
    <n v="0"/>
    <n v="2250"/>
    <n v="2250"/>
    <n v="1"/>
    <m/>
    <m/>
  </r>
  <r>
    <x v="1"/>
    <s v="Karlos De Leon "/>
    <s v="NJ"/>
    <n v="450"/>
    <n v="450"/>
    <n v="450"/>
    <n v="450"/>
    <n v="450"/>
    <n v="450"/>
    <s v="RD"/>
    <m/>
    <n v="2700"/>
    <n v="2700"/>
    <n v="2250"/>
    <n v="-450"/>
    <n v="-0.2"/>
    <m/>
    <m/>
  </r>
  <r>
    <x v="0"/>
    <s v="Kate Constantino"/>
    <s v="KY"/>
    <s v="RD"/>
    <n v="14"/>
    <s v="VL"/>
    <s v="P"/>
    <s v="P"/>
    <s v="P"/>
    <s v="RD"/>
    <n v="14"/>
    <n v="0"/>
    <n v="14"/>
    <n v="1800"/>
    <n v="1786"/>
    <n v="0.99222222222222223"/>
    <n v="1"/>
    <m/>
  </r>
  <r>
    <x v="2"/>
    <s v="Katrina Go"/>
    <s v="Multi"/>
    <s v="RD"/>
    <s v="RD"/>
    <s v="P"/>
    <s v="P"/>
    <s v="P"/>
    <s v="P"/>
    <n v="450"/>
    <m/>
    <n v="450"/>
    <n v="450"/>
    <n v="2250"/>
    <n v="1800"/>
    <n v="0.8"/>
    <m/>
    <m/>
  </r>
  <r>
    <x v="1"/>
    <s v="Kaxyleh Masilongan "/>
    <s v="NY"/>
    <s v="RD"/>
    <s v="P"/>
    <s v="P"/>
    <s v="P"/>
    <s v="P"/>
    <n v="4"/>
    <s v="RD"/>
    <n v="4"/>
    <n v="0"/>
    <n v="4"/>
    <n v="2250"/>
    <n v="2246"/>
    <n v="0.99822222222222223"/>
    <m/>
    <m/>
  </r>
  <r>
    <x v="2"/>
    <s v="Kiana Brown"/>
    <s v="Multi"/>
    <s v="RD"/>
    <s v="RD"/>
    <s v="P"/>
    <s v="P"/>
    <s v="P"/>
    <s v="P"/>
    <s v="P"/>
    <n v="0"/>
    <n v="0"/>
    <n v="0"/>
    <n v="2250"/>
    <n v="2250"/>
    <n v="1"/>
    <m/>
    <m/>
  </r>
  <r>
    <x v="1"/>
    <s v="Kizzy Serrano "/>
    <s v="IL"/>
    <s v="RD"/>
    <s v="P"/>
    <s v="P"/>
    <s v="P"/>
    <s v="P"/>
    <s v="P"/>
    <s v="RD"/>
    <n v="0"/>
    <n v="0"/>
    <n v="0"/>
    <n v="2250"/>
    <n v="2250"/>
    <n v="1"/>
    <m/>
    <m/>
  </r>
  <r>
    <x v="0"/>
    <s v="Kyzen Hayagan "/>
    <s v="MA"/>
    <s v="RD"/>
    <s v="P"/>
    <s v="P"/>
    <s v="P"/>
    <s v="P"/>
    <s v="P"/>
    <s v="RD"/>
    <n v="0"/>
    <n v="0"/>
    <n v="0"/>
    <n v="2250"/>
    <n v="2250"/>
    <n v="1"/>
    <m/>
    <m/>
  </r>
  <r>
    <x v="0"/>
    <s v="Lea Alagadmo"/>
    <s v="MA"/>
    <s v="RD"/>
    <s v="P"/>
    <s v="P"/>
    <s v="VL"/>
    <s v="VL"/>
    <n v="450"/>
    <s v="RD"/>
    <m/>
    <n v="450"/>
    <n v="450"/>
    <n v="1350"/>
    <n v="900"/>
    <n v="0.66666666666666663"/>
    <n v="2"/>
    <m/>
  </r>
  <r>
    <x v="4"/>
    <s v="Leo Olesco "/>
    <s v="Multi"/>
    <s v="RD"/>
    <s v="P"/>
    <s v="P"/>
    <s v="P"/>
    <s v="P"/>
    <s v="P"/>
    <s v="RD"/>
    <n v="0"/>
    <n v="0"/>
    <n v="0"/>
    <n v="2250"/>
    <n v="2250"/>
    <n v="1"/>
    <m/>
    <m/>
  </r>
  <r>
    <x v="0"/>
    <s v="Lorraine Cabantac "/>
    <s v="NJ"/>
    <s v="RD"/>
    <s v="P"/>
    <s v="P"/>
    <s v="P"/>
    <s v="P"/>
    <s v="P"/>
    <s v="RD"/>
    <n v="0"/>
    <n v="0"/>
    <n v="0"/>
    <n v="2250"/>
    <n v="2250"/>
    <n v="1"/>
    <m/>
    <m/>
  </r>
  <r>
    <x v="0"/>
    <s v="Louis Cantillion"/>
    <s v="NJ"/>
    <s v="RD"/>
    <s v="P"/>
    <s v="P"/>
    <s v="P"/>
    <s v="P"/>
    <n v="15"/>
    <s v="RD"/>
    <n v="15"/>
    <n v="0"/>
    <n v="15"/>
    <n v="2250"/>
    <n v="2235"/>
    <n v="0.99333333333333329"/>
    <m/>
    <m/>
  </r>
  <r>
    <x v="1"/>
    <s v="Margie Theres A Magluyan "/>
    <s v="Multi"/>
    <s v="P"/>
    <s v="P"/>
    <n v="73"/>
    <s v="RD"/>
    <s v="RD"/>
    <s v="P"/>
    <s v="P"/>
    <n v="73"/>
    <n v="0"/>
    <n v="73"/>
    <n v="2250"/>
    <n v="2177"/>
    <n v="0.9675555555555555"/>
    <m/>
    <m/>
  </r>
  <r>
    <x v="0"/>
    <s v="Marion Vien Santos"/>
    <s v="KY"/>
    <s v="RD"/>
    <n v="450"/>
    <n v="6"/>
    <s v="P"/>
    <s v="P"/>
    <s v="P"/>
    <s v="RD"/>
    <n v="6"/>
    <n v="450"/>
    <n v="456"/>
    <n v="2250"/>
    <n v="1794"/>
    <n v="0.79733333333333334"/>
    <m/>
    <m/>
  </r>
  <r>
    <x v="0"/>
    <s v="Mark Bienes "/>
    <s v="NY"/>
    <s v="RD"/>
    <s v="P"/>
    <s v="P"/>
    <s v="P"/>
    <s v="P"/>
    <n v="9"/>
    <s v="RD"/>
    <n v="9"/>
    <n v="0"/>
    <n v="9"/>
    <n v="2250"/>
    <n v="2241"/>
    <n v="0.996"/>
    <m/>
    <m/>
  </r>
  <r>
    <x v="0"/>
    <s v="Mark Frankie Pecolera"/>
    <s v="IL"/>
    <s v="RD"/>
    <s v="P"/>
    <s v="P"/>
    <s v="P"/>
    <s v="P"/>
    <s v="P"/>
    <s v="RD"/>
    <n v="0"/>
    <n v="0"/>
    <n v="0"/>
    <n v="2250"/>
    <n v="2250"/>
    <n v="1"/>
    <m/>
    <m/>
  </r>
  <r>
    <x v="4"/>
    <s v="Mark Metra"/>
    <s v="Multi"/>
    <s v="RD"/>
    <s v="P"/>
    <s v="P"/>
    <s v="P"/>
    <s v="P"/>
    <n v="450"/>
    <s v="RD"/>
    <m/>
    <n v="450"/>
    <n v="450"/>
    <n v="2250"/>
    <n v="1800"/>
    <n v="0.8"/>
    <m/>
    <m/>
  </r>
  <r>
    <x v="1"/>
    <s v="Mary Dela Cruz "/>
    <s v="IL"/>
    <s v="RD"/>
    <s v="P"/>
    <s v="P"/>
    <s v="P"/>
    <s v="P"/>
    <s v="P"/>
    <s v="RD"/>
    <n v="0"/>
    <n v="0"/>
    <n v="0"/>
    <n v="2250"/>
    <n v="2250"/>
    <n v="1"/>
    <m/>
    <m/>
  </r>
  <r>
    <x v="1"/>
    <s v="Mary Kilario"/>
    <s v="KY/IL"/>
    <s v="RD"/>
    <s v="VL"/>
    <s v="P"/>
    <s v="P"/>
    <s v="P"/>
    <s v="P"/>
    <s v="RD"/>
    <n v="0"/>
    <n v="0"/>
    <n v="0"/>
    <n v="1800"/>
    <n v="1800"/>
    <n v="1"/>
    <n v="1"/>
    <m/>
  </r>
  <r>
    <x v="5"/>
    <s v="Mayann Somera"/>
    <s v="Multi"/>
    <s v="RD"/>
    <s v="P"/>
    <s v="P"/>
    <s v="P"/>
    <s v="P"/>
    <s v="P"/>
    <s v="RD"/>
    <n v="0"/>
    <n v="0"/>
    <n v="0"/>
    <n v="2250"/>
    <n v="2250"/>
    <n v="1"/>
    <m/>
    <m/>
  </r>
  <r>
    <x v="0"/>
    <s v="Mherica Santos "/>
    <s v="KY"/>
    <s v="RD"/>
    <s v="P"/>
    <s v="P"/>
    <s v="P"/>
    <s v="P"/>
    <s v="P"/>
    <s v="RD"/>
    <n v="0"/>
    <n v="0"/>
    <n v="0"/>
    <n v="2250"/>
    <n v="2250"/>
    <n v="1"/>
    <m/>
    <m/>
  </r>
  <r>
    <x v="1"/>
    <s v="Mikaella Santos"/>
    <s v="Multi"/>
    <s v="P"/>
    <s v="P"/>
    <s v="RD"/>
    <s v="RD"/>
    <s v="P"/>
    <s v="P"/>
    <s v="P"/>
    <n v="0"/>
    <n v="0"/>
    <n v="0"/>
    <n v="2250"/>
    <n v="2250"/>
    <n v="1"/>
    <m/>
    <m/>
  </r>
  <r>
    <x v="2"/>
    <s v="Nerissa Ong"/>
    <s v="Multi"/>
    <s v="RD"/>
    <s v="RD"/>
    <n v="21"/>
    <s v="P"/>
    <s v="P"/>
    <n v="16"/>
    <n v="450"/>
    <n v="37"/>
    <n v="450"/>
    <n v="487"/>
    <n v="2250"/>
    <n v="1763"/>
    <n v="0.78355555555555556"/>
    <m/>
    <m/>
  </r>
  <r>
    <x v="0"/>
    <s v="Noemi Landerito"/>
    <s v="IL"/>
    <s v="RD"/>
    <n v="4"/>
    <n v="4"/>
    <s v="P"/>
    <s v="P"/>
    <s v="P"/>
    <s v="RD"/>
    <n v="8"/>
    <n v="0"/>
    <n v="8"/>
    <n v="2250"/>
    <n v="2242"/>
    <n v="0.99644444444444447"/>
    <m/>
    <m/>
  </r>
  <r>
    <x v="0"/>
    <s v="Patricia Busio "/>
    <s v="NJ"/>
    <s v="RD"/>
    <s v="P"/>
    <n v="7"/>
    <s v="P"/>
    <s v="P"/>
    <s v="P"/>
    <s v="RD"/>
    <n v="7"/>
    <n v="0"/>
    <n v="7"/>
    <n v="2250"/>
    <n v="2243"/>
    <n v="0.99688888888888894"/>
    <m/>
    <m/>
  </r>
  <r>
    <x v="0"/>
    <s v="Rafunzel M Manuel "/>
    <s v="MA"/>
    <s v="RD"/>
    <s v="P"/>
    <n v="20"/>
    <s v="P"/>
    <s v="P"/>
    <n v="7"/>
    <s v="RD"/>
    <n v="27"/>
    <n v="0"/>
    <n v="27"/>
    <n v="2250"/>
    <n v="2223"/>
    <n v="0.98799999999999999"/>
    <m/>
    <m/>
  </r>
  <r>
    <x v="0"/>
    <s v="Raphael Macasocol"/>
    <s v="IL"/>
    <s v="RD"/>
    <s v="P"/>
    <s v="P"/>
    <n v="450"/>
    <s v="P"/>
    <s v="P"/>
    <s v="RD"/>
    <m/>
    <n v="450"/>
    <n v="450"/>
    <n v="2250"/>
    <n v="1800"/>
    <n v="0.8"/>
    <m/>
    <m/>
  </r>
  <r>
    <x v="2"/>
    <s v="Remaden Bautista "/>
    <s v="Multi"/>
    <s v="RD"/>
    <n v="2"/>
    <s v="P"/>
    <n v="17"/>
    <s v="P"/>
    <s v="P"/>
    <s v="RD"/>
    <n v="19"/>
    <n v="0"/>
    <n v="19"/>
    <n v="2250"/>
    <n v="2231"/>
    <n v="0.99155555555555552"/>
    <m/>
    <m/>
  </r>
  <r>
    <x v="1"/>
    <s v="Rhona Sanejo"/>
    <s v="KY"/>
    <s v="P"/>
    <s v="P"/>
    <s v="P"/>
    <s v="RD"/>
    <s v="RD"/>
    <s v="P"/>
    <s v="P"/>
    <n v="0"/>
    <n v="0"/>
    <n v="0"/>
    <n v="2250"/>
    <n v="2250"/>
    <n v="1"/>
    <m/>
    <m/>
  </r>
  <r>
    <x v="0"/>
    <s v="Ricalyn Clarencio "/>
    <s v="IL"/>
    <s v="RD"/>
    <s v="P"/>
    <s v="P"/>
    <n v="7"/>
    <s v="P"/>
    <s v="P"/>
    <s v="RD"/>
    <n v="7"/>
    <n v="0"/>
    <n v="7"/>
    <n v="2250"/>
    <n v="2243"/>
    <n v="0.99688888888888894"/>
    <m/>
    <m/>
  </r>
  <r>
    <x v="0"/>
    <s v="Rosalinda Pantua"/>
    <s v="MA"/>
    <s v="RD"/>
    <s v="P"/>
    <s v="P"/>
    <s v="P"/>
    <n v="450"/>
    <n v="450"/>
    <s v="RD"/>
    <m/>
    <n v="900"/>
    <n v="900"/>
    <n v="2250"/>
    <n v="1350"/>
    <n v="0.6"/>
    <m/>
    <m/>
  </r>
  <r>
    <x v="0"/>
    <s v="Roxinne Madolid "/>
    <s v="IL"/>
    <s v="RD"/>
    <s v="P"/>
    <s v="P"/>
    <s v="P"/>
    <s v="P"/>
    <s v="P"/>
    <s v="RD"/>
    <n v="0"/>
    <n v="0"/>
    <n v="0"/>
    <n v="2250"/>
    <n v="2250"/>
    <n v="1"/>
    <m/>
    <m/>
  </r>
  <r>
    <x v="1"/>
    <s v="Rubyneil Abejero"/>
    <s v="Multi"/>
    <s v="RD"/>
    <n v="20"/>
    <s v="P"/>
    <s v="P"/>
    <s v="P"/>
    <s v="P"/>
    <s v="RD"/>
    <n v="20"/>
    <n v="0"/>
    <n v="20"/>
    <n v="2250"/>
    <n v="2230"/>
    <n v="0.99111111111111116"/>
    <m/>
    <m/>
  </r>
  <r>
    <x v="1"/>
    <s v="Ruth Dela Cruz"/>
    <s v="KY/IL"/>
    <s v="RD"/>
    <s v="P"/>
    <s v="P"/>
    <s v="P"/>
    <n v="450"/>
    <s v="VL"/>
    <s v="RD"/>
    <m/>
    <n v="450"/>
    <n v="450"/>
    <n v="1800"/>
    <n v="1350"/>
    <n v="0.75"/>
    <n v="1"/>
    <m/>
  </r>
  <r>
    <x v="0"/>
    <s v="Ryan Rillo"/>
    <s v="KY"/>
    <s v="RD"/>
    <s v="P"/>
    <s v="P"/>
    <s v="P"/>
    <n v="450"/>
    <s v="P"/>
    <s v="RD"/>
    <m/>
    <n v="450"/>
    <n v="450"/>
    <n v="2250"/>
    <n v="1800"/>
    <n v="0.8"/>
    <m/>
    <m/>
  </r>
  <r>
    <x v="1"/>
    <s v="Sandarah Cruz"/>
    <s v="IL"/>
    <s v="RD"/>
    <n v="2"/>
    <s v="P"/>
    <s v="P"/>
    <n v="450"/>
    <n v="47"/>
    <s v="RD"/>
    <n v="49"/>
    <n v="450"/>
    <n v="499"/>
    <n v="2250"/>
    <n v="1751"/>
    <n v="0.77822222222222226"/>
    <m/>
    <m/>
  </r>
  <r>
    <x v="0"/>
    <s v="Sean Edulan "/>
    <s v="NJ"/>
    <s v="RD"/>
    <s v="P"/>
    <s v="P"/>
    <s v="P"/>
    <s v="LWOP"/>
    <n v="540"/>
    <s v="RD"/>
    <m/>
    <n v="540"/>
    <m/>
    <n v="1800"/>
    <m/>
    <m/>
    <m/>
    <n v="1"/>
  </r>
  <r>
    <x v="0"/>
    <s v="Stephanie Del Rosario"/>
    <s v="NJ"/>
    <s v="RD"/>
    <s v="P"/>
    <s v="P"/>
    <s v="P"/>
    <s v="P"/>
    <n v="450"/>
    <s v="RD"/>
    <m/>
    <n v="450"/>
    <n v="450"/>
    <n v="2250"/>
    <n v="1800"/>
    <n v="0.8"/>
    <m/>
    <m/>
  </r>
  <r>
    <x v="0"/>
    <s v="Syra Jade Yaranon"/>
    <s v="NY"/>
    <s v="RD"/>
    <s v="P"/>
    <s v="P"/>
    <s v="P"/>
    <s v="P"/>
    <n v="450"/>
    <s v="RD"/>
    <m/>
    <n v="450"/>
    <n v="450"/>
    <n v="2250"/>
    <n v="1800"/>
    <n v="0.8"/>
    <m/>
    <m/>
  </r>
  <r>
    <x v="0"/>
    <s v="Theresa Ma Alvaro "/>
    <s v="NJ"/>
    <s v="RD"/>
    <s v="P"/>
    <n v="17"/>
    <s v="P"/>
    <n v="450"/>
    <n v="450"/>
    <s v="RD"/>
    <n v="17"/>
    <n v="900"/>
    <n v="917"/>
    <n v="2250"/>
    <n v="1333"/>
    <n v="0.59244444444444444"/>
    <m/>
    <m/>
  </r>
  <r>
    <x v="1"/>
    <s v="Tricia Galsim"/>
    <s v="NJ"/>
    <s v="RD"/>
    <n v="450"/>
    <s v="P"/>
    <s v="P"/>
    <s v="P"/>
    <n v="28"/>
    <s v="RD"/>
    <n v="28"/>
    <n v="450"/>
    <n v="478"/>
    <n v="2250"/>
    <n v="1772"/>
    <n v="0.78755555555555556"/>
    <m/>
    <m/>
  </r>
  <r>
    <x v="0"/>
    <s v="Vianka Ylaine Ortiz "/>
    <s v="NY"/>
    <s v="RD"/>
    <s v="P"/>
    <s v="P"/>
    <s v="P"/>
    <s v="P"/>
    <s v="P"/>
    <s v="RD"/>
    <n v="0"/>
    <n v="0"/>
    <n v="0"/>
    <n v="2250"/>
    <n v="2250"/>
    <n v="1"/>
    <m/>
    <m/>
  </r>
  <r>
    <x v="1"/>
    <s v="Vincent Paolo Villasenor"/>
    <s v="Multi"/>
    <s v="RD"/>
    <s v="P"/>
    <n v="30"/>
    <s v="P"/>
    <s v="P"/>
    <n v="60"/>
    <s v="RD"/>
    <n v="90"/>
    <n v="0"/>
    <n v="90"/>
    <n v="2250"/>
    <n v="2160"/>
    <n v="0.96"/>
    <m/>
    <m/>
  </r>
  <r>
    <x v="1"/>
    <s v="Vladimir Patio"/>
    <s v="Multi"/>
    <s v="RD"/>
    <s v="P"/>
    <s v="P"/>
    <s v="P"/>
    <s v="P"/>
    <s v="P"/>
    <s v="RD"/>
    <n v="0"/>
    <n v="0"/>
    <n v="0"/>
    <n v="2250"/>
    <n v="2250"/>
    <n v="1"/>
    <m/>
    <m/>
  </r>
  <r>
    <x v="0"/>
    <s v="Xenrel Mae O Dacubar "/>
    <s v="NY"/>
    <s v="RD"/>
    <n v="4"/>
    <n v="450"/>
    <s v="P"/>
    <s v="P"/>
    <n v="450"/>
    <s v="RD"/>
    <n v="4"/>
    <n v="900"/>
    <n v="904"/>
    <n v="2250"/>
    <n v="1346"/>
    <n v="0.59822222222222221"/>
    <m/>
    <m/>
  </r>
  <r>
    <x v="6"/>
    <m/>
    <m/>
    <m/>
    <m/>
    <m/>
    <m/>
    <m/>
    <m/>
    <m/>
    <n v="1340"/>
    <n v="17640"/>
    <n v="18440"/>
    <n v="213300"/>
    <n v="193060"/>
    <n v="0.91167277586865181"/>
    <m/>
    <m/>
  </r>
  <r>
    <x v="6"/>
    <m/>
    <m/>
    <m/>
    <m/>
    <m/>
    <m/>
    <m/>
    <m/>
    <m/>
    <m/>
    <m/>
    <m/>
    <m/>
    <m/>
    <m/>
    <m/>
    <m/>
  </r>
  <r>
    <x v="6"/>
    <m/>
    <m/>
    <m/>
    <m/>
    <m/>
    <m/>
    <m/>
    <m/>
    <m/>
    <n v="6.2822315986872952E-3"/>
    <n v="8.2700421940928276E-2"/>
    <n v="8.6451007969995317E-2"/>
    <m/>
    <m/>
    <m/>
    <m/>
    <m/>
  </r>
  <r>
    <x v="6"/>
    <m/>
    <m/>
    <m/>
    <m/>
    <m/>
    <m/>
    <m/>
    <m/>
    <m/>
    <m/>
    <m/>
    <m/>
    <m/>
    <m/>
    <m/>
    <m/>
    <m/>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3">
  <r>
    <x v="0"/>
    <s v="Alexandra Ortiz"/>
    <s v="KY"/>
    <s v="RD"/>
    <s v="P"/>
    <s v="P"/>
    <n v="20"/>
    <s v="P"/>
    <s v="P"/>
    <s v="RD"/>
    <n v="20"/>
    <n v="0"/>
    <n v="20"/>
    <n v="2250"/>
    <n v="2230"/>
    <n v="0.99111111111111116"/>
    <m/>
    <m/>
  </r>
  <r>
    <x v="1"/>
    <s v="Alyssa DeGuzman "/>
    <s v="KY"/>
    <s v="P"/>
    <n v="56"/>
    <s v="RD"/>
    <s v="RD"/>
    <n v="32"/>
    <s v="LWOP"/>
    <s v="P"/>
    <n v="88"/>
    <n v="0"/>
    <n v="88"/>
    <n v="1800"/>
    <n v="1712"/>
    <n v="0.95111111111111113"/>
    <m/>
    <n v="1"/>
  </r>
  <r>
    <x v="1"/>
    <s v="Analyn Caniedo "/>
    <s v="IL"/>
    <n v="21"/>
    <n v="2"/>
    <s v="RD"/>
    <s v="RD"/>
    <s v="P"/>
    <s v="P"/>
    <n v="116"/>
    <n v="139"/>
    <n v="0"/>
    <n v="139"/>
    <n v="2250"/>
    <n v="2111"/>
    <n v="0.93822222222222218"/>
    <m/>
    <m/>
  </r>
  <r>
    <x v="0"/>
    <s v="Analyn Diaz "/>
    <s v="NJ"/>
    <s v="RD"/>
    <s v="P"/>
    <s v="P"/>
    <s v="P"/>
    <s v="P"/>
    <s v="P"/>
    <s v="RD"/>
    <m/>
    <n v="0"/>
    <n v="0"/>
    <n v="2250"/>
    <n v="2250"/>
    <n v="1"/>
    <m/>
    <m/>
  </r>
  <r>
    <x v="1"/>
    <s v="Andrea Fonacier"/>
    <s v="KY/IL"/>
    <s v="RD"/>
    <s v="P"/>
    <s v="P"/>
    <n v="12"/>
    <n v="7"/>
    <n v="2"/>
    <s v="RD"/>
    <n v="21"/>
    <n v="0"/>
    <n v="21"/>
    <n v="2250"/>
    <n v="2229"/>
    <n v="0.9906666666666667"/>
    <m/>
    <m/>
  </r>
  <r>
    <x v="2"/>
    <s v="Angelica Bautista"/>
    <s v="Multi"/>
    <n v="218"/>
    <s v="P"/>
    <n v="450"/>
    <n v="265"/>
    <s v="P"/>
    <s v="RD"/>
    <s v="RD"/>
    <n v="483"/>
    <n v="450"/>
    <n v="933"/>
    <n v="2250"/>
    <n v="1317"/>
    <n v="0.58533333333333337"/>
    <m/>
    <m/>
  </r>
  <r>
    <x v="0"/>
    <s v="Angelo Agron "/>
    <s v="NJ"/>
    <s v="RD"/>
    <n v="7"/>
    <s v="P"/>
    <s v="P"/>
    <n v="450"/>
    <s v="P"/>
    <s v="RD"/>
    <n v="7"/>
    <n v="450"/>
    <n v="457"/>
    <n v="2250"/>
    <n v="1793"/>
    <n v="0.79688888888888887"/>
    <m/>
    <m/>
  </r>
  <r>
    <x v="0"/>
    <s v="Anthea Ann Lumen "/>
    <s v="KY"/>
    <s v="RD"/>
    <n v="28"/>
    <s v="P"/>
    <s v="P"/>
    <n v="1"/>
    <s v="P"/>
    <s v="RD"/>
    <n v="29"/>
    <n v="0"/>
    <n v="29"/>
    <n v="2250"/>
    <n v="2221"/>
    <n v="0.98711111111111116"/>
    <m/>
    <m/>
  </r>
  <r>
    <x v="0"/>
    <s v="Anthony Valdez"/>
    <s v="KY"/>
    <s v="RD"/>
    <s v="P"/>
    <s v="P"/>
    <s v="P"/>
    <s v="VL"/>
    <s v="VL"/>
    <s v="RD"/>
    <m/>
    <n v="0"/>
    <n v="0"/>
    <n v="1350"/>
    <n v="1350"/>
    <n v="1"/>
    <n v="2"/>
    <m/>
  </r>
  <r>
    <x v="2"/>
    <s v="Ar Jean Tudtud"/>
    <s v="Multi"/>
    <s v="RD"/>
    <s v="RD"/>
    <s v="P"/>
    <s v="P"/>
    <s v="P"/>
    <n v="4"/>
    <s v="P"/>
    <n v="4"/>
    <n v="0"/>
    <n v="4"/>
    <n v="2250"/>
    <n v="2246"/>
    <n v="0.99822222222222223"/>
    <m/>
    <m/>
  </r>
  <r>
    <x v="1"/>
    <s v="Arah Blancia "/>
    <s v="IL"/>
    <s v="P"/>
    <s v="P"/>
    <s v="P"/>
    <s v="RD"/>
    <s v="RD"/>
    <s v="P"/>
    <s v="P"/>
    <m/>
    <n v="0"/>
    <n v="0"/>
    <n v="2250"/>
    <n v="2250"/>
    <n v="1"/>
    <m/>
    <m/>
  </r>
  <r>
    <x v="1"/>
    <s v="Audrey De Leon"/>
    <s v="NJ"/>
    <s v="P"/>
    <s v="P"/>
    <n v="450"/>
    <s v="P"/>
    <s v="P"/>
    <s v="RD"/>
    <s v="RD"/>
    <m/>
    <n v="450"/>
    <n v="450"/>
    <n v="2250"/>
    <n v="1800"/>
    <n v="0.8"/>
    <m/>
    <m/>
  </r>
  <r>
    <x v="1"/>
    <s v="Avril Rie Son"/>
    <s v="NJ"/>
    <s v="RD"/>
    <n v="3"/>
    <s v="P"/>
    <n v="24"/>
    <s v="RD"/>
    <s v="RD"/>
    <s v="P"/>
    <n v="27"/>
    <n v="0"/>
    <n v="27"/>
    <n v="2250"/>
    <n v="2223"/>
    <n v="0.98799999999999999"/>
    <m/>
    <m/>
  </r>
  <r>
    <x v="1"/>
    <s v="Bea Mercado "/>
    <s v="NJ"/>
    <s v="RD"/>
    <s v="P"/>
    <s v="P"/>
    <s v="P"/>
    <s v="P"/>
    <n v="450"/>
    <s v="RD"/>
    <m/>
    <n v="450"/>
    <n v="450"/>
    <n v="2250"/>
    <n v="1800"/>
    <n v="0.8"/>
    <m/>
    <m/>
  </r>
  <r>
    <x v="1"/>
    <s v="Charlene Valdez"/>
    <s v="MA/NY/NJ (KY/IL)"/>
    <s v="RD"/>
    <s v="P"/>
    <s v="P"/>
    <s v="P"/>
    <s v="P"/>
    <s v="P"/>
    <s v="RD"/>
    <m/>
    <n v="0"/>
    <n v="0"/>
    <n v="2250"/>
    <n v="2250"/>
    <n v="1"/>
    <m/>
    <m/>
  </r>
  <r>
    <x v="1"/>
    <s v="Charyselle Cadelina "/>
    <s v="KY"/>
    <s v="RD"/>
    <s v="P"/>
    <n v="2"/>
    <s v="P"/>
    <s v="P"/>
    <s v="P"/>
    <s v="RD"/>
    <n v="2"/>
    <n v="0"/>
    <n v="2"/>
    <n v="2250"/>
    <n v="2248"/>
    <n v="0.99911111111111106"/>
    <m/>
    <m/>
  </r>
  <r>
    <x v="2"/>
    <s v="Collen Silapan"/>
    <s v="Multi"/>
    <s v="P"/>
    <s v="P"/>
    <s v="P"/>
    <n v="9"/>
    <s v="P"/>
    <s v="RD"/>
    <s v="RD"/>
    <n v="9"/>
    <n v="0"/>
    <n v="9"/>
    <n v="2250"/>
    <n v="2241"/>
    <n v="0.996"/>
    <m/>
    <m/>
  </r>
  <r>
    <x v="1"/>
    <s v="Danielle Generao "/>
    <s v="KY"/>
    <s v="RD"/>
    <s v="P"/>
    <s v="P"/>
    <s v="P"/>
    <s v="P"/>
    <s v="LWOP"/>
    <s v="RD"/>
    <m/>
    <n v="0"/>
    <n v="0"/>
    <n v="2250"/>
    <n v="2250"/>
    <n v="1"/>
    <m/>
    <m/>
  </r>
  <r>
    <x v="1"/>
    <s v="Edmark Bania"/>
    <s v="Multi"/>
    <s v="RD"/>
    <s v="P"/>
    <s v="P"/>
    <s v="P"/>
    <s v="P"/>
    <n v="450"/>
    <s v="RD"/>
    <m/>
    <n v="450"/>
    <n v="450"/>
    <n v="2250"/>
    <n v="1800"/>
    <n v="0.8"/>
    <m/>
    <m/>
  </r>
  <r>
    <x v="0"/>
    <s v="Eldrick Loreno"/>
    <s v="NY"/>
    <s v="RD"/>
    <s v="VL"/>
    <s v="P"/>
    <s v="P"/>
    <s v="P"/>
    <s v="RD"/>
    <s v="P"/>
    <m/>
    <n v="0"/>
    <n v="0"/>
    <n v="1800"/>
    <n v="1800"/>
    <n v="1"/>
    <n v="1"/>
    <m/>
  </r>
  <r>
    <x v="3"/>
    <s v="Erika Ramos"/>
    <s v="Multi"/>
    <s v="RD"/>
    <s v="P"/>
    <s v="P"/>
    <s v="P"/>
    <s v="P"/>
    <s v="P"/>
    <s v="RD"/>
    <m/>
    <n v="0"/>
    <n v="0"/>
    <n v="2250"/>
    <n v="2250"/>
    <n v="1"/>
    <m/>
    <m/>
  </r>
  <r>
    <x v="0"/>
    <s v="Ethel Gregorio "/>
    <s v="MA"/>
    <s v="RD"/>
    <n v="20"/>
    <n v="10"/>
    <n v="17"/>
    <n v="11"/>
    <n v="16"/>
    <s v="RD"/>
    <n v="74"/>
    <n v="0"/>
    <n v="74"/>
    <n v="2250"/>
    <n v="2176"/>
    <n v="0.96711111111111114"/>
    <m/>
    <m/>
  </r>
  <r>
    <x v="0"/>
    <s v="Eunice Bargo "/>
    <s v="MA"/>
    <s v="RD"/>
    <s v="P"/>
    <n v="4"/>
    <s v="P"/>
    <s v="P"/>
    <n v="10"/>
    <s v="RD"/>
    <n v="14"/>
    <n v="0"/>
    <n v="14"/>
    <n v="2250"/>
    <n v="2236"/>
    <n v="0.99377777777777776"/>
    <m/>
    <m/>
  </r>
  <r>
    <x v="1"/>
    <s v="Eunice Padadnan"/>
    <s v="NY"/>
    <s v="RD"/>
    <s v="P"/>
    <s v="P"/>
    <s v="P"/>
    <s v="P"/>
    <s v="P"/>
    <s v="RD"/>
    <n v="0"/>
    <n v="0"/>
    <n v="0"/>
    <n v="2250"/>
    <n v="2250"/>
    <n v="1"/>
    <m/>
    <m/>
  </r>
  <r>
    <x v="0"/>
    <s v="Femie DC Domenden "/>
    <s v="IL"/>
    <s v="RD"/>
    <s v="LWOP"/>
    <s v="P"/>
    <s v="P"/>
    <s v="P"/>
    <s v="P"/>
    <s v="RD"/>
    <n v="0"/>
    <n v="0"/>
    <n v="0"/>
    <n v="2250"/>
    <n v="2250"/>
    <n v="1"/>
    <m/>
    <m/>
  </r>
  <r>
    <x v="1"/>
    <s v="Francis Alba"/>
    <s v="Multi"/>
    <s v="RD"/>
    <s v="P"/>
    <n v="2"/>
    <s v="P"/>
    <s v="P"/>
    <s v="RD"/>
    <s v="P"/>
    <n v="2"/>
    <n v="0"/>
    <n v="2"/>
    <n v="2250"/>
    <n v="2248"/>
    <n v="0.99911111111111106"/>
    <m/>
    <m/>
  </r>
  <r>
    <x v="0"/>
    <s v="Francis Narboneta "/>
    <s v="IL"/>
    <s v="RD"/>
    <s v="P"/>
    <s v="P"/>
    <s v="P"/>
    <s v="P"/>
    <s v="P"/>
    <s v="RD"/>
    <n v="0"/>
    <n v="0"/>
    <n v="0"/>
    <n v="2250"/>
    <n v="2250"/>
    <n v="1"/>
    <m/>
    <m/>
  </r>
  <r>
    <x v="0"/>
    <s v="Gladys Astilla "/>
    <s v="MA"/>
    <s v="RD"/>
    <n v="9"/>
    <s v="P"/>
    <s v="P"/>
    <s v="P"/>
    <s v="P"/>
    <s v="RD"/>
    <n v="9"/>
    <n v="0"/>
    <n v="9"/>
    <n v="2250"/>
    <n v="2241"/>
    <n v="0.996"/>
    <m/>
    <m/>
  </r>
  <r>
    <x v="1"/>
    <s v="Glessie DeJesus"/>
    <s v="KY"/>
    <s v="RD"/>
    <s v="P"/>
    <s v="P"/>
    <s v="P"/>
    <s v="P"/>
    <s v="P"/>
    <s v="RD"/>
    <n v="0"/>
    <n v="0"/>
    <n v="0"/>
    <n v="2250"/>
    <n v="2250"/>
    <n v="1"/>
    <m/>
    <m/>
  </r>
  <r>
    <x v="0"/>
    <s v="Glory Nabayra "/>
    <s v="IL"/>
    <s v="RD"/>
    <n v="450"/>
    <s v="P"/>
    <s v="P"/>
    <s v="P"/>
    <s v="P"/>
    <s v="RD"/>
    <m/>
    <n v="450"/>
    <n v="450"/>
    <n v="2250"/>
    <n v="1800"/>
    <n v="0.8"/>
    <m/>
    <m/>
  </r>
  <r>
    <x v="1"/>
    <s v="Hanna Arceo"/>
    <s v="KY"/>
    <s v="RD"/>
    <s v="P"/>
    <s v="P"/>
    <n v="27"/>
    <n v="15"/>
    <n v="6"/>
    <s v="RD"/>
    <n v="48"/>
    <n v="0"/>
    <n v="48"/>
    <n v="2250"/>
    <n v="2202"/>
    <n v="0.97866666666666668"/>
    <m/>
    <m/>
  </r>
  <r>
    <x v="4"/>
    <s v="Hans Ruan"/>
    <s v="Multi"/>
    <s v="RD"/>
    <s v="P"/>
    <s v="P"/>
    <s v="P"/>
    <s v="P"/>
    <n v="450"/>
    <s v="RD"/>
    <m/>
    <n v="450"/>
    <n v="450"/>
    <n v="2250"/>
    <n v="1800"/>
    <n v="0.8"/>
    <m/>
    <m/>
  </r>
  <r>
    <x v="2"/>
    <s v="Hazelyn Rodrigo"/>
    <s v="Multi"/>
    <s v="P"/>
    <s v="P"/>
    <s v="RD"/>
    <s v="RD"/>
    <s v="P"/>
    <n v="28"/>
    <n v="93"/>
    <n v="121"/>
    <n v="0"/>
    <n v="121"/>
    <n v="2250"/>
    <n v="2129"/>
    <n v="0.94622222222222219"/>
    <m/>
    <m/>
  </r>
  <r>
    <x v="1"/>
    <s v="Iris Dahnielle Andalleon "/>
    <s v="Multi"/>
    <s v="P"/>
    <s v="P"/>
    <n v="8"/>
    <s v="RD"/>
    <s v="RD"/>
    <s v="P"/>
    <s v="P"/>
    <n v="8"/>
    <n v="0"/>
    <n v="8"/>
    <n v="2250"/>
    <n v="2242"/>
    <n v="0.99644444444444447"/>
    <m/>
    <m/>
  </r>
  <r>
    <x v="2"/>
    <s v="Isabela Arellano"/>
    <s v="Multi"/>
    <s v="RD"/>
    <s v="P"/>
    <s v="P"/>
    <s v="P"/>
    <s v="P"/>
    <s v="RD"/>
    <s v="RD"/>
    <m/>
    <n v="0"/>
    <n v="0"/>
    <n v="2250"/>
    <n v="2250"/>
    <n v="1"/>
    <m/>
    <m/>
  </r>
  <r>
    <x v="0"/>
    <s v="Iverson Libranda"/>
    <s v="IL"/>
    <s v="RD"/>
    <n v="103"/>
    <n v="17"/>
    <n v="450"/>
    <s v="P"/>
    <n v="14"/>
    <s v="RD"/>
    <n v="134"/>
    <n v="450"/>
    <n v="584"/>
    <n v="2250"/>
    <n v="1666"/>
    <n v="0.74044444444444446"/>
    <m/>
    <m/>
  </r>
  <r>
    <x v="0"/>
    <s v="Jason Cruz"/>
    <s v="MA"/>
    <s v="RD"/>
    <s v="P"/>
    <s v="P"/>
    <s v="P"/>
    <s v="P"/>
    <s v="P"/>
    <s v="RD"/>
    <m/>
    <n v="0"/>
    <n v="0"/>
    <n v="2250"/>
    <n v="2250"/>
    <n v="1"/>
    <m/>
    <m/>
  </r>
  <r>
    <x v="1"/>
    <s v="Jean Tan"/>
    <s v="NY NJ"/>
    <s v="RD"/>
    <s v="P"/>
    <n v="1"/>
    <s v="P"/>
    <s v="P"/>
    <s v="P"/>
    <s v="RD"/>
    <n v="1"/>
    <n v="0"/>
    <n v="1"/>
    <n v="2250"/>
    <n v="2249"/>
    <n v="0.99955555555555553"/>
    <m/>
    <m/>
  </r>
  <r>
    <x v="1"/>
    <s v="Jeannie Bajaro"/>
    <s v="Multi"/>
    <s v="P"/>
    <s v="P"/>
    <s v="RD"/>
    <s v="RD"/>
    <s v="P"/>
    <s v="P"/>
    <n v="450"/>
    <m/>
    <n v="450"/>
    <n v="450"/>
    <n v="2250"/>
    <n v="1800"/>
    <n v="0.8"/>
    <m/>
    <m/>
  </r>
  <r>
    <x v="1"/>
    <s v="Jericho Crame "/>
    <s v="NJ"/>
    <s v="RD"/>
    <s v="P"/>
    <s v="P"/>
    <s v="P"/>
    <s v="P"/>
    <s v="P"/>
    <s v="RD"/>
    <m/>
    <n v="0"/>
    <n v="0"/>
    <n v="2250"/>
    <n v="2250"/>
    <n v="1"/>
    <m/>
    <m/>
  </r>
  <r>
    <x v="0"/>
    <s v="Jesslyn Gatbunton "/>
    <s v="NJ"/>
    <s v="RD"/>
    <s v="P"/>
    <s v="P"/>
    <s v="P"/>
    <n v="5"/>
    <s v="P"/>
    <s v="RD"/>
    <n v="5"/>
    <n v="0"/>
    <n v="5"/>
    <n v="2250"/>
    <n v="2245"/>
    <n v="0.99777777777777776"/>
    <m/>
    <m/>
  </r>
  <r>
    <x v="1"/>
    <s v="Jester Limpin"/>
    <s v="Multi"/>
    <n v="81"/>
    <s v="P"/>
    <s v="P"/>
    <s v="P"/>
    <s v="P"/>
    <s v="RD"/>
    <s v="P"/>
    <n v="81"/>
    <n v="0"/>
    <n v="81"/>
    <n v="3240"/>
    <n v="3159"/>
    <n v="0.97499999999999998"/>
    <m/>
    <m/>
  </r>
  <r>
    <x v="3"/>
    <s v="Jewel Mondina"/>
    <s v="Multi"/>
    <s v="RD"/>
    <s v="P"/>
    <s v="P"/>
    <s v="P"/>
    <s v="P"/>
    <s v="P"/>
    <s v="RD"/>
    <m/>
    <n v="0"/>
    <n v="0"/>
    <n v="2250"/>
    <n v="2250"/>
    <n v="1"/>
    <m/>
    <m/>
  </r>
  <r>
    <x v="0"/>
    <s v="Jimwell Osiang"/>
    <s v="MA"/>
    <s v="RD"/>
    <s v="P"/>
    <s v="P"/>
    <s v="P"/>
    <s v="P"/>
    <s v="P"/>
    <s v="RD"/>
    <m/>
    <n v="0"/>
    <n v="0"/>
    <n v="2250"/>
    <n v="2250"/>
    <n v="1"/>
    <m/>
    <m/>
  </r>
  <r>
    <x v="1"/>
    <s v="Jizelle Delos Reyes "/>
    <s v="NY"/>
    <s v="RD"/>
    <s v="P"/>
    <s v="P"/>
    <s v="P"/>
    <s v="P"/>
    <s v="P"/>
    <s v="RD"/>
    <m/>
    <n v="0"/>
    <n v="0"/>
    <n v="2250"/>
    <n v="2250"/>
    <n v="1"/>
    <m/>
    <m/>
  </r>
  <r>
    <x v="1"/>
    <s v="Joanna Cabrera"/>
    <s v="NJ"/>
    <s v="RD"/>
    <n v="3"/>
    <n v="450"/>
    <s v="P"/>
    <s v="P"/>
    <s v="P"/>
    <s v="RD"/>
    <n v="3"/>
    <n v="450"/>
    <n v="453"/>
    <n v="2250"/>
    <n v="1797"/>
    <n v="0.79866666666666664"/>
    <m/>
    <m/>
  </r>
  <r>
    <x v="0"/>
    <s v="Johnella Lopez "/>
    <s v="KY"/>
    <s v="RD"/>
    <s v="P"/>
    <s v="P"/>
    <s v="P"/>
    <n v="450"/>
    <s v="P"/>
    <s v="RD"/>
    <m/>
    <n v="450"/>
    <n v="450"/>
    <n v="2250"/>
    <n v="1800"/>
    <n v="0.8"/>
    <m/>
    <m/>
  </r>
  <r>
    <x v="1"/>
    <s v="Jonathan Marquez "/>
    <s v="Multi"/>
    <s v="RD"/>
    <s v="P"/>
    <s v="P"/>
    <s v="P"/>
    <s v="RD"/>
    <s v="RD"/>
    <s v="P"/>
    <m/>
    <n v="0"/>
    <n v="0"/>
    <n v="1800"/>
    <n v="1800"/>
    <n v="1"/>
    <m/>
    <m/>
  </r>
  <r>
    <x v="2"/>
    <s v="Josea Aseron"/>
    <s v="Multi"/>
    <s v="RD"/>
    <s v="RD"/>
    <s v="P"/>
    <s v="P"/>
    <s v="P"/>
    <s v="P"/>
    <s v="P"/>
    <m/>
    <n v="0"/>
    <n v="0"/>
    <n v="2250"/>
    <n v="2250"/>
    <n v="1"/>
    <m/>
    <m/>
  </r>
  <r>
    <x v="0"/>
    <s v="Joshua Joaquin"/>
    <s v="IL"/>
    <s v="RD"/>
    <s v="P"/>
    <s v="P"/>
    <s v="P"/>
    <s v="P"/>
    <s v="P"/>
    <s v="RD"/>
    <m/>
    <n v="0"/>
    <n v="0"/>
    <n v="2250"/>
    <n v="2250"/>
    <n v="1"/>
    <m/>
    <m/>
  </r>
  <r>
    <x v="0"/>
    <s v="Jouse Baquiran"/>
    <s v="NJ"/>
    <s v="RD"/>
    <s v="P"/>
    <s v="P"/>
    <s v="P"/>
    <s v="P"/>
    <s v="P"/>
    <s v="RD"/>
    <m/>
    <n v="0"/>
    <n v="0"/>
    <n v="2250"/>
    <n v="2250"/>
    <n v="1"/>
    <m/>
    <m/>
  </r>
  <r>
    <x v="0"/>
    <s v="Julieann Manasan"/>
    <s v="MA"/>
    <s v="RD"/>
    <n v="450"/>
    <s v="VL"/>
    <s v="P"/>
    <s v="P"/>
    <s v="P"/>
    <s v="RD"/>
    <m/>
    <n v="450"/>
    <n v="450"/>
    <n v="1800"/>
    <n v="1350"/>
    <n v="0.75"/>
    <n v="1"/>
    <m/>
  </r>
  <r>
    <x v="1"/>
    <s v="Jullyca Oblefias"/>
    <s v="NY"/>
    <s v="RD"/>
    <s v="P"/>
    <s v="P"/>
    <s v="P"/>
    <s v="P"/>
    <s v="P"/>
    <s v="RD"/>
    <m/>
    <n v="0"/>
    <n v="0"/>
    <n v="2250"/>
    <n v="2250"/>
    <n v="1"/>
    <m/>
    <m/>
  </r>
  <r>
    <x v="4"/>
    <s v="Karl Solomon"/>
    <s v="Multi"/>
    <s v="RD"/>
    <s v="VL"/>
    <s v="VL"/>
    <s v="P"/>
    <s v="P"/>
    <s v="P"/>
    <s v="RD"/>
    <m/>
    <n v="0"/>
    <n v="0"/>
    <n v="1350"/>
    <n v="1350"/>
    <n v="1"/>
    <n v="2"/>
    <m/>
  </r>
  <r>
    <x v="1"/>
    <s v="Karlos De Leon "/>
    <s v="NJ"/>
    <s v="RD"/>
    <s v="RD"/>
    <n v="450"/>
    <n v="450"/>
    <s v="P"/>
    <s v="RD"/>
    <s v="RD"/>
    <m/>
    <n v="900"/>
    <n v="900"/>
    <n v="1350"/>
    <n v="450"/>
    <n v="0.33333333333333331"/>
    <m/>
    <m/>
  </r>
  <r>
    <x v="0"/>
    <s v="Kate Constantino"/>
    <s v="KY"/>
    <s v="RD"/>
    <s v="P"/>
    <s v="P"/>
    <s v="P"/>
    <s v="P"/>
    <s v="P"/>
    <s v="RD"/>
    <m/>
    <n v="0"/>
    <n v="0"/>
    <n v="2250"/>
    <n v="2250"/>
    <n v="1"/>
    <m/>
    <m/>
  </r>
  <r>
    <x v="2"/>
    <s v="Katrina Go"/>
    <s v="Multi"/>
    <s v="RD"/>
    <s v="RD"/>
    <s v="P"/>
    <s v="P"/>
    <s v="P"/>
    <s v="P"/>
    <s v="P"/>
    <m/>
    <n v="0"/>
    <n v="0"/>
    <n v="2250"/>
    <n v="2250"/>
    <n v="1"/>
    <m/>
    <m/>
  </r>
  <r>
    <x v="1"/>
    <s v="Kaxyleh Masilongan "/>
    <s v="NY"/>
    <s v="RD"/>
    <s v="P"/>
    <s v="P"/>
    <n v="1"/>
    <n v="4"/>
    <s v="P"/>
    <s v="RD"/>
    <n v="5"/>
    <n v="0"/>
    <n v="5"/>
    <n v="2250"/>
    <n v="2245"/>
    <n v="0.99777777777777776"/>
    <m/>
    <m/>
  </r>
  <r>
    <x v="2"/>
    <s v="Kiana Brown"/>
    <s v="Multi"/>
    <s v="RD"/>
    <s v="RD"/>
    <s v="P"/>
    <s v="P"/>
    <s v="P"/>
    <s v="P"/>
    <s v="P"/>
    <m/>
    <n v="0"/>
    <n v="0"/>
    <n v="2250"/>
    <n v="2250"/>
    <n v="1"/>
    <m/>
    <m/>
  </r>
  <r>
    <x v="1"/>
    <s v="Kizzy Serrano "/>
    <s v="IL"/>
    <s v="RD"/>
    <s v="P"/>
    <n v="1"/>
    <n v="55"/>
    <s v="P"/>
    <s v="P"/>
    <s v="RD"/>
    <n v="56"/>
    <n v="0"/>
    <n v="56"/>
    <n v="2250"/>
    <n v="2194"/>
    <n v="0.97511111111111115"/>
    <m/>
    <m/>
  </r>
  <r>
    <x v="0"/>
    <s v="Kyzen Hayagan "/>
    <s v="MA"/>
    <s v="RD"/>
    <s v="P"/>
    <s v="P"/>
    <s v="P"/>
    <s v="P"/>
    <s v="P"/>
    <s v="RD"/>
    <m/>
    <n v="0"/>
    <n v="0"/>
    <n v="2250"/>
    <n v="2250"/>
    <n v="1"/>
    <m/>
    <m/>
  </r>
  <r>
    <x v="0"/>
    <s v="Lea Alagadmo"/>
    <s v="MA"/>
    <s v="RD"/>
    <s v="P"/>
    <s v="P"/>
    <s v="P"/>
    <s v="P"/>
    <s v="P"/>
    <s v="RD"/>
    <m/>
    <n v="0"/>
    <n v="0"/>
    <n v="2250"/>
    <n v="2250"/>
    <n v="1"/>
    <m/>
    <m/>
  </r>
  <r>
    <x v="4"/>
    <s v="Leo Olesco "/>
    <s v="Multi"/>
    <s v="RD"/>
    <s v="P"/>
    <s v="P"/>
    <s v="P"/>
    <s v="P"/>
    <s v="P"/>
    <s v="RD"/>
    <m/>
    <n v="0"/>
    <n v="0"/>
    <n v="2250"/>
    <n v="2250"/>
    <n v="1"/>
    <m/>
    <m/>
  </r>
  <r>
    <x v="0"/>
    <s v="Lorraine Cabantac "/>
    <s v="NJ"/>
    <s v="RD"/>
    <s v="P"/>
    <s v="P"/>
    <s v="P"/>
    <s v="P"/>
    <s v="P"/>
    <s v="RD"/>
    <m/>
    <n v="0"/>
    <n v="0"/>
    <n v="2250"/>
    <n v="2250"/>
    <n v="1"/>
    <m/>
    <m/>
  </r>
  <r>
    <x v="0"/>
    <s v="Louis Cantillion"/>
    <s v="NJ"/>
    <s v="RD"/>
    <s v="P"/>
    <s v="P"/>
    <s v="P"/>
    <s v="P"/>
    <s v="P"/>
    <s v="RD"/>
    <m/>
    <n v="0"/>
    <n v="0"/>
    <n v="2250"/>
    <n v="2250"/>
    <n v="1"/>
    <m/>
    <m/>
  </r>
  <r>
    <x v="1"/>
    <s v="Margie Theres A Magluyan "/>
    <s v="Multi"/>
    <s v="P"/>
    <s v="P"/>
    <s v="P"/>
    <s v="RD"/>
    <s v="RD"/>
    <s v="P"/>
    <s v="P"/>
    <m/>
    <n v="0"/>
    <n v="0"/>
    <n v="2250"/>
    <n v="2250"/>
    <n v="1"/>
    <m/>
    <m/>
  </r>
  <r>
    <x v="0"/>
    <s v="Marion Vien Santos"/>
    <s v="KY"/>
    <s v="RD"/>
    <n v="12"/>
    <s v="LWOP"/>
    <n v="450"/>
    <n v="450"/>
    <n v="450"/>
    <s v="RD"/>
    <n v="12"/>
    <n v="1350"/>
    <n v="1362"/>
    <n v="1800"/>
    <n v="438"/>
    <n v="0.24333333333333335"/>
    <m/>
    <n v="1"/>
  </r>
  <r>
    <x v="0"/>
    <s v="Mark Bienes "/>
    <s v="NY"/>
    <s v="RD"/>
    <s v="P"/>
    <s v="P"/>
    <s v="P"/>
    <s v="P"/>
    <n v="2"/>
    <s v="RD"/>
    <n v="2"/>
    <n v="0"/>
    <n v="2"/>
    <n v="2250"/>
    <n v="2248"/>
    <n v="0.99911111111111106"/>
    <m/>
    <m/>
  </r>
  <r>
    <x v="0"/>
    <s v="Mark Frankie Pecolera"/>
    <s v="IL"/>
    <s v="RD"/>
    <s v="P"/>
    <s v="P"/>
    <s v="P"/>
    <s v="P"/>
    <n v="270"/>
    <s v="RD"/>
    <n v="270"/>
    <n v="0"/>
    <n v="270"/>
    <n v="2250"/>
    <n v="1980"/>
    <n v="0.88"/>
    <m/>
    <m/>
  </r>
  <r>
    <x v="4"/>
    <s v="Mark Metra"/>
    <s v="Multi"/>
    <s v="RD"/>
    <n v="8"/>
    <s v="P"/>
    <s v="P"/>
    <s v="P"/>
    <s v="P"/>
    <s v="RD"/>
    <n v="8"/>
    <n v="0"/>
    <n v="8"/>
    <n v="2250"/>
    <n v="2242"/>
    <n v="0.99644444444444447"/>
    <m/>
    <m/>
  </r>
  <r>
    <x v="1"/>
    <s v="Mary Dela Cruz "/>
    <s v="IL"/>
    <s v="RD"/>
    <s v="P"/>
    <s v="P"/>
    <s v="P"/>
    <s v="P"/>
    <s v="P"/>
    <s v="RD"/>
    <m/>
    <n v="0"/>
    <n v="0"/>
    <n v="2250"/>
    <n v="2250"/>
    <n v="1"/>
    <m/>
    <m/>
  </r>
  <r>
    <x v="1"/>
    <s v="Mary Kilario"/>
    <s v="KY/IL"/>
    <s v="RD"/>
    <s v="P"/>
    <s v="P"/>
    <s v="P"/>
    <s v="P"/>
    <s v="P"/>
    <s v="RD"/>
    <m/>
    <n v="0"/>
    <n v="0"/>
    <n v="2250"/>
    <n v="2250"/>
    <n v="1"/>
    <m/>
    <m/>
  </r>
  <r>
    <x v="5"/>
    <s v="Mayann Somera"/>
    <s v="Multi"/>
    <s v="RD"/>
    <s v="P"/>
    <s v="P"/>
    <s v="VL"/>
    <s v="VL"/>
    <s v="P"/>
    <s v="RD"/>
    <m/>
    <n v="0"/>
    <n v="0"/>
    <n v="1350"/>
    <n v="1350"/>
    <n v="1"/>
    <n v="2"/>
    <m/>
  </r>
  <r>
    <x v="0"/>
    <s v="Mherica Santos "/>
    <s v="KY"/>
    <s v="RD"/>
    <s v="P"/>
    <s v="P"/>
    <s v="P"/>
    <s v="P"/>
    <s v="P"/>
    <s v="RD"/>
    <m/>
    <n v="0"/>
    <n v="0"/>
    <n v="2250"/>
    <n v="2250"/>
    <n v="1"/>
    <m/>
    <m/>
  </r>
  <r>
    <x v="1"/>
    <s v="Mikaella Santos"/>
    <s v="Multi"/>
    <s v="P"/>
    <s v="P"/>
    <s v="RD"/>
    <s v="RD"/>
    <s v="P"/>
    <s v="P"/>
    <s v="P"/>
    <m/>
    <n v="0"/>
    <n v="0"/>
    <n v="2250"/>
    <n v="2250"/>
    <n v="1"/>
    <m/>
    <m/>
  </r>
  <r>
    <x v="2"/>
    <s v="Nerissa Ong"/>
    <s v="Multi"/>
    <s v="RD"/>
    <s v="RD"/>
    <s v="P"/>
    <s v="P"/>
    <s v="P"/>
    <s v="P"/>
    <s v="P"/>
    <m/>
    <n v="0"/>
    <n v="0"/>
    <n v="2250"/>
    <n v="2250"/>
    <n v="1"/>
    <m/>
    <m/>
  </r>
  <r>
    <x v="0"/>
    <s v="Noemi Landerito"/>
    <s v="IL"/>
    <s v="RD"/>
    <s v="P"/>
    <n v="450"/>
    <n v="450"/>
    <n v="450"/>
    <n v="450"/>
    <s v="RD"/>
    <m/>
    <n v="1800"/>
    <n v="1800"/>
    <n v="2250"/>
    <n v="450"/>
    <n v="0.2"/>
    <m/>
    <m/>
  </r>
  <r>
    <x v="0"/>
    <s v="Patricia Busio "/>
    <s v="NJ"/>
    <s v="RD"/>
    <s v="P"/>
    <s v="P"/>
    <s v="P"/>
    <s v="P"/>
    <s v="P"/>
    <s v="RD"/>
    <m/>
    <n v="0"/>
    <n v="0"/>
    <n v="2250"/>
    <n v="2250"/>
    <n v="1"/>
    <m/>
    <m/>
  </r>
  <r>
    <x v="0"/>
    <s v="Rafunzel M Manuel "/>
    <s v="MA"/>
    <s v="RD"/>
    <n v="450"/>
    <s v="P"/>
    <s v="P"/>
    <s v="P"/>
    <s v="P"/>
    <s v="RD"/>
    <m/>
    <n v="450"/>
    <n v="450"/>
    <n v="2250"/>
    <n v="1800"/>
    <n v="0.8"/>
    <m/>
    <m/>
  </r>
  <r>
    <x v="0"/>
    <s v="Raphael Macasocol"/>
    <s v="IL"/>
    <s v="RD"/>
    <s v="P"/>
    <s v="P"/>
    <s v="P"/>
    <s v="P"/>
    <s v="P"/>
    <s v="RD"/>
    <m/>
    <n v="0"/>
    <n v="0"/>
    <n v="2250"/>
    <n v="2250"/>
    <n v="1"/>
    <m/>
    <m/>
  </r>
  <r>
    <x v="2"/>
    <s v="Remaden Bautista "/>
    <s v="Multi"/>
    <s v="RD"/>
    <s v="P"/>
    <s v="P"/>
    <s v="P"/>
    <s v="P"/>
    <n v="16"/>
    <s v="RD"/>
    <n v="16"/>
    <n v="0"/>
    <n v="16"/>
    <n v="2250"/>
    <n v="2234"/>
    <n v="0.99288888888888893"/>
    <m/>
    <m/>
  </r>
  <r>
    <x v="1"/>
    <s v="Rhona Sanejo"/>
    <s v="KY"/>
    <s v="P"/>
    <s v="P"/>
    <s v="P"/>
    <s v="RD"/>
    <s v="RD"/>
    <s v="P"/>
    <s v="P"/>
    <m/>
    <n v="0"/>
    <n v="0"/>
    <n v="2250"/>
    <n v="2250"/>
    <n v="1"/>
    <m/>
    <m/>
  </r>
  <r>
    <x v="0"/>
    <s v="Ricalyn Clarencio "/>
    <s v="IL"/>
    <s v="RD"/>
    <s v="P"/>
    <n v="17"/>
    <n v="450"/>
    <s v="P"/>
    <s v="P"/>
    <s v="RD"/>
    <n v="17"/>
    <n v="450"/>
    <n v="467"/>
    <n v="2250"/>
    <n v="1783"/>
    <n v="0.7924444444444444"/>
    <m/>
    <m/>
  </r>
  <r>
    <x v="0"/>
    <s v="Rosalinda Pantua"/>
    <s v="MA"/>
    <s v="RD"/>
    <n v="3"/>
    <n v="2"/>
    <s v="P"/>
    <s v="P"/>
    <s v="P"/>
    <s v="RD"/>
    <n v="5"/>
    <n v="0"/>
    <n v="5"/>
    <n v="2250"/>
    <n v="2245"/>
    <n v="0.99777777777777776"/>
    <m/>
    <m/>
  </r>
  <r>
    <x v="0"/>
    <s v="Roxinne Madolid "/>
    <s v="IL"/>
    <s v="RD"/>
    <s v="P"/>
    <s v="P"/>
    <s v="P"/>
    <s v="P"/>
    <s v="P"/>
    <s v="RD"/>
    <m/>
    <n v="0"/>
    <n v="0"/>
    <n v="2250"/>
    <n v="2250"/>
    <n v="1"/>
    <m/>
    <m/>
  </r>
  <r>
    <x v="1"/>
    <s v="Rubyneil Abejero"/>
    <s v="Multi"/>
    <s v="RD"/>
    <s v="P"/>
    <s v="P"/>
    <s v="P"/>
    <s v="P"/>
    <s v="P"/>
    <s v="RD"/>
    <m/>
    <n v="0"/>
    <n v="0"/>
    <n v="2250"/>
    <n v="2250"/>
    <n v="1"/>
    <m/>
    <m/>
  </r>
  <r>
    <x v="1"/>
    <s v="Ruth Dela Cruz"/>
    <s v="KY/IL"/>
    <s v="RD"/>
    <s v="P"/>
    <s v="P"/>
    <s v="P"/>
    <s v="P"/>
    <s v="P"/>
    <s v="RD"/>
    <m/>
    <n v="0"/>
    <n v="0"/>
    <n v="2250"/>
    <n v="2250"/>
    <n v="1"/>
    <m/>
    <m/>
  </r>
  <r>
    <x v="0"/>
    <s v="Ryan Rillo"/>
    <s v="KY"/>
    <s v="RD"/>
    <n v="24"/>
    <n v="2"/>
    <s v="P"/>
    <s v="P"/>
    <s v="P"/>
    <s v="RD"/>
    <n v="26"/>
    <n v="0"/>
    <n v="26"/>
    <n v="2250"/>
    <n v="2224"/>
    <n v="0.98844444444444446"/>
    <m/>
    <m/>
  </r>
  <r>
    <x v="1"/>
    <s v="Sandarah Cruz"/>
    <s v="IL"/>
    <s v="RD"/>
    <s v="P"/>
    <n v="450"/>
    <s v="P"/>
    <n v="7"/>
    <n v="3"/>
    <s v="RD"/>
    <n v="10"/>
    <n v="450"/>
    <n v="460"/>
    <n v="2250"/>
    <n v="1790"/>
    <n v="0.79555555555555557"/>
    <m/>
    <m/>
  </r>
  <r>
    <x v="0"/>
    <s v="Sean Edulan "/>
    <s v="NJ"/>
    <s v="RD"/>
    <s v="P"/>
    <s v="P"/>
    <s v="P"/>
    <s v="P"/>
    <s v="P"/>
    <s v="RD"/>
    <m/>
    <n v="0"/>
    <n v="0"/>
    <n v="2250"/>
    <n v="2250"/>
    <n v="1"/>
    <m/>
    <m/>
  </r>
  <r>
    <x v="0"/>
    <s v="Stephanie Del Rosario"/>
    <s v="NJ"/>
    <s v="RD"/>
    <n v="9"/>
    <s v="P"/>
    <n v="1"/>
    <n v="3"/>
    <s v="P"/>
    <s v="RD"/>
    <n v="13"/>
    <n v="0"/>
    <n v="13"/>
    <n v="2250"/>
    <n v="2237"/>
    <n v="0.99422222222222223"/>
    <m/>
    <m/>
  </r>
  <r>
    <x v="0"/>
    <s v="Syra Jade Yaranon"/>
    <s v="NY"/>
    <s v="RD"/>
    <n v="1"/>
    <n v="2"/>
    <s v="P"/>
    <n v="450"/>
    <s v="P"/>
    <s v="RD"/>
    <n v="3"/>
    <n v="450"/>
    <n v="453"/>
    <n v="2250"/>
    <n v="1797"/>
    <n v="0.79866666666666664"/>
    <m/>
    <m/>
  </r>
  <r>
    <x v="0"/>
    <s v="Theresa Ma Alvaro "/>
    <s v="NJ"/>
    <s v="RD"/>
    <s v="P"/>
    <n v="450"/>
    <s v="P"/>
    <n v="152"/>
    <n v="4"/>
    <s v="RD"/>
    <n v="156"/>
    <n v="450"/>
    <n v="606"/>
    <n v="2250"/>
    <n v="1644"/>
    <n v="0.73066666666666669"/>
    <m/>
    <m/>
  </r>
  <r>
    <x v="1"/>
    <s v="Tricia Galsim"/>
    <s v="NJ"/>
    <s v="RD"/>
    <n v="10"/>
    <s v="P"/>
    <s v="P"/>
    <s v="P"/>
    <n v="450"/>
    <s v="RD"/>
    <n v="10"/>
    <n v="450"/>
    <n v="460"/>
    <n v="2250"/>
    <n v="1790"/>
    <n v="0.79555555555555557"/>
    <m/>
    <m/>
  </r>
  <r>
    <x v="0"/>
    <s v="Vianka Ylaine Ortiz "/>
    <s v="NY"/>
    <s v="RD"/>
    <n v="1"/>
    <s v="P"/>
    <s v="P"/>
    <s v="P"/>
    <s v="VL"/>
    <s v="RD"/>
    <n v="1"/>
    <n v="0"/>
    <n v="1"/>
    <n v="1800"/>
    <n v="1799"/>
    <n v="0.99944444444444447"/>
    <n v="1"/>
    <m/>
  </r>
  <r>
    <x v="1"/>
    <s v="Vincent Paolo Villasenor"/>
    <s v="Multi"/>
    <s v="RD"/>
    <n v="63"/>
    <n v="45"/>
    <n v="450"/>
    <n v="134"/>
    <s v="RD"/>
    <s v="P"/>
    <n v="242"/>
    <n v="450"/>
    <n v="692"/>
    <n v="2250"/>
    <n v="1558"/>
    <n v="0.69244444444444442"/>
    <m/>
    <m/>
  </r>
  <r>
    <x v="1"/>
    <s v="Vladimir Patio"/>
    <s v="Multi"/>
    <s v="RD"/>
    <s v="P"/>
    <s v="P"/>
    <s v="P"/>
    <s v="P"/>
    <s v="P"/>
    <s v="RD"/>
    <m/>
    <n v="0"/>
    <n v="0"/>
    <n v="2250"/>
    <n v="2250"/>
    <n v="1"/>
    <m/>
    <m/>
  </r>
  <r>
    <x v="0"/>
    <s v="Xenrel Mae O Dacubar "/>
    <s v="NY"/>
    <s v="RD"/>
    <s v="P"/>
    <n v="450"/>
    <s v="P"/>
    <s v="P"/>
    <n v="18"/>
    <s v="RD"/>
    <n v="18"/>
    <n v="450"/>
    <n v="468"/>
    <n v="2250"/>
    <n v="1782"/>
    <n v="0.79200000000000004"/>
    <m/>
    <m/>
  </r>
  <r>
    <x v="6"/>
    <m/>
    <m/>
    <m/>
    <m/>
    <m/>
    <m/>
    <m/>
    <m/>
    <m/>
    <n v="2199"/>
    <n v="13050"/>
    <n v="15249"/>
    <n v="215190"/>
    <n v="199941"/>
    <n v="0.92607936507936495"/>
    <m/>
    <m/>
  </r>
  <r>
    <x v="6"/>
    <m/>
    <m/>
    <m/>
    <m/>
    <m/>
    <m/>
    <m/>
    <m/>
    <m/>
    <m/>
    <m/>
    <m/>
    <m/>
    <m/>
    <m/>
    <m/>
    <m/>
  </r>
  <r>
    <x v="6"/>
    <m/>
    <m/>
    <m/>
    <m/>
    <m/>
    <m/>
    <m/>
    <m/>
    <m/>
    <m/>
    <m/>
    <m/>
    <m/>
    <m/>
    <m/>
    <m/>
    <m/>
  </r>
  <r>
    <x v="6"/>
    <m/>
    <m/>
    <m/>
    <m/>
    <m/>
    <m/>
    <m/>
    <m/>
    <m/>
    <m/>
    <m/>
    <n v="7.0862958315906874E-2"/>
    <m/>
    <m/>
    <m/>
    <m/>
    <m/>
  </r>
  <r>
    <x v="6"/>
    <m/>
    <m/>
    <m/>
    <m/>
    <m/>
    <m/>
    <m/>
    <m/>
    <m/>
    <m/>
    <m/>
    <m/>
    <m/>
    <m/>
    <m/>
    <m/>
    <m/>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3">
  <r>
    <x v="0"/>
    <s v="Alexandra Ortiz"/>
    <s v="KY"/>
    <s v="RD"/>
    <n v="450"/>
    <n v="450"/>
    <n v="450"/>
    <s v="P"/>
    <s v="P"/>
    <s v="RD"/>
    <m/>
    <n v="1350"/>
    <n v="1350"/>
    <n v="2250"/>
    <n v="900"/>
    <n v="0.4"/>
    <m/>
    <m/>
  </r>
  <r>
    <x v="1"/>
    <s v="Alyssa DeGuzman "/>
    <s v="KY"/>
    <s v="P"/>
    <n v="44"/>
    <s v="RD"/>
    <s v="RD"/>
    <s v="P"/>
    <n v="2"/>
    <n v="14"/>
    <n v="60"/>
    <n v="0"/>
    <n v="60"/>
    <n v="2250"/>
    <n v="2190"/>
    <n v="0.97333333333333338"/>
    <m/>
    <m/>
  </r>
  <r>
    <x v="1"/>
    <s v="Analyn Caniedo "/>
    <s v="IL"/>
    <n v="7"/>
    <s v="P"/>
    <s v="RD"/>
    <s v="RD"/>
    <s v="P"/>
    <s v="P"/>
    <s v="P"/>
    <n v="7"/>
    <n v="0"/>
    <n v="7"/>
    <n v="2250"/>
    <n v="2243"/>
    <n v="0.99688888888888894"/>
    <m/>
    <m/>
  </r>
  <r>
    <x v="0"/>
    <s v="Analyn Diaz "/>
    <s v="NJ"/>
    <s v="RD"/>
    <s v="P"/>
    <n v="450"/>
    <s v="P"/>
    <n v="450"/>
    <n v="5"/>
    <s v="RD"/>
    <n v="5"/>
    <n v="900"/>
    <n v="905"/>
    <n v="2250"/>
    <n v="1345"/>
    <n v="0.59777777777777774"/>
    <m/>
    <m/>
  </r>
  <r>
    <x v="1"/>
    <s v="Andrea Fonacier"/>
    <s v="KY/IL"/>
    <s v="RD"/>
    <s v="P"/>
    <s v="P"/>
    <n v="6"/>
    <n v="7"/>
    <n v="7"/>
    <s v="RD"/>
    <n v="20"/>
    <n v="0"/>
    <n v="20"/>
    <n v="2250"/>
    <n v="2230"/>
    <n v="0.99111111111111116"/>
    <m/>
    <m/>
  </r>
  <r>
    <x v="2"/>
    <s v="Angelica Bautista"/>
    <s v="Multi"/>
    <s v="P"/>
    <s v="P"/>
    <s v="P"/>
    <s v="P"/>
    <s v="P"/>
    <s v="RD"/>
    <s v="RD"/>
    <m/>
    <n v="0"/>
    <n v="0"/>
    <n v="2250"/>
    <n v="2250"/>
    <n v="1"/>
    <m/>
    <m/>
  </r>
  <r>
    <x v="0"/>
    <s v="Angelo Agron "/>
    <s v="NJ"/>
    <s v="RD"/>
    <n v="450"/>
    <s v="P"/>
    <n v="3"/>
    <n v="2"/>
    <n v="2"/>
    <s v="RD"/>
    <n v="7"/>
    <n v="450"/>
    <n v="457"/>
    <n v="2250"/>
    <n v="1793"/>
    <n v="0.79688888888888887"/>
    <m/>
    <m/>
  </r>
  <r>
    <x v="0"/>
    <s v="Anthea Ann Lumen "/>
    <s v="KY"/>
    <s v="RD"/>
    <s v="P"/>
    <s v="LWOP"/>
    <s v="P"/>
    <s v="P"/>
    <s v="P"/>
    <s v="RD"/>
    <m/>
    <n v="0"/>
    <n v="0"/>
    <n v="1800"/>
    <n v="1800"/>
    <n v="1"/>
    <m/>
    <n v="1"/>
  </r>
  <r>
    <x v="0"/>
    <s v="Anthony Valdez"/>
    <s v="KY"/>
    <s v="RD"/>
    <s v="P"/>
    <s v="P"/>
    <n v="450"/>
    <s v="P"/>
    <s v="VL"/>
    <s v="RD"/>
    <m/>
    <n v="450"/>
    <n v="450"/>
    <n v="1800"/>
    <n v="1350"/>
    <n v="0.75"/>
    <n v="1"/>
    <m/>
  </r>
  <r>
    <x v="2"/>
    <s v="Ar Jean Tudtud"/>
    <s v="Multi"/>
    <s v="P"/>
    <s v="RD"/>
    <s v="P"/>
    <s v="P"/>
    <s v="P"/>
    <s v="P"/>
    <s v="P"/>
    <m/>
    <n v="0"/>
    <n v="0"/>
    <n v="2250"/>
    <n v="2250"/>
    <n v="1"/>
    <m/>
    <m/>
  </r>
  <r>
    <x v="1"/>
    <s v="Arah Blancia "/>
    <s v="IL"/>
    <s v="P"/>
    <n v="450"/>
    <s v="P"/>
    <s v="RD"/>
    <s v="RD"/>
    <s v="P"/>
    <s v="P"/>
    <m/>
    <n v="450"/>
    <n v="450"/>
    <n v="2250"/>
    <n v="1800"/>
    <n v="0.8"/>
    <m/>
    <m/>
  </r>
  <r>
    <x v="1"/>
    <s v="Audrey De Leon"/>
    <s v="NJ"/>
    <s v="P"/>
    <s v="P"/>
    <s v="P"/>
    <s v="P"/>
    <s v="P"/>
    <s v="RD"/>
    <s v="RD"/>
    <m/>
    <n v="0"/>
    <n v="0"/>
    <n v="2250"/>
    <n v="2250"/>
    <n v="1"/>
    <m/>
    <m/>
  </r>
  <r>
    <x v="1"/>
    <s v="Avril Rie Son"/>
    <s v="NJ"/>
    <s v="RD"/>
    <n v="5"/>
    <n v="7"/>
    <s v="P"/>
    <s v="P"/>
    <s v="P"/>
    <s v="RD"/>
    <n v="12"/>
    <n v="0"/>
    <n v="12"/>
    <n v="2250"/>
    <n v="2238"/>
    <n v="0.9946666666666667"/>
    <m/>
    <m/>
  </r>
  <r>
    <x v="1"/>
    <s v="Bea Mercado "/>
    <s v="NJ"/>
    <s v="RD"/>
    <n v="450"/>
    <s v="P"/>
    <s v="P"/>
    <s v="P"/>
    <s v="P"/>
    <s v="RD"/>
    <m/>
    <n v="450"/>
    <n v="450"/>
    <n v="2250"/>
    <n v="1800"/>
    <n v="0.8"/>
    <m/>
    <m/>
  </r>
  <r>
    <x v="1"/>
    <s v="Charlene Valdez"/>
    <s v="MA/NY/NJ (KY/IL)"/>
    <s v="RD"/>
    <s v="P"/>
    <s v="P"/>
    <n v="19"/>
    <s v="P"/>
    <n v="21"/>
    <s v="RD"/>
    <n v="40"/>
    <n v="0"/>
    <n v="40"/>
    <n v="2250"/>
    <n v="2210"/>
    <n v="0.98222222222222222"/>
    <m/>
    <m/>
  </r>
  <r>
    <x v="1"/>
    <s v="Charyselle Cadelina "/>
    <s v="KY"/>
    <s v="RD"/>
    <s v="P"/>
    <s v="P"/>
    <s v="P"/>
    <s v="P"/>
    <n v="17"/>
    <s v="RD"/>
    <n v="17"/>
    <n v="0"/>
    <n v="17"/>
    <n v="2250"/>
    <n v="2233"/>
    <n v="0.99244444444444446"/>
    <m/>
    <m/>
  </r>
  <r>
    <x v="2"/>
    <s v="Collen Silapan"/>
    <s v="Multi"/>
    <s v="LWOP"/>
    <s v="P"/>
    <s v="P"/>
    <s v="P"/>
    <s v="P"/>
    <s v="RD"/>
    <s v="RD"/>
    <m/>
    <n v="0"/>
    <n v="0"/>
    <n v="1800"/>
    <n v="1800"/>
    <n v="1"/>
    <m/>
    <n v="1"/>
  </r>
  <r>
    <x v="1"/>
    <s v="Danielle Generao "/>
    <s v="KY"/>
    <s v="RD"/>
    <s v="P"/>
    <n v="22"/>
    <s v="P"/>
    <n v="23"/>
    <s v="P"/>
    <s v="RD"/>
    <n v="45"/>
    <n v="0"/>
    <n v="45"/>
    <n v="2250"/>
    <n v="2205"/>
    <n v="0.98"/>
    <m/>
    <m/>
  </r>
  <r>
    <x v="1"/>
    <s v="Edmark Bania"/>
    <s v="Multi"/>
    <s v="RD"/>
    <s v="P"/>
    <s v="P"/>
    <s v="P"/>
    <s v="P"/>
    <s v="P"/>
    <s v="RD"/>
    <m/>
    <n v="0"/>
    <n v="0"/>
    <n v="2250"/>
    <n v="2250"/>
    <n v="1"/>
    <m/>
    <m/>
  </r>
  <r>
    <x v="0"/>
    <s v="Eldrick Loreno"/>
    <s v="NY"/>
    <s v="RD"/>
    <s v="P"/>
    <s v="P"/>
    <n v="450"/>
    <s v="P"/>
    <s v="P"/>
    <s v="RD"/>
    <m/>
    <n v="450"/>
    <n v="450"/>
    <n v="2250"/>
    <n v="1800"/>
    <n v="0.8"/>
    <m/>
    <m/>
  </r>
  <r>
    <x v="3"/>
    <s v="Erika Ramos"/>
    <s v="Multi"/>
    <s v="RD"/>
    <s v="P"/>
    <s v="P"/>
    <s v="P"/>
    <s v="P"/>
    <s v="P"/>
    <s v="RD"/>
    <m/>
    <n v="0"/>
    <n v="0"/>
    <n v="2250"/>
    <n v="2250"/>
    <n v="1"/>
    <m/>
    <m/>
  </r>
  <r>
    <x v="0"/>
    <s v="Ethel Gregorio "/>
    <s v="MA"/>
    <s v="RD"/>
    <n v="15"/>
    <n v="20"/>
    <n v="11"/>
    <n v="15"/>
    <n v="14"/>
    <s v="RD"/>
    <n v="75"/>
    <n v="0"/>
    <n v="75"/>
    <n v="2250"/>
    <n v="2175"/>
    <n v="0.96666666666666667"/>
    <m/>
    <m/>
  </r>
  <r>
    <x v="0"/>
    <s v="Eunice Bargo "/>
    <s v="MA"/>
    <s v="RD"/>
    <s v="P"/>
    <n v="8"/>
    <n v="19"/>
    <s v="P"/>
    <s v="P"/>
    <s v="RD"/>
    <n v="27"/>
    <n v="0"/>
    <n v="27"/>
    <n v="2250"/>
    <n v="2223"/>
    <n v="0.98799999999999999"/>
    <m/>
    <m/>
  </r>
  <r>
    <x v="1"/>
    <s v="Eunice Padadnan"/>
    <s v="NY"/>
    <s v="RD"/>
    <n v="1"/>
    <s v="P"/>
    <s v="P"/>
    <s v="P"/>
    <s v="P"/>
    <s v="RD"/>
    <n v="1"/>
    <n v="0"/>
    <n v="1"/>
    <n v="2250"/>
    <n v="2249"/>
    <n v="0.99955555555555553"/>
    <m/>
    <m/>
  </r>
  <r>
    <x v="0"/>
    <s v="Femie DC Domenden "/>
    <s v="IL"/>
    <s v="RD"/>
    <s v="P"/>
    <s v="P"/>
    <s v="P"/>
    <s v="P"/>
    <n v="3"/>
    <s v="RD"/>
    <n v="3"/>
    <n v="0"/>
    <n v="3"/>
    <n v="2250"/>
    <n v="2247"/>
    <n v="0.9986666666666667"/>
    <m/>
    <m/>
  </r>
  <r>
    <x v="1"/>
    <s v="Francis Alba"/>
    <s v="Multi"/>
    <s v="RD"/>
    <s v="P"/>
    <s v="P"/>
    <s v="P"/>
    <s v="P"/>
    <s v="P"/>
    <s v="RD"/>
    <m/>
    <n v="0"/>
    <n v="0"/>
    <n v="2250"/>
    <n v="2250"/>
    <n v="1"/>
    <m/>
    <m/>
  </r>
  <r>
    <x v="0"/>
    <s v="Francis Narboneta "/>
    <s v="IL"/>
    <s v="RD"/>
    <n v="450"/>
    <n v="450"/>
    <n v="450"/>
    <s v="P"/>
    <s v="P"/>
    <s v="RD"/>
    <m/>
    <n v="1350"/>
    <n v="1350"/>
    <n v="2250"/>
    <n v="900"/>
    <n v="0.4"/>
    <m/>
    <m/>
  </r>
  <r>
    <x v="0"/>
    <s v="Gladys Astilla "/>
    <s v="MA"/>
    <s v="RD"/>
    <s v="VL"/>
    <s v="P"/>
    <s v="P"/>
    <s v="P"/>
    <s v="P"/>
    <s v="RD"/>
    <m/>
    <n v="0"/>
    <n v="0"/>
    <n v="1800"/>
    <n v="1800"/>
    <n v="1"/>
    <n v="1"/>
    <m/>
  </r>
  <r>
    <x v="1"/>
    <s v="Glessie DeJesus"/>
    <s v="KY"/>
    <s v="RD"/>
    <n v="450"/>
    <s v="P"/>
    <s v="P"/>
    <s v="P"/>
    <s v="P"/>
    <s v="RD"/>
    <m/>
    <n v="450"/>
    <n v="450"/>
    <n v="2250"/>
    <n v="1800"/>
    <n v="0.8"/>
    <m/>
    <m/>
  </r>
  <r>
    <x v="0"/>
    <s v="Glory Nabayra "/>
    <s v="IL"/>
    <s v="RD"/>
    <s v="P"/>
    <s v="P"/>
    <s v="P"/>
    <s v="P"/>
    <s v="P"/>
    <s v="RD"/>
    <m/>
    <n v="0"/>
    <n v="0"/>
    <n v="2250"/>
    <n v="2250"/>
    <n v="1"/>
    <m/>
    <m/>
  </r>
  <r>
    <x v="1"/>
    <s v="Hanna Arceo"/>
    <s v="KY"/>
    <s v="RD"/>
    <n v="1"/>
    <n v="1"/>
    <n v="450"/>
    <s v="P"/>
    <s v="P"/>
    <s v="RD"/>
    <n v="2"/>
    <n v="450"/>
    <n v="452"/>
    <n v="2250"/>
    <n v="1798"/>
    <n v="0.79911111111111111"/>
    <m/>
    <m/>
  </r>
  <r>
    <x v="4"/>
    <s v="Hans Ruan"/>
    <s v="Multi"/>
    <s v="RD"/>
    <s v="P"/>
    <s v="P"/>
    <s v="P"/>
    <s v="P"/>
    <s v="P"/>
    <s v="RD"/>
    <m/>
    <n v="0"/>
    <n v="0"/>
    <n v="2250"/>
    <n v="2250"/>
    <n v="1"/>
    <m/>
    <m/>
  </r>
  <r>
    <x v="2"/>
    <s v="Hazelyn Rodrigo"/>
    <s v="Multi"/>
    <s v="RD"/>
    <n v="56"/>
    <s v="RD"/>
    <s v="RD"/>
    <s v="P"/>
    <s v="P"/>
    <n v="65"/>
    <n v="121"/>
    <n v="0"/>
    <n v="121"/>
    <n v="1800"/>
    <n v="1679"/>
    <n v="0.93277777777777782"/>
    <m/>
    <m/>
  </r>
  <r>
    <x v="1"/>
    <s v="Iris Dahnielle Andalleon "/>
    <s v="Multi"/>
    <s v="P"/>
    <s v="P"/>
    <s v="P"/>
    <s v="RD"/>
    <s v="RD"/>
    <s v="P"/>
    <s v="P"/>
    <m/>
    <n v="0"/>
    <n v="0"/>
    <n v="2250"/>
    <n v="2250"/>
    <n v="1"/>
    <m/>
    <m/>
  </r>
  <r>
    <x v="2"/>
    <s v="Isabela Arellano"/>
    <s v="Multi"/>
    <s v="RD"/>
    <n v="10"/>
    <n v="270"/>
    <s v="P"/>
    <n v="1"/>
    <s v="LWOP"/>
    <s v="RD"/>
    <n v="281"/>
    <n v="0"/>
    <n v="281"/>
    <n v="1800"/>
    <n v="1519"/>
    <n v="0.84388888888888891"/>
    <m/>
    <n v="1"/>
  </r>
  <r>
    <x v="0"/>
    <s v="Iverson Libranda"/>
    <s v="IL"/>
    <s v="RD"/>
    <s v="P"/>
    <n v="9"/>
    <s v="P"/>
    <s v="P"/>
    <s v="P"/>
    <s v="RD"/>
    <n v="9"/>
    <n v="0"/>
    <n v="9"/>
    <n v="2250"/>
    <n v="2241"/>
    <n v="0.996"/>
    <m/>
    <m/>
  </r>
  <r>
    <x v="0"/>
    <s v="Jason Cruz"/>
    <s v="MA"/>
    <s v="RD"/>
    <s v="P"/>
    <s v="P"/>
    <s v="P"/>
    <s v="VL"/>
    <s v="VL"/>
    <s v="RD"/>
    <m/>
    <n v="0"/>
    <n v="0"/>
    <n v="1350"/>
    <n v="1350"/>
    <n v="1"/>
    <n v="2"/>
    <m/>
  </r>
  <r>
    <x v="1"/>
    <s v="Jean Tan"/>
    <s v="NY NJ"/>
    <s v="RD"/>
    <s v="P"/>
    <s v="P"/>
    <s v="P"/>
    <s v="P"/>
    <n v="450"/>
    <s v="RD"/>
    <m/>
    <n v="450"/>
    <n v="450"/>
    <n v="2250"/>
    <n v="1800"/>
    <n v="0.8"/>
    <m/>
    <m/>
  </r>
  <r>
    <x v="1"/>
    <s v="Jeannie Bajaro"/>
    <s v="Multi"/>
    <s v="P"/>
    <s v="P"/>
    <s v="RD"/>
    <s v="RD"/>
    <s v="VL"/>
    <s v="P"/>
    <s v="P"/>
    <m/>
    <n v="0"/>
    <n v="0"/>
    <n v="1800"/>
    <n v="1800"/>
    <n v="1"/>
    <n v="1"/>
    <m/>
  </r>
  <r>
    <x v="1"/>
    <s v="Jericho Crame "/>
    <s v="NJ"/>
    <s v="RD"/>
    <s v="P"/>
    <s v="P"/>
    <s v="P"/>
    <s v="P"/>
    <s v="P"/>
    <s v="RD"/>
    <m/>
    <n v="0"/>
    <n v="0"/>
    <n v="2250"/>
    <n v="2250"/>
    <n v="1"/>
    <m/>
    <m/>
  </r>
  <r>
    <x v="0"/>
    <s v="Jesslyn Gatbunton "/>
    <s v="NJ"/>
    <s v="RD"/>
    <n v="7"/>
    <n v="30"/>
    <s v="P"/>
    <n v="5"/>
    <s v="P"/>
    <s v="RD"/>
    <n v="42"/>
    <n v="0"/>
    <n v="42"/>
    <n v="2250"/>
    <n v="2208"/>
    <n v="0.98133333333333328"/>
    <m/>
    <m/>
  </r>
  <r>
    <x v="1"/>
    <s v="Jester Limpin"/>
    <s v="Multi"/>
    <s v="P"/>
    <s v="P"/>
    <s v="RD"/>
    <s v="RD"/>
    <s v="P"/>
    <s v="P"/>
    <n v="450"/>
    <m/>
    <n v="450"/>
    <n v="450"/>
    <n v="2250"/>
    <n v="1800"/>
    <n v="0.8"/>
    <m/>
    <m/>
  </r>
  <r>
    <x v="3"/>
    <s v="Jewel Mondina"/>
    <s v="Multi"/>
    <s v="RD"/>
    <s v="P"/>
    <s v="P"/>
    <s v="P"/>
    <s v="P"/>
    <s v="P"/>
    <s v="RD"/>
    <m/>
    <n v="0"/>
    <n v="0"/>
    <n v="2250"/>
    <n v="2250"/>
    <n v="1"/>
    <m/>
    <m/>
  </r>
  <r>
    <x v="0"/>
    <s v="Jimwell Osiang"/>
    <s v="MA"/>
    <s v="RD"/>
    <s v="P"/>
    <n v="15"/>
    <s v="P"/>
    <s v="P"/>
    <n v="22"/>
    <s v="RD"/>
    <n v="37"/>
    <n v="0"/>
    <n v="37"/>
    <n v="2250"/>
    <n v="2213"/>
    <n v="0.98355555555555552"/>
    <m/>
    <m/>
  </r>
  <r>
    <x v="1"/>
    <s v="Jizelle Delos Reyes "/>
    <s v="NY"/>
    <s v="RD"/>
    <n v="450"/>
    <s v="P"/>
    <s v="P"/>
    <s v="P"/>
    <s v="P"/>
    <s v="RD"/>
    <m/>
    <n v="450"/>
    <n v="450"/>
    <n v="2250"/>
    <n v="1800"/>
    <n v="0.8"/>
    <m/>
    <m/>
  </r>
  <r>
    <x v="1"/>
    <s v="Joanna Cabrera"/>
    <s v="NJ"/>
    <s v="RD"/>
    <s v="P"/>
    <s v="P"/>
    <s v="P"/>
    <n v="2"/>
    <n v="55"/>
    <s v="RD"/>
    <n v="57"/>
    <n v="0"/>
    <n v="57"/>
    <n v="2250"/>
    <n v="2193"/>
    <n v="0.97466666666666668"/>
    <m/>
    <m/>
  </r>
  <r>
    <x v="0"/>
    <s v="Johnella Lopez "/>
    <s v="KY"/>
    <s v="RD"/>
    <s v="P"/>
    <s v="P"/>
    <n v="14"/>
    <s v="P"/>
    <n v="11"/>
    <s v="RD"/>
    <n v="25"/>
    <n v="0"/>
    <n v="25"/>
    <n v="2250"/>
    <n v="2225"/>
    <n v="0.98888888888888893"/>
    <m/>
    <m/>
  </r>
  <r>
    <x v="1"/>
    <s v="Jonathan Marquez "/>
    <s v="Multi"/>
    <s v="RD"/>
    <s v="P"/>
    <n v="1"/>
    <s v="P"/>
    <s v="P"/>
    <s v="P"/>
    <s v="RD"/>
    <n v="1"/>
    <n v="0"/>
    <n v="1"/>
    <n v="2250"/>
    <n v="2249"/>
    <n v="0.99955555555555553"/>
    <m/>
    <m/>
  </r>
  <r>
    <x v="2"/>
    <s v="Josea Aseron"/>
    <s v="Multi"/>
    <s v="P"/>
    <s v="RD"/>
    <s v="P"/>
    <s v="P"/>
    <s v="LWOP"/>
    <s v="P"/>
    <s v="P"/>
    <m/>
    <n v="0"/>
    <n v="0"/>
    <n v="2250"/>
    <n v="2250"/>
    <n v="1"/>
    <m/>
    <n v="1"/>
  </r>
  <r>
    <x v="0"/>
    <s v="Joshua Joaquin"/>
    <s v="IL"/>
    <s v="RD"/>
    <s v="P"/>
    <s v="P"/>
    <s v="P"/>
    <n v="1"/>
    <s v="P"/>
    <s v="RD"/>
    <n v="1"/>
    <n v="0"/>
    <n v="1"/>
    <n v="2250"/>
    <n v="2249"/>
    <n v="0.99955555555555553"/>
    <m/>
    <m/>
  </r>
  <r>
    <x v="0"/>
    <s v="Jouse Baquiran"/>
    <s v="NJ"/>
    <s v="RD"/>
    <s v="P"/>
    <s v="P"/>
    <s v="P"/>
    <n v="1"/>
    <s v="P"/>
    <s v="RD"/>
    <n v="1"/>
    <n v="0"/>
    <n v="1"/>
    <n v="2250"/>
    <n v="2249"/>
    <n v="0.99955555555555553"/>
    <m/>
    <m/>
  </r>
  <r>
    <x v="0"/>
    <s v="Julieann Manasan"/>
    <s v="MA"/>
    <s v="RD"/>
    <s v="P"/>
    <n v="450"/>
    <n v="450"/>
    <s v="P"/>
    <n v="450"/>
    <s v="RD"/>
    <m/>
    <n v="1350"/>
    <n v="1350"/>
    <n v="2250"/>
    <n v="900"/>
    <n v="0.4"/>
    <m/>
    <m/>
  </r>
  <r>
    <x v="1"/>
    <s v="Jullyca Oblefias"/>
    <s v="NY"/>
    <s v="RD"/>
    <s v="P"/>
    <s v="P"/>
    <s v="P"/>
    <s v="P"/>
    <s v="P"/>
    <s v="RD"/>
    <m/>
    <n v="0"/>
    <n v="0"/>
    <n v="2250"/>
    <n v="2250"/>
    <n v="1"/>
    <m/>
    <m/>
  </r>
  <r>
    <x v="4"/>
    <s v="Karl Solomon"/>
    <s v="Multi"/>
    <s v="RD"/>
    <s v="P"/>
    <s v="P"/>
    <n v="11"/>
    <s v="P"/>
    <n v="25"/>
    <s v="RD"/>
    <n v="36"/>
    <n v="0"/>
    <n v="36"/>
    <n v="2250"/>
    <n v="2214"/>
    <n v="0.98399999999999999"/>
    <m/>
    <m/>
  </r>
  <r>
    <x v="1"/>
    <s v="Karlos De Leon "/>
    <s v="NJ"/>
    <s v="RD"/>
    <s v="RD"/>
    <s v="P"/>
    <s v="P"/>
    <s v="P"/>
    <s v="P"/>
    <s v="P"/>
    <n v="0"/>
    <n v="0"/>
    <n v="0"/>
    <n v="2250"/>
    <n v="2250"/>
    <n v="1"/>
    <m/>
    <m/>
  </r>
  <r>
    <x v="0"/>
    <s v="Kate Constantino"/>
    <s v="KY"/>
    <s v="RD"/>
    <s v="P"/>
    <s v="P"/>
    <s v="P"/>
    <s v="VL"/>
    <s v="VL"/>
    <s v="RD"/>
    <m/>
    <n v="0"/>
    <n v="0"/>
    <n v="1350"/>
    <n v="1350"/>
    <n v="1"/>
    <n v="2"/>
    <m/>
  </r>
  <r>
    <x v="2"/>
    <s v="Katrina Go"/>
    <s v="Multi"/>
    <s v="RD"/>
    <s v="RD"/>
    <s v="P"/>
    <s v="P"/>
    <s v="P"/>
    <s v="P"/>
    <s v="LWOP"/>
    <m/>
    <n v="0"/>
    <n v="0"/>
    <n v="1800"/>
    <n v="1800"/>
    <n v="1"/>
    <m/>
    <n v="1"/>
  </r>
  <r>
    <x v="1"/>
    <s v="Kaxyleh Masilongan "/>
    <s v="NY"/>
    <s v="RD"/>
    <n v="18"/>
    <s v="P"/>
    <n v="7"/>
    <s v="P"/>
    <s v="P"/>
    <s v="RD"/>
    <n v="25"/>
    <n v="0"/>
    <n v="25"/>
    <n v="2250"/>
    <n v="2225"/>
    <n v="0.98888888888888893"/>
    <m/>
    <m/>
  </r>
  <r>
    <x v="2"/>
    <s v="Kiana Brown"/>
    <s v="Multi"/>
    <s v="RD"/>
    <s v="RD"/>
    <s v="P"/>
    <s v="P"/>
    <s v="P"/>
    <s v="P"/>
    <s v="P"/>
    <m/>
    <n v="0"/>
    <n v="0"/>
    <n v="2250"/>
    <n v="2250"/>
    <n v="1"/>
    <m/>
    <m/>
  </r>
  <r>
    <x v="1"/>
    <s v="Kizzy Serrano "/>
    <s v="IL"/>
    <s v="RD"/>
    <s v="P"/>
    <s v="P"/>
    <n v="8"/>
    <s v="P"/>
    <s v="P"/>
    <s v="RD"/>
    <n v="8"/>
    <n v="0"/>
    <n v="8"/>
    <n v="2250"/>
    <n v="2242"/>
    <n v="0.99644444444444447"/>
    <m/>
    <m/>
  </r>
  <r>
    <x v="0"/>
    <s v="Kyzen Hayagan "/>
    <s v="MA"/>
    <s v="RD"/>
    <s v="P"/>
    <n v="7"/>
    <n v="450"/>
    <s v="P"/>
    <s v="P"/>
    <s v="RD"/>
    <n v="7"/>
    <n v="450"/>
    <n v="457"/>
    <n v="2250"/>
    <n v="1793"/>
    <n v="0.79688888888888887"/>
    <m/>
    <m/>
  </r>
  <r>
    <x v="0"/>
    <s v="Lea Alagadmo"/>
    <s v="MA"/>
    <s v="RD"/>
    <s v="VL"/>
    <s v="VL"/>
    <s v="P"/>
    <s v="P"/>
    <n v="7"/>
    <s v="RD"/>
    <n v="7"/>
    <n v="0"/>
    <n v="7"/>
    <n v="1350"/>
    <n v="1343"/>
    <n v="0.99481481481481482"/>
    <n v="2"/>
    <m/>
  </r>
  <r>
    <x v="4"/>
    <s v="Leo Olesco "/>
    <s v="Multi"/>
    <s v="RD"/>
    <s v="VL"/>
    <s v="P"/>
    <s v="P"/>
    <s v="P"/>
    <s v="P"/>
    <s v="RD"/>
    <m/>
    <n v="0"/>
    <n v="0"/>
    <n v="1800"/>
    <n v="1800"/>
    <n v="1"/>
    <n v="1"/>
    <m/>
  </r>
  <r>
    <x v="0"/>
    <s v="Lorraine Cabantac "/>
    <s v="NJ"/>
    <s v="RD"/>
    <s v="P"/>
    <s v="P"/>
    <s v="P"/>
    <s v="P"/>
    <n v="218"/>
    <s v="RD"/>
    <n v="218"/>
    <n v="0"/>
    <n v="218"/>
    <n v="2250"/>
    <n v="2032"/>
    <n v="0.90311111111111109"/>
    <m/>
    <m/>
  </r>
  <r>
    <x v="0"/>
    <s v="Louis Cantillion"/>
    <s v="NJ"/>
    <s v="RD"/>
    <s v="P"/>
    <s v="P"/>
    <s v="P"/>
    <s v="P"/>
    <s v="P"/>
    <s v="RD"/>
    <n v="0"/>
    <n v="0"/>
    <n v="0"/>
    <n v="2250"/>
    <n v="2250"/>
    <n v="1"/>
    <m/>
    <m/>
  </r>
  <r>
    <x v="1"/>
    <s v="Margie Theres A Magluyan "/>
    <s v="Multi"/>
    <n v="270"/>
    <n v="72"/>
    <s v="P"/>
    <s v="RD"/>
    <s v="RD"/>
    <s v="P"/>
    <s v="P"/>
    <n v="342"/>
    <n v="0"/>
    <n v="342"/>
    <n v="2250"/>
    <n v="1908"/>
    <n v="0.84799999999999998"/>
    <m/>
    <m/>
  </r>
  <r>
    <x v="0"/>
    <s v="Marion Vien Santos"/>
    <s v="KY"/>
    <s v="RD"/>
    <s v="P"/>
    <n v="9"/>
    <s v="P"/>
    <s v="P"/>
    <s v="P"/>
    <s v="RD"/>
    <n v="9"/>
    <n v="0"/>
    <n v="9"/>
    <n v="2250"/>
    <n v="2241"/>
    <n v="0.996"/>
    <m/>
    <m/>
  </r>
  <r>
    <x v="0"/>
    <s v="Mark Bienes "/>
    <s v="NY"/>
    <s v="RD"/>
    <s v="P"/>
    <s v="P"/>
    <s v="P"/>
    <s v="P"/>
    <s v="P"/>
    <s v="RD"/>
    <m/>
    <n v="0"/>
    <n v="0"/>
    <n v="2250"/>
    <n v="2250"/>
    <n v="1"/>
    <m/>
    <m/>
  </r>
  <r>
    <x v="0"/>
    <s v="Mark Frankie Pecolera"/>
    <s v="IL"/>
    <s v="RD"/>
    <s v="P"/>
    <s v="P"/>
    <s v="P"/>
    <s v="P"/>
    <s v="P"/>
    <s v="RD"/>
    <m/>
    <n v="0"/>
    <n v="0"/>
    <n v="2250"/>
    <n v="2250"/>
    <n v="1"/>
    <m/>
    <m/>
  </r>
  <r>
    <x v="4"/>
    <s v="Mark Metra"/>
    <s v="Multi"/>
    <s v="RD"/>
    <s v="LWOP"/>
    <s v="LWOP"/>
    <n v="450"/>
    <n v="450"/>
    <n v="450"/>
    <s v="RD"/>
    <m/>
    <n v="1350"/>
    <n v="1350"/>
    <n v="1350"/>
    <n v="0"/>
    <n v="0"/>
    <m/>
    <n v="2"/>
  </r>
  <r>
    <x v="1"/>
    <s v="Mary Dela Cruz "/>
    <s v="IL"/>
    <s v="RD"/>
    <s v="P"/>
    <s v="P"/>
    <s v="P"/>
    <s v="P"/>
    <s v="P"/>
    <s v="RD"/>
    <m/>
    <n v="0"/>
    <n v="0"/>
    <n v="2250"/>
    <n v="2250"/>
    <n v="1"/>
    <m/>
    <m/>
  </r>
  <r>
    <x v="1"/>
    <s v="Mary Kilario"/>
    <s v="KY/IL"/>
    <s v="RD"/>
    <s v="P"/>
    <n v="450"/>
    <s v="P"/>
    <s v="P"/>
    <s v="P"/>
    <s v="RD"/>
    <m/>
    <n v="450"/>
    <n v="450"/>
    <n v="2250"/>
    <n v="1800"/>
    <n v="0.8"/>
    <m/>
    <m/>
  </r>
  <r>
    <x v="5"/>
    <s v="Mayann Somera"/>
    <s v="Multi"/>
    <s v="RD"/>
    <s v="P"/>
    <s v="P"/>
    <s v="P"/>
    <s v="P"/>
    <s v="P"/>
    <s v="RD"/>
    <m/>
    <n v="0"/>
    <n v="0"/>
    <n v="2250"/>
    <n v="2250"/>
    <n v="1"/>
    <m/>
    <m/>
  </r>
  <r>
    <x v="0"/>
    <s v="Mherica Santos "/>
    <s v="KY"/>
    <s v="RD"/>
    <s v="P"/>
    <n v="9"/>
    <s v="P"/>
    <n v="1"/>
    <s v="P"/>
    <s v="RD"/>
    <n v="10"/>
    <n v="0"/>
    <n v="10"/>
    <n v="2250"/>
    <n v="2240"/>
    <n v="0.99555555555555553"/>
    <m/>
    <m/>
  </r>
  <r>
    <x v="1"/>
    <s v="Mikaella Santos"/>
    <s v="Multi"/>
    <s v="P"/>
    <s v="P"/>
    <s v="RD"/>
    <s v="RD"/>
    <s v="P"/>
    <s v="P"/>
    <s v="P"/>
    <m/>
    <n v="0"/>
    <n v="0"/>
    <n v="2250"/>
    <n v="2250"/>
    <n v="1"/>
    <m/>
    <m/>
  </r>
  <r>
    <x v="2"/>
    <s v="Nerissa Ong"/>
    <s v="Multi"/>
    <s v="RD"/>
    <s v="RD"/>
    <n v="2"/>
    <n v="2"/>
    <s v="P"/>
    <s v="P"/>
    <s v="P"/>
    <n v="4"/>
    <n v="0"/>
    <n v="4"/>
    <n v="2250"/>
    <n v="2246"/>
    <n v="0.99822222222222223"/>
    <m/>
    <m/>
  </r>
  <r>
    <x v="0"/>
    <s v="Noemi Landerito"/>
    <s v="IL"/>
    <s v="RD"/>
    <s v="VL"/>
    <n v="41"/>
    <s v="P"/>
    <n v="3"/>
    <s v="P"/>
    <s v="RD"/>
    <n v="44"/>
    <n v="0"/>
    <n v="44"/>
    <n v="1800"/>
    <n v="1756"/>
    <n v="0.97555555555555551"/>
    <n v="1"/>
    <m/>
  </r>
  <r>
    <x v="0"/>
    <s v="Patricia Busio "/>
    <s v="NJ"/>
    <s v="RD"/>
    <n v="450"/>
    <s v="P"/>
    <s v="P"/>
    <s v="P"/>
    <s v="P"/>
    <s v="RD"/>
    <m/>
    <n v="450"/>
    <n v="450"/>
    <n v="2250"/>
    <n v="1800"/>
    <n v="0.8"/>
    <m/>
    <m/>
  </r>
  <r>
    <x v="0"/>
    <s v="Rafunzel M Manuel "/>
    <s v="MA"/>
    <s v="RD"/>
    <s v="P"/>
    <s v="P"/>
    <s v="P"/>
    <s v="P"/>
    <s v="P"/>
    <s v="RD"/>
    <m/>
    <n v="0"/>
    <n v="0"/>
    <n v="2250"/>
    <n v="2250"/>
    <n v="1"/>
    <m/>
    <m/>
  </r>
  <r>
    <x v="0"/>
    <s v="Raphael Macasocol"/>
    <s v="IL"/>
    <s v="RD"/>
    <s v="P"/>
    <s v="P"/>
    <s v="P"/>
    <s v="VL"/>
    <s v="VL"/>
    <s v="RD"/>
    <m/>
    <n v="0"/>
    <n v="0"/>
    <n v="1350"/>
    <n v="1350"/>
    <n v="1"/>
    <n v="2"/>
    <m/>
  </r>
  <r>
    <x v="2"/>
    <s v="Remaden Bautista "/>
    <s v="Multi"/>
    <s v="RD"/>
    <s v="P"/>
    <n v="2"/>
    <s v="P"/>
    <s v="P"/>
    <s v="P"/>
    <s v="RD"/>
    <n v="2"/>
    <n v="0"/>
    <n v="2"/>
    <n v="2250"/>
    <n v="2248"/>
    <n v="0.99911111111111106"/>
    <m/>
    <m/>
  </r>
  <r>
    <x v="1"/>
    <s v="Rhona Sanejo"/>
    <s v="KY"/>
    <s v="RD"/>
    <s v="RD"/>
    <s v="P"/>
    <s v="RD"/>
    <s v="RD"/>
    <s v="P"/>
    <s v="P"/>
    <m/>
    <n v="0"/>
    <n v="0"/>
    <n v="1350"/>
    <n v="1350"/>
    <n v="1"/>
    <m/>
    <m/>
  </r>
  <r>
    <x v="0"/>
    <s v="Ricalyn Clarencio "/>
    <s v="IL"/>
    <s v="RD"/>
    <s v="P"/>
    <s v="P"/>
    <n v="224"/>
    <s v="P"/>
    <s v="P"/>
    <s v="RD"/>
    <n v="224"/>
    <n v="0"/>
    <n v="224"/>
    <n v="2250"/>
    <n v="2026"/>
    <n v="0.90044444444444449"/>
    <m/>
    <m/>
  </r>
  <r>
    <x v="0"/>
    <s v="Rosalinda Pantua"/>
    <s v="MA"/>
    <s v="RD"/>
    <s v="P"/>
    <s v="P"/>
    <s v="LWOP"/>
    <s v="LWOP"/>
    <n v="450"/>
    <s v="RD"/>
    <m/>
    <n v="450"/>
    <n v="450"/>
    <n v="1350"/>
    <n v="900"/>
    <n v="0.66666666666666663"/>
    <m/>
    <n v="2"/>
  </r>
  <r>
    <x v="0"/>
    <s v="Roxinne Madolid "/>
    <s v="IL"/>
    <s v="RD"/>
    <s v="P"/>
    <s v="P"/>
    <s v="P"/>
    <s v="P"/>
    <s v="P"/>
    <s v="RD"/>
    <m/>
    <n v="0"/>
    <n v="0"/>
    <n v="2250"/>
    <n v="2250"/>
    <n v="1"/>
    <m/>
    <m/>
  </r>
  <r>
    <x v="1"/>
    <s v="Rubyneil Abejero"/>
    <s v="Multi"/>
    <s v="RD"/>
    <s v="P"/>
    <s v="P"/>
    <s v="P"/>
    <s v="P"/>
    <s v="P"/>
    <s v="RD"/>
    <m/>
    <n v="0"/>
    <n v="0"/>
    <n v="2250"/>
    <n v="2250"/>
    <n v="1"/>
    <m/>
    <m/>
  </r>
  <r>
    <x v="1"/>
    <s v="Ruth Dela Cruz"/>
    <s v="KY/IL"/>
    <s v="RD"/>
    <s v="P"/>
    <s v="P"/>
    <n v="450"/>
    <s v="P"/>
    <s v="P"/>
    <s v="RD"/>
    <m/>
    <n v="450"/>
    <n v="450"/>
    <n v="2250"/>
    <n v="1800"/>
    <n v="0.8"/>
    <m/>
    <m/>
  </r>
  <r>
    <x v="0"/>
    <s v="Ryan Rillo"/>
    <s v="KY"/>
    <s v="RD"/>
    <s v="P"/>
    <s v="P"/>
    <s v="LWOP"/>
    <s v="LWOP"/>
    <s v="LWOP"/>
    <s v="RD"/>
    <m/>
    <n v="0"/>
    <n v="0"/>
    <n v="900"/>
    <n v="900"/>
    <n v="1"/>
    <m/>
    <n v="3"/>
  </r>
  <r>
    <x v="1"/>
    <s v="Sandarah Cruz"/>
    <s v="IL"/>
    <s v="RD"/>
    <s v="P"/>
    <n v="450"/>
    <s v="P"/>
    <s v="P"/>
    <n v="3"/>
    <s v="RD"/>
    <n v="3"/>
    <n v="450"/>
    <n v="453"/>
    <n v="2250"/>
    <n v="1797"/>
    <n v="0.79866666666666664"/>
    <m/>
    <m/>
  </r>
  <r>
    <x v="0"/>
    <s v="Sean Edulan "/>
    <s v="NJ"/>
    <s v="RD"/>
    <s v="P"/>
    <n v="46"/>
    <n v="2"/>
    <s v="P"/>
    <n v="2"/>
    <s v="RD"/>
    <n v="50"/>
    <n v="0"/>
    <n v="50"/>
    <n v="2250"/>
    <n v="2200"/>
    <n v="0.97777777777777775"/>
    <m/>
    <m/>
  </r>
  <r>
    <x v="0"/>
    <s v="Stephanie Del Rosario"/>
    <s v="NJ"/>
    <s v="RD"/>
    <n v="450"/>
    <s v="P"/>
    <n v="16"/>
    <s v="P"/>
    <n v="450"/>
    <s v="RD"/>
    <n v="16"/>
    <n v="900"/>
    <n v="916"/>
    <n v="2250"/>
    <n v="1334"/>
    <n v="0.59288888888888891"/>
    <m/>
    <m/>
  </r>
  <r>
    <x v="0"/>
    <s v="Syra Jade Yaranon"/>
    <s v="NY"/>
    <s v="RD"/>
    <n v="74"/>
    <s v="P"/>
    <s v="P"/>
    <s v="P"/>
    <s v="P"/>
    <s v="RD"/>
    <n v="74"/>
    <n v="0"/>
    <n v="74"/>
    <n v="2250"/>
    <n v="2176"/>
    <n v="0.96711111111111114"/>
    <m/>
    <m/>
  </r>
  <r>
    <x v="0"/>
    <s v="Theresa Ma Alvaro "/>
    <s v="NJ"/>
    <s v="RD"/>
    <s v="P"/>
    <n v="15"/>
    <s v="P"/>
    <s v="P"/>
    <s v="P"/>
    <s v="RD"/>
    <n v="15"/>
    <n v="0"/>
    <n v="15"/>
    <n v="2250"/>
    <n v="2235"/>
    <n v="0.99333333333333329"/>
    <m/>
    <m/>
  </r>
  <r>
    <x v="1"/>
    <s v="Tricia Galsim"/>
    <s v="NJ"/>
    <s v="RD"/>
    <n v="10"/>
    <n v="3"/>
    <s v="P"/>
    <s v="P"/>
    <s v="P"/>
    <s v="RD"/>
    <n v="13"/>
    <n v="0"/>
    <n v="13"/>
    <n v="2250"/>
    <n v="2237"/>
    <n v="0.99422222222222223"/>
    <m/>
    <m/>
  </r>
  <r>
    <x v="0"/>
    <s v="Vianka Ylaine Ortiz "/>
    <s v="NY"/>
    <s v="RD"/>
    <s v="P"/>
    <s v="P"/>
    <s v="P"/>
    <s v="P"/>
    <s v="VL"/>
    <s v="RD"/>
    <m/>
    <n v="0"/>
    <n v="0"/>
    <n v="1800"/>
    <n v="1800"/>
    <n v="1"/>
    <m/>
    <n v="1"/>
  </r>
  <r>
    <x v="1"/>
    <s v="Vincent Paolo Villasenor"/>
    <s v="Multi"/>
    <s v="RD"/>
    <s v="P"/>
    <n v="450"/>
    <n v="450"/>
    <s v="P"/>
    <n v="65"/>
    <s v="RD"/>
    <n v="65"/>
    <n v="900"/>
    <n v="965"/>
    <n v="2250"/>
    <n v="1285"/>
    <n v="0.57111111111111112"/>
    <m/>
    <m/>
  </r>
  <r>
    <x v="1"/>
    <s v="Vladimir Patio"/>
    <s v="Multi"/>
    <s v="RD"/>
    <s v="P"/>
    <s v="P"/>
    <s v="P"/>
    <s v="P"/>
    <s v="P"/>
    <s v="RD"/>
    <m/>
    <n v="0"/>
    <n v="0"/>
    <n v="2250"/>
    <n v="2250"/>
    <n v="1"/>
    <m/>
    <m/>
  </r>
  <r>
    <x v="0"/>
    <s v="Xenrel Mae O Dacubar "/>
    <s v="NY"/>
    <s v="RD"/>
    <s v="P"/>
    <s v="P"/>
    <n v="2"/>
    <s v="P"/>
    <n v="9"/>
    <s v="RD"/>
    <n v="11"/>
    <n v="0"/>
    <n v="11"/>
    <n v="2250"/>
    <n v="2239"/>
    <n v="0.99511111111111106"/>
    <m/>
    <m/>
  </r>
  <r>
    <x v="6"/>
    <m/>
    <m/>
    <m/>
    <m/>
    <m/>
    <m/>
    <m/>
    <m/>
    <m/>
    <n v="2079"/>
    <n v="15300"/>
    <n v="17379"/>
    <n v="207900"/>
    <n v="190521"/>
    <n v="0.91470445956160196"/>
    <m/>
    <m/>
  </r>
  <r>
    <x v="6"/>
    <m/>
    <m/>
    <m/>
    <m/>
    <m/>
    <m/>
    <m/>
    <m/>
    <m/>
    <m/>
    <m/>
    <m/>
    <m/>
    <m/>
    <m/>
    <m/>
    <m/>
  </r>
  <r>
    <x v="6"/>
    <m/>
    <m/>
    <m/>
    <m/>
    <m/>
    <m/>
    <m/>
    <m/>
    <m/>
    <m/>
    <m/>
    <m/>
    <m/>
    <m/>
    <m/>
    <m/>
    <m/>
  </r>
  <r>
    <x v="6"/>
    <m/>
    <m/>
    <m/>
    <m/>
    <m/>
    <m/>
    <m/>
    <m/>
    <m/>
    <m/>
    <m/>
    <n v="8.3593073593073594E-2"/>
    <m/>
    <m/>
    <m/>
    <m/>
    <m/>
  </r>
  <r>
    <x v="6"/>
    <m/>
    <m/>
    <m/>
    <m/>
    <m/>
    <m/>
    <m/>
    <m/>
    <m/>
    <m/>
    <m/>
    <m/>
    <m/>
    <m/>
    <m/>
    <m/>
    <m/>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3">
  <r>
    <x v="0"/>
    <s v="Alexandra Ortiz"/>
    <s v="KY"/>
    <n v="30"/>
    <n v="97"/>
    <s v="RD"/>
    <s v="RD"/>
    <s v="P"/>
    <s v="P"/>
    <s v="P"/>
    <n v="47"/>
    <s v="P"/>
    <s v="RD"/>
    <n v="174"/>
    <m/>
    <n v="174"/>
    <n v="3150"/>
    <n v="2976"/>
    <n v="0.9447619047619048"/>
    <m/>
    <m/>
  </r>
  <r>
    <x v="1"/>
    <s v="Alyssa DeGuzman "/>
    <s v="KY"/>
    <n v="12"/>
    <s v="P"/>
    <s v="P"/>
    <s v="P"/>
    <n v="450"/>
    <s v="RD"/>
    <s v="RD"/>
    <n v="40"/>
    <n v="30"/>
    <s v="P"/>
    <n v="82"/>
    <n v="0"/>
    <n v="82"/>
    <n v="3600"/>
    <n v="3518"/>
    <n v="0.97722222222222221"/>
    <m/>
    <m/>
  </r>
  <r>
    <x v="1"/>
    <s v="Analyn Caniedo "/>
    <s v="IL"/>
    <s v="p"/>
    <n v="127"/>
    <s v="RD"/>
    <s v="RD"/>
    <n v="450"/>
    <s v="RD"/>
    <s v="RD"/>
    <n v="14"/>
    <n v="4"/>
    <n v="82"/>
    <n v="145"/>
    <n v="0"/>
    <n v="145"/>
    <n v="2700"/>
    <n v="2555"/>
    <n v="0.9462962962962963"/>
    <m/>
    <m/>
  </r>
  <r>
    <x v="0"/>
    <s v="Analyn Diaz "/>
    <s v="NJ"/>
    <s v="p"/>
    <n v="15"/>
    <s v="RD"/>
    <s v="RD"/>
    <s v="P"/>
    <s v="P"/>
    <s v="P"/>
    <s v="P"/>
    <n v="450"/>
    <s v="RD"/>
    <n v="15"/>
    <n v="0"/>
    <n v="15"/>
    <n v="3150"/>
    <n v="3135"/>
    <n v="0.99523809523809526"/>
    <m/>
    <m/>
  </r>
  <r>
    <x v="1"/>
    <s v="Andrea Fonacier"/>
    <s v="KY/IL"/>
    <s v="p"/>
    <s v="P"/>
    <s v="RD"/>
    <s v="RD"/>
    <s v="P"/>
    <n v="4"/>
    <s v="P"/>
    <s v="P"/>
    <n v="2"/>
    <s v="RD"/>
    <n v="6"/>
    <m/>
    <n v="6"/>
    <n v="3150"/>
    <n v="3144"/>
    <n v="0.99809523809523815"/>
    <m/>
    <m/>
  </r>
  <r>
    <x v="2"/>
    <s v="Angelica Bautista"/>
    <s v="Multi"/>
    <s v="RD"/>
    <s v="RD"/>
    <s v="P"/>
    <n v="47"/>
    <s v="P"/>
    <s v="P"/>
    <s v="P"/>
    <s v="RD"/>
    <s v="RD"/>
    <s v="P"/>
    <n v="47"/>
    <n v="0"/>
    <n v="47"/>
    <n v="2700"/>
    <n v="2653"/>
    <n v="0.98259259259259257"/>
    <m/>
    <m/>
  </r>
  <r>
    <x v="0"/>
    <s v="Angelo Agron "/>
    <s v="NJ"/>
    <s v="p"/>
    <n v="450"/>
    <s v="RD"/>
    <s v="RD"/>
    <s v="P"/>
    <s v="P"/>
    <s v="P"/>
    <s v="P"/>
    <s v="P"/>
    <s v="RD"/>
    <n v="0"/>
    <n v="0"/>
    <n v="0"/>
    <n v="3150"/>
    <n v="3150"/>
    <n v="1"/>
    <m/>
    <m/>
  </r>
  <r>
    <x v="0"/>
    <s v="Anthea Ann Lumen "/>
    <s v="KY"/>
    <s v="p"/>
    <s v="P"/>
    <s v="RD"/>
    <s v="RD"/>
    <s v="P"/>
    <s v="P"/>
    <s v="P"/>
    <n v="10"/>
    <s v="P"/>
    <s v="RD"/>
    <n v="10"/>
    <m/>
    <n v="10"/>
    <n v="3150"/>
    <n v="3140"/>
    <n v="0.99682539682539684"/>
    <m/>
    <m/>
  </r>
  <r>
    <x v="0"/>
    <s v="Anthony Valdez"/>
    <s v="KY"/>
    <s v="p"/>
    <s v="P"/>
    <s v="RD"/>
    <s v="RD"/>
    <s v="P"/>
    <s v="P"/>
    <s v="P"/>
    <s v="P"/>
    <s v="P"/>
    <s v="RD"/>
    <n v="0"/>
    <n v="0"/>
    <n v="0"/>
    <n v="3150"/>
    <n v="3150"/>
    <n v="1"/>
    <m/>
    <m/>
  </r>
  <r>
    <x v="2"/>
    <s v="Ar Jean Tudtud"/>
    <s v="Multi"/>
    <s v="RD"/>
    <s v="RD"/>
    <s v="P"/>
    <s v="P"/>
    <s v="P"/>
    <s v="P"/>
    <s v="P"/>
    <s v="RD"/>
    <s v="RD"/>
    <s v="P"/>
    <n v="0"/>
    <n v="0"/>
    <n v="0"/>
    <n v="2700"/>
    <n v="2700"/>
    <n v="1"/>
    <m/>
    <m/>
  </r>
  <r>
    <x v="1"/>
    <s v="Arah Blancia "/>
    <s v="IL"/>
    <s v="RD"/>
    <s v="P"/>
    <s v="P"/>
    <s v="P"/>
    <s v="P"/>
    <n v="450"/>
    <s v="RD"/>
    <s v="RD"/>
    <n v="450"/>
    <s v="P"/>
    <n v="0"/>
    <n v="0"/>
    <n v="0"/>
    <n v="3150"/>
    <n v="3150"/>
    <n v="1"/>
    <m/>
    <m/>
  </r>
  <r>
    <x v="1"/>
    <s v="Audrey De Leon"/>
    <s v="NJ"/>
    <s v="p"/>
    <s v="P"/>
    <s v="RD"/>
    <s v="RD"/>
    <s v="P"/>
    <s v="P"/>
    <s v="P"/>
    <s v="P"/>
    <s v="RD"/>
    <s v="RD"/>
    <n v="0"/>
    <n v="0"/>
    <n v="0"/>
    <n v="3150"/>
    <n v="3150"/>
    <n v="1"/>
    <m/>
    <m/>
  </r>
  <r>
    <x v="1"/>
    <s v="Avril Rie Son"/>
    <s v="NJ"/>
    <s v="p"/>
    <s v="P"/>
    <s v="RD"/>
    <s v="RD"/>
    <s v="RD"/>
    <s v="P"/>
    <s v="P"/>
    <n v="5"/>
    <s v="P"/>
    <s v="RD"/>
    <n v="5"/>
    <m/>
    <n v="5"/>
    <n v="3150"/>
    <n v="3145"/>
    <n v="0.99841269841269842"/>
    <m/>
    <m/>
  </r>
  <r>
    <x v="1"/>
    <s v="Bea Mercado "/>
    <s v="NJ"/>
    <s v="p"/>
    <s v="P"/>
    <s v="RD"/>
    <s v="RD"/>
    <s v="P"/>
    <s v="P"/>
    <s v="P"/>
    <s v="P"/>
    <s v="LWOP"/>
    <s v="RD"/>
    <n v="0"/>
    <n v="0"/>
    <n v="0"/>
    <n v="2700"/>
    <n v="2700"/>
    <n v="1"/>
    <m/>
    <n v="1"/>
  </r>
  <r>
    <x v="1"/>
    <s v="Charlene Valdez"/>
    <s v="MA/NY/NJ (KY/IL)"/>
    <s v="p"/>
    <s v="P"/>
    <s v="RD"/>
    <s v="RD"/>
    <s v="P"/>
    <n v="6"/>
    <s v="P"/>
    <s v="P"/>
    <s v="P"/>
    <s v="RD"/>
    <n v="6"/>
    <m/>
    <n v="6"/>
    <n v="3150"/>
    <n v="3144"/>
    <n v="0.99809523809523815"/>
    <m/>
    <m/>
  </r>
  <r>
    <x v="1"/>
    <s v="Charyselle Cadelina "/>
    <s v="KY"/>
    <s v="p"/>
    <n v="10"/>
    <s v="P"/>
    <s v="P"/>
    <s v="P"/>
    <s v="P"/>
    <s v="P"/>
    <s v="P"/>
    <s v="RD"/>
    <s v="RD"/>
    <n v="10"/>
    <n v="0"/>
    <n v="10"/>
    <n v="3600"/>
    <n v="3590"/>
    <n v="0.99722222222222223"/>
    <m/>
    <m/>
  </r>
  <r>
    <x v="2"/>
    <s v="Collen Silapan"/>
    <s v="Multi"/>
    <s v="RD"/>
    <s v="P"/>
    <s v="P"/>
    <s v="P"/>
    <s v="P"/>
    <s v="P"/>
    <s v="RD"/>
    <s v="RD"/>
    <n v="11"/>
    <s v="P"/>
    <n v="11"/>
    <n v="0"/>
    <n v="11"/>
    <n v="3150"/>
    <n v="3139"/>
    <n v="0.99650793650793645"/>
    <m/>
    <m/>
  </r>
  <r>
    <x v="1"/>
    <s v="Danielle Generao "/>
    <s v="KY"/>
    <s v="p"/>
    <n v="28"/>
    <s v="RD"/>
    <s v="RD"/>
    <n v="450"/>
    <n v="8"/>
    <n v="4"/>
    <n v="2"/>
    <n v="450"/>
    <s v="RD"/>
    <n v="42"/>
    <n v="0"/>
    <n v="42"/>
    <n v="3150"/>
    <n v="3108"/>
    <n v="0.98666666666666669"/>
    <m/>
    <m/>
  </r>
  <r>
    <x v="1"/>
    <s v="Edmark Bania"/>
    <s v="Multi"/>
    <s v="p"/>
    <s v="VL"/>
    <s v="VL"/>
    <s v="RD"/>
    <s v="RD"/>
    <s v="P"/>
    <s v="P"/>
    <s v="P"/>
    <s v="P"/>
    <s v="RD"/>
    <n v="0"/>
    <n v="0"/>
    <n v="0"/>
    <n v="2250"/>
    <n v="2250"/>
    <n v="1"/>
    <n v="2"/>
    <m/>
  </r>
  <r>
    <x v="0"/>
    <s v="Eldrick Loreno"/>
    <s v="NY"/>
    <s v="p"/>
    <n v="328"/>
    <s v="RD"/>
    <s v="RD"/>
    <s v="VL"/>
    <s v="P"/>
    <s v="P"/>
    <s v="P"/>
    <n v="30"/>
    <s v="RD"/>
    <n v="358"/>
    <m/>
    <n v="358"/>
    <n v="2700"/>
    <n v="2342"/>
    <n v="0.8674074074074074"/>
    <n v="1"/>
    <m/>
  </r>
  <r>
    <x v="3"/>
    <s v="Erika Ramos"/>
    <s v="Multi"/>
    <s v="p"/>
    <s v="P"/>
    <s v="RD"/>
    <s v="RD"/>
    <s v="P"/>
    <s v="P"/>
    <s v="P"/>
    <s v="P"/>
    <s v="P"/>
    <s v="RD"/>
    <n v="0"/>
    <n v="0"/>
    <n v="0"/>
    <n v="3150"/>
    <n v="3150"/>
    <n v="1"/>
    <m/>
    <m/>
  </r>
  <r>
    <x v="0"/>
    <s v="Ethel Gregorio "/>
    <s v="MA"/>
    <n v="450"/>
    <n v="19"/>
    <s v="RD"/>
    <s v="RD"/>
    <s v="P"/>
    <n v="450"/>
    <s v="P"/>
    <n v="9"/>
    <n v="27"/>
    <s v="RD"/>
    <n v="55"/>
    <n v="0"/>
    <n v="55"/>
    <n v="3150"/>
    <n v="3095"/>
    <n v="0.98253968253968249"/>
    <m/>
    <m/>
  </r>
  <r>
    <x v="0"/>
    <s v="Eunice Bargo "/>
    <s v="MA"/>
    <n v="6"/>
    <n v="19"/>
    <s v="RD"/>
    <s v="RD"/>
    <n v="450"/>
    <n v="9"/>
    <s v="P"/>
    <s v="P"/>
    <n v="2"/>
    <s v="RD"/>
    <n v="36"/>
    <n v="0"/>
    <n v="36"/>
    <n v="3150"/>
    <n v="3114"/>
    <n v="0.98857142857142855"/>
    <m/>
    <m/>
  </r>
  <r>
    <x v="1"/>
    <s v="Eunice Padadnan"/>
    <s v="NY"/>
    <s v="RD"/>
    <s v="P"/>
    <s v="P"/>
    <s v="P"/>
    <s v="P"/>
    <s v="RD"/>
    <s v="P"/>
    <s v="P"/>
    <s v="P"/>
    <s v="P"/>
    <n v="0"/>
    <n v="0"/>
    <n v="0"/>
    <n v="3600"/>
    <n v="3600"/>
    <n v="1"/>
    <m/>
    <m/>
  </r>
  <r>
    <x v="0"/>
    <s v="Femie DC Domenden "/>
    <s v="IL"/>
    <s v="p"/>
    <n v="1"/>
    <s v="RD"/>
    <s v="RD"/>
    <s v="P"/>
    <s v="P"/>
    <s v="P"/>
    <s v="P"/>
    <n v="35"/>
    <s v="RD"/>
    <n v="36"/>
    <n v="0"/>
    <n v="36"/>
    <n v="3150"/>
    <n v="3114"/>
    <n v="0.98857142857142855"/>
    <m/>
    <m/>
  </r>
  <r>
    <x v="1"/>
    <s v="Francis Alba"/>
    <s v="Multi"/>
    <s v="p"/>
    <s v="VL"/>
    <s v="RD"/>
    <s v="RD"/>
    <s v="VL"/>
    <n v="40"/>
    <s v="P"/>
    <s v="P"/>
    <s v="P"/>
    <s v="RD"/>
    <n v="40"/>
    <n v="0"/>
    <n v="40"/>
    <n v="2250"/>
    <n v="2210"/>
    <n v="0.98222222222222222"/>
    <n v="2"/>
    <m/>
  </r>
  <r>
    <x v="0"/>
    <s v="Francis Narboneta "/>
    <s v="IL"/>
    <s v="p"/>
    <n v="299"/>
    <s v="RD"/>
    <s v="RD"/>
    <s v="P"/>
    <n v="17"/>
    <n v="1"/>
    <n v="450"/>
    <n v="450"/>
    <s v="RD"/>
    <n v="317"/>
    <n v="0"/>
    <n v="317"/>
    <n v="3150"/>
    <n v="2833"/>
    <n v="0.89936507936507937"/>
    <m/>
    <m/>
  </r>
  <r>
    <x v="0"/>
    <s v="Gladys Astilla "/>
    <s v="MA"/>
    <s v="p"/>
    <n v="12"/>
    <s v="RD"/>
    <s v="RD"/>
    <s v="P"/>
    <s v="P"/>
    <s v="P"/>
    <s v="P"/>
    <s v="P"/>
    <s v="RD"/>
    <n v="12"/>
    <n v="0"/>
    <n v="12"/>
    <n v="3150"/>
    <n v="3138"/>
    <n v="0.99619047619047618"/>
    <m/>
    <m/>
  </r>
  <r>
    <x v="1"/>
    <s v="Glessie DeJesus"/>
    <s v="KY"/>
    <s v="p"/>
    <s v="P"/>
    <s v="RD"/>
    <s v="RD"/>
    <s v="P"/>
    <s v="P"/>
    <s v="P"/>
    <s v="P"/>
    <s v="P"/>
    <s v="RD"/>
    <n v="0"/>
    <n v="0"/>
    <n v="0"/>
    <n v="3150"/>
    <n v="3150"/>
    <n v="1"/>
    <m/>
    <m/>
  </r>
  <r>
    <x v="0"/>
    <s v="Glory Nabayra "/>
    <s v="IL"/>
    <n v="8"/>
    <s v="P"/>
    <s v="RD"/>
    <s v="RD"/>
    <s v="P"/>
    <s v="P"/>
    <s v="P"/>
    <s v="P"/>
    <s v="P"/>
    <s v="RD"/>
    <n v="8"/>
    <n v="0"/>
    <n v="8"/>
    <n v="3150"/>
    <n v="3142"/>
    <n v="0.99746031746031749"/>
    <m/>
    <m/>
  </r>
  <r>
    <x v="1"/>
    <s v="Hanna Arceo"/>
    <s v="KY"/>
    <s v="p"/>
    <s v="P"/>
    <s v="RD"/>
    <s v="RD"/>
    <n v="450"/>
    <s v="P"/>
    <s v="P"/>
    <n v="4"/>
    <n v="12"/>
    <s v="RD"/>
    <n v="16"/>
    <n v="0"/>
    <n v="16"/>
    <n v="3150"/>
    <n v="3134"/>
    <n v="0.99492063492063487"/>
    <m/>
    <m/>
  </r>
  <r>
    <x v="4"/>
    <s v="Hans Ruan"/>
    <s v="Multi"/>
    <s v="p"/>
    <s v="P"/>
    <s v="RD"/>
    <s v="RD"/>
    <s v="P"/>
    <s v="P"/>
    <s v="P"/>
    <s v="P"/>
    <s v="P"/>
    <s v="RD"/>
    <n v="0"/>
    <n v="0"/>
    <n v="0"/>
    <n v="3150"/>
    <n v="3150"/>
    <n v="1"/>
    <m/>
    <m/>
  </r>
  <r>
    <x v="2"/>
    <s v="Hazelyn Rodrigo"/>
    <s v="Multi"/>
    <s v="p"/>
    <s v="P"/>
    <s v="RD"/>
    <s v="RD"/>
    <s v="P"/>
    <s v="P"/>
    <s v="P"/>
    <s v="P"/>
    <s v="P"/>
    <s v="RD"/>
    <n v="0"/>
    <n v="0"/>
    <n v="0"/>
    <n v="3150"/>
    <n v="3150"/>
    <n v="1"/>
    <m/>
    <m/>
  </r>
  <r>
    <x v="1"/>
    <s v="Iris Dahnielle Andalleon "/>
    <s v="Multi"/>
    <s v="RD"/>
    <s v="P"/>
    <s v="VL"/>
    <s v="P"/>
    <s v="P"/>
    <s v="P"/>
    <s v="RD"/>
    <s v="RD"/>
    <s v="P"/>
    <s v="P"/>
    <n v="0"/>
    <n v="0"/>
    <n v="0"/>
    <n v="2700"/>
    <n v="2700"/>
    <n v="1"/>
    <n v="1"/>
    <m/>
  </r>
  <r>
    <x v="2"/>
    <s v="Isabela Arellano"/>
    <s v="Multi"/>
    <s v="p"/>
    <s v="P"/>
    <s v="RD"/>
    <s v="RD"/>
    <s v="P"/>
    <s v="P"/>
    <n v="13"/>
    <s v="P"/>
    <n v="5"/>
    <s v="RD"/>
    <n v="18"/>
    <n v="0"/>
    <n v="18"/>
    <n v="3150"/>
    <n v="3132"/>
    <n v="0.99428571428571433"/>
    <m/>
    <m/>
  </r>
  <r>
    <x v="0"/>
    <s v="Iverson Libranda"/>
    <s v="IL"/>
    <s v="p"/>
    <s v="P"/>
    <s v="RD"/>
    <s v="RD"/>
    <s v="P"/>
    <s v="P"/>
    <s v="P"/>
    <s v="P"/>
    <s v="P"/>
    <s v="RD"/>
    <n v="0"/>
    <n v="0"/>
    <n v="0"/>
    <n v="3150"/>
    <n v="3150"/>
    <n v="1"/>
    <m/>
    <m/>
  </r>
  <r>
    <x v="0"/>
    <s v="Jason Cruz"/>
    <s v="MA"/>
    <s v="p"/>
    <s v="P"/>
    <s v="RD"/>
    <s v="RD"/>
    <n v="450"/>
    <s v="P"/>
    <s v="P"/>
    <s v="P"/>
    <s v="P"/>
    <s v="RD"/>
    <n v="0"/>
    <n v="0"/>
    <n v="0"/>
    <n v="3150"/>
    <n v="3150"/>
    <n v="1"/>
    <m/>
    <m/>
  </r>
  <r>
    <x v="1"/>
    <s v="Jean Tan"/>
    <s v="NY NJ"/>
    <s v="p"/>
    <s v="P"/>
    <s v="RD"/>
    <s v="RD"/>
    <s v="P"/>
    <s v="P"/>
    <s v="P"/>
    <s v="P"/>
    <s v="P"/>
    <s v="RD"/>
    <n v="0"/>
    <n v="0"/>
    <n v="0"/>
    <n v="3150"/>
    <n v="3150"/>
    <n v="1"/>
    <m/>
    <m/>
  </r>
  <r>
    <x v="1"/>
    <s v="Jeannie Bajaro"/>
    <s v="Multi"/>
    <s v="p"/>
    <s v="P"/>
    <s v="P"/>
    <s v="P"/>
    <s v="P"/>
    <s v="RD"/>
    <s v="RD"/>
    <s v="P"/>
    <s v="P"/>
    <s v="P"/>
    <n v="0"/>
    <n v="0"/>
    <n v="0"/>
    <n v="3600"/>
    <n v="3600"/>
    <n v="1"/>
    <m/>
    <m/>
  </r>
  <r>
    <x v="1"/>
    <s v="Jericho Crame "/>
    <s v="NJ"/>
    <s v="p"/>
    <s v="P"/>
    <s v="RD"/>
    <s v="RD"/>
    <s v="P"/>
    <s v="P"/>
    <s v="P"/>
    <s v="P"/>
    <s v="P"/>
    <s v="RD"/>
    <n v="0"/>
    <n v="0"/>
    <n v="0"/>
    <n v="3150"/>
    <n v="3150"/>
    <n v="1"/>
    <m/>
    <m/>
  </r>
  <r>
    <x v="0"/>
    <s v="Jesslyn Gatbunton "/>
    <s v="NJ"/>
    <s v="p"/>
    <n v="111"/>
    <s v="RD"/>
    <s v="RD"/>
    <s v="P"/>
    <s v="P"/>
    <s v="P"/>
    <s v="P"/>
    <s v="P"/>
    <s v="RD"/>
    <n v="111"/>
    <n v="0"/>
    <n v="111"/>
    <n v="3150"/>
    <n v="3039"/>
    <n v="0.96476190476190471"/>
    <m/>
    <m/>
  </r>
  <r>
    <x v="1"/>
    <s v="Jester Limpin"/>
    <s v="Multi"/>
    <s v="p"/>
    <n v="6"/>
    <s v="P"/>
    <s v="P"/>
    <s v="P"/>
    <s v="RD"/>
    <s v="RD"/>
    <n v="450"/>
    <s v="P"/>
    <n v="17"/>
    <n v="23"/>
    <n v="0"/>
    <n v="23"/>
    <n v="3600"/>
    <n v="3577"/>
    <n v="0.99361111111111111"/>
    <m/>
    <m/>
  </r>
  <r>
    <x v="3"/>
    <s v="Jewel Mondina"/>
    <s v="Multi"/>
    <s v="p"/>
    <s v="P"/>
    <s v="RD"/>
    <s v="RD"/>
    <s v="P"/>
    <s v="P"/>
    <s v="P"/>
    <s v="P"/>
    <s v="P"/>
    <s v="RD"/>
    <n v="0"/>
    <n v="0"/>
    <n v="0"/>
    <n v="3150"/>
    <n v="3150"/>
    <n v="1"/>
    <m/>
    <m/>
  </r>
  <r>
    <x v="0"/>
    <s v="Jimwell Osiang"/>
    <s v="MA"/>
    <s v="p"/>
    <s v="P"/>
    <s v="RD"/>
    <s v="RD"/>
    <s v="P"/>
    <n v="26"/>
    <s v="P"/>
    <s v="P"/>
    <s v="P"/>
    <s v="RD"/>
    <n v="26"/>
    <n v="0"/>
    <n v="26"/>
    <n v="3150"/>
    <n v="3124"/>
    <n v="0.99174603174603171"/>
    <m/>
    <m/>
  </r>
  <r>
    <x v="1"/>
    <s v="Jizelle Delos Reyes "/>
    <s v="NY"/>
    <s v="p"/>
    <s v="P"/>
    <s v="RD"/>
    <s v="RD"/>
    <s v="P"/>
    <s v="P"/>
    <s v="P"/>
    <s v="P"/>
    <s v="P"/>
    <s v="RD"/>
    <n v="0"/>
    <n v="0"/>
    <n v="0"/>
    <n v="3150"/>
    <n v="3150"/>
    <n v="1"/>
    <m/>
    <m/>
  </r>
  <r>
    <x v="1"/>
    <s v="Joanna Cabrera"/>
    <s v="NJ"/>
    <s v="p"/>
    <n v="7"/>
    <s v="RD"/>
    <s v="RD"/>
    <s v="P"/>
    <n v="33"/>
    <s v="P"/>
    <n v="109"/>
    <n v="92"/>
    <s v="RD"/>
    <n v="241"/>
    <n v="0"/>
    <n v="241"/>
    <n v="3150"/>
    <n v="2909"/>
    <n v="0.92349206349206348"/>
    <m/>
    <m/>
  </r>
  <r>
    <x v="0"/>
    <s v="Johnella Lopez "/>
    <s v="KY"/>
    <s v="p"/>
    <n v="80"/>
    <s v="RD"/>
    <s v="RD"/>
    <s v="P"/>
    <s v="P"/>
    <s v="P"/>
    <n v="50"/>
    <s v="P"/>
    <s v="RD"/>
    <n v="130"/>
    <n v="0"/>
    <n v="130"/>
    <n v="3150"/>
    <n v="3020"/>
    <n v="0.95873015873015877"/>
    <m/>
    <m/>
  </r>
  <r>
    <x v="1"/>
    <s v="Jonathan Marquez "/>
    <s v="Multi"/>
    <s v="p"/>
    <s v="P"/>
    <n v="2"/>
    <s v="RD"/>
    <s v="RD"/>
    <n v="60"/>
    <s v="P"/>
    <s v="P"/>
    <n v="4"/>
    <s v="RD"/>
    <n v="66"/>
    <m/>
    <n v="66"/>
    <n v="3600"/>
    <n v="3534"/>
    <n v="0.98166666666666669"/>
    <m/>
    <m/>
  </r>
  <r>
    <x v="2"/>
    <s v="Josea Aseron"/>
    <s v="Multi"/>
    <s v="p"/>
    <s v="P"/>
    <s v="P"/>
    <s v="P"/>
    <s v="P"/>
    <s v="RD"/>
    <s v="RD"/>
    <s v="P"/>
    <s v="P"/>
    <s v="P"/>
    <n v="0"/>
    <n v="0"/>
    <n v="0"/>
    <n v="3600"/>
    <n v="3600"/>
    <n v="1"/>
    <m/>
    <m/>
  </r>
  <r>
    <x v="0"/>
    <s v="Joshua Joaquin"/>
    <s v="IL"/>
    <s v="p"/>
    <s v="P"/>
    <s v="RD"/>
    <s v="RD"/>
    <s v="P"/>
    <s v="P"/>
    <s v="P"/>
    <s v="P"/>
    <s v="P"/>
    <s v="RD"/>
    <n v="0"/>
    <n v="0"/>
    <n v="0"/>
    <n v="3150"/>
    <n v="3150"/>
    <n v="1"/>
    <m/>
    <m/>
  </r>
  <r>
    <x v="0"/>
    <s v="Jouse Baquiran"/>
    <s v="NJ"/>
    <s v="p"/>
    <s v="P"/>
    <s v="RD"/>
    <s v="RD"/>
    <s v="P"/>
    <s v="P"/>
    <s v="P"/>
    <s v="P"/>
    <s v="P"/>
    <s v="RD"/>
    <n v="0"/>
    <n v="0"/>
    <n v="0"/>
    <n v="3150"/>
    <n v="3150"/>
    <n v="1"/>
    <m/>
    <m/>
  </r>
  <r>
    <x v="0"/>
    <s v="Julieann Manasan"/>
    <s v="MA"/>
    <s v="p"/>
    <s v="P"/>
    <s v="RD"/>
    <s v="RD"/>
    <s v="P"/>
    <s v="P"/>
    <s v="P"/>
    <s v="P"/>
    <s v="P"/>
    <s v="RD"/>
    <n v="0"/>
    <n v="0"/>
    <n v="0"/>
    <n v="3150"/>
    <n v="3150"/>
    <n v="1"/>
    <m/>
    <m/>
  </r>
  <r>
    <x v="1"/>
    <s v="Jullyca Oblefias"/>
    <s v="NY"/>
    <s v="p"/>
    <s v="P"/>
    <s v="P"/>
    <s v="P"/>
    <s v="RD"/>
    <s v="P"/>
    <s v="P"/>
    <s v="P"/>
    <s v="P"/>
    <s v="RD"/>
    <n v="0"/>
    <n v="0"/>
    <n v="0"/>
    <n v="3600"/>
    <n v="3600"/>
    <n v="1"/>
    <m/>
    <m/>
  </r>
  <r>
    <x v="4"/>
    <s v="Karl Solomon"/>
    <s v="Multi"/>
    <s v="p"/>
    <s v="P"/>
    <s v="RD"/>
    <s v="RD"/>
    <s v="P"/>
    <s v="P"/>
    <n v="1"/>
    <s v="P"/>
    <s v="P"/>
    <s v="RD"/>
    <n v="1"/>
    <n v="0"/>
    <n v="1"/>
    <n v="3150"/>
    <n v="3149"/>
    <n v="0.99968253968253973"/>
    <m/>
    <m/>
  </r>
  <r>
    <x v="1"/>
    <s v="Karlos De Leon "/>
    <s v="NJ"/>
    <s v="p"/>
    <s v="RD"/>
    <s v="RD"/>
    <s v="P"/>
    <s v="P"/>
    <n v="450"/>
    <s v="P"/>
    <n v="450"/>
    <s v="P"/>
    <n v="450"/>
    <n v="0"/>
    <n v="0"/>
    <n v="0"/>
    <n v="3600"/>
    <n v="3600"/>
    <n v="1"/>
    <m/>
    <m/>
  </r>
  <r>
    <x v="0"/>
    <s v="Kate Constantino"/>
    <s v="KY"/>
    <s v="p"/>
    <s v="P"/>
    <s v="RD"/>
    <s v="RD"/>
    <n v="450"/>
    <s v="P"/>
    <s v="P"/>
    <s v="P"/>
    <s v="P"/>
    <s v="RD"/>
    <n v="0"/>
    <n v="0"/>
    <n v="0"/>
    <n v="3150"/>
    <n v="3150"/>
    <n v="1"/>
    <m/>
    <m/>
  </r>
  <r>
    <x v="2"/>
    <s v="Katrina Go"/>
    <s v="Multi"/>
    <s v="p"/>
    <s v="P"/>
    <s v="RD"/>
    <s v="RD"/>
    <s v="P"/>
    <s v="P"/>
    <s v="P"/>
    <s v="P"/>
    <s v="P"/>
    <s v="RD"/>
    <n v="0"/>
    <n v="0"/>
    <n v="0"/>
    <n v="3150"/>
    <n v="3150"/>
    <n v="1"/>
    <m/>
    <m/>
  </r>
  <r>
    <x v="1"/>
    <s v="Kaxyleh Masilongan "/>
    <s v="NY"/>
    <s v="p"/>
    <s v="P"/>
    <s v="RD"/>
    <s v="RD"/>
    <s v="P"/>
    <s v="P"/>
    <n v="5"/>
    <s v="P"/>
    <s v="P"/>
    <s v="RD"/>
    <n v="5"/>
    <n v="0"/>
    <n v="5"/>
    <n v="3150"/>
    <n v="3145"/>
    <n v="0.99841269841269842"/>
    <m/>
    <m/>
  </r>
  <r>
    <x v="2"/>
    <s v="Kiana Brown"/>
    <s v="Multi"/>
    <s v="p"/>
    <s v="P"/>
    <s v="P"/>
    <s v="RD"/>
    <s v="RD"/>
    <s v="P"/>
    <s v="P"/>
    <s v="P"/>
    <s v="P"/>
    <s v="P"/>
    <n v="0"/>
    <n v="0"/>
    <n v="0"/>
    <n v="3600"/>
    <n v="3600"/>
    <n v="1"/>
    <m/>
    <m/>
  </r>
  <r>
    <x v="1"/>
    <s v="Kizzy Serrano "/>
    <s v="IL"/>
    <s v="p"/>
    <s v="P"/>
    <s v="RD"/>
    <s v="RD"/>
    <n v="450"/>
    <s v="P"/>
    <n v="3"/>
    <s v="P"/>
    <n v="450"/>
    <s v="RD"/>
    <n v="3"/>
    <n v="0"/>
    <n v="3"/>
    <n v="3150"/>
    <n v="3147"/>
    <n v="0.99904761904761907"/>
    <m/>
    <m/>
  </r>
  <r>
    <x v="0"/>
    <s v="Kyzen Hayagan "/>
    <s v="MA"/>
    <s v="p"/>
    <n v="4"/>
    <s v="RD"/>
    <s v="RD"/>
    <s v="P"/>
    <n v="450"/>
    <s v="P"/>
    <s v="P"/>
    <s v="P"/>
    <s v="RD"/>
    <n v="4"/>
    <n v="0"/>
    <n v="4"/>
    <n v="3150"/>
    <n v="3146"/>
    <n v="0.99873015873015869"/>
    <m/>
    <m/>
  </r>
  <r>
    <x v="0"/>
    <s v="Lea Alagadmo"/>
    <s v="MA"/>
    <s v="p"/>
    <s v="P"/>
    <s v="RD"/>
    <s v="RD"/>
    <s v="P"/>
    <n v="49"/>
    <s v="P"/>
    <s v="P"/>
    <n v="5"/>
    <s v="RD"/>
    <n v="54"/>
    <n v="0"/>
    <n v="54"/>
    <n v="3150"/>
    <n v="3096"/>
    <n v="0.98285714285714287"/>
    <m/>
    <m/>
  </r>
  <r>
    <x v="4"/>
    <s v="Leo Olesco "/>
    <s v="Multi"/>
    <s v="p"/>
    <s v="P"/>
    <s v="RD"/>
    <s v="RD"/>
    <s v="P"/>
    <s v="P"/>
    <s v="P"/>
    <s v="P"/>
    <s v="P"/>
    <s v="RD"/>
    <n v="0"/>
    <n v="0"/>
    <n v="0"/>
    <n v="3150"/>
    <n v="3150"/>
    <n v="1"/>
    <m/>
    <m/>
  </r>
  <r>
    <x v="0"/>
    <s v="Lorraine Cabantac "/>
    <s v="NJ"/>
    <s v="p"/>
    <s v="P"/>
    <s v="RD"/>
    <s v="RD"/>
    <s v="P"/>
    <s v="P"/>
    <s v="P"/>
    <n v="450"/>
    <n v="450"/>
    <s v="RD"/>
    <n v="0"/>
    <n v="0"/>
    <n v="0"/>
    <n v="3150"/>
    <n v="3150"/>
    <n v="1"/>
    <m/>
    <m/>
  </r>
  <r>
    <x v="0"/>
    <s v="Louis Cantillion"/>
    <s v="NJ"/>
    <s v="  P"/>
    <s v="P"/>
    <s v="RD"/>
    <s v="RD"/>
    <s v="P"/>
    <s v="P"/>
    <s v="P"/>
    <s v="P"/>
    <s v="P"/>
    <s v="RD"/>
    <n v="0"/>
    <n v="0"/>
    <n v="0"/>
    <n v="3150"/>
    <n v="3150"/>
    <n v="1"/>
    <m/>
    <m/>
  </r>
  <r>
    <x v="1"/>
    <s v="Margie Theres A Magluyan "/>
    <s v="Multi"/>
    <s v="p"/>
    <s v="P"/>
    <s v="RD"/>
    <s v="RD"/>
    <s v="P"/>
    <s v="P"/>
    <s v="RD"/>
    <s v="RD"/>
    <n v="38"/>
    <s v="P"/>
    <n v="38"/>
    <n v="0"/>
    <n v="38"/>
    <n v="2700"/>
    <n v="2662"/>
    <n v="0.98592592592592587"/>
    <m/>
    <m/>
  </r>
  <r>
    <x v="0"/>
    <s v="Marion Vien Santos"/>
    <s v="KY"/>
    <s v="p"/>
    <n v="450"/>
    <s v="RD"/>
    <s v="RD"/>
    <s v="P"/>
    <n v="19"/>
    <s v="P"/>
    <s v="P"/>
    <s v="P"/>
    <s v="RD"/>
    <n v="19"/>
    <n v="0"/>
    <n v="19"/>
    <n v="3150"/>
    <n v="3131"/>
    <n v="0.99396825396825395"/>
    <m/>
    <m/>
  </r>
  <r>
    <x v="0"/>
    <s v="Mark Bienes "/>
    <s v="NY"/>
    <s v="p"/>
    <n v="13"/>
    <s v="RD"/>
    <s v="RD"/>
    <s v="P"/>
    <s v="P"/>
    <s v="P"/>
    <s v="P"/>
    <n v="228"/>
    <s v="RD"/>
    <n v="241"/>
    <n v="0"/>
    <n v="241"/>
    <n v="3150"/>
    <n v="2909"/>
    <n v="0.92349206349206348"/>
    <m/>
    <m/>
  </r>
  <r>
    <x v="0"/>
    <s v="Mark Frankie Pecolera"/>
    <s v="IL"/>
    <s v="p"/>
    <s v="P"/>
    <s v="RD"/>
    <s v="RD"/>
    <s v="P"/>
    <s v="P"/>
    <s v="P"/>
    <s v="P"/>
    <n v="4"/>
    <s v="RD"/>
    <n v="4"/>
    <n v="0"/>
    <n v="4"/>
    <n v="3150"/>
    <n v="3146"/>
    <n v="0.99873015873015869"/>
    <m/>
    <m/>
  </r>
  <r>
    <x v="4"/>
    <s v="Mark Metra"/>
    <s v="Multi"/>
    <s v="p"/>
    <n v="17"/>
    <s v="RD"/>
    <s v="RD"/>
    <s v="P"/>
    <n v="450"/>
    <s v="P"/>
    <n v="18"/>
    <s v="LWOP"/>
    <s v="RD"/>
    <n v="35"/>
    <n v="0"/>
    <n v="35"/>
    <n v="2700"/>
    <n v="2665"/>
    <n v="0.98703703703703705"/>
    <m/>
    <n v="1"/>
  </r>
  <r>
    <x v="1"/>
    <s v="Mary Dela Cruz "/>
    <s v="IL"/>
    <s v="p"/>
    <s v="P"/>
    <s v="RD"/>
    <s v="RD"/>
    <s v="P"/>
    <s v="P"/>
    <s v="P"/>
    <s v="P"/>
    <s v="P"/>
    <s v="RD"/>
    <n v="0"/>
    <n v="0"/>
    <n v="0"/>
    <n v="3150"/>
    <n v="3150"/>
    <n v="1"/>
    <m/>
    <m/>
  </r>
  <r>
    <x v="1"/>
    <s v="Mary Kilario"/>
    <s v="KY/IL"/>
    <s v="p"/>
    <s v="P"/>
    <s v="RD"/>
    <s v="RD"/>
    <s v="P"/>
    <n v="3"/>
    <s v="P"/>
    <s v="P"/>
    <s v="P"/>
    <s v="RD"/>
    <n v="3"/>
    <n v="0"/>
    <n v="3"/>
    <n v="3150"/>
    <n v="3147"/>
    <n v="0.99904761904761907"/>
    <m/>
    <m/>
  </r>
  <r>
    <x v="5"/>
    <s v="Mayann Somera"/>
    <s v="Multi"/>
    <s v="p"/>
    <s v="P"/>
    <s v="RD"/>
    <s v="RD"/>
    <s v="P"/>
    <s v="P"/>
    <s v="P"/>
    <s v="P"/>
    <s v="P"/>
    <s v="RD"/>
    <n v="0"/>
    <n v="0"/>
    <n v="0"/>
    <n v="3150"/>
    <n v="3150"/>
    <n v="1"/>
    <m/>
    <m/>
  </r>
  <r>
    <x v="0"/>
    <s v="Mherica Santos "/>
    <s v="KY"/>
    <s v="p"/>
    <n v="22"/>
    <s v="RD"/>
    <s v="RD"/>
    <s v="P"/>
    <s v="P"/>
    <n v="12"/>
    <s v="P"/>
    <s v="P"/>
    <s v="RD"/>
    <n v="34"/>
    <n v="0"/>
    <n v="34"/>
    <n v="3150"/>
    <n v="3116"/>
    <n v="0.9892063492063492"/>
    <m/>
    <m/>
  </r>
  <r>
    <x v="1"/>
    <s v="Mikaella Santos"/>
    <s v="Multi"/>
    <s v="p"/>
    <s v="P"/>
    <s v="P"/>
    <s v="VL"/>
    <s v="P"/>
    <s v="RD"/>
    <s v="RD"/>
    <s v="P"/>
    <s v="P"/>
    <s v="P"/>
    <n v="0"/>
    <n v="0"/>
    <n v="0"/>
    <n v="3150"/>
    <n v="3150"/>
    <n v="1"/>
    <n v="1"/>
    <m/>
  </r>
  <r>
    <x v="2"/>
    <s v="Nerissa Ong"/>
    <s v="Multi"/>
    <n v="450"/>
    <n v="450"/>
    <s v="RD"/>
    <s v="RD"/>
    <s v="P"/>
    <n v="450"/>
    <n v="450"/>
    <n v="450"/>
    <s v="P"/>
    <s v="RD"/>
    <n v="0"/>
    <n v="0"/>
    <n v="0"/>
    <n v="3150"/>
    <n v="3150"/>
    <n v="1"/>
    <m/>
    <m/>
  </r>
  <r>
    <x v="0"/>
    <s v="Noemi Landerito"/>
    <s v="IL"/>
    <s v="p"/>
    <n v="12"/>
    <s v="RD"/>
    <s v="RD"/>
    <s v="P"/>
    <n v="9"/>
    <s v="P"/>
    <s v="P"/>
    <s v="P"/>
    <s v="RD"/>
    <n v="21"/>
    <n v="0"/>
    <n v="21"/>
    <n v="3150"/>
    <n v="3129"/>
    <n v="0.99333333333333329"/>
    <m/>
    <m/>
  </r>
  <r>
    <x v="0"/>
    <s v="Patricia Busio "/>
    <s v="NJ"/>
    <s v="p"/>
    <n v="24"/>
    <s v="RD"/>
    <s v="RD"/>
    <s v="P"/>
    <s v="P"/>
    <s v="P"/>
    <s v="P"/>
    <s v="LWOP"/>
    <s v="RD"/>
    <n v="24"/>
    <n v="0"/>
    <n v="24"/>
    <n v="2700"/>
    <n v="2676"/>
    <n v="0.99111111111111116"/>
    <m/>
    <n v="1"/>
  </r>
  <r>
    <x v="0"/>
    <s v="Rafunzel M Manuel "/>
    <s v="MA"/>
    <s v="p"/>
    <n v="13"/>
    <s v="RD"/>
    <s v="RD"/>
    <s v="P"/>
    <s v="P"/>
    <s v="P"/>
    <s v="P"/>
    <s v="P"/>
    <s v="RD"/>
    <n v="13"/>
    <n v="0"/>
    <n v="13"/>
    <n v="3150"/>
    <n v="3137"/>
    <n v="0.99587301587301591"/>
    <m/>
    <m/>
  </r>
  <r>
    <x v="0"/>
    <s v="Raphael Macasocol"/>
    <s v="IL"/>
    <s v="p"/>
    <s v="P"/>
    <s v="RD"/>
    <s v="RD"/>
    <s v="P"/>
    <n v="6"/>
    <s v="P"/>
    <n v="13"/>
    <s v="P"/>
    <s v="RD"/>
    <n v="19"/>
    <n v="0"/>
    <n v="19"/>
    <n v="3150"/>
    <n v="3131"/>
    <n v="0.99396825396825395"/>
    <m/>
    <m/>
  </r>
  <r>
    <x v="2"/>
    <s v="Remaden Bautista "/>
    <s v="Multi"/>
    <s v="p"/>
    <s v="P"/>
    <s v="RD"/>
    <s v="RD"/>
    <s v="P"/>
    <n v="6"/>
    <s v="P"/>
    <s v="P"/>
    <s v="P"/>
    <s v="RD"/>
    <n v="6"/>
    <n v="0"/>
    <n v="6"/>
    <n v="3150"/>
    <n v="3144"/>
    <n v="0.99809523809523815"/>
    <m/>
    <m/>
  </r>
  <r>
    <x v="1"/>
    <s v="Rhona Sanejo"/>
    <s v="KY"/>
    <s v="p"/>
    <s v="P"/>
    <s v="P"/>
    <s v="RD"/>
    <s v="RD"/>
    <s v="P"/>
    <s v="P"/>
    <s v="P"/>
    <s v="P"/>
    <s v="P"/>
    <n v="0"/>
    <n v="0"/>
    <n v="0"/>
    <n v="3600"/>
    <n v="3600"/>
    <n v="1"/>
    <m/>
    <m/>
  </r>
  <r>
    <x v="0"/>
    <s v="Ricalyn Clarencio "/>
    <s v="IL"/>
    <s v="p"/>
    <s v="P"/>
    <s v="RD"/>
    <s v="RD"/>
    <s v="P"/>
    <s v="P"/>
    <s v="P"/>
    <s v="P"/>
    <n v="13"/>
    <s v="RD"/>
    <n v="13"/>
    <n v="0"/>
    <n v="13"/>
    <n v="3150"/>
    <n v="3137"/>
    <n v="0.99587301587301591"/>
    <m/>
    <m/>
  </r>
  <r>
    <x v="0"/>
    <s v="Rosalinda Pantua"/>
    <s v="MA"/>
    <s v="p"/>
    <s v="P"/>
    <s v="RD"/>
    <s v="RD"/>
    <s v="P"/>
    <s v="P"/>
    <s v="P"/>
    <s v="P"/>
    <n v="450"/>
    <s v="RD"/>
    <n v="0"/>
    <n v="0"/>
    <n v="0"/>
    <n v="3150"/>
    <n v="3150"/>
    <n v="1"/>
    <s v="M"/>
    <m/>
  </r>
  <r>
    <x v="0"/>
    <s v="Roxinne Madolid "/>
    <s v="IL"/>
    <s v="p"/>
    <s v="P"/>
    <s v="RD"/>
    <s v="RD"/>
    <s v="P"/>
    <s v="P"/>
    <s v="P"/>
    <s v="P"/>
    <s v="P"/>
    <s v="RD"/>
    <n v="0"/>
    <n v="0"/>
    <n v="0"/>
    <n v="3150"/>
    <n v="3150"/>
    <n v="1"/>
    <m/>
    <m/>
  </r>
  <r>
    <x v="1"/>
    <s v="Rubyneil Abejero"/>
    <s v="Multi"/>
    <s v="p"/>
    <s v="P"/>
    <s v="RD"/>
    <s v="RD"/>
    <s v="P"/>
    <s v="P"/>
    <s v="P"/>
    <s v="P"/>
    <s v="P"/>
    <s v="RD"/>
    <n v="0"/>
    <n v="0"/>
    <n v="0"/>
    <n v="3150"/>
    <n v="3150"/>
    <n v="1"/>
    <m/>
    <m/>
  </r>
  <r>
    <x v="1"/>
    <s v="Ruth Dela Cruz"/>
    <s v="KY/IL"/>
    <s v="p"/>
    <s v="P"/>
    <s v="RD"/>
    <s v="RD"/>
    <s v="P"/>
    <s v="P"/>
    <n v="450"/>
    <s v="P"/>
    <s v="P"/>
    <s v="RD"/>
    <n v="0"/>
    <n v="0"/>
    <n v="0"/>
    <n v="3150"/>
    <n v="3150"/>
    <n v="1"/>
    <m/>
    <m/>
  </r>
  <r>
    <x v="0"/>
    <s v="Ryan Rillo"/>
    <s v="KY"/>
    <s v="p"/>
    <n v="2"/>
    <s v="RD"/>
    <s v="RD"/>
    <s v="P"/>
    <s v="P"/>
    <s v="P"/>
    <s v="P"/>
    <n v="270"/>
    <s v="RD"/>
    <n v="272"/>
    <n v="0"/>
    <n v="272"/>
    <n v="3150"/>
    <n v="2878"/>
    <n v="0.9136507936507936"/>
    <m/>
    <m/>
  </r>
  <r>
    <x v="1"/>
    <s v="Sandarah Cruz"/>
    <s v="IL"/>
    <s v="p"/>
    <n v="450"/>
    <s v="RD"/>
    <s v="RD"/>
    <s v="P"/>
    <n v="3"/>
    <s v="P"/>
    <s v="P"/>
    <n v="12"/>
    <s v="RD"/>
    <n v="15"/>
    <n v="0"/>
    <n v="15"/>
    <n v="3150"/>
    <n v="3135"/>
    <n v="0.99523809523809526"/>
    <m/>
    <m/>
  </r>
  <r>
    <x v="0"/>
    <s v="Sean Edulan "/>
    <s v="NJ"/>
    <s v="p"/>
    <s v="P"/>
    <s v="RD"/>
    <s v="RD"/>
    <s v="P"/>
    <s v="P"/>
    <s v="P"/>
    <s v="P"/>
    <s v="P"/>
    <s v="RD"/>
    <n v="0"/>
    <n v="0"/>
    <n v="0"/>
    <n v="3150"/>
    <n v="3150"/>
    <n v="1"/>
    <m/>
    <m/>
  </r>
  <r>
    <x v="0"/>
    <s v="Stephanie Del Rosario"/>
    <s v="NJ"/>
    <s v="p"/>
    <s v="P"/>
    <s v="RD"/>
    <s v="RD"/>
    <s v="P"/>
    <s v="P"/>
    <s v="P"/>
    <s v="P"/>
    <n v="9"/>
    <s v="RD"/>
    <n v="9"/>
    <n v="0"/>
    <n v="9"/>
    <n v="3150"/>
    <n v="3141"/>
    <n v="0.99714285714285711"/>
    <m/>
    <m/>
  </r>
  <r>
    <x v="0"/>
    <s v="Syra Jade Yaranon"/>
    <s v="NY"/>
    <s v="p"/>
    <n v="8"/>
    <s v="RD"/>
    <s v="RD"/>
    <s v="P"/>
    <s v="P"/>
    <n v="21"/>
    <s v="P"/>
    <n v="4"/>
    <s v="RD"/>
    <n v="33"/>
    <n v="0"/>
    <n v="33"/>
    <n v="3150"/>
    <n v="3117"/>
    <n v="0.98952380952380947"/>
    <m/>
    <m/>
  </r>
  <r>
    <x v="0"/>
    <s v="Theresa Ma Alvaro "/>
    <s v="NJ"/>
    <s v="p"/>
    <n v="24"/>
    <s v="RD"/>
    <s v="RD"/>
    <s v="P"/>
    <s v="P"/>
    <s v="P"/>
    <s v="P"/>
    <s v="P"/>
    <s v="RD"/>
    <n v="24"/>
    <n v="0"/>
    <n v="24"/>
    <n v="3150"/>
    <n v="3126"/>
    <n v="0.99238095238095236"/>
    <m/>
    <m/>
  </r>
  <r>
    <x v="1"/>
    <s v="Tricia Galsim"/>
    <s v="NJ"/>
    <n v="450"/>
    <n v="5"/>
    <s v="RD"/>
    <s v="RD"/>
    <s v="P"/>
    <s v="P"/>
    <n v="59"/>
    <s v="P"/>
    <n v="10"/>
    <s v="RD"/>
    <n v="74"/>
    <n v="0"/>
    <n v="74"/>
    <n v="3150"/>
    <n v="3076"/>
    <n v="0.97650793650793655"/>
    <m/>
    <m/>
  </r>
  <r>
    <x v="0"/>
    <s v="Vianka Ylaine Ortiz "/>
    <s v="NY"/>
    <s v="p"/>
    <s v="P"/>
    <s v="RD"/>
    <s v="RD"/>
    <s v="P"/>
    <s v="P"/>
    <s v="P"/>
    <s v="P"/>
    <n v="1"/>
    <s v="RD"/>
    <n v="1"/>
    <n v="0"/>
    <n v="1"/>
    <n v="3150"/>
    <n v="3149"/>
    <n v="0.99968253968253973"/>
    <m/>
    <m/>
  </r>
  <r>
    <x v="1"/>
    <s v="Vincent Paolo Villasenor"/>
    <s v="Multi"/>
    <s v="p"/>
    <n v="79"/>
    <s v="RD"/>
    <s v="RD"/>
    <n v="450"/>
    <n v="450"/>
    <n v="18"/>
    <n v="23"/>
    <n v="65"/>
    <s v="RD"/>
    <n v="185"/>
    <n v="0"/>
    <n v="185"/>
    <n v="3150"/>
    <n v="2965"/>
    <n v="0.94126984126984126"/>
    <m/>
    <m/>
  </r>
  <r>
    <x v="1"/>
    <s v="Vladimir Patio"/>
    <s v="Multi"/>
    <s v="PTO"/>
    <n v="7"/>
    <s v="RD"/>
    <s v="RD"/>
    <s v="P"/>
    <s v="P"/>
    <s v="P"/>
    <s v="P"/>
    <s v="P"/>
    <s v="RD"/>
    <n v="7"/>
    <n v="0"/>
    <n v="7"/>
    <n v="3150"/>
    <n v="3143"/>
    <n v="0.99777777777777776"/>
    <m/>
    <m/>
  </r>
  <r>
    <x v="0"/>
    <s v="Xenrel Mae O Dacubar "/>
    <s v="NY"/>
    <s v="p"/>
    <s v="LWOP"/>
    <s v="RD"/>
    <s v="RD"/>
    <s v="P"/>
    <s v="P"/>
    <s v="P"/>
    <s v="P"/>
    <s v="P"/>
    <s v="RD"/>
    <n v="0"/>
    <n v="0"/>
    <n v="0"/>
    <n v="2700"/>
    <n v="2700"/>
    <n v="1"/>
    <m/>
    <n v="1"/>
  </r>
  <r>
    <x v="6"/>
    <m/>
    <m/>
    <m/>
    <m/>
    <m/>
    <m/>
    <m/>
    <m/>
    <m/>
    <m/>
    <m/>
    <m/>
    <n v="3203"/>
    <n v="0"/>
    <n v="3203"/>
    <n v="307350"/>
    <n v="304147"/>
    <n v="0.98929637728107123"/>
    <m/>
    <m/>
  </r>
  <r>
    <x v="6"/>
    <m/>
    <m/>
    <m/>
    <m/>
    <m/>
    <m/>
    <m/>
    <m/>
    <m/>
    <m/>
    <m/>
    <m/>
    <m/>
    <m/>
    <m/>
    <m/>
    <m/>
    <m/>
    <m/>
    <m/>
  </r>
  <r>
    <x v="6"/>
    <m/>
    <m/>
    <m/>
    <m/>
    <m/>
    <m/>
    <m/>
    <m/>
    <m/>
    <m/>
    <m/>
    <m/>
    <m/>
    <m/>
    <m/>
    <m/>
    <m/>
    <m/>
    <m/>
    <m/>
  </r>
  <r>
    <x v="6"/>
    <m/>
    <m/>
    <m/>
    <m/>
    <m/>
    <m/>
    <m/>
    <m/>
    <m/>
    <m/>
    <m/>
    <m/>
    <m/>
    <m/>
    <n v="1.0421343744916219E-2"/>
    <m/>
    <m/>
    <m/>
    <m/>
    <m/>
  </r>
  <r>
    <x v="6"/>
    <m/>
    <m/>
    <m/>
    <m/>
    <m/>
    <m/>
    <m/>
    <m/>
    <m/>
    <m/>
    <m/>
    <m/>
    <m/>
    <m/>
    <m/>
    <m/>
    <m/>
    <m/>
    <m/>
    <m/>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1">
  <r>
    <x v="0"/>
    <x v="0"/>
    <s v="KY"/>
    <s v="RD"/>
    <n v="42"/>
    <s v="LWOP"/>
    <s v="LWOP"/>
    <s v="P"/>
    <s v="P"/>
    <s v="RD"/>
    <n v="42"/>
    <n v="0"/>
    <n v="42"/>
    <n v="1350"/>
    <n v="1308"/>
    <n v="0.96888888888888891"/>
    <m/>
    <n v="2"/>
    <m/>
  </r>
  <r>
    <x v="1"/>
    <x v="1"/>
    <s v="KY"/>
    <s v="VL"/>
    <s v="P"/>
    <s v="RD"/>
    <s v="RD"/>
    <s v="P"/>
    <s v="P"/>
    <s v="P"/>
    <s v="P"/>
    <n v="0"/>
    <n v="0"/>
    <n v="1800"/>
    <n v="1800"/>
    <n v="1"/>
    <n v="1"/>
    <m/>
    <m/>
  </r>
  <r>
    <x v="1"/>
    <x v="2"/>
    <s v="IL"/>
    <s v="P"/>
    <n v="4"/>
    <s v="RD"/>
    <s v="RD"/>
    <s v="LWOP"/>
    <s v="P"/>
    <s v="P"/>
    <n v="4"/>
    <n v="0"/>
    <n v="4"/>
    <n v="1800"/>
    <n v="1796"/>
    <n v="0.99777777777777776"/>
    <m/>
    <n v="1"/>
    <m/>
  </r>
  <r>
    <x v="0"/>
    <x v="3"/>
    <s v="NJ"/>
    <s v="RD"/>
    <n v="7"/>
    <s v="P"/>
    <s v="P"/>
    <n v="4"/>
    <n v="450"/>
    <s v="RD"/>
    <n v="11"/>
    <n v="450"/>
    <n v="461"/>
    <n v="2250"/>
    <n v="1789"/>
    <n v="0.7951111111111111"/>
    <m/>
    <m/>
    <m/>
  </r>
  <r>
    <x v="1"/>
    <x v="4"/>
    <s v="KY/IL"/>
    <s v="RD"/>
    <s v="P"/>
    <s v="P"/>
    <s v="P"/>
    <s v="P"/>
    <s v="P"/>
    <s v="RD"/>
    <n v="0"/>
    <n v="0"/>
    <n v="0"/>
    <n v="2250"/>
    <n v="2250"/>
    <n v="1"/>
    <m/>
    <m/>
    <m/>
  </r>
  <r>
    <x v="2"/>
    <x v="5"/>
    <s v="Multi"/>
    <s v="LWOP"/>
    <s v="P"/>
    <n v="8"/>
    <n v="1"/>
    <s v="P"/>
    <s v="RD"/>
    <s v="RD"/>
    <n v="9"/>
    <n v="0"/>
    <n v="9"/>
    <n v="2250"/>
    <n v="2241"/>
    <n v="0.996"/>
    <m/>
    <m/>
    <m/>
  </r>
  <r>
    <x v="0"/>
    <x v="6"/>
    <s v="NJ"/>
    <s v="RD"/>
    <s v="P"/>
    <s v="P"/>
    <s v="LWOP"/>
    <s v="P"/>
    <n v="7"/>
    <s v="RD"/>
    <n v="7"/>
    <n v="0"/>
    <n v="7"/>
    <n v="1800"/>
    <n v="1793"/>
    <n v="0.99611111111111106"/>
    <m/>
    <m/>
    <m/>
  </r>
  <r>
    <x v="0"/>
    <x v="7"/>
    <s v="KY"/>
    <s v="RD"/>
    <s v="P"/>
    <s v="P"/>
    <s v="P"/>
    <s v="P"/>
    <s v="P"/>
    <s v="RD"/>
    <n v="0"/>
    <n v="0"/>
    <n v="0"/>
    <n v="2250"/>
    <n v="2250"/>
    <n v="1"/>
    <m/>
    <m/>
    <m/>
  </r>
  <r>
    <x v="0"/>
    <x v="8"/>
    <s v="KY"/>
    <s v="RD"/>
    <s v="P"/>
    <s v="P"/>
    <n v="1"/>
    <s v="P"/>
    <s v="P"/>
    <s v="RD"/>
    <n v="1"/>
    <n v="0"/>
    <n v="1"/>
    <n v="2250"/>
    <n v="2249"/>
    <n v="0.99955555555555553"/>
    <m/>
    <m/>
    <m/>
  </r>
  <r>
    <x v="2"/>
    <x v="9"/>
    <s v="Multi"/>
    <s v="P"/>
    <s v="P"/>
    <s v="P"/>
    <n v="19"/>
    <s v="P"/>
    <s v="P"/>
    <n v="1"/>
    <n v="19"/>
    <n v="0"/>
    <n v="19"/>
    <n v="2250"/>
    <n v="2231"/>
    <n v="0.99155555555555552"/>
    <m/>
    <m/>
    <m/>
  </r>
  <r>
    <x v="1"/>
    <x v="10"/>
    <s v="IL"/>
    <s v="P"/>
    <s v="P"/>
    <s v="P"/>
    <s v="RD"/>
    <s v="RD"/>
    <s v="P"/>
    <s v="P"/>
    <n v="0"/>
    <n v="0"/>
    <n v="0"/>
    <n v="2250"/>
    <n v="2250"/>
    <n v="1"/>
    <m/>
    <m/>
    <m/>
  </r>
  <r>
    <x v="1"/>
    <x v="11"/>
    <s v="NJ"/>
    <s v="RD"/>
    <s v="P"/>
    <s v="LWOP"/>
    <n v="6"/>
    <n v="9"/>
    <s v="P"/>
    <s v="RD"/>
    <m/>
    <n v="0"/>
    <n v="0"/>
    <n v="1800"/>
    <n v="1800"/>
    <n v="1"/>
    <m/>
    <n v="1"/>
    <m/>
  </r>
  <r>
    <x v="1"/>
    <x v="12"/>
    <s v="NJ"/>
    <s v="RD"/>
    <s v="LWOP"/>
    <s v="P"/>
    <s v="P"/>
    <s v="P"/>
    <s v="P"/>
    <s v="RD"/>
    <n v="0"/>
    <n v="0"/>
    <n v="0"/>
    <n v="1800"/>
    <n v="1800"/>
    <n v="1"/>
    <m/>
    <n v="1"/>
    <m/>
  </r>
  <r>
    <x v="1"/>
    <x v="13"/>
    <s v="MA/NY/NJ (KY/IL)"/>
    <s v="RD"/>
    <s v="P"/>
    <s v="P"/>
    <s v="P"/>
    <s v="P"/>
    <s v="P"/>
    <s v="RD"/>
    <n v="0"/>
    <n v="0"/>
    <n v="0"/>
    <n v="2250"/>
    <n v="2250"/>
    <n v="1"/>
    <m/>
    <m/>
    <m/>
  </r>
  <r>
    <x v="1"/>
    <x v="14"/>
    <s v="KY"/>
    <s v="RD"/>
    <n v="4"/>
    <n v="7"/>
    <s v="P"/>
    <s v="P"/>
    <s v="P"/>
    <s v="RD"/>
    <n v="11"/>
    <n v="0"/>
    <n v="11"/>
    <n v="2250"/>
    <n v="2239"/>
    <n v="0.99511111111111106"/>
    <m/>
    <m/>
    <m/>
  </r>
  <r>
    <x v="2"/>
    <x v="15"/>
    <s v="Multi"/>
    <s v="P"/>
    <n v="8"/>
    <s v="P"/>
    <n v="20"/>
    <s v="P"/>
    <s v="RD"/>
    <s v="RD"/>
    <n v="28"/>
    <n v="0"/>
    <n v="28"/>
    <n v="2250"/>
    <n v="2222"/>
    <n v="0.98755555555555552"/>
    <m/>
    <m/>
    <m/>
  </r>
  <r>
    <x v="1"/>
    <x v="16"/>
    <s v="KY"/>
    <s v="RD"/>
    <s v="LWOP"/>
    <n v="15"/>
    <s v="P"/>
    <s v="P"/>
    <n v="26"/>
    <s v="RD"/>
    <n v="41"/>
    <n v="0"/>
    <n v="41"/>
    <n v="1800"/>
    <n v="1759"/>
    <n v="0.97722222222222221"/>
    <m/>
    <n v="1"/>
    <m/>
  </r>
  <r>
    <x v="1"/>
    <x v="17"/>
    <s v="Multi"/>
    <n v="450"/>
    <s v="P"/>
    <s v="P"/>
    <s v="RD"/>
    <s v="RD"/>
    <s v="P"/>
    <s v="P"/>
    <s v="P"/>
    <n v="450"/>
    <n v="450"/>
    <n v="2250"/>
    <n v="1800"/>
    <n v="0.8"/>
    <m/>
    <m/>
    <m/>
  </r>
  <r>
    <x v="0"/>
    <x v="18"/>
    <s v="NY"/>
    <s v="RD"/>
    <s v="LWOP"/>
    <s v="P"/>
    <s v="P"/>
    <s v="P"/>
    <s v="P"/>
    <s v="RD"/>
    <m/>
    <n v="0"/>
    <n v="0"/>
    <n v="2250"/>
    <n v="2250"/>
    <n v="1"/>
    <m/>
    <m/>
    <m/>
  </r>
  <r>
    <x v="3"/>
    <x v="19"/>
    <s v="Multi"/>
    <s v="RD"/>
    <s v="P"/>
    <s v="P"/>
    <s v="P"/>
    <s v="P"/>
    <s v="P"/>
    <s v="RD"/>
    <n v="0"/>
    <n v="0"/>
    <n v="0"/>
    <n v="2250"/>
    <n v="2250"/>
    <n v="1"/>
    <m/>
    <m/>
    <m/>
  </r>
  <r>
    <x v="0"/>
    <x v="20"/>
    <s v="MA"/>
    <s v="RD"/>
    <n v="39"/>
    <n v="1"/>
    <s v="LWOP"/>
    <n v="147"/>
    <s v="P"/>
    <s v="RD"/>
    <n v="187"/>
    <n v="0"/>
    <n v="187"/>
    <n v="2250"/>
    <n v="2063"/>
    <n v="0.91688888888888886"/>
    <m/>
    <m/>
    <m/>
  </r>
  <r>
    <x v="0"/>
    <x v="21"/>
    <s v="MA"/>
    <s v="RD"/>
    <s v="P"/>
    <s v="P"/>
    <n v="12"/>
    <s v="P"/>
    <n v="1"/>
    <s v="RD"/>
    <n v="13"/>
    <n v="0"/>
    <n v="13"/>
    <n v="2250"/>
    <n v="2237"/>
    <n v="0.99422222222222223"/>
    <m/>
    <m/>
    <m/>
  </r>
  <r>
    <x v="1"/>
    <x v="22"/>
    <s v="NY"/>
    <s v="RD"/>
    <s v="P"/>
    <s v="P"/>
    <s v="P"/>
    <s v="P"/>
    <s v="P"/>
    <s v="RD"/>
    <n v="0"/>
    <n v="0"/>
    <n v="0"/>
    <n v="2250"/>
    <n v="2250"/>
    <n v="1"/>
    <m/>
    <m/>
    <m/>
  </r>
  <r>
    <x v="0"/>
    <x v="23"/>
    <s v="IL"/>
    <s v="RD"/>
    <s v="P"/>
    <s v="P"/>
    <s v="P"/>
    <s v="P"/>
    <s v="P"/>
    <s v="RD"/>
    <n v="0"/>
    <n v="0"/>
    <n v="0"/>
    <n v="2250"/>
    <n v="2250"/>
    <n v="1"/>
    <m/>
    <m/>
    <m/>
  </r>
  <r>
    <x v="1"/>
    <x v="24"/>
    <s v="Multi"/>
    <s v="RD"/>
    <s v="P"/>
    <s v="P"/>
    <s v="P"/>
    <s v="P"/>
    <s v="P"/>
    <s v="RD"/>
    <n v="0"/>
    <n v="0"/>
    <n v="0"/>
    <n v="2250"/>
    <n v="2250"/>
    <n v="1"/>
    <m/>
    <m/>
    <m/>
  </r>
  <r>
    <x v="0"/>
    <x v="25"/>
    <s v="IL"/>
    <s v="RD"/>
    <n v="34"/>
    <n v="450"/>
    <s v="P"/>
    <s v="P"/>
    <n v="450"/>
    <s v="RD"/>
    <n v="34"/>
    <n v="900"/>
    <n v="934"/>
    <n v="2250"/>
    <n v="1316"/>
    <n v="0.5848888888888889"/>
    <m/>
    <m/>
    <m/>
  </r>
  <r>
    <x v="0"/>
    <x v="26"/>
    <s v="MA"/>
    <s v="RD"/>
    <s v="P"/>
    <s v="P"/>
    <s v="P"/>
    <s v="P"/>
    <s v="P"/>
    <s v="RD"/>
    <n v="0"/>
    <n v="0"/>
    <n v="0"/>
    <n v="1800"/>
    <n v="1800"/>
    <n v="1"/>
    <n v="1"/>
    <m/>
    <m/>
  </r>
  <r>
    <x v="1"/>
    <x v="27"/>
    <s v="KY"/>
    <s v="RD"/>
    <n v="31"/>
    <s v="P"/>
    <s v="P"/>
    <s v="P"/>
    <s v="P"/>
    <s v="RD"/>
    <n v="31"/>
    <n v="0"/>
    <n v="31"/>
    <n v="2250"/>
    <n v="2219"/>
    <n v="0.98622222222222222"/>
    <m/>
    <m/>
    <m/>
  </r>
  <r>
    <x v="0"/>
    <x v="28"/>
    <s v="IL"/>
    <s v="RD"/>
    <s v="P"/>
    <n v="4"/>
    <s v="P"/>
    <s v="P"/>
    <n v="7"/>
    <s v="RD"/>
    <n v="11"/>
    <n v="0"/>
    <n v="11"/>
    <n v="2250"/>
    <n v="2239"/>
    <n v="0.99511111111111106"/>
    <m/>
    <m/>
    <m/>
  </r>
  <r>
    <x v="1"/>
    <x v="29"/>
    <s v="KY"/>
    <s v="RD"/>
    <s v="P"/>
    <n v="450"/>
    <n v="67"/>
    <s v="P"/>
    <n v="12"/>
    <s v="RD"/>
    <n v="79"/>
    <n v="450"/>
    <n v="529"/>
    <n v="2250"/>
    <n v="1721"/>
    <n v="0.76488888888888884"/>
    <m/>
    <m/>
    <m/>
  </r>
  <r>
    <x v="4"/>
    <x v="30"/>
    <s v="Multi"/>
    <s v="RD"/>
    <s v="P"/>
    <s v="P"/>
    <s v="P"/>
    <s v="P"/>
    <s v="P"/>
    <s v="RD"/>
    <n v="0"/>
    <n v="0"/>
    <n v="0"/>
    <n v="1800"/>
    <n v="1800"/>
    <n v="1"/>
    <m/>
    <m/>
    <m/>
  </r>
  <r>
    <x v="2"/>
    <x v="31"/>
    <s v="Multi"/>
    <n v="32"/>
    <s v="P"/>
    <s v="RD"/>
    <s v="RD"/>
    <s v="P"/>
    <s v="P"/>
    <s v="P"/>
    <n v="32"/>
    <n v="0"/>
    <n v="32"/>
    <n v="2250"/>
    <n v="2218"/>
    <n v="0.98577777777777775"/>
    <m/>
    <m/>
    <m/>
  </r>
  <r>
    <x v="1"/>
    <x v="32"/>
    <s v="Multi"/>
    <s v="P"/>
    <s v="P"/>
    <s v="P"/>
    <s v="RD"/>
    <s v="RD"/>
    <s v="P"/>
    <s v="P"/>
    <n v="0"/>
    <n v="0"/>
    <n v="0"/>
    <n v="2250"/>
    <n v="2250"/>
    <n v="1"/>
    <m/>
    <m/>
    <m/>
  </r>
  <r>
    <x v="2"/>
    <x v="33"/>
    <s v="Multi"/>
    <n v="3"/>
    <s v="P"/>
    <s v="P"/>
    <s v="LWOP"/>
    <s v="P"/>
    <s v="RD"/>
    <s v="RD"/>
    <n v="3"/>
    <n v="0"/>
    <n v="3"/>
    <n v="2250"/>
    <n v="2247"/>
    <n v="0.9986666666666667"/>
    <m/>
    <m/>
    <m/>
  </r>
  <r>
    <x v="0"/>
    <x v="34"/>
    <s v="IL"/>
    <s v="RD"/>
    <s v="P"/>
    <s v="P"/>
    <n v="450"/>
    <s v="P"/>
    <s v="P"/>
    <s v="RD"/>
    <n v="0"/>
    <n v="450"/>
    <n v="450"/>
    <n v="2250"/>
    <n v="1800"/>
    <n v="0.8"/>
    <m/>
    <m/>
    <m/>
  </r>
  <r>
    <x v="0"/>
    <x v="35"/>
    <s v="MA"/>
    <s v="RD"/>
    <s v="P"/>
    <s v="P"/>
    <s v="P"/>
    <s v="P"/>
    <s v="P"/>
    <s v="RD"/>
    <n v="0"/>
    <n v="0"/>
    <n v="0"/>
    <n v="2250"/>
    <n v="2250"/>
    <n v="1"/>
    <m/>
    <m/>
    <m/>
  </r>
  <r>
    <x v="1"/>
    <x v="36"/>
    <s v="NY NJ"/>
    <s v="RD"/>
    <s v="P"/>
    <s v="P"/>
    <s v="P"/>
    <s v="P"/>
    <s v="P"/>
    <s v="RD"/>
    <n v="0"/>
    <n v="0"/>
    <n v="0"/>
    <n v="2250"/>
    <n v="2250"/>
    <n v="1"/>
    <m/>
    <m/>
    <m/>
  </r>
  <r>
    <x v="1"/>
    <x v="37"/>
    <s v="Multi"/>
    <s v="P"/>
    <s v="P"/>
    <s v="RD"/>
    <s v="RD"/>
    <s v="P"/>
    <s v="P"/>
    <s v="P"/>
    <n v="0"/>
    <n v="0"/>
    <n v="0"/>
    <n v="2250"/>
    <n v="2250"/>
    <n v="1"/>
    <m/>
    <m/>
    <m/>
  </r>
  <r>
    <x v="1"/>
    <x v="38"/>
    <s v="NJ"/>
    <s v="RD"/>
    <s v="P"/>
    <s v="P"/>
    <s v="P"/>
    <s v="P"/>
    <s v="P"/>
    <s v="RD"/>
    <n v="0"/>
    <n v="0"/>
    <n v="0"/>
    <n v="2250"/>
    <n v="2250"/>
    <n v="1"/>
    <m/>
    <m/>
    <m/>
  </r>
  <r>
    <x v="0"/>
    <x v="39"/>
    <s v="NJ"/>
    <s v="RD"/>
    <s v="P"/>
    <s v="P"/>
    <s v="P"/>
    <s v="P"/>
    <s v="P"/>
    <s v="RD"/>
    <n v="0"/>
    <n v="0"/>
    <n v="0"/>
    <n v="2250"/>
    <n v="2250"/>
    <n v="1"/>
    <m/>
    <m/>
    <m/>
  </r>
  <r>
    <x v="3"/>
    <x v="40"/>
    <s v="Multi"/>
    <s v="RD"/>
    <s v="P"/>
    <s v="P"/>
    <n v="50"/>
    <s v="P"/>
    <s v="P"/>
    <s v="RD"/>
    <n v="50"/>
    <n v="0"/>
    <n v="50"/>
    <n v="2250"/>
    <n v="2200"/>
    <n v="0.97777777777777775"/>
    <m/>
    <m/>
    <m/>
  </r>
  <r>
    <x v="0"/>
    <x v="41"/>
    <s v="MA"/>
    <s v="RD"/>
    <s v="P"/>
    <s v="P"/>
    <s v="P"/>
    <s v="P"/>
    <s v="P"/>
    <s v="RD"/>
    <n v="0"/>
    <n v="0"/>
    <n v="0"/>
    <n v="2250"/>
    <n v="2250"/>
    <n v="1"/>
    <m/>
    <m/>
    <m/>
  </r>
  <r>
    <x v="1"/>
    <x v="42"/>
    <s v="NY"/>
    <s v="RD"/>
    <s v="P"/>
    <s v="P"/>
    <s v="P"/>
    <s v="LWOP"/>
    <s v="P"/>
    <s v="RD"/>
    <n v="0"/>
    <n v="0"/>
    <n v="0"/>
    <n v="1800"/>
    <n v="1800"/>
    <n v="1"/>
    <m/>
    <n v="1"/>
    <m/>
  </r>
  <r>
    <x v="1"/>
    <x v="43"/>
    <s v="NJ"/>
    <s v="RD"/>
    <s v="P"/>
    <n v="54"/>
    <n v="10"/>
    <s v="P"/>
    <s v="P"/>
    <s v="RD"/>
    <n v="64"/>
    <n v="0"/>
    <n v="64"/>
    <n v="2250"/>
    <n v="2186"/>
    <n v="0.97155555555555551"/>
    <m/>
    <m/>
    <m/>
  </r>
  <r>
    <x v="0"/>
    <x v="44"/>
    <s v="KY"/>
    <s v="RD"/>
    <s v="P"/>
    <s v="P"/>
    <n v="11"/>
    <n v="96"/>
    <s v="P"/>
    <s v="RD"/>
    <n v="96"/>
    <n v="0"/>
    <n v="96"/>
    <n v="2250"/>
    <n v="2154"/>
    <n v="0.95733333333333337"/>
    <m/>
    <m/>
    <m/>
  </r>
  <r>
    <x v="1"/>
    <x v="45"/>
    <s v="Multi"/>
    <s v="RD"/>
    <s v="P"/>
    <s v="P"/>
    <s v="P"/>
    <s v="P"/>
    <s v="P"/>
    <s v="RD"/>
    <n v="0"/>
    <n v="0"/>
    <n v="0"/>
    <n v="2250"/>
    <n v="2250"/>
    <n v="1"/>
    <m/>
    <m/>
    <m/>
  </r>
  <r>
    <x v="2"/>
    <x v="46"/>
    <s v="Multi"/>
    <s v="RD"/>
    <s v="RD"/>
    <s v="P"/>
    <n v="12"/>
    <s v="P"/>
    <s v="P"/>
    <s v="P"/>
    <n v="0"/>
    <n v="0"/>
    <n v="0"/>
    <n v="2250"/>
    <n v="2250"/>
    <n v="1"/>
    <m/>
    <m/>
    <m/>
  </r>
  <r>
    <x v="0"/>
    <x v="47"/>
    <s v="IL"/>
    <s v="RD"/>
    <s v="P"/>
    <n v="450"/>
    <s v="P"/>
    <s v="P"/>
    <s v="P"/>
    <s v="RD"/>
    <n v="0"/>
    <n v="450"/>
    <n v="450"/>
    <n v="2250"/>
    <n v="1800"/>
    <n v="0.8"/>
    <m/>
    <m/>
    <n v="1"/>
  </r>
  <r>
    <x v="0"/>
    <x v="48"/>
    <s v="NJ"/>
    <s v="RD"/>
    <s v="P"/>
    <s v="P"/>
    <s v="P"/>
    <s v="P"/>
    <s v="P"/>
    <s v="RD"/>
    <n v="0"/>
    <n v="0"/>
    <n v="0"/>
    <n v="1800"/>
    <n v="1800"/>
    <n v="1"/>
    <m/>
    <m/>
    <m/>
  </r>
  <r>
    <x v="0"/>
    <x v="49"/>
    <s v="MA"/>
    <s v="RD"/>
    <s v="P"/>
    <s v="P"/>
    <s v="P"/>
    <s v="P"/>
    <s v="P"/>
    <s v="RD"/>
    <n v="0"/>
    <n v="0"/>
    <n v="0"/>
    <n v="2250"/>
    <n v="2250"/>
    <n v="1"/>
    <m/>
    <m/>
    <m/>
  </r>
  <r>
    <x v="1"/>
    <x v="50"/>
    <s v="NY"/>
    <s v="RD"/>
    <s v="P"/>
    <s v="P"/>
    <s v="P"/>
    <s v="P"/>
    <s v="P"/>
    <s v="RD"/>
    <n v="0"/>
    <n v="0"/>
    <n v="0"/>
    <n v="2250"/>
    <n v="2250"/>
    <n v="1"/>
    <m/>
    <m/>
    <m/>
  </r>
  <r>
    <x v="4"/>
    <x v="51"/>
    <s v="Multi"/>
    <s v="RD"/>
    <n v="450"/>
    <s v="P"/>
    <n v="1"/>
    <n v="4"/>
    <s v="P"/>
    <s v="RD"/>
    <n v="5"/>
    <n v="450"/>
    <n v="455"/>
    <n v="2250"/>
    <n v="1795"/>
    <n v="0.79777777777777781"/>
    <m/>
    <m/>
    <n v="1"/>
  </r>
  <r>
    <x v="1"/>
    <x v="52"/>
    <s v="NJ"/>
    <s v="RD"/>
    <n v="450"/>
    <n v="450"/>
    <n v="450"/>
    <n v="450"/>
    <n v="450"/>
    <s v="RD"/>
    <n v="0"/>
    <n v="2250"/>
    <n v="2250"/>
    <n v="2250"/>
    <n v="0"/>
    <n v="0"/>
    <m/>
    <m/>
    <m/>
  </r>
  <r>
    <x v="0"/>
    <x v="53"/>
    <s v="KY"/>
    <s v="RD"/>
    <s v="P"/>
    <s v="P"/>
    <s v="P"/>
    <s v="P"/>
    <s v="P"/>
    <s v="RD"/>
    <n v="0"/>
    <n v="0"/>
    <n v="0"/>
    <n v="2250"/>
    <n v="2250"/>
    <n v="1"/>
    <m/>
    <m/>
    <m/>
  </r>
  <r>
    <x v="2"/>
    <x v="54"/>
    <s v="Multi"/>
    <s v="RD"/>
    <s v="RD"/>
    <s v="P"/>
    <s v="P"/>
    <s v="P"/>
    <s v="P"/>
    <s v="P"/>
    <n v="0"/>
    <n v="0"/>
    <n v="0"/>
    <n v="2250"/>
    <n v="2250"/>
    <n v="1"/>
    <m/>
    <m/>
    <m/>
  </r>
  <r>
    <x v="1"/>
    <x v="55"/>
    <s v="NY"/>
    <s v="RD"/>
    <s v="P"/>
    <n v="6"/>
    <n v="5"/>
    <s v="P"/>
    <s v="P"/>
    <s v="RD"/>
    <n v="11"/>
    <n v="0"/>
    <n v="11"/>
    <n v="2250"/>
    <n v="2239"/>
    <n v="0.99511111111111106"/>
    <m/>
    <m/>
    <m/>
  </r>
  <r>
    <x v="2"/>
    <x v="56"/>
    <s v="Multi"/>
    <s v="RD"/>
    <s v="RD"/>
    <s v="P"/>
    <s v="P"/>
    <s v="P"/>
    <s v="P"/>
    <s v="P"/>
    <n v="0"/>
    <n v="0"/>
    <n v="0"/>
    <n v="2250"/>
    <n v="2250"/>
    <n v="1"/>
    <m/>
    <m/>
    <m/>
  </r>
  <r>
    <x v="1"/>
    <x v="57"/>
    <s v="IL"/>
    <s v="RD"/>
    <s v="P"/>
    <s v="P"/>
    <n v="7"/>
    <s v="P"/>
    <s v="P"/>
    <s v="RD"/>
    <n v="7"/>
    <n v="0"/>
    <n v="7"/>
    <n v="2250"/>
    <n v="2243"/>
    <n v="0.99688888888888894"/>
    <m/>
    <m/>
    <m/>
  </r>
  <r>
    <x v="0"/>
    <x v="58"/>
    <s v="MA"/>
    <s v="RD"/>
    <s v="P"/>
    <s v="P"/>
    <s v="P"/>
    <s v="P"/>
    <s v="P"/>
    <s v="RD"/>
    <n v="0"/>
    <n v="0"/>
    <n v="0"/>
    <n v="2250"/>
    <n v="2250"/>
    <n v="1"/>
    <m/>
    <m/>
    <m/>
  </r>
  <r>
    <x v="0"/>
    <x v="59"/>
    <s v="MA"/>
    <s v="RD"/>
    <s v="P"/>
    <s v="LWOP"/>
    <s v="P"/>
    <s v="P"/>
    <s v="LWOP"/>
    <s v="RD"/>
    <n v="0"/>
    <n v="0"/>
    <n v="0"/>
    <n v="2250"/>
    <n v="2250"/>
    <n v="1"/>
    <m/>
    <m/>
    <m/>
  </r>
  <r>
    <x v="4"/>
    <x v="60"/>
    <s v="Multi"/>
    <s v="RD"/>
    <s v="P"/>
    <s v="P"/>
    <s v="P"/>
    <s v="P"/>
    <s v="P"/>
    <s v="RD"/>
    <n v="0"/>
    <n v="0"/>
    <n v="0"/>
    <n v="2250"/>
    <n v="2250"/>
    <n v="1"/>
    <m/>
    <m/>
    <m/>
  </r>
  <r>
    <x v="0"/>
    <x v="61"/>
    <s v="NJ"/>
    <s v="RD"/>
    <s v="P"/>
    <s v="P"/>
    <s v="P"/>
    <s v="P"/>
    <s v="P"/>
    <s v="RD"/>
    <n v="0"/>
    <n v="0"/>
    <n v="0"/>
    <n v="2250"/>
    <n v="2250"/>
    <n v="1"/>
    <m/>
    <m/>
    <m/>
  </r>
  <r>
    <x v="0"/>
    <x v="62"/>
    <s v="NJ"/>
    <s v="RD"/>
    <s v="VL"/>
    <s v="VL"/>
    <s v="P"/>
    <s v="P"/>
    <s v="P"/>
    <s v="RD"/>
    <n v="0"/>
    <n v="0"/>
    <n v="0"/>
    <n v="1800"/>
    <n v="1800"/>
    <n v="1"/>
    <m/>
    <m/>
    <m/>
  </r>
  <r>
    <x v="1"/>
    <x v="63"/>
    <s v="Multi"/>
    <n v="4"/>
    <s v="P"/>
    <s v="RD"/>
    <s v="RD"/>
    <s v="P"/>
    <s v="P"/>
    <s v="P"/>
    <n v="4"/>
    <n v="0"/>
    <n v="4"/>
    <n v="2250"/>
    <n v="2246"/>
    <n v="0.99822222222222223"/>
    <m/>
    <m/>
    <m/>
  </r>
  <r>
    <x v="0"/>
    <x v="64"/>
    <s v="KY"/>
    <s v="RD"/>
    <s v="P"/>
    <s v="LWOP"/>
    <n v="17"/>
    <s v="P"/>
    <s v="P"/>
    <s v="RD"/>
    <n v="17"/>
    <n v="0"/>
    <n v="17"/>
    <n v="2250"/>
    <n v="2233"/>
    <n v="0.99244444444444446"/>
    <m/>
    <n v="1"/>
    <m/>
  </r>
  <r>
    <x v="0"/>
    <x v="65"/>
    <s v="NY"/>
    <s v="RD"/>
    <s v="P"/>
    <s v="P"/>
    <s v="P"/>
    <s v="P"/>
    <s v="P"/>
    <s v="RD"/>
    <n v="0"/>
    <n v="0"/>
    <n v="0"/>
    <n v="2250"/>
    <n v="2250"/>
    <n v="1"/>
    <m/>
    <m/>
    <m/>
  </r>
  <r>
    <x v="0"/>
    <x v="66"/>
    <s v="IL"/>
    <s v="RD"/>
    <s v="P"/>
    <s v="P"/>
    <s v="P"/>
    <s v="P"/>
    <s v="P"/>
    <s v="RD"/>
    <n v="0"/>
    <n v="0"/>
    <n v="0"/>
    <n v="2250"/>
    <n v="2250"/>
    <n v="1"/>
    <m/>
    <m/>
    <m/>
  </r>
  <r>
    <x v="4"/>
    <x v="67"/>
    <s v="Multi"/>
    <s v="RD"/>
    <s v="P"/>
    <n v="5"/>
    <s v="LWOP"/>
    <s v="P"/>
    <s v="P"/>
    <s v="RD"/>
    <n v="5"/>
    <n v="0"/>
    <n v="5"/>
    <n v="2250"/>
    <n v="2245"/>
    <n v="0.99777777777777776"/>
    <m/>
    <n v="1"/>
    <m/>
  </r>
  <r>
    <x v="1"/>
    <x v="68"/>
    <s v="IL"/>
    <s v="RD"/>
    <s v="P"/>
    <s v="P"/>
    <s v="P"/>
    <s v="P"/>
    <s v="P"/>
    <s v="RD"/>
    <n v="0"/>
    <n v="0"/>
    <n v="0"/>
    <n v="2250"/>
    <n v="2250"/>
    <n v="1"/>
    <m/>
    <m/>
    <m/>
  </r>
  <r>
    <x v="1"/>
    <x v="69"/>
    <s v="KY/IL"/>
    <s v="RD"/>
    <s v="P"/>
    <s v="P"/>
    <s v="P"/>
    <s v="P"/>
    <s v="P"/>
    <s v="RD"/>
    <n v="0"/>
    <n v="0"/>
    <n v="0"/>
    <n v="2250"/>
    <n v="2250"/>
    <n v="1"/>
    <m/>
    <m/>
    <m/>
  </r>
  <r>
    <x v="5"/>
    <x v="70"/>
    <s v="Multi"/>
    <s v="RD"/>
    <n v="9"/>
    <s v="P"/>
    <s v="P"/>
    <s v="P"/>
    <s v="P"/>
    <s v="RD"/>
    <n v="9"/>
    <n v="0"/>
    <n v="9"/>
    <n v="2250"/>
    <n v="2241"/>
    <n v="0.996"/>
    <m/>
    <m/>
    <m/>
  </r>
  <r>
    <x v="0"/>
    <x v="71"/>
    <s v="KY"/>
    <s v="RD"/>
    <s v="P"/>
    <n v="7"/>
    <n v="1"/>
    <n v="7"/>
    <n v="2"/>
    <s v="RD"/>
    <n v="17"/>
    <n v="0"/>
    <n v="17"/>
    <n v="2250"/>
    <n v="2233"/>
    <n v="0.99244444444444446"/>
    <m/>
    <m/>
    <m/>
  </r>
  <r>
    <x v="1"/>
    <x v="72"/>
    <s v="Multi"/>
    <s v="P"/>
    <s v="P"/>
    <s v="RD"/>
    <s v="RD"/>
    <s v="P"/>
    <s v="P"/>
    <s v="P"/>
    <n v="0"/>
    <n v="0"/>
    <n v="0"/>
    <n v="2250"/>
    <n v="2250"/>
    <n v="1"/>
    <m/>
    <m/>
    <m/>
  </r>
  <r>
    <x v="2"/>
    <x v="73"/>
    <s v="Multi"/>
    <s v="RD"/>
    <s v="RD"/>
    <n v="33"/>
    <s v="P"/>
    <n v="1"/>
    <n v="1"/>
    <s v="P"/>
    <n v="35"/>
    <n v="0"/>
    <n v="35"/>
    <n v="1800"/>
    <n v="1765"/>
    <n v="0.98055555555555551"/>
    <m/>
    <n v="1"/>
    <m/>
  </r>
  <r>
    <x v="0"/>
    <x v="74"/>
    <s v="IL"/>
    <s v="RD"/>
    <s v="P"/>
    <s v="P"/>
    <s v="P"/>
    <s v="P"/>
    <s v="P"/>
    <s v="RD"/>
    <n v="0"/>
    <n v="0"/>
    <n v="0"/>
    <n v="2250"/>
    <n v="2250"/>
    <n v="1"/>
    <m/>
    <m/>
    <m/>
  </r>
  <r>
    <x v="0"/>
    <x v="75"/>
    <s v="NJ"/>
    <s v="RD"/>
    <s v="P"/>
    <s v="P"/>
    <s v="P"/>
    <s v="P"/>
    <s v="P"/>
    <s v="RD"/>
    <n v="0"/>
    <n v="0"/>
    <n v="0"/>
    <n v="2250"/>
    <n v="2250"/>
    <n v="1"/>
    <m/>
    <m/>
    <m/>
  </r>
  <r>
    <x v="0"/>
    <x v="76"/>
    <s v="MA"/>
    <s v="RD"/>
    <s v="P"/>
    <s v="P"/>
    <s v="P"/>
    <s v="P"/>
    <s v="P"/>
    <s v="RD"/>
    <n v="0"/>
    <n v="0"/>
    <n v="0"/>
    <n v="2250"/>
    <n v="2250"/>
    <n v="1"/>
    <m/>
    <m/>
    <m/>
  </r>
  <r>
    <x v="0"/>
    <x v="77"/>
    <s v="IL"/>
    <s v="RD"/>
    <s v="P"/>
    <s v="P"/>
    <s v="P"/>
    <s v="P"/>
    <n v="450"/>
    <s v="RD"/>
    <n v="0"/>
    <n v="450"/>
    <n v="450"/>
    <n v="2250"/>
    <n v="1800"/>
    <n v="0.8"/>
    <m/>
    <m/>
    <n v="1"/>
  </r>
  <r>
    <x v="2"/>
    <x v="78"/>
    <s v="Multi"/>
    <s v="RD"/>
    <s v="P"/>
    <s v="P"/>
    <s v="P"/>
    <s v="P"/>
    <s v="P"/>
    <s v="RD"/>
    <n v="0"/>
    <n v="0"/>
    <n v="0"/>
    <n v="2250"/>
    <n v="2250"/>
    <n v="1"/>
    <m/>
    <m/>
    <m/>
  </r>
  <r>
    <x v="1"/>
    <x v="79"/>
    <s v="KY"/>
    <s v="P"/>
    <s v="P"/>
    <s v="RD"/>
    <s v="RD"/>
    <s v="P"/>
    <s v="P"/>
    <s v="P"/>
    <n v="0"/>
    <n v="0"/>
    <n v="0"/>
    <n v="2250"/>
    <n v="2250"/>
    <n v="1"/>
    <m/>
    <m/>
    <m/>
  </r>
  <r>
    <x v="0"/>
    <x v="80"/>
    <s v="IL"/>
    <s v="RD"/>
    <s v="P"/>
    <s v="P"/>
    <n v="450"/>
    <s v="P"/>
    <s v="P"/>
    <s v="RD"/>
    <n v="0"/>
    <n v="450"/>
    <n v="450"/>
    <n v="2250"/>
    <n v="1800"/>
    <n v="0.8"/>
    <m/>
    <m/>
    <m/>
  </r>
  <r>
    <x v="0"/>
    <x v="81"/>
    <s v="IL"/>
    <s v="RD"/>
    <s v="P"/>
    <s v="P"/>
    <s v="P"/>
    <s v="P"/>
    <s v="P"/>
    <s v="RD"/>
    <n v="0"/>
    <n v="0"/>
    <n v="0"/>
    <n v="2250"/>
    <n v="2250"/>
    <n v="1"/>
    <m/>
    <m/>
    <m/>
  </r>
  <r>
    <x v="1"/>
    <x v="82"/>
    <s v="Multi"/>
    <s v="RD"/>
    <s v="P"/>
    <s v="P"/>
    <s v="P"/>
    <s v="P"/>
    <s v="P"/>
    <s v="RD"/>
    <n v="0"/>
    <n v="0"/>
    <n v="0"/>
    <n v="2250"/>
    <n v="2250"/>
    <n v="1"/>
    <m/>
    <m/>
    <m/>
  </r>
  <r>
    <x v="1"/>
    <x v="83"/>
    <s v="KY/IL"/>
    <s v="RD"/>
    <s v="P"/>
    <s v="P"/>
    <s v="P"/>
    <s v="P"/>
    <s v="P"/>
    <s v="RD"/>
    <n v="0"/>
    <n v="0"/>
    <n v="0"/>
    <n v="2250"/>
    <n v="2250"/>
    <n v="1"/>
    <m/>
    <m/>
    <m/>
  </r>
  <r>
    <x v="0"/>
    <x v="84"/>
    <s v="KY"/>
    <s v="RD"/>
    <n v="450"/>
    <s v="P"/>
    <s v="P"/>
    <n v="8"/>
    <s v="P"/>
    <s v="RD"/>
    <n v="0"/>
    <n v="450"/>
    <n v="450"/>
    <n v="2250"/>
    <n v="1800"/>
    <n v="0.8"/>
    <m/>
    <m/>
    <n v="1"/>
  </r>
  <r>
    <x v="1"/>
    <x v="85"/>
    <s v="IL"/>
    <s v="RD"/>
    <n v="4"/>
    <s v="P"/>
    <s v="P"/>
    <s v="P"/>
    <n v="131"/>
    <s v="RD"/>
    <n v="135"/>
    <n v="0"/>
    <n v="135"/>
    <n v="2250"/>
    <n v="2115"/>
    <n v="0.94"/>
    <m/>
    <m/>
    <m/>
  </r>
  <r>
    <x v="0"/>
    <x v="86"/>
    <s v="NJ"/>
    <s v="RD"/>
    <s v="P"/>
    <s v="P"/>
    <s v="P"/>
    <s v="P"/>
    <s v="P"/>
    <s v="RD"/>
    <n v="0"/>
    <n v="0"/>
    <n v="0"/>
    <n v="2250"/>
    <n v="2250"/>
    <n v="1"/>
    <m/>
    <m/>
    <m/>
  </r>
  <r>
    <x v="0"/>
    <x v="87"/>
    <s v="NJ"/>
    <s v="RD"/>
    <s v="P"/>
    <s v="P"/>
    <s v="P"/>
    <s v="P"/>
    <s v="P"/>
    <s v="RD"/>
    <n v="0"/>
    <n v="0"/>
    <n v="0"/>
    <n v="2250"/>
    <n v="2250"/>
    <n v="1"/>
    <m/>
    <m/>
    <m/>
  </r>
  <r>
    <x v="0"/>
    <x v="88"/>
    <s v="NY"/>
    <s v="RD"/>
    <n v="19"/>
    <n v="23"/>
    <s v="P"/>
    <s v="P"/>
    <s v="P"/>
    <s v="RD"/>
    <n v="42"/>
    <n v="0"/>
    <n v="42"/>
    <n v="2250"/>
    <n v="2208"/>
    <n v="0.98133333333333328"/>
    <m/>
    <m/>
    <m/>
  </r>
  <r>
    <x v="1"/>
    <x v="89"/>
    <s v="NJ"/>
    <s v="RD"/>
    <n v="450"/>
    <s v="P"/>
    <n v="7"/>
    <s v="P"/>
    <s v="P"/>
    <s v="RD"/>
    <n v="0"/>
    <n v="450"/>
    <n v="450"/>
    <n v="2250"/>
    <n v="1800"/>
    <n v="0.8"/>
    <m/>
    <m/>
    <m/>
  </r>
  <r>
    <x v="1"/>
    <x v="90"/>
    <s v="Multi"/>
    <s v="RD"/>
    <s v="VL"/>
    <n v="12"/>
    <n v="19"/>
    <n v="15"/>
    <n v="66"/>
    <s v="RD"/>
    <n v="19"/>
    <n v="0"/>
    <n v="19"/>
    <n v="1800"/>
    <n v="1781"/>
    <n v="0.98944444444444446"/>
    <n v="1"/>
    <m/>
    <m/>
  </r>
  <r>
    <x v="1"/>
    <x v="91"/>
    <s v="Multi"/>
    <s v="RD"/>
    <s v="VL"/>
    <s v="P"/>
    <s v="P"/>
    <s v="P"/>
    <s v="P"/>
    <s v="RD"/>
    <n v="0"/>
    <n v="0"/>
    <n v="0"/>
    <n v="1800"/>
    <n v="1800"/>
    <n v="1"/>
    <n v="1"/>
    <m/>
    <m/>
  </r>
  <r>
    <x v="0"/>
    <x v="92"/>
    <s v="NY"/>
    <s v="RD"/>
    <n v="450"/>
    <s v="P"/>
    <s v="P"/>
    <n v="8"/>
    <n v="20"/>
    <s v="RD"/>
    <n v="28"/>
    <n v="450"/>
    <n v="478"/>
    <n v="2250"/>
    <n v="1772"/>
    <n v="0.78755555555555556"/>
    <m/>
    <m/>
    <m/>
  </r>
  <r>
    <x v="6"/>
    <x v="93"/>
    <m/>
    <m/>
    <m/>
    <m/>
    <m/>
    <m/>
    <m/>
    <m/>
    <n v="1107"/>
    <n v="8100"/>
    <n v="9207"/>
    <n v="202050"/>
    <n v="192843"/>
    <n v="0.95573954599761024"/>
    <m/>
    <m/>
    <m/>
  </r>
  <r>
    <x v="6"/>
    <x v="93"/>
    <m/>
    <m/>
    <m/>
    <m/>
    <m/>
    <m/>
    <m/>
    <m/>
    <m/>
    <m/>
    <m/>
    <m/>
    <m/>
    <m/>
    <m/>
    <m/>
    <m/>
  </r>
  <r>
    <x v="6"/>
    <x v="93"/>
    <m/>
    <m/>
    <m/>
    <m/>
    <m/>
    <m/>
    <m/>
    <m/>
    <n v="5.4788418708240534E-3"/>
    <n v="4.0089086859688199E-2"/>
    <n v="4.5567928730512249E-2"/>
    <m/>
    <m/>
    <m/>
    <m/>
    <m/>
    <m/>
  </r>
  <r>
    <x v="6"/>
    <x v="93"/>
    <m/>
    <m/>
    <m/>
    <m/>
    <m/>
    <m/>
    <m/>
    <m/>
    <m/>
    <m/>
    <m/>
    <m/>
    <m/>
    <m/>
    <m/>
    <m/>
    <m/>
  </r>
  <r>
    <x v="6"/>
    <x v="93"/>
    <m/>
    <m/>
    <m/>
    <m/>
    <m/>
    <m/>
    <m/>
    <m/>
    <m/>
    <m/>
    <m/>
    <m/>
    <m/>
    <m/>
    <m/>
    <m/>
    <m/>
  </r>
  <r>
    <x v="6"/>
    <x v="93"/>
    <m/>
    <m/>
    <m/>
    <m/>
    <m/>
    <m/>
    <m/>
    <m/>
    <m/>
    <m/>
    <m/>
    <m/>
    <m/>
    <m/>
    <m/>
    <m/>
    <m/>
  </r>
  <r>
    <x v="6"/>
    <x v="93"/>
    <m/>
    <m/>
    <m/>
    <m/>
    <m/>
    <m/>
    <m/>
    <m/>
    <m/>
    <m/>
    <m/>
    <m/>
    <m/>
    <m/>
    <m/>
    <m/>
    <m/>
  </r>
  <r>
    <x v="6"/>
    <x v="93"/>
    <m/>
    <m/>
    <m/>
    <m/>
    <m/>
    <m/>
    <m/>
    <m/>
    <m/>
    <m/>
    <m/>
    <m/>
    <m/>
    <m/>
    <m/>
    <m/>
    <m/>
  </r>
  <r>
    <x v="6"/>
    <x v="93"/>
    <m/>
    <m/>
    <m/>
    <m/>
    <m/>
    <m/>
    <m/>
    <m/>
    <m/>
    <m/>
    <m/>
    <m/>
    <m/>
    <m/>
    <m/>
    <m/>
    <m/>
  </r>
  <r>
    <x v="6"/>
    <x v="93"/>
    <m/>
    <m/>
    <m/>
    <m/>
    <m/>
    <m/>
    <m/>
    <m/>
    <m/>
    <m/>
    <m/>
    <m/>
    <m/>
    <m/>
    <m/>
    <m/>
    <m/>
  </r>
  <r>
    <x v="6"/>
    <x v="93"/>
    <m/>
    <m/>
    <m/>
    <m/>
    <m/>
    <m/>
    <m/>
    <m/>
    <m/>
    <m/>
    <m/>
    <m/>
    <m/>
    <m/>
    <m/>
    <m/>
    <m/>
  </r>
  <r>
    <x v="6"/>
    <x v="93"/>
    <m/>
    <m/>
    <m/>
    <m/>
    <m/>
    <m/>
    <m/>
    <m/>
    <m/>
    <m/>
    <m/>
    <m/>
    <m/>
    <m/>
    <m/>
    <m/>
    <m/>
  </r>
  <r>
    <x v="6"/>
    <x v="93"/>
    <m/>
    <m/>
    <m/>
    <m/>
    <m/>
    <m/>
    <m/>
    <m/>
    <m/>
    <m/>
    <m/>
    <m/>
    <m/>
    <m/>
    <m/>
    <m/>
    <m/>
  </r>
  <r>
    <x v="6"/>
    <x v="93"/>
    <m/>
    <m/>
    <m/>
    <m/>
    <m/>
    <m/>
    <m/>
    <m/>
    <m/>
    <m/>
    <m/>
    <m/>
    <m/>
    <m/>
    <m/>
    <m/>
    <m/>
  </r>
  <r>
    <x v="6"/>
    <x v="93"/>
    <m/>
    <m/>
    <m/>
    <m/>
    <m/>
    <m/>
    <m/>
    <m/>
    <m/>
    <m/>
    <m/>
    <m/>
    <m/>
    <m/>
    <m/>
    <m/>
    <m/>
  </r>
  <r>
    <x v="6"/>
    <x v="93"/>
    <m/>
    <m/>
    <m/>
    <m/>
    <m/>
    <m/>
    <m/>
    <m/>
    <m/>
    <m/>
    <m/>
    <m/>
    <m/>
    <m/>
    <m/>
    <m/>
    <m/>
  </r>
  <r>
    <x v="6"/>
    <x v="93"/>
    <m/>
    <m/>
    <m/>
    <m/>
    <m/>
    <m/>
    <m/>
    <m/>
    <m/>
    <m/>
    <m/>
    <m/>
    <m/>
    <m/>
    <m/>
    <m/>
    <m/>
  </r>
  <r>
    <x v="6"/>
    <x v="93"/>
    <m/>
    <m/>
    <m/>
    <m/>
    <m/>
    <m/>
    <m/>
    <m/>
    <m/>
    <m/>
    <m/>
    <m/>
    <m/>
    <m/>
    <m/>
    <m/>
    <m/>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1">
  <r>
    <x v="0"/>
    <x v="0"/>
    <x v="0"/>
    <s v="RD"/>
    <s v="LWOP"/>
    <s v="LWOP"/>
    <s v="P"/>
    <s v="P"/>
    <s v="P"/>
    <s v="RD"/>
    <s v="RD"/>
    <s v="P"/>
    <n v="0"/>
    <n v="0"/>
    <n v="0"/>
    <n v="1800"/>
    <n v="1800"/>
    <n v="1"/>
  </r>
  <r>
    <x v="1"/>
    <x v="1"/>
    <x v="0"/>
    <n v="3"/>
    <s v="P"/>
    <s v="RD"/>
    <s v="RD"/>
    <s v="P"/>
    <s v="P"/>
    <s v="P"/>
    <s v="P"/>
    <s v="P"/>
    <n v="3"/>
    <n v="0"/>
    <n v="3"/>
    <n v="3150"/>
    <n v="3147"/>
    <n v="0.99904761904761907"/>
  </r>
  <r>
    <x v="1"/>
    <x v="2"/>
    <x v="1"/>
    <n v="2"/>
    <n v="16"/>
    <s v="RD"/>
    <s v="RD"/>
    <n v="4"/>
    <s v="P"/>
    <s v="P"/>
    <s v="P"/>
    <n v="5"/>
    <n v="27"/>
    <n v="0"/>
    <n v="27"/>
    <n v="3150"/>
    <n v="3123"/>
    <n v="0.99142857142857144"/>
  </r>
  <r>
    <x v="0"/>
    <x v="3"/>
    <x v="2"/>
    <s v="RD"/>
    <n v="2"/>
    <s v="P"/>
    <s v="P"/>
    <n v="4"/>
    <s v="P"/>
    <s v="RD"/>
    <s v="RD"/>
    <s v="P"/>
    <n v="6"/>
    <n v="0"/>
    <n v="6"/>
    <n v="2700"/>
    <n v="2694"/>
    <n v="0.99777777777777776"/>
  </r>
  <r>
    <x v="1"/>
    <x v="4"/>
    <x v="3"/>
    <s v="RD"/>
    <n v="3"/>
    <s v="P"/>
    <s v="P"/>
    <s v="P"/>
    <s v="P"/>
    <s v="RD"/>
    <s v="RD"/>
    <s v="P"/>
    <n v="3"/>
    <n v="0"/>
    <n v="3"/>
    <n v="2700"/>
    <n v="2697"/>
    <n v="0.99888888888888894"/>
  </r>
  <r>
    <x v="2"/>
    <x v="5"/>
    <x v="3"/>
    <s v="P"/>
    <n v="6"/>
    <s v="P"/>
    <s v="P"/>
    <s v="P"/>
    <s v="RD"/>
    <s v="RD"/>
    <s v="P"/>
    <n v="3"/>
    <n v="9"/>
    <n v="0"/>
    <n v="9"/>
    <n v="3600"/>
    <n v="3591"/>
    <n v="0.99750000000000005"/>
  </r>
  <r>
    <x v="0"/>
    <x v="6"/>
    <x v="2"/>
    <s v="RD"/>
    <n v="450"/>
    <s v="P"/>
    <n v="13"/>
    <s v="P"/>
    <n v="8"/>
    <s v="RD"/>
    <s v="RD"/>
    <n v="9"/>
    <n v="21"/>
    <n v="450"/>
    <n v="471"/>
    <n v="2250"/>
    <n v="1779"/>
    <n v="0.79066666666666663"/>
  </r>
  <r>
    <x v="0"/>
    <x v="7"/>
    <x v="0"/>
    <s v="RD"/>
    <s v="P"/>
    <n v="4"/>
    <s v="P"/>
    <s v="P"/>
    <s v="P"/>
    <s v="RD"/>
    <s v="RD"/>
    <s v="P"/>
    <n v="4"/>
    <n v="0"/>
    <n v="4"/>
    <n v="2700"/>
    <n v="2696"/>
    <n v="0.99851851851851847"/>
  </r>
  <r>
    <x v="0"/>
    <x v="8"/>
    <x v="0"/>
    <s v="RD"/>
    <n v="3"/>
    <s v="P"/>
    <s v="P"/>
    <s v="P"/>
    <s v="P"/>
    <s v="RD"/>
    <s v="RD"/>
    <s v="P"/>
    <n v="3"/>
    <n v="0"/>
    <n v="3"/>
    <n v="2700"/>
    <n v="2697"/>
    <n v="0.99888888888888894"/>
  </r>
  <r>
    <x v="2"/>
    <x v="9"/>
    <x v="3"/>
    <s v="RD"/>
    <s v="RD"/>
    <s v="P"/>
    <s v="P"/>
    <s v="P"/>
    <s v="P"/>
    <s v="P"/>
    <s v="RD"/>
    <s v="RD"/>
    <n v="0"/>
    <n v="0"/>
    <n v="0"/>
    <n v="2250"/>
    <n v="2250"/>
    <n v="1"/>
  </r>
  <r>
    <x v="1"/>
    <x v="10"/>
    <x v="1"/>
    <s v="P"/>
    <s v="P"/>
    <s v="P"/>
    <s v="RD"/>
    <s v="RD"/>
    <s v="P"/>
    <s v="P"/>
    <s v="P"/>
    <s v="LWOP"/>
    <n v="0"/>
    <n v="0"/>
    <n v="0"/>
    <n v="3150"/>
    <n v="3150"/>
    <n v="1"/>
  </r>
  <r>
    <x v="1"/>
    <x v="11"/>
    <x v="2"/>
    <s v="RD"/>
    <s v="P"/>
    <s v="P"/>
    <n v="5"/>
    <s v="P"/>
    <n v="1"/>
    <s v="RD"/>
    <s v="RD"/>
    <n v="18"/>
    <n v="24"/>
    <n v="0"/>
    <n v="24"/>
    <n v="2700"/>
    <n v="2676"/>
    <n v="0.99111111111111116"/>
  </r>
  <r>
    <x v="1"/>
    <x v="12"/>
    <x v="3"/>
    <s v="RD"/>
    <s v="P"/>
    <s v="P"/>
    <s v="P"/>
    <s v="P"/>
    <s v="P"/>
    <s v="RD"/>
    <s v="RD"/>
    <s v="P"/>
    <n v="0"/>
    <n v="0"/>
    <n v="0"/>
    <n v="2700"/>
    <n v="2700"/>
    <n v="1"/>
  </r>
  <r>
    <x v="1"/>
    <x v="13"/>
    <x v="0"/>
    <s v="RD"/>
    <n v="97"/>
    <s v="P"/>
    <s v="P"/>
    <n v="15"/>
    <s v="P"/>
    <s v="RD"/>
    <s v="RD"/>
    <s v="P"/>
    <n v="112"/>
    <n v="0"/>
    <n v="112"/>
    <n v="2700"/>
    <n v="2588"/>
    <n v="0.95851851851851855"/>
  </r>
  <r>
    <x v="2"/>
    <x v="14"/>
    <x v="3"/>
    <n v="56"/>
    <s v="P"/>
    <s v="P"/>
    <s v="P"/>
    <s v="P"/>
    <s v="RD"/>
    <s v="RD"/>
    <s v="P"/>
    <n v="1"/>
    <n v="57"/>
    <n v="0"/>
    <n v="57"/>
    <n v="3150"/>
    <n v="3093"/>
    <n v="0.98190476190476195"/>
  </r>
  <r>
    <x v="1"/>
    <x v="15"/>
    <x v="0"/>
    <s v="RD"/>
    <n v="43"/>
    <n v="5"/>
    <n v="7"/>
    <s v="P"/>
    <s v="P"/>
    <s v="RD"/>
    <s v="RD"/>
    <s v="LWOP"/>
    <n v="55"/>
    <n v="0"/>
    <n v="55"/>
    <n v="2250"/>
    <n v="2195"/>
    <n v="0.97555555555555551"/>
  </r>
  <r>
    <x v="1"/>
    <x v="16"/>
    <x v="3"/>
    <s v="P"/>
    <s v="P"/>
    <s v="P"/>
    <s v="RD"/>
    <s v="RD"/>
    <s v="P"/>
    <s v="P"/>
    <s v="P"/>
    <s v="P"/>
    <n v="0"/>
    <n v="0"/>
    <n v="0"/>
    <n v="3150"/>
    <n v="3150"/>
    <n v="1"/>
  </r>
  <r>
    <x v="0"/>
    <x v="17"/>
    <x v="4"/>
    <s v="RD"/>
    <s v="P"/>
    <s v="RD"/>
    <s v="P"/>
    <s v="P"/>
    <s v="P"/>
    <s v="P"/>
    <s v="RD"/>
    <s v="P"/>
    <n v="0"/>
    <n v="0"/>
    <n v="0"/>
    <n v="2700"/>
    <n v="2700"/>
    <n v="1"/>
  </r>
  <r>
    <x v="3"/>
    <x v="18"/>
    <x v="3"/>
    <s v="RD"/>
    <n v="4"/>
    <s v="P"/>
    <s v="P"/>
    <s v="P"/>
    <s v="P"/>
    <s v="RD"/>
    <s v="RD"/>
    <s v="P"/>
    <n v="4"/>
    <n v="0"/>
    <n v="4"/>
    <n v="2250"/>
    <n v="2246"/>
    <n v="0.99822222222222223"/>
  </r>
  <r>
    <x v="0"/>
    <x v="19"/>
    <x v="5"/>
    <s v="RD"/>
    <n v="5"/>
    <n v="3"/>
    <n v="6"/>
    <s v="P"/>
    <n v="2"/>
    <s v="RD"/>
    <s v="RD"/>
    <n v="3"/>
    <n v="16"/>
    <n v="0"/>
    <n v="16"/>
    <n v="2700"/>
    <n v="2684"/>
    <n v="0.99407407407407411"/>
  </r>
  <r>
    <x v="0"/>
    <x v="20"/>
    <x v="5"/>
    <s v="RD"/>
    <n v="54"/>
    <s v="P"/>
    <s v="P"/>
    <s v="P"/>
    <n v="450"/>
    <s v="RD"/>
    <s v="RD"/>
    <s v="P"/>
    <n v="54"/>
    <n v="450"/>
    <n v="504"/>
    <n v="2700"/>
    <n v="2196"/>
    <n v="0.81333333333333335"/>
  </r>
  <r>
    <x v="1"/>
    <x v="21"/>
    <x v="4"/>
    <s v="RD"/>
    <s v="P"/>
    <s v="P"/>
    <s v="P"/>
    <s v="P"/>
    <s v="P"/>
    <s v="RD"/>
    <s v="RD"/>
    <s v="P"/>
    <n v="0"/>
    <n v="0"/>
    <n v="0"/>
    <n v="2700"/>
    <n v="2700"/>
    <n v="1"/>
  </r>
  <r>
    <x v="0"/>
    <x v="22"/>
    <x v="1"/>
    <s v="RD"/>
    <s v=" P"/>
    <s v="P"/>
    <s v="VL"/>
    <s v="VL"/>
    <s v="VL"/>
    <s v="RD"/>
    <s v="RD"/>
    <s v="VL"/>
    <n v="0"/>
    <n v="0"/>
    <n v="0"/>
    <n v="900"/>
    <n v="900"/>
    <n v="1"/>
  </r>
  <r>
    <x v="1"/>
    <x v="23"/>
    <x v="3"/>
    <s v="RD"/>
    <n v="5"/>
    <s v="P"/>
    <s v="P"/>
    <s v="P"/>
    <s v="P"/>
    <s v="RD"/>
    <s v="RD"/>
    <n v="5"/>
    <n v="10"/>
    <n v="0"/>
    <n v="10"/>
    <n v="2700"/>
    <n v="2690"/>
    <n v="0.99629629629629635"/>
  </r>
  <r>
    <x v="0"/>
    <x v="24"/>
    <x v="1"/>
    <s v="RD"/>
    <s v="P"/>
    <s v="P"/>
    <s v="P"/>
    <n v="220"/>
    <s v="P"/>
    <s v="RD"/>
    <s v="RD"/>
    <s v="P"/>
    <n v="220"/>
    <n v="0"/>
    <n v="220"/>
    <n v="2700"/>
    <n v="2480"/>
    <n v="0.91851851851851851"/>
  </r>
  <r>
    <x v="0"/>
    <x v="25"/>
    <x v="5"/>
    <s v="RD"/>
    <n v="29"/>
    <s v="P"/>
    <s v="P"/>
    <s v="P"/>
    <s v="P"/>
    <s v="RD"/>
    <s v="RD"/>
    <s v="P"/>
    <n v="29"/>
    <n v="0"/>
    <n v="29"/>
    <n v="2700"/>
    <n v="2671"/>
    <n v="0.98925925925925928"/>
  </r>
  <r>
    <x v="1"/>
    <x v="26"/>
    <x v="0"/>
    <s v="RD"/>
    <s v="P"/>
    <s v="P"/>
    <s v="P"/>
    <s v="P"/>
    <s v="P"/>
    <s v="RD"/>
    <s v="RD"/>
    <s v="P"/>
    <n v="0"/>
    <n v="0"/>
    <n v="0"/>
    <n v="2700"/>
    <n v="2700"/>
    <n v="1"/>
  </r>
  <r>
    <x v="0"/>
    <x v="27"/>
    <x v="1"/>
    <s v="RD"/>
    <s v="P"/>
    <s v="P"/>
    <s v="P"/>
    <s v="P"/>
    <s v="P"/>
    <s v="RD"/>
    <s v="RD"/>
    <s v="P"/>
    <n v="0"/>
    <n v="0"/>
    <n v="0"/>
    <n v="2700"/>
    <n v="2700"/>
    <n v="1"/>
  </r>
  <r>
    <x v="1"/>
    <x v="28"/>
    <x v="0"/>
    <s v="RD"/>
    <s v="P"/>
    <n v="11"/>
    <s v="P"/>
    <s v="P"/>
    <s v="P"/>
    <s v="RD"/>
    <s v="RD"/>
    <s v="P"/>
    <n v="11"/>
    <n v="0"/>
    <n v="11"/>
    <n v="2700"/>
    <n v="2689"/>
    <n v="0.99592592592592588"/>
  </r>
  <r>
    <x v="4"/>
    <x v="29"/>
    <x v="3"/>
    <s v="RD"/>
    <s v="P"/>
    <s v="P"/>
    <s v="LWOP"/>
    <s v="P"/>
    <s v="LWOP"/>
    <s v="RD"/>
    <s v="RD"/>
    <s v="P"/>
    <n v="0"/>
    <n v="0"/>
    <n v="0"/>
    <n v="2700"/>
    <n v="2700"/>
    <n v="1"/>
  </r>
  <r>
    <x v="2"/>
    <x v="30"/>
    <x v="3"/>
    <n v="80"/>
    <s v="P"/>
    <s v="RD"/>
    <s v="RD"/>
    <s v="P"/>
    <s v="P"/>
    <s v="P"/>
    <s v="RD"/>
    <n v="26"/>
    <n v="106"/>
    <n v="0"/>
    <n v="106"/>
    <n v="3150"/>
    <n v="3044"/>
    <n v="0.9663492063492064"/>
  </r>
  <r>
    <x v="1"/>
    <x v="31"/>
    <x v="3"/>
    <s v="P"/>
    <n v="2"/>
    <s v="P"/>
    <s v="RD"/>
    <s v="RD"/>
    <s v="P"/>
    <s v="P"/>
    <s v="P"/>
    <s v="P"/>
    <n v="2"/>
    <n v="0"/>
    <n v="2"/>
    <n v="3150"/>
    <n v="3148"/>
    <n v="0.99936507936507935"/>
  </r>
  <r>
    <x v="2"/>
    <x v="32"/>
    <x v="3"/>
    <s v="P"/>
    <n v="4"/>
    <s v="P"/>
    <s v="P"/>
    <s v="P"/>
    <s v="RD"/>
    <s v="RD"/>
    <s v="RD"/>
    <s v="P"/>
    <n v="4"/>
    <n v="0"/>
    <n v="4"/>
    <n v="3600"/>
    <n v="3596"/>
    <n v="0.99888888888888894"/>
  </r>
  <r>
    <x v="0"/>
    <x v="33"/>
    <x v="1"/>
    <s v="RD"/>
    <s v="P"/>
    <s v="P"/>
    <s v="P"/>
    <s v="P"/>
    <s v="P"/>
    <s v="RD"/>
    <s v="RD"/>
    <s v="P"/>
    <n v="0"/>
    <n v="0"/>
    <n v="0"/>
    <n v="2700"/>
    <n v="2700"/>
    <n v="1"/>
  </r>
  <r>
    <x v="0"/>
    <x v="34"/>
    <x v="5"/>
    <s v="RD"/>
    <n v="26"/>
    <s v="P"/>
    <s v="P"/>
    <s v="P"/>
    <s v="P"/>
    <s v="RD"/>
    <s v="RD"/>
    <s v="P"/>
    <n v="26"/>
    <n v="0"/>
    <n v="26"/>
    <n v="2700"/>
    <n v="2674"/>
    <n v="0.99037037037037035"/>
  </r>
  <r>
    <x v="1"/>
    <x v="35"/>
    <x v="3"/>
    <s v="RD"/>
    <s v="P"/>
    <s v="P"/>
    <s v="P"/>
    <s v="P"/>
    <s v="P"/>
    <s v="RD"/>
    <s v="RD"/>
    <s v="P"/>
    <n v="0"/>
    <n v="0"/>
    <n v="0"/>
    <n v="2700"/>
    <n v="2700"/>
    <n v="1"/>
  </r>
  <r>
    <x v="1"/>
    <x v="36"/>
    <x v="3"/>
    <s v="P"/>
    <s v="P"/>
    <s v="RD"/>
    <s v="RD"/>
    <s v="P"/>
    <s v="P"/>
    <s v="P"/>
    <s v="P"/>
    <s v="P"/>
    <n v="0"/>
    <n v="0"/>
    <n v="0"/>
    <n v="3150"/>
    <n v="3150"/>
    <n v="1"/>
  </r>
  <r>
    <x v="1"/>
    <x v="37"/>
    <x v="2"/>
    <s v="RD"/>
    <s v="P"/>
    <s v="P"/>
    <s v="P"/>
    <s v="P"/>
    <s v="P"/>
    <s v="RD"/>
    <s v="RD"/>
    <s v="P"/>
    <n v="0"/>
    <n v="0"/>
    <n v="0"/>
    <n v="2700"/>
    <n v="2700"/>
    <n v="1"/>
  </r>
  <r>
    <x v="0"/>
    <x v="38"/>
    <x v="2"/>
    <s v="RD"/>
    <s v="P"/>
    <s v="P"/>
    <s v="P"/>
    <n v="25"/>
    <s v="P"/>
    <s v="RD"/>
    <s v="RD"/>
    <n v="222"/>
    <n v="25"/>
    <n v="0"/>
    <n v="25"/>
    <n v="2700"/>
    <n v="2675"/>
    <n v="0.9907407407407407"/>
  </r>
  <r>
    <x v="3"/>
    <x v="39"/>
    <x v="3"/>
    <s v="RD"/>
    <n v="17"/>
    <s v="P"/>
    <s v="P"/>
    <s v="P"/>
    <s v="P"/>
    <s v="RD"/>
    <s v="RD"/>
    <s v="P"/>
    <n v="17"/>
    <n v="0"/>
    <n v="17"/>
    <n v="2250"/>
    <n v="2233"/>
    <n v="0.99244444444444446"/>
  </r>
  <r>
    <x v="0"/>
    <x v="40"/>
    <x v="5"/>
    <s v="RD"/>
    <n v="20"/>
    <s v="P"/>
    <s v="P"/>
    <s v="P"/>
    <n v="450"/>
    <s v="RD"/>
    <s v="RD"/>
    <s v="P"/>
    <n v="20"/>
    <n v="450"/>
    <n v="470"/>
    <n v="2700"/>
    <n v="2230"/>
    <n v="0.82592592592592595"/>
  </r>
  <r>
    <x v="1"/>
    <x v="41"/>
    <x v="4"/>
    <s v="RD"/>
    <n v="450"/>
    <n v="450"/>
    <s v="P"/>
    <s v="P"/>
    <s v="P"/>
    <s v="RD"/>
    <s v="RD"/>
    <n v="5"/>
    <n v="5"/>
    <n v="900"/>
    <n v="905"/>
    <n v="1800"/>
    <n v="895"/>
    <n v="0.49722222222222223"/>
  </r>
  <r>
    <x v="1"/>
    <x v="42"/>
    <x v="2"/>
    <s v="RD"/>
    <n v="44"/>
    <n v="450"/>
    <n v="57"/>
    <s v="P"/>
    <n v="95"/>
    <s v="RD"/>
    <s v="RD"/>
    <s v="P"/>
    <n v="196"/>
    <n v="450"/>
    <n v="646"/>
    <n v="2700"/>
    <n v="2054"/>
    <n v="0.76074074074074072"/>
  </r>
  <r>
    <x v="0"/>
    <x v="43"/>
    <x v="0"/>
    <s v="RD"/>
    <n v="20"/>
    <s v="P"/>
    <s v="P"/>
    <s v="P"/>
    <n v="11"/>
    <s v="RD"/>
    <s v="RD"/>
    <s v="P"/>
    <n v="31"/>
    <n v="0"/>
    <n v="31"/>
    <n v="2700"/>
    <n v="2669"/>
    <n v="0.98851851851851846"/>
  </r>
  <r>
    <x v="1"/>
    <x v="44"/>
    <x v="3"/>
    <s v="RD"/>
    <s v="P"/>
    <s v="P"/>
    <s v="P"/>
    <s v="P"/>
    <s v="P"/>
    <s v="RD"/>
    <s v="RD"/>
    <s v="P"/>
    <n v="0"/>
    <n v="0"/>
    <n v="0"/>
    <n v="2700"/>
    <n v="2700"/>
    <n v="1"/>
  </r>
  <r>
    <x v="2"/>
    <x v="45"/>
    <x v="3"/>
    <s v="RD"/>
    <s v="RD"/>
    <s v="P"/>
    <s v="P"/>
    <s v="P"/>
    <s v="P"/>
    <s v="P"/>
    <s v="RD"/>
    <s v="RD"/>
    <n v="0"/>
    <n v="0"/>
    <n v="0"/>
    <n v="2250"/>
    <n v="2250"/>
    <n v="1"/>
  </r>
  <r>
    <x v="0"/>
    <x v="46"/>
    <x v="1"/>
    <s v="RD"/>
    <s v="P"/>
    <n v="1"/>
    <s v="P"/>
    <s v="P"/>
    <s v="P"/>
    <s v="RD"/>
    <s v="RD"/>
    <s v="P"/>
    <n v="1"/>
    <n v="0"/>
    <n v="1"/>
    <n v="2700"/>
    <n v="2699"/>
    <n v="0.99962962962962965"/>
  </r>
  <r>
    <x v="0"/>
    <x v="47"/>
    <x v="2"/>
    <s v="RD"/>
    <s v="P"/>
    <s v="P"/>
    <s v="P"/>
    <s v="P"/>
    <s v="P"/>
    <s v="RD"/>
    <s v="RD"/>
    <s v="P"/>
    <n v="0"/>
    <n v="0"/>
    <n v="0"/>
    <n v="2700"/>
    <n v="2700"/>
    <n v="1"/>
  </r>
  <r>
    <x v="0"/>
    <x v="48"/>
    <x v="5"/>
    <s v="RD"/>
    <s v="P"/>
    <s v="P"/>
    <s v="P"/>
    <s v="P"/>
    <s v="P"/>
    <s v="RD"/>
    <s v="RD"/>
    <s v="P"/>
    <n v="0"/>
    <n v="0"/>
    <n v="0"/>
    <n v="2700"/>
    <n v="2700"/>
    <n v="1"/>
  </r>
  <r>
    <x v="1"/>
    <x v="49"/>
    <x v="4"/>
    <s v="RD"/>
    <s v="P"/>
    <s v="P"/>
    <s v="P"/>
    <s v="P"/>
    <s v="P"/>
    <s v="RD"/>
    <s v="RD"/>
    <s v="P"/>
    <n v="0"/>
    <n v="0"/>
    <n v="0"/>
    <n v="2700"/>
    <n v="2700"/>
    <n v="1"/>
  </r>
  <r>
    <x v="4"/>
    <x v="50"/>
    <x v="3"/>
    <s v="RD"/>
    <n v="13"/>
    <s v="P"/>
    <n v="2"/>
    <s v="P"/>
    <s v="P"/>
    <s v="RD"/>
    <s v="RD"/>
    <n v="42"/>
    <n v="57"/>
    <n v="0"/>
    <n v="57"/>
    <n v="2700"/>
    <n v="2643"/>
    <n v="0.97888888888888892"/>
  </r>
  <r>
    <x v="0"/>
    <x v="51"/>
    <x v="0"/>
    <s v="RD"/>
    <s v="P"/>
    <s v="P"/>
    <s v="P"/>
    <s v="P"/>
    <s v="P"/>
    <s v="RD"/>
    <s v="RD"/>
    <s v="P"/>
    <n v="0"/>
    <n v="0"/>
    <n v="0"/>
    <n v="2700"/>
    <n v="2700"/>
    <n v="1"/>
  </r>
  <r>
    <x v="2"/>
    <x v="52"/>
    <x v="3"/>
    <s v="RD"/>
    <s v="RD"/>
    <s v="P"/>
    <s v="P"/>
    <s v="P"/>
    <s v="P"/>
    <s v="P"/>
    <s v="RD"/>
    <s v="RD"/>
    <n v="0"/>
    <n v="0"/>
    <n v="0"/>
    <n v="2250"/>
    <n v="2250"/>
    <n v="1"/>
  </r>
  <r>
    <x v="1"/>
    <x v="53"/>
    <x v="4"/>
    <s v="RD"/>
    <n v="3"/>
    <n v="2"/>
    <n v="7"/>
    <s v="P"/>
    <s v="P"/>
    <s v="RD"/>
    <s v="RD"/>
    <s v="P"/>
    <n v="12"/>
    <n v="0"/>
    <n v="12"/>
    <n v="2700"/>
    <n v="2688"/>
    <n v="0.99555555555555553"/>
  </r>
  <r>
    <x v="2"/>
    <x v="54"/>
    <x v="3"/>
    <s v="RD"/>
    <s v="RD"/>
    <s v="RD"/>
    <s v="P"/>
    <s v="P"/>
    <s v="P"/>
    <s v="P"/>
    <s v="P"/>
    <s v="RD"/>
    <n v="0"/>
    <n v="0"/>
    <n v="0"/>
    <n v="2250"/>
    <n v="2250"/>
    <n v="1"/>
  </r>
  <r>
    <x v="1"/>
    <x v="55"/>
    <x v="1"/>
    <s v="RD"/>
    <s v="P"/>
    <s v="P"/>
    <s v="P"/>
    <s v="P"/>
    <s v="P"/>
    <s v="RD"/>
    <s v="RD"/>
    <n v="75"/>
    <n v="75"/>
    <n v="0"/>
    <n v="75"/>
    <n v="2700"/>
    <n v="2625"/>
    <n v="0.97222222222222221"/>
  </r>
  <r>
    <x v="0"/>
    <x v="56"/>
    <x v="5"/>
    <s v="RD"/>
    <s v="P"/>
    <n v="253"/>
    <s v="P"/>
    <s v="P"/>
    <s v="P"/>
    <s v="RD"/>
    <s v="RD"/>
    <s v="P"/>
    <n v="253"/>
    <n v="0"/>
    <n v="253"/>
    <n v="2700"/>
    <n v="2447"/>
    <n v="0.90629629629629627"/>
  </r>
  <r>
    <x v="0"/>
    <x v="57"/>
    <x v="5"/>
    <s v="RD"/>
    <s v="P"/>
    <s v="P"/>
    <s v="P"/>
    <s v="P"/>
    <n v="2"/>
    <s v="RD"/>
    <s v="RD"/>
    <s v="P"/>
    <n v="2"/>
    <n v="0"/>
    <n v="2"/>
    <n v="2700"/>
    <n v="2698"/>
    <n v="0.99925925925925929"/>
  </r>
  <r>
    <x v="4"/>
    <x v="58"/>
    <x v="3"/>
    <s v="RD"/>
    <s v="P"/>
    <s v="P"/>
    <s v="P"/>
    <s v="P"/>
    <s v="P"/>
    <s v="RD"/>
    <s v="RD"/>
    <s v="P"/>
    <n v="0"/>
    <n v="0"/>
    <n v="0"/>
    <n v="2700"/>
    <n v="2700"/>
    <n v="1"/>
  </r>
  <r>
    <x v="0"/>
    <x v="59"/>
    <x v="2"/>
    <s v="RD"/>
    <s v="P"/>
    <s v="P"/>
    <s v="P"/>
    <s v="P"/>
    <s v="P"/>
    <s v="RD"/>
    <s v="RD"/>
    <s v="P"/>
    <n v="0"/>
    <n v="0"/>
    <n v="0"/>
    <n v="2700"/>
    <n v="2700"/>
    <n v="1"/>
  </r>
  <r>
    <x v="0"/>
    <x v="60"/>
    <x v="2"/>
    <s v="RD"/>
    <s v="P"/>
    <s v="P"/>
    <s v="P"/>
    <s v="P"/>
    <s v="P"/>
    <s v="RD"/>
    <s v="RD"/>
    <s v="P"/>
    <n v="0"/>
    <n v="0"/>
    <n v="0"/>
    <n v="2700"/>
    <n v="2700"/>
    <n v="1"/>
  </r>
  <r>
    <x v="1"/>
    <x v="61"/>
    <x v="3"/>
    <n v="11"/>
    <s v="P"/>
    <s v="RD"/>
    <s v="RD"/>
    <n v="7"/>
    <n v="12"/>
    <s v="P"/>
    <s v="VL"/>
    <n v="24"/>
    <n v="54"/>
    <n v="0"/>
    <n v="54"/>
    <n v="2700"/>
    <n v="2646"/>
    <n v="0.98"/>
  </r>
  <r>
    <x v="0"/>
    <x v="62"/>
    <x v="0"/>
    <s v="RD"/>
    <n v="65"/>
    <s v="P"/>
    <s v="P"/>
    <s v="P"/>
    <s v="P"/>
    <s v="RD"/>
    <s v="RD"/>
    <s v="P"/>
    <n v="65"/>
    <n v="0"/>
    <n v="65"/>
    <n v="2700"/>
    <n v="2635"/>
    <n v="0.97592592592592597"/>
  </r>
  <r>
    <x v="0"/>
    <x v="63"/>
    <x v="4"/>
    <s v="RD"/>
    <s v="P"/>
    <n v="450"/>
    <n v="35"/>
    <s v="P"/>
    <s v="P"/>
    <s v="RD"/>
    <s v="RD"/>
    <n v="9"/>
    <n v="44"/>
    <n v="450"/>
    <n v="494"/>
    <n v="2700"/>
    <n v="2206"/>
    <n v="0.81703703703703701"/>
  </r>
  <r>
    <x v="0"/>
    <x v="64"/>
    <x v="1"/>
    <s v="RD"/>
    <s v="P"/>
    <s v="P"/>
    <s v="P"/>
    <s v="P"/>
    <s v="P"/>
    <s v="RD"/>
    <s v="RD"/>
    <s v="P"/>
    <n v="0"/>
    <n v="0"/>
    <n v="0"/>
    <n v="2700"/>
    <n v="2700"/>
    <n v="1"/>
  </r>
  <r>
    <x v="4"/>
    <x v="65"/>
    <x v="3"/>
    <s v="RD"/>
    <n v="32"/>
    <s v="P"/>
    <s v="P"/>
    <s v="P"/>
    <s v="P"/>
    <s v="RD"/>
    <s v="RD"/>
    <s v="P"/>
    <s v="P"/>
    <n v="0"/>
    <n v="0"/>
    <n v="2700"/>
    <n v="2700"/>
    <n v="1"/>
  </r>
  <r>
    <x v="1"/>
    <x v="66"/>
    <x v="1"/>
    <s v="RD"/>
    <s v="P"/>
    <s v="P"/>
    <s v="P"/>
    <s v="P"/>
    <s v="P"/>
    <s v="RD"/>
    <s v="RD"/>
    <s v="P"/>
    <n v="0"/>
    <n v="0"/>
    <n v="0"/>
    <n v="2700"/>
    <n v="2700"/>
    <n v="1"/>
  </r>
  <r>
    <x v="1"/>
    <x v="67"/>
    <x v="3"/>
    <s v="RD"/>
    <s v="P"/>
    <s v="P"/>
    <s v="P"/>
    <s v="P"/>
    <s v="P"/>
    <s v="RD"/>
    <s v="RD"/>
    <s v="P"/>
    <n v="0"/>
    <n v="0"/>
    <n v="0"/>
    <n v="2700"/>
    <n v="2700"/>
    <n v="1"/>
  </r>
  <r>
    <x v="5"/>
    <x v="68"/>
    <x v="3"/>
    <s v="RD"/>
    <s v="P"/>
    <s v="P"/>
    <s v="P"/>
    <s v="P"/>
    <s v="P"/>
    <s v="RD"/>
    <s v="RD"/>
    <s v="P"/>
    <n v="0"/>
    <n v="0"/>
    <n v="0"/>
    <n v="2700"/>
    <n v="2700"/>
    <n v="1"/>
  </r>
  <r>
    <x v="0"/>
    <x v="69"/>
    <x v="0"/>
    <s v="RD"/>
    <n v="4"/>
    <n v="3"/>
    <s v="P"/>
    <s v="P"/>
    <n v="27"/>
    <s v="RD"/>
    <s v="RD"/>
    <s v="P"/>
    <n v="34"/>
    <n v="0"/>
    <n v="34"/>
    <n v="2700"/>
    <n v="2666"/>
    <n v="0.9874074074074074"/>
  </r>
  <r>
    <x v="1"/>
    <x v="70"/>
    <x v="3"/>
    <s v="P"/>
    <s v="P"/>
    <s v="RD"/>
    <s v="RD"/>
    <s v="P"/>
    <s v="P"/>
    <s v="P"/>
    <s v="P"/>
    <s v="P"/>
    <n v="0"/>
    <n v="0"/>
    <n v="0"/>
    <n v="3150"/>
    <n v="3150"/>
    <n v="1"/>
  </r>
  <r>
    <x v="2"/>
    <x v="71"/>
    <x v="3"/>
    <s v="RD"/>
    <s v="RD"/>
    <s v="P"/>
    <s v="P"/>
    <n v="265"/>
    <n v="11"/>
    <n v="16"/>
    <s v="RD"/>
    <s v="RD"/>
    <n v="292"/>
    <n v="0"/>
    <n v="292"/>
    <n v="2250"/>
    <n v="1958"/>
    <n v="0.87022222222222223"/>
  </r>
  <r>
    <x v="0"/>
    <x v="72"/>
    <x v="1"/>
    <s v="RD"/>
    <s v="P"/>
    <s v="P"/>
    <s v="P"/>
    <s v="P"/>
    <s v="P"/>
    <s v="RD"/>
    <s v="RD"/>
    <s v="P"/>
    <n v="0"/>
    <n v="0"/>
    <n v="0"/>
    <n v="2700"/>
    <n v="2700"/>
    <n v="1"/>
  </r>
  <r>
    <x v="0"/>
    <x v="73"/>
    <x v="2"/>
    <s v="RD"/>
    <s v="P"/>
    <s v="P"/>
    <s v="P"/>
    <s v="P"/>
    <s v="P"/>
    <s v="RD"/>
    <s v="RD"/>
    <n v="28"/>
    <n v="28"/>
    <n v="0"/>
    <n v="28"/>
    <n v="2700"/>
    <n v="2672"/>
    <n v="0.98962962962962964"/>
  </r>
  <r>
    <x v="0"/>
    <x v="74"/>
    <x v="5"/>
    <s v="RD"/>
    <n v="450"/>
    <n v="450"/>
    <s v="VL"/>
    <s v="VL"/>
    <s v="VL"/>
    <s v="RD"/>
    <s v="RD"/>
    <s v="P"/>
    <n v="0"/>
    <n v="900"/>
    <n v="900"/>
    <n v="1350"/>
    <n v="450"/>
    <n v="0.33333333333333331"/>
  </r>
  <r>
    <x v="0"/>
    <x v="75"/>
    <x v="1"/>
    <s v="RD"/>
    <s v="P"/>
    <s v="P"/>
    <s v="P"/>
    <s v="P"/>
    <s v="P"/>
    <s v="RD"/>
    <s v="RD"/>
    <s v="P"/>
    <n v="0"/>
    <n v="0"/>
    <n v="0"/>
    <n v="2700"/>
    <n v="2700"/>
    <n v="1"/>
  </r>
  <r>
    <x v="2"/>
    <x v="76"/>
    <x v="3"/>
    <s v="RD"/>
    <s v="P"/>
    <n v="25"/>
    <s v="P"/>
    <s v="P"/>
    <s v="P"/>
    <s v="RD"/>
    <s v="RD"/>
    <s v="P"/>
    <n v="25"/>
    <n v="0"/>
    <n v="25"/>
    <n v="2700"/>
    <n v="2675"/>
    <n v="0.9907407407407407"/>
  </r>
  <r>
    <x v="1"/>
    <x v="77"/>
    <x v="0"/>
    <s v="P"/>
    <s v="P"/>
    <s v="RD"/>
    <s v="RD"/>
    <s v="P"/>
    <s v="P"/>
    <s v="P"/>
    <s v="P"/>
    <s v="P"/>
    <n v="0"/>
    <n v="0"/>
    <n v="0"/>
    <n v="3150"/>
    <n v="3150"/>
    <n v="1"/>
  </r>
  <r>
    <x v="0"/>
    <x v="78"/>
    <x v="1"/>
    <s v="RD"/>
    <s v="P"/>
    <s v="P"/>
    <s v="P"/>
    <s v="P"/>
    <s v="P"/>
    <s v="RD"/>
    <s v="RD"/>
    <s v="P"/>
    <n v="0"/>
    <n v="0"/>
    <n v="0"/>
    <n v="2700"/>
    <n v="2700"/>
    <n v="1"/>
  </r>
  <r>
    <x v="0"/>
    <x v="79"/>
    <x v="1"/>
    <s v="RD"/>
    <s v="P"/>
    <s v="P"/>
    <s v="P"/>
    <s v="P"/>
    <s v="P"/>
    <s v="RD"/>
    <s v="RD"/>
    <s v="P"/>
    <n v="0"/>
    <n v="0"/>
    <n v="0"/>
    <n v="2700"/>
    <n v="2700"/>
    <n v="1"/>
  </r>
  <r>
    <x v="1"/>
    <x v="80"/>
    <x v="3"/>
    <s v="RD"/>
    <s v="P"/>
    <s v="P"/>
    <s v="P"/>
    <s v="P"/>
    <s v="P"/>
    <s v="RD"/>
    <s v="RD"/>
    <n v="8"/>
    <n v="8"/>
    <n v="0"/>
    <n v="8"/>
    <n v="2700"/>
    <n v="2692"/>
    <n v="0.99703703703703705"/>
  </r>
  <r>
    <x v="1"/>
    <x v="81"/>
    <x v="3"/>
    <s v="RD"/>
    <s v="P"/>
    <s v="P"/>
    <s v="P"/>
    <s v="P"/>
    <s v="P"/>
    <s v="RD"/>
    <s v="RD"/>
    <s v="P"/>
    <n v="0"/>
    <n v="0"/>
    <n v="0"/>
    <n v="2700"/>
    <n v="2700"/>
    <n v="1"/>
  </r>
  <r>
    <x v="0"/>
    <x v="82"/>
    <x v="0"/>
    <s v="RD"/>
    <s v="P"/>
    <n v="450"/>
    <s v="P"/>
    <s v="P"/>
    <s v="P"/>
    <s v="RD"/>
    <s v="RD"/>
    <s v="P"/>
    <n v="0"/>
    <n v="450"/>
    <n v="450"/>
    <n v="2700"/>
    <n v="2250"/>
    <n v="0.83333333333333337"/>
  </r>
  <r>
    <x v="1"/>
    <x v="83"/>
    <x v="1"/>
    <s v="RD"/>
    <s v="P"/>
    <n v="16"/>
    <s v="P"/>
    <s v="P"/>
    <s v="LWOP"/>
    <s v="RD"/>
    <s v="RD"/>
    <s v="P"/>
    <n v="16"/>
    <n v="0"/>
    <n v="16"/>
    <n v="2250"/>
    <n v="2234"/>
    <n v="0.99288888888888893"/>
  </r>
  <r>
    <x v="0"/>
    <x v="84"/>
    <x v="2"/>
    <s v="RD"/>
    <s v="P"/>
    <s v="P"/>
    <s v="P"/>
    <s v="P"/>
    <s v="P"/>
    <s v="RD"/>
    <s v="RD"/>
    <n v="21"/>
    <n v="0"/>
    <n v="0"/>
    <n v="0"/>
    <n v="2700"/>
    <n v="2700"/>
    <n v="1"/>
  </r>
  <r>
    <x v="0"/>
    <x v="85"/>
    <x v="2"/>
    <s v="RD"/>
    <s v="VL"/>
    <s v="VL"/>
    <n v="450"/>
    <s v="P"/>
    <s v="P"/>
    <s v="RD"/>
    <s v="RD"/>
    <n v="5"/>
    <n v="5"/>
    <n v="450"/>
    <n v="455"/>
    <n v="1800"/>
    <n v="1345"/>
    <n v="0.74722222222222223"/>
  </r>
  <r>
    <x v="0"/>
    <x v="86"/>
    <x v="4"/>
    <s v="RD"/>
    <s v="P"/>
    <s v="LWOP"/>
    <s v="LWOP"/>
    <s v="P"/>
    <s v="P"/>
    <s v="RD"/>
    <s v="RD"/>
    <s v="P"/>
    <n v="0"/>
    <n v="0"/>
    <n v="0"/>
    <n v="1800"/>
    <n v="1800"/>
    <n v="1"/>
  </r>
  <r>
    <x v="1"/>
    <x v="87"/>
    <x v="2"/>
    <s v="RD"/>
    <n v="3"/>
    <s v="P"/>
    <n v="15"/>
    <s v="P"/>
    <n v="11"/>
    <s v="RD"/>
    <s v="RD"/>
    <n v="14"/>
    <n v="43"/>
    <n v="0"/>
    <n v="43"/>
    <n v="2700"/>
    <n v="2657"/>
    <n v="0.9840740740740741"/>
  </r>
  <r>
    <x v="1"/>
    <x v="88"/>
    <x v="3"/>
    <s v="RD"/>
    <n v="450"/>
    <n v="450"/>
    <s v="P"/>
    <n v="34"/>
    <s v="P"/>
    <s v="RD"/>
    <s v="RD"/>
    <s v="P"/>
    <n v="34"/>
    <n v="900"/>
    <n v="934"/>
    <n v="1800"/>
    <n v="866"/>
    <n v="0.4811111111111111"/>
  </r>
  <r>
    <x v="1"/>
    <x v="89"/>
    <x v="3"/>
    <s v="RD"/>
    <s v="P"/>
    <s v="P"/>
    <s v="P"/>
    <s v="P"/>
    <s v="P"/>
    <s v="RD"/>
    <s v="RD"/>
    <s v="P"/>
    <n v="0"/>
    <n v="0"/>
    <n v="0"/>
    <n v="1800"/>
    <n v="1800"/>
    <n v="1"/>
  </r>
  <r>
    <x v="0"/>
    <x v="90"/>
    <x v="4"/>
    <s v="RD"/>
    <n v="450"/>
    <s v="P"/>
    <n v="10"/>
    <s v="P"/>
    <s v="P"/>
    <s v="RD"/>
    <s v="RD"/>
    <s v="P"/>
    <n v="10"/>
    <n v="450"/>
    <n v="460"/>
    <n v="2700"/>
    <n v="2240"/>
    <n v="0.82962962962962961"/>
  </r>
  <r>
    <x v="6"/>
    <x v="91"/>
    <x v="6"/>
    <m/>
    <m/>
    <m/>
    <m/>
    <m/>
    <m/>
    <m/>
    <m/>
    <m/>
    <n v="2158"/>
    <n v="6300"/>
    <n v="8458"/>
    <n v="238950"/>
    <n v="230492"/>
    <n v="0.95667524274667115"/>
  </r>
  <r>
    <x v="6"/>
    <x v="91"/>
    <x v="6"/>
    <m/>
    <m/>
    <m/>
    <m/>
    <m/>
    <m/>
    <m/>
    <m/>
    <m/>
    <m/>
    <m/>
    <m/>
    <m/>
    <m/>
    <m/>
  </r>
  <r>
    <x v="6"/>
    <x v="91"/>
    <x v="6"/>
    <m/>
    <m/>
    <m/>
    <m/>
    <m/>
    <m/>
    <m/>
    <m/>
    <m/>
    <n v="9.0311780707260925E-3"/>
    <n v="2.6365348399246705E-2"/>
    <n v="3.5396526469972794E-2"/>
    <m/>
    <m/>
    <m/>
  </r>
  <r>
    <x v="6"/>
    <x v="91"/>
    <x v="6"/>
    <m/>
    <m/>
    <m/>
    <m/>
    <m/>
    <m/>
    <m/>
    <m/>
    <m/>
    <m/>
    <m/>
    <m/>
    <m/>
    <m/>
    <m/>
  </r>
  <r>
    <x v="6"/>
    <x v="91"/>
    <x v="6"/>
    <m/>
    <m/>
    <m/>
    <m/>
    <m/>
    <m/>
    <m/>
    <m/>
    <m/>
    <m/>
    <m/>
    <m/>
    <m/>
    <m/>
    <m/>
  </r>
  <r>
    <x v="6"/>
    <x v="91"/>
    <x v="6"/>
    <m/>
    <m/>
    <m/>
    <m/>
    <m/>
    <m/>
    <m/>
    <m/>
    <m/>
    <m/>
    <m/>
    <m/>
    <m/>
    <m/>
    <m/>
  </r>
  <r>
    <x v="6"/>
    <x v="91"/>
    <x v="6"/>
    <m/>
    <m/>
    <m/>
    <m/>
    <m/>
    <m/>
    <m/>
    <m/>
    <m/>
    <m/>
    <m/>
    <m/>
    <m/>
    <m/>
    <m/>
  </r>
  <r>
    <x v="6"/>
    <x v="91"/>
    <x v="6"/>
    <m/>
    <m/>
    <m/>
    <m/>
    <m/>
    <m/>
    <m/>
    <m/>
    <m/>
    <m/>
    <m/>
    <m/>
    <m/>
    <m/>
    <m/>
  </r>
  <r>
    <x v="6"/>
    <x v="91"/>
    <x v="6"/>
    <m/>
    <m/>
    <m/>
    <m/>
    <m/>
    <m/>
    <m/>
    <m/>
    <m/>
    <m/>
    <m/>
    <m/>
    <m/>
    <m/>
    <m/>
  </r>
  <r>
    <x v="6"/>
    <x v="91"/>
    <x v="6"/>
    <m/>
    <m/>
    <m/>
    <m/>
    <m/>
    <m/>
    <m/>
    <m/>
    <m/>
    <m/>
    <m/>
    <m/>
    <m/>
    <m/>
    <m/>
  </r>
  <r>
    <x v="6"/>
    <x v="91"/>
    <x v="6"/>
    <m/>
    <m/>
    <m/>
    <m/>
    <m/>
    <m/>
    <m/>
    <m/>
    <m/>
    <m/>
    <m/>
    <m/>
    <m/>
    <m/>
    <m/>
  </r>
  <r>
    <x v="6"/>
    <x v="91"/>
    <x v="6"/>
    <m/>
    <m/>
    <m/>
    <m/>
    <m/>
    <m/>
    <m/>
    <m/>
    <m/>
    <m/>
    <m/>
    <m/>
    <m/>
    <m/>
    <m/>
  </r>
  <r>
    <x v="6"/>
    <x v="91"/>
    <x v="6"/>
    <m/>
    <m/>
    <m/>
    <m/>
    <m/>
    <m/>
    <m/>
    <m/>
    <m/>
    <m/>
    <m/>
    <m/>
    <m/>
    <m/>
    <m/>
  </r>
  <r>
    <x v="6"/>
    <x v="91"/>
    <x v="6"/>
    <m/>
    <m/>
    <m/>
    <m/>
    <m/>
    <m/>
    <m/>
    <m/>
    <m/>
    <m/>
    <m/>
    <m/>
    <m/>
    <m/>
    <m/>
  </r>
  <r>
    <x v="6"/>
    <x v="91"/>
    <x v="6"/>
    <m/>
    <m/>
    <m/>
    <m/>
    <m/>
    <m/>
    <m/>
    <m/>
    <m/>
    <m/>
    <m/>
    <m/>
    <m/>
    <m/>
    <m/>
  </r>
  <r>
    <x v="6"/>
    <x v="91"/>
    <x v="6"/>
    <m/>
    <m/>
    <m/>
    <m/>
    <m/>
    <m/>
    <m/>
    <m/>
    <m/>
    <m/>
    <m/>
    <m/>
    <m/>
    <m/>
    <m/>
  </r>
  <r>
    <x v="6"/>
    <x v="91"/>
    <x v="6"/>
    <m/>
    <m/>
    <m/>
    <m/>
    <m/>
    <m/>
    <m/>
    <m/>
    <m/>
    <m/>
    <m/>
    <m/>
    <m/>
    <m/>
    <m/>
  </r>
  <r>
    <x v="6"/>
    <x v="91"/>
    <x v="6"/>
    <m/>
    <m/>
    <m/>
    <m/>
    <m/>
    <m/>
    <m/>
    <m/>
    <m/>
    <m/>
    <m/>
    <m/>
    <m/>
    <m/>
    <m/>
  </r>
  <r>
    <x v="6"/>
    <x v="91"/>
    <x v="6"/>
    <m/>
    <m/>
    <m/>
    <m/>
    <m/>
    <m/>
    <m/>
    <m/>
    <m/>
    <m/>
    <m/>
    <m/>
    <m/>
    <m/>
    <m/>
  </r>
  <r>
    <x v="6"/>
    <x v="91"/>
    <x v="6"/>
    <m/>
    <m/>
    <m/>
    <m/>
    <m/>
    <m/>
    <m/>
    <m/>
    <m/>
    <m/>
    <m/>
    <m/>
    <m/>
    <m/>
    <m/>
  </r>
</pivotCacheRecords>
</file>

<file path=xl/pivotCache/pivotCacheRecords10.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1">
  <r>
    <x v="0"/>
    <x v="0"/>
    <x v="0"/>
    <x v="0"/>
    <x v="0"/>
    <x v="0"/>
    <x v="0"/>
    <x v="0"/>
    <x v="0"/>
    <x v="0"/>
    <x v="0"/>
    <x v="0"/>
    <x v="0"/>
    <x v="0"/>
    <x v="0"/>
    <x v="0"/>
    <x v="0"/>
    <s v="P"/>
    <n v="450"/>
    <s v="P"/>
    <s v="P"/>
    <s v="RD"/>
    <s v="RD"/>
    <n v="450"/>
    <n v="450"/>
    <s v="P"/>
    <n v="291"/>
    <s v="P"/>
    <s v="RD"/>
    <s v="RD"/>
    <s v="P"/>
    <s v="P"/>
    <s v="P"/>
    <m/>
  </r>
  <r>
    <x v="1"/>
    <x v="1"/>
    <x v="0"/>
    <x v="1"/>
    <x v="1"/>
    <x v="0"/>
    <x v="0"/>
    <x v="1"/>
    <x v="1"/>
    <x v="0"/>
    <x v="1"/>
    <x v="1"/>
    <x v="0"/>
    <x v="1"/>
    <x v="1"/>
    <x v="1"/>
    <x v="0"/>
    <s v="RD"/>
    <s v="RD"/>
    <n v="4"/>
    <s v="P"/>
    <s v="p"/>
    <s v="p"/>
    <s v="P"/>
    <s v="RD"/>
    <s v="RD"/>
    <s v="P"/>
    <s v="P"/>
    <s v="P"/>
    <n v="450"/>
    <s v="P"/>
    <s v="RD"/>
    <s v="RD"/>
    <m/>
  </r>
  <r>
    <x v="2"/>
    <x v="1"/>
    <x v="1"/>
    <x v="0"/>
    <x v="2"/>
    <x v="1"/>
    <x v="1"/>
    <x v="2"/>
    <x v="0"/>
    <x v="1"/>
    <x v="0"/>
    <x v="2"/>
    <x v="1"/>
    <x v="2"/>
    <x v="0"/>
    <x v="0"/>
    <x v="0"/>
    <s v="P"/>
    <n v="1"/>
    <n v="4"/>
    <s v="P"/>
    <s v="RD"/>
    <s v="RD"/>
    <n v="450"/>
    <n v="450"/>
    <s v="P"/>
    <s v="P"/>
    <s v="P"/>
    <s v="RD"/>
    <s v="RD"/>
    <s v="P"/>
    <s v="P"/>
    <n v="7"/>
    <m/>
  </r>
  <r>
    <x v="3"/>
    <x v="0"/>
    <x v="2"/>
    <x v="0"/>
    <x v="0"/>
    <x v="2"/>
    <x v="0"/>
    <x v="0"/>
    <x v="0"/>
    <x v="0"/>
    <x v="2"/>
    <x v="0"/>
    <x v="0"/>
    <x v="3"/>
    <x v="0"/>
    <x v="0"/>
    <x v="1"/>
    <s v="P"/>
    <s v="P"/>
    <n v="10"/>
    <n v="450"/>
    <s v="RD"/>
    <s v="RD"/>
    <n v="450"/>
    <n v="450"/>
    <s v="P"/>
    <s v="P"/>
    <n v="450"/>
    <s v="RD"/>
    <s v="RD"/>
    <n v="8"/>
    <s v="P"/>
    <s v="P"/>
    <m/>
  </r>
  <r>
    <x v="4"/>
    <x v="1"/>
    <x v="3"/>
    <x v="2"/>
    <x v="0"/>
    <x v="0"/>
    <x v="0"/>
    <x v="0"/>
    <x v="0"/>
    <x v="0"/>
    <x v="0"/>
    <x v="0"/>
    <x v="2"/>
    <x v="3"/>
    <x v="0"/>
    <x v="0"/>
    <x v="0"/>
    <s v="P"/>
    <s v="P"/>
    <s v="P"/>
    <s v="P"/>
    <s v="RD"/>
    <s v="RD"/>
    <s v="P"/>
    <s v="P"/>
    <s v="P"/>
    <s v="P"/>
    <s v="P"/>
    <s v="RD"/>
    <s v="RD"/>
    <s v="P"/>
    <n v="13"/>
    <s v=" "/>
    <m/>
  </r>
  <r>
    <x v="5"/>
    <x v="2"/>
    <x v="3"/>
    <x v="3"/>
    <x v="0"/>
    <x v="0"/>
    <x v="2"/>
    <x v="0"/>
    <x v="1"/>
    <x v="0"/>
    <x v="0"/>
    <x v="0"/>
    <x v="0"/>
    <x v="4"/>
    <x v="0"/>
    <x v="2"/>
    <x v="0"/>
    <s v="P"/>
    <s v="P"/>
    <s v="P"/>
    <s v="RD"/>
    <s v="RD"/>
    <s v="p"/>
    <n v="450"/>
    <s v="P"/>
    <s v="P"/>
    <s v="P"/>
    <s v="RD"/>
    <s v="RD"/>
    <s v="P"/>
    <s v="P"/>
    <s v="P"/>
    <s v="P"/>
    <m/>
  </r>
  <r>
    <x v="6"/>
    <x v="0"/>
    <x v="2"/>
    <x v="0"/>
    <x v="0"/>
    <x v="0"/>
    <x v="3"/>
    <x v="0"/>
    <x v="0"/>
    <x v="0"/>
    <x v="0"/>
    <x v="0"/>
    <x v="0"/>
    <x v="3"/>
    <x v="0"/>
    <x v="0"/>
    <x v="0"/>
    <s v="P"/>
    <s v="P"/>
    <s v="P"/>
    <s v="P"/>
    <s v="RD"/>
    <s v="RD"/>
    <n v="450"/>
    <s v="P"/>
    <s v="P"/>
    <s v="P"/>
    <n v="450"/>
    <s v="RD"/>
    <s v="RD"/>
    <s v="VL"/>
    <s v="P"/>
    <s v="P"/>
    <m/>
  </r>
  <r>
    <x v="7"/>
    <x v="0"/>
    <x v="0"/>
    <x v="0"/>
    <x v="0"/>
    <x v="3"/>
    <x v="0"/>
    <x v="0"/>
    <x v="0"/>
    <x v="2"/>
    <x v="3"/>
    <x v="0"/>
    <x v="0"/>
    <x v="3"/>
    <x v="0"/>
    <x v="0"/>
    <x v="0"/>
    <s v="P"/>
    <s v="P"/>
    <s v="P"/>
    <s v="VL"/>
    <s v="RD"/>
    <s v="RD"/>
    <n v="450"/>
    <s v="P"/>
    <s v="P"/>
    <s v="P"/>
    <s v="P"/>
    <s v="RD"/>
    <s v="RD"/>
    <s v="P"/>
    <s v="P"/>
    <s v="P"/>
    <m/>
  </r>
  <r>
    <x v="8"/>
    <x v="0"/>
    <x v="0"/>
    <x v="0"/>
    <x v="0"/>
    <x v="0"/>
    <x v="0"/>
    <x v="0"/>
    <x v="0"/>
    <x v="0"/>
    <x v="0"/>
    <x v="0"/>
    <x v="0"/>
    <x v="3"/>
    <x v="0"/>
    <x v="0"/>
    <x v="0"/>
    <s v="P"/>
    <s v="P"/>
    <s v="P"/>
    <s v="P"/>
    <s v="RD"/>
    <s v="RD"/>
    <s v="P"/>
    <s v="P"/>
    <s v="P"/>
    <s v="P"/>
    <s v="P"/>
    <s v="RD"/>
    <s v="RD"/>
    <s v="P"/>
    <s v="P"/>
    <s v="P"/>
    <m/>
  </r>
  <r>
    <x v="9"/>
    <x v="2"/>
    <x v="3"/>
    <x v="0"/>
    <x v="0"/>
    <x v="0"/>
    <x v="0"/>
    <x v="1"/>
    <x v="0"/>
    <x v="3"/>
    <x v="0"/>
    <x v="0"/>
    <x v="0"/>
    <x v="3"/>
    <x v="2"/>
    <x v="0"/>
    <x v="2"/>
    <s v="P"/>
    <s v="P"/>
    <s v="P"/>
    <s v="P"/>
    <s v="p"/>
    <s v="RD"/>
    <s v="RD"/>
    <s v="P"/>
    <s v="P"/>
    <s v="P"/>
    <s v="P"/>
    <s v="P"/>
    <s v="RD"/>
    <s v="P"/>
    <s v="P"/>
    <s v="P"/>
    <m/>
  </r>
  <r>
    <x v="10"/>
    <x v="1"/>
    <x v="1"/>
    <x v="4"/>
    <x v="1"/>
    <x v="4"/>
    <x v="0"/>
    <x v="1"/>
    <x v="1"/>
    <x v="0"/>
    <x v="4"/>
    <x v="1"/>
    <x v="3"/>
    <x v="1"/>
    <x v="3"/>
    <x v="2"/>
    <x v="0"/>
    <n v="450"/>
    <s v="RD"/>
    <s v="RD"/>
    <n v="11"/>
    <n v="450"/>
    <n v="450"/>
    <n v="450"/>
    <n v="450"/>
    <s v="RD"/>
    <s v="RD"/>
    <s v="P"/>
    <s v="P"/>
    <s v="P"/>
    <s v="P"/>
    <n v="450"/>
    <s v="RD"/>
    <m/>
  </r>
  <r>
    <x v="11"/>
    <x v="1"/>
    <x v="2"/>
    <x v="0"/>
    <x v="0"/>
    <x v="0"/>
    <x v="0"/>
    <x v="0"/>
    <x v="0"/>
    <x v="4"/>
    <x v="0"/>
    <x v="3"/>
    <x v="4"/>
    <x v="1"/>
    <x v="0"/>
    <x v="0"/>
    <x v="0"/>
    <s v="P"/>
    <s v="P"/>
    <n v="22"/>
    <n v="32"/>
    <s v="RD"/>
    <s v="RD"/>
    <s v="P"/>
    <n v="450"/>
    <s v="P"/>
    <s v="P"/>
    <s v="P"/>
    <s v="RD"/>
    <s v="RD"/>
    <n v="19"/>
    <n v="3"/>
    <s v="P"/>
    <m/>
  </r>
  <r>
    <x v="12"/>
    <x v="1"/>
    <x v="3"/>
    <x v="0"/>
    <x v="0"/>
    <x v="5"/>
    <x v="0"/>
    <x v="0"/>
    <x v="0"/>
    <x v="5"/>
    <x v="0"/>
    <x v="0"/>
    <x v="0"/>
    <x v="3"/>
    <x v="0"/>
    <x v="0"/>
    <x v="3"/>
    <s v="P"/>
    <s v="P"/>
    <n v="14"/>
    <s v="P"/>
    <s v="RD"/>
    <s v="RD"/>
    <s v="RD"/>
    <n v="450"/>
    <s v="P"/>
    <s v="P"/>
    <s v="P"/>
    <s v="P"/>
    <s v="RD"/>
    <s v="P"/>
    <s v="P"/>
    <n v="4"/>
    <m/>
  </r>
  <r>
    <x v="13"/>
    <x v="1"/>
    <x v="0"/>
    <x v="1"/>
    <x v="1"/>
    <x v="0"/>
    <x v="4"/>
    <x v="1"/>
    <x v="1"/>
    <x v="0"/>
    <x v="1"/>
    <x v="1"/>
    <x v="0"/>
    <x v="3"/>
    <x v="2"/>
    <x v="3"/>
    <x v="0"/>
    <s v="RD"/>
    <s v="RD"/>
    <n v="38"/>
    <s v="P"/>
    <s v="p"/>
    <s v="p"/>
    <n v="450"/>
    <s v="RD"/>
    <s v="P"/>
    <s v="P"/>
    <s v="P"/>
    <n v="11"/>
    <s v="P"/>
    <s v="P"/>
    <s v="RD"/>
    <s v="RD"/>
    <m/>
  </r>
  <r>
    <x v="14"/>
    <x v="2"/>
    <x v="3"/>
    <x v="0"/>
    <x v="0"/>
    <x v="0"/>
    <x v="2"/>
    <x v="0"/>
    <x v="1"/>
    <x v="0"/>
    <x v="5"/>
    <x v="0"/>
    <x v="5"/>
    <x v="4"/>
    <x v="0"/>
    <x v="2"/>
    <x v="0"/>
    <s v="LWOP"/>
    <s v="P"/>
    <s v="P"/>
    <s v="RD"/>
    <s v="RD"/>
    <s v="p"/>
    <s v="P"/>
    <n v="450"/>
    <s v="P"/>
    <s v="P"/>
    <s v="RD"/>
    <s v="RD"/>
    <s v="P"/>
    <n v="95"/>
    <s v="P"/>
    <s v="P"/>
    <m/>
  </r>
  <r>
    <x v="15"/>
    <x v="1"/>
    <x v="3"/>
    <x v="5"/>
    <x v="0"/>
    <x v="6"/>
    <x v="5"/>
    <x v="0"/>
    <x v="0"/>
    <x v="4"/>
    <x v="4"/>
    <x v="4"/>
    <x v="6"/>
    <x v="1"/>
    <x v="0"/>
    <x v="0"/>
    <x v="4"/>
    <n v="450"/>
    <n v="450"/>
    <n v="19"/>
    <s v="P"/>
    <s v="p"/>
    <n v="450"/>
    <s v="RD"/>
    <s v="P"/>
    <s v="P"/>
    <s v="P"/>
    <s v="RD"/>
    <s v="P"/>
    <s v="P"/>
    <s v="P"/>
    <s v="P"/>
    <s v="P"/>
    <m/>
  </r>
  <r>
    <x v="16"/>
    <x v="0"/>
    <x v="4"/>
    <x v="1"/>
    <x v="0"/>
    <x v="0"/>
    <x v="0"/>
    <x v="1"/>
    <x v="0"/>
    <x v="0"/>
    <x v="0"/>
    <x v="1"/>
    <x v="0"/>
    <x v="3"/>
    <x v="2"/>
    <x v="0"/>
    <x v="4"/>
    <s v="P"/>
    <s v="P"/>
    <s v="P"/>
    <s v="P"/>
    <s v="RD"/>
    <s v="RD"/>
    <n v="450"/>
    <s v="P"/>
    <s v="P"/>
    <n v="450"/>
    <s v="P"/>
    <s v="RD"/>
    <s v="RD"/>
    <s v="P"/>
    <n v="4"/>
    <s v="P"/>
    <m/>
  </r>
  <r>
    <x v="17"/>
    <x v="3"/>
    <x v="3"/>
    <x v="0"/>
    <x v="0"/>
    <x v="0"/>
    <x v="0"/>
    <x v="0"/>
    <x v="0"/>
    <x v="0"/>
    <x v="0"/>
    <x v="0"/>
    <x v="0"/>
    <x v="3"/>
    <x v="0"/>
    <x v="0"/>
    <x v="0"/>
    <s v="P"/>
    <s v="P"/>
    <s v="P"/>
    <s v="P"/>
    <s v="RD"/>
    <s v="RD"/>
    <s v="P"/>
    <s v="P"/>
    <s v="P"/>
    <s v="P"/>
    <s v="P"/>
    <s v="RD"/>
    <s v="RD"/>
    <s v="P"/>
    <n v="4"/>
    <s v="P"/>
    <m/>
  </r>
  <r>
    <x v="15"/>
    <x v="1"/>
    <x v="3"/>
    <x v="5"/>
    <x v="0"/>
    <x v="6"/>
    <x v="5"/>
    <x v="0"/>
    <x v="0"/>
    <x v="4"/>
    <x v="4"/>
    <x v="4"/>
    <x v="6"/>
    <x v="1"/>
    <x v="0"/>
    <x v="0"/>
    <x v="4"/>
    <n v="450"/>
    <n v="450"/>
    <n v="19"/>
    <s v="P"/>
    <s v="p"/>
    <n v="450"/>
    <s v="RD"/>
    <s v="P"/>
    <s v="P"/>
    <s v="P"/>
    <s v="RD"/>
    <s v="P"/>
    <s v="P"/>
    <s v="P"/>
    <s v="P"/>
    <s v="P"/>
    <m/>
  </r>
  <r>
    <x v="18"/>
    <x v="0"/>
    <x v="5"/>
    <x v="0"/>
    <x v="0"/>
    <x v="0"/>
    <x v="0"/>
    <x v="0"/>
    <x v="0"/>
    <x v="0"/>
    <x v="0"/>
    <x v="0"/>
    <x v="0"/>
    <x v="3"/>
    <x v="0"/>
    <x v="0"/>
    <x v="5"/>
    <s v="P"/>
    <s v="P"/>
    <n v="2"/>
    <s v="VL"/>
    <s v="RD"/>
    <s v="RD"/>
    <n v="450"/>
    <s v="P"/>
    <s v="P"/>
    <s v="P"/>
    <s v="P"/>
    <s v="RD"/>
    <s v="RD"/>
    <s v="P"/>
    <s v="P"/>
    <n v="17"/>
    <m/>
  </r>
  <r>
    <x v="19"/>
    <x v="1"/>
    <x v="4"/>
    <x v="0"/>
    <x v="0"/>
    <x v="0"/>
    <x v="0"/>
    <x v="0"/>
    <x v="0"/>
    <x v="0"/>
    <x v="0"/>
    <x v="0"/>
    <x v="0"/>
    <x v="3"/>
    <x v="0"/>
    <x v="0"/>
    <x v="0"/>
    <s v="P"/>
    <s v="P"/>
    <s v="P"/>
    <s v="P"/>
    <s v="RD"/>
    <s v="RD"/>
    <s v="P"/>
    <s v="P"/>
    <s v="P"/>
    <s v="P"/>
    <s v="P"/>
    <s v="RD"/>
    <s v="RD"/>
    <s v="P"/>
    <s v="P"/>
    <s v="P"/>
    <s v="P"/>
  </r>
  <r>
    <x v="20"/>
    <x v="0"/>
    <x v="1"/>
    <x v="6"/>
    <x v="3"/>
    <x v="6"/>
    <x v="0"/>
    <x v="0"/>
    <x v="0"/>
    <x v="0"/>
    <x v="0"/>
    <x v="0"/>
    <x v="0"/>
    <x v="3"/>
    <x v="0"/>
    <x v="0"/>
    <x v="0"/>
    <s v="P"/>
    <s v="P"/>
    <s v="P"/>
    <s v="P"/>
    <s v="RD"/>
    <s v="RD"/>
    <s v="P"/>
    <s v="P"/>
    <s v="P"/>
    <s v="P"/>
    <s v="P"/>
    <s v="RD"/>
    <s v="RD"/>
    <s v="P"/>
    <s v="P"/>
    <s v="P"/>
    <m/>
  </r>
  <r>
    <x v="21"/>
    <x v="1"/>
    <x v="3"/>
    <x v="0"/>
    <x v="0"/>
    <x v="6"/>
    <x v="0"/>
    <x v="0"/>
    <x v="0"/>
    <x v="0"/>
    <x v="0"/>
    <x v="0"/>
    <x v="7"/>
    <x v="5"/>
    <x v="0"/>
    <x v="0"/>
    <x v="0"/>
    <s v="P"/>
    <s v="P"/>
    <s v="P"/>
    <s v="P"/>
    <s v="RD"/>
    <s v="RD"/>
    <n v="450"/>
    <s v="P"/>
    <s v="P"/>
    <s v="P"/>
    <s v="P"/>
    <s v="RD"/>
    <s v="RD"/>
    <n v="1"/>
    <n v="4"/>
    <s v="P"/>
    <m/>
  </r>
  <r>
    <x v="22"/>
    <x v="0"/>
    <x v="1"/>
    <x v="0"/>
    <x v="0"/>
    <x v="0"/>
    <x v="0"/>
    <x v="0"/>
    <x v="0"/>
    <x v="6"/>
    <x v="6"/>
    <x v="0"/>
    <x v="0"/>
    <x v="6"/>
    <x v="0"/>
    <x v="0"/>
    <x v="0"/>
    <s v="P"/>
    <n v="450"/>
    <s v="P"/>
    <s v="P"/>
    <s v="RD"/>
    <s v="RD"/>
    <n v="450"/>
    <n v="450"/>
    <s v="P"/>
    <n v="450"/>
    <s v="P"/>
    <s v="RD"/>
    <s v="RD"/>
    <s v="P"/>
    <s v="P"/>
    <s v="P"/>
    <m/>
  </r>
  <r>
    <x v="23"/>
    <x v="0"/>
    <x v="5"/>
    <x v="0"/>
    <x v="0"/>
    <x v="0"/>
    <x v="0"/>
    <x v="0"/>
    <x v="0"/>
    <x v="0"/>
    <x v="0"/>
    <x v="5"/>
    <x v="0"/>
    <x v="3"/>
    <x v="0"/>
    <x v="0"/>
    <x v="0"/>
    <n v="1"/>
    <s v="P"/>
    <n v="3"/>
    <s v="P"/>
    <s v="RD"/>
    <s v="RD"/>
    <n v="450"/>
    <s v="P"/>
    <s v="VL"/>
    <s v="P"/>
    <s v="P"/>
    <s v="RD"/>
    <s v="RD"/>
    <s v="P"/>
    <s v="P"/>
    <s v="P"/>
    <m/>
  </r>
  <r>
    <x v="24"/>
    <x v="1"/>
    <x v="0"/>
    <x v="5"/>
    <x v="4"/>
    <x v="7"/>
    <x v="5"/>
    <x v="0"/>
    <x v="0"/>
    <x v="7"/>
    <x v="0"/>
    <x v="4"/>
    <x v="6"/>
    <x v="7"/>
    <x v="0"/>
    <x v="0"/>
    <x v="0"/>
    <s v="P"/>
    <n v="450"/>
    <s v="P"/>
    <n v="155"/>
    <s v="RD"/>
    <s v="RD"/>
    <n v="450"/>
    <s v="RD"/>
    <s v="P"/>
    <s v="P"/>
    <s v="P"/>
    <s v="RD"/>
    <n v="219"/>
    <s v="SL"/>
    <s v="SL"/>
    <n v="450"/>
    <m/>
  </r>
  <r>
    <x v="25"/>
    <x v="1"/>
    <x v="0"/>
    <x v="0"/>
    <x v="0"/>
    <x v="0"/>
    <x v="0"/>
    <x v="0"/>
    <x v="0"/>
    <x v="0"/>
    <x v="0"/>
    <x v="0"/>
    <x v="0"/>
    <x v="3"/>
    <x v="0"/>
    <x v="0"/>
    <x v="0"/>
    <s v="P"/>
    <s v="P"/>
    <s v="P"/>
    <s v="P"/>
    <s v="RD"/>
    <s v="RD"/>
    <s v="P"/>
    <s v="P"/>
    <s v="P"/>
    <s v="P"/>
    <n v="450"/>
    <s v="RD"/>
    <s v="RD"/>
    <n v="1"/>
    <s v="P"/>
    <s v="P"/>
    <m/>
  </r>
  <r>
    <x v="26"/>
    <x v="0"/>
    <x v="1"/>
    <x v="0"/>
    <x v="0"/>
    <x v="0"/>
    <x v="0"/>
    <x v="0"/>
    <x v="0"/>
    <x v="0"/>
    <x v="7"/>
    <x v="0"/>
    <x v="0"/>
    <x v="3"/>
    <x v="0"/>
    <x v="0"/>
    <x v="0"/>
    <s v="P"/>
    <s v="P"/>
    <s v="P"/>
    <s v="P"/>
    <s v="RD"/>
    <s v="RD"/>
    <s v="P"/>
    <s v="P"/>
    <s v="P"/>
    <s v="P"/>
    <s v="P"/>
    <s v="RD"/>
    <s v="RD"/>
    <s v="P"/>
    <s v="P"/>
    <s v="P"/>
    <m/>
  </r>
  <r>
    <x v="27"/>
    <x v="1"/>
    <x v="0"/>
    <x v="0"/>
    <x v="0"/>
    <x v="0"/>
    <x v="0"/>
    <x v="0"/>
    <x v="0"/>
    <x v="0"/>
    <x v="0"/>
    <x v="3"/>
    <x v="0"/>
    <x v="8"/>
    <x v="0"/>
    <x v="0"/>
    <x v="6"/>
    <s v="P"/>
    <s v="P"/>
    <s v="P"/>
    <s v="P"/>
    <s v="RD"/>
    <s v="RD"/>
    <s v="P"/>
    <s v="P"/>
    <s v="P"/>
    <s v="P"/>
    <s v="P"/>
    <s v="RD"/>
    <s v="RD"/>
    <n v="2"/>
    <n v="450"/>
    <n v="450"/>
    <m/>
  </r>
  <r>
    <x v="28"/>
    <x v="4"/>
    <x v="3"/>
    <x v="0"/>
    <x v="5"/>
    <x v="0"/>
    <x v="0"/>
    <x v="0"/>
    <x v="0"/>
    <x v="0"/>
    <x v="0"/>
    <x v="0"/>
    <x v="3"/>
    <x v="3"/>
    <x v="2"/>
    <x v="0"/>
    <x v="0"/>
    <s v="P"/>
    <s v="P"/>
    <s v="P"/>
    <s v="VL"/>
    <s v="RD"/>
    <s v="RD"/>
    <n v="450"/>
    <s v="P"/>
    <s v="P"/>
    <s v="P"/>
    <s v="P"/>
    <s v="RD"/>
    <s v="RD"/>
    <s v="SL"/>
    <s v="P"/>
    <s v="P"/>
    <m/>
  </r>
  <r>
    <x v="29"/>
    <x v="2"/>
    <x v="3"/>
    <x v="1"/>
    <x v="1"/>
    <x v="8"/>
    <x v="6"/>
    <x v="1"/>
    <x v="1"/>
    <x v="8"/>
    <x v="1"/>
    <x v="1"/>
    <x v="0"/>
    <x v="9"/>
    <x v="2"/>
    <x v="2"/>
    <x v="0"/>
    <s v="RD"/>
    <s v="RD"/>
    <n v="52"/>
    <s v="P"/>
    <s v="p"/>
    <s v="p"/>
    <s v="P"/>
    <s v="RD"/>
    <s v="RD"/>
    <s v="P"/>
    <s v="P"/>
    <n v="57"/>
    <n v="450"/>
    <s v="P"/>
    <s v="P"/>
    <n v="3"/>
    <m/>
  </r>
  <r>
    <x v="30"/>
    <x v="1"/>
    <x v="3"/>
    <x v="0"/>
    <x v="1"/>
    <x v="4"/>
    <x v="0"/>
    <x v="1"/>
    <x v="1"/>
    <x v="0"/>
    <x v="0"/>
    <x v="1"/>
    <x v="3"/>
    <x v="3"/>
    <x v="2"/>
    <x v="2"/>
    <x v="0"/>
    <s v="P"/>
    <s v="RD"/>
    <s v="RD"/>
    <s v="P"/>
    <s v="p"/>
    <s v="p"/>
    <n v="450"/>
    <s v="P"/>
    <s v="RD"/>
    <s v="RD"/>
    <s v="P"/>
    <s v="P"/>
    <s v="P"/>
    <s v="P"/>
    <s v="P"/>
    <s v="RD"/>
    <m/>
  </r>
  <r>
    <x v="31"/>
    <x v="2"/>
    <x v="3"/>
    <x v="7"/>
    <x v="0"/>
    <x v="0"/>
    <x v="2"/>
    <x v="0"/>
    <x v="1"/>
    <x v="0"/>
    <x v="0"/>
    <x v="0"/>
    <x v="6"/>
    <x v="4"/>
    <x v="0"/>
    <x v="2"/>
    <x v="0"/>
    <s v="P"/>
    <s v="P"/>
    <n v="1"/>
    <s v="RD"/>
    <s v="RD"/>
    <s v="p"/>
    <n v="450"/>
    <s v="P"/>
    <s v="P"/>
    <s v="P"/>
    <s v="RD"/>
    <s v="RD"/>
    <s v="P"/>
    <s v="P"/>
    <s v="P"/>
    <n v="6"/>
    <m/>
  </r>
  <r>
    <x v="32"/>
    <x v="0"/>
    <x v="1"/>
    <x v="0"/>
    <x v="0"/>
    <x v="0"/>
    <x v="7"/>
    <x v="0"/>
    <x v="0"/>
    <x v="9"/>
    <x v="3"/>
    <x v="4"/>
    <x v="0"/>
    <x v="3"/>
    <x v="0"/>
    <x v="0"/>
    <x v="0"/>
    <s v="P"/>
    <s v="P"/>
    <n v="45"/>
    <s v="P"/>
    <s v="RD"/>
    <s v="RD"/>
    <s v="P"/>
    <s v="P"/>
    <n v="450"/>
    <s v="P"/>
    <s v="P"/>
    <s v="RD"/>
    <s v="RD"/>
    <n v="69"/>
    <s v="P"/>
    <s v="P"/>
    <m/>
  </r>
  <r>
    <x v="33"/>
    <x v="1"/>
    <x v="3"/>
    <x v="0"/>
    <x v="0"/>
    <x v="0"/>
    <x v="0"/>
    <x v="0"/>
    <x v="0"/>
    <x v="0"/>
    <x v="0"/>
    <x v="4"/>
    <x v="0"/>
    <x v="10"/>
    <x v="0"/>
    <x v="0"/>
    <x v="0"/>
    <s v="P"/>
    <s v="P"/>
    <s v="P"/>
    <s v="P"/>
    <s v="RD"/>
    <s v="RD"/>
    <s v="RD"/>
    <s v="P"/>
    <s v="P"/>
    <s v="P"/>
    <s v="P"/>
    <s v="P"/>
    <s v="RD"/>
    <s v="P"/>
    <s v="P"/>
    <s v="P"/>
    <m/>
  </r>
  <r>
    <x v="34"/>
    <x v="1"/>
    <x v="3"/>
    <x v="1"/>
    <x v="1"/>
    <x v="0"/>
    <x v="0"/>
    <x v="1"/>
    <x v="1"/>
    <x v="0"/>
    <x v="0"/>
    <x v="1"/>
    <x v="3"/>
    <x v="10"/>
    <x v="2"/>
    <x v="2"/>
    <x v="0"/>
    <s v="P"/>
    <s v="RD"/>
    <s v="RD"/>
    <n v="450"/>
    <s v="p"/>
    <s v="p"/>
    <s v="P"/>
    <s v="P"/>
    <s v="RD"/>
    <s v="RD"/>
    <s v="P"/>
    <s v="P"/>
    <s v="P"/>
    <s v="P"/>
    <s v="RD"/>
    <s v="RD"/>
    <m/>
  </r>
  <r>
    <x v="35"/>
    <x v="1"/>
    <x v="2"/>
    <x v="0"/>
    <x v="0"/>
    <x v="0"/>
    <x v="0"/>
    <x v="0"/>
    <x v="0"/>
    <x v="0"/>
    <x v="0"/>
    <x v="0"/>
    <x v="0"/>
    <x v="3"/>
    <x v="0"/>
    <x v="0"/>
    <x v="0"/>
    <s v="P"/>
    <s v="P"/>
    <s v="P"/>
    <s v="P"/>
    <s v="RD"/>
    <s v="RD"/>
    <s v="P"/>
    <s v="P"/>
    <s v="P"/>
    <s v="P"/>
    <s v="P"/>
    <s v="RD"/>
    <s v="RD"/>
    <s v="P"/>
    <s v="P"/>
    <s v=" "/>
    <m/>
  </r>
  <r>
    <x v="36"/>
    <x v="0"/>
    <x v="2"/>
    <x v="0"/>
    <x v="0"/>
    <x v="0"/>
    <x v="1"/>
    <x v="0"/>
    <x v="0"/>
    <x v="0"/>
    <x v="8"/>
    <x v="6"/>
    <x v="0"/>
    <x v="11"/>
    <x v="0"/>
    <x v="0"/>
    <x v="7"/>
    <s v="P"/>
    <s v="P"/>
    <n v="38"/>
    <s v="P"/>
    <s v="RD"/>
    <s v="RD"/>
    <n v="450"/>
    <n v="450"/>
    <n v="450"/>
    <s v="P"/>
    <s v="P"/>
    <s v="RD"/>
    <s v="RD"/>
    <n v="121"/>
    <n v="450"/>
    <s v="P"/>
    <m/>
  </r>
  <r>
    <x v="37"/>
    <x v="3"/>
    <x v="3"/>
    <x v="0"/>
    <x v="6"/>
    <x v="9"/>
    <x v="0"/>
    <x v="3"/>
    <x v="0"/>
    <x v="0"/>
    <x v="0"/>
    <x v="0"/>
    <x v="0"/>
    <x v="3"/>
    <x v="0"/>
    <x v="0"/>
    <x v="0"/>
    <s v="P"/>
    <s v="P"/>
    <s v="P"/>
    <s v="P"/>
    <s v="RD"/>
    <s v="RD"/>
    <n v="450"/>
    <s v="P"/>
    <s v="P"/>
    <s v="P"/>
    <s v="P"/>
    <s v="RD"/>
    <s v="RD"/>
    <s v="VL"/>
    <s v="VL"/>
    <s v="VL"/>
    <m/>
  </r>
  <r>
    <x v="38"/>
    <x v="0"/>
    <x v="5"/>
    <x v="0"/>
    <x v="0"/>
    <x v="0"/>
    <x v="0"/>
    <x v="0"/>
    <x v="0"/>
    <x v="9"/>
    <x v="0"/>
    <x v="0"/>
    <x v="0"/>
    <x v="3"/>
    <x v="0"/>
    <x v="0"/>
    <x v="0"/>
    <s v="P"/>
    <s v="P"/>
    <n v="6"/>
    <s v="P"/>
    <s v="RD"/>
    <s v="RD"/>
    <n v="450"/>
    <s v="P"/>
    <s v="P"/>
    <s v="P"/>
    <s v="P"/>
    <s v="RD"/>
    <s v="RD"/>
    <s v="P"/>
    <s v="P"/>
    <s v="P"/>
    <m/>
  </r>
  <r>
    <x v="39"/>
    <x v="0"/>
    <x v="5"/>
    <x v="8"/>
    <x v="5"/>
    <x v="10"/>
    <x v="8"/>
    <x v="0"/>
    <x v="0"/>
    <x v="0"/>
    <x v="0"/>
    <x v="0"/>
    <x v="0"/>
    <x v="3"/>
    <x v="0"/>
    <x v="0"/>
    <x v="0"/>
    <s v="P"/>
    <s v="P"/>
    <n v="42"/>
    <s v="P"/>
    <s v="RD"/>
    <s v="RD"/>
    <n v="450"/>
    <s v="P"/>
    <s v="P"/>
    <s v="P"/>
    <s v="P"/>
    <s v="RD"/>
    <s v="RD"/>
    <s v="P"/>
    <n v="11"/>
    <n v="12"/>
    <m/>
  </r>
  <r>
    <x v="40"/>
    <x v="1"/>
    <x v="4"/>
    <x v="0"/>
    <x v="1"/>
    <x v="4"/>
    <x v="0"/>
    <x v="1"/>
    <x v="1"/>
    <x v="0"/>
    <x v="0"/>
    <x v="1"/>
    <x v="3"/>
    <x v="3"/>
    <x v="2"/>
    <x v="2"/>
    <x v="0"/>
    <s v="P"/>
    <s v="RD"/>
    <s v="RD"/>
    <s v="P"/>
    <s v="p"/>
    <s v="p"/>
    <s v="P"/>
    <s v="P"/>
    <s v="RD"/>
    <s v="RD"/>
    <s v="P"/>
    <s v="P"/>
    <s v="P"/>
    <n v="13"/>
    <s v="P"/>
    <s v="RD"/>
    <m/>
  </r>
  <r>
    <x v="41"/>
    <x v="1"/>
    <x v="2"/>
    <x v="0"/>
    <x v="0"/>
    <x v="11"/>
    <x v="9"/>
    <x v="0"/>
    <x v="0"/>
    <x v="0"/>
    <x v="0"/>
    <x v="0"/>
    <x v="0"/>
    <x v="3"/>
    <x v="0"/>
    <x v="0"/>
    <x v="0"/>
    <s v="P"/>
    <s v="P"/>
    <n v="4"/>
    <s v="P"/>
    <s v="RD"/>
    <s v="RD"/>
    <s v="RD"/>
    <s v="RD"/>
    <s v="P"/>
    <s v="P"/>
    <s v="P"/>
    <s v="P"/>
    <s v="P"/>
    <s v="P"/>
    <s v="RD"/>
    <s v="P"/>
    <m/>
  </r>
  <r>
    <x v="42"/>
    <x v="0"/>
    <x v="0"/>
    <x v="0"/>
    <x v="6"/>
    <x v="0"/>
    <x v="10"/>
    <x v="0"/>
    <x v="0"/>
    <x v="10"/>
    <x v="0"/>
    <x v="0"/>
    <x v="6"/>
    <x v="3"/>
    <x v="0"/>
    <x v="0"/>
    <x v="8"/>
    <s v="P"/>
    <s v="P"/>
    <s v="P"/>
    <s v="P"/>
    <s v="RD"/>
    <s v="RD"/>
    <s v="P"/>
    <s v="P"/>
    <s v="P"/>
    <s v="P"/>
    <n v="450"/>
    <s v="RD"/>
    <s v="RD"/>
    <s v="P"/>
    <s v="P"/>
    <n v="450"/>
    <m/>
  </r>
  <r>
    <x v="43"/>
    <x v="1"/>
    <x v="3"/>
    <x v="1"/>
    <x v="0"/>
    <x v="0"/>
    <x v="0"/>
    <x v="1"/>
    <x v="0"/>
    <x v="0"/>
    <x v="1"/>
    <x v="1"/>
    <x v="8"/>
    <x v="3"/>
    <x v="2"/>
    <x v="2"/>
    <x v="0"/>
    <s v="RD"/>
    <s v="RD"/>
    <s v="P"/>
    <s v="P"/>
    <s v="p"/>
    <s v="p"/>
    <s v="RD"/>
    <s v="RD"/>
    <s v="P"/>
    <s v="P"/>
    <s v="P"/>
    <s v="P"/>
    <s v="P"/>
    <n v="5"/>
    <s v="RD"/>
    <s v="RD"/>
    <m/>
  </r>
  <r>
    <x v="44"/>
    <x v="2"/>
    <x v="3"/>
    <x v="0"/>
    <x v="0"/>
    <x v="0"/>
    <x v="0"/>
    <x v="1"/>
    <x v="0"/>
    <x v="3"/>
    <x v="0"/>
    <x v="0"/>
    <x v="0"/>
    <x v="3"/>
    <x v="2"/>
    <x v="0"/>
    <x v="2"/>
    <s v="P"/>
    <s v="P"/>
    <s v="P"/>
    <s v="P"/>
    <s v="p"/>
    <s v="RD"/>
    <s v="RD"/>
    <s v="P"/>
    <s v="P"/>
    <s v="P"/>
    <s v="P"/>
    <s v="P"/>
    <s v="RD"/>
    <s v="RD"/>
    <s v="P"/>
    <s v="P"/>
    <m/>
  </r>
  <r>
    <x v="45"/>
    <x v="0"/>
    <x v="1"/>
    <x v="0"/>
    <x v="0"/>
    <x v="0"/>
    <x v="0"/>
    <x v="0"/>
    <x v="0"/>
    <x v="0"/>
    <x v="0"/>
    <x v="0"/>
    <x v="0"/>
    <x v="3"/>
    <x v="0"/>
    <x v="0"/>
    <x v="0"/>
    <s v="P"/>
    <s v="P"/>
    <s v="P"/>
    <s v="P"/>
    <s v="RD"/>
    <s v="RD"/>
    <n v="450"/>
    <s v="P"/>
    <s v="P"/>
    <s v="P"/>
    <s v="VL"/>
    <s v="RD"/>
    <s v="RD"/>
    <s v="P"/>
    <s v="P"/>
    <s v="P"/>
    <m/>
  </r>
  <r>
    <x v="46"/>
    <x v="0"/>
    <x v="2"/>
    <x v="0"/>
    <x v="0"/>
    <x v="0"/>
    <x v="0"/>
    <x v="0"/>
    <x v="0"/>
    <x v="0"/>
    <x v="0"/>
    <x v="0"/>
    <x v="0"/>
    <x v="3"/>
    <x v="0"/>
    <x v="0"/>
    <x v="0"/>
    <s v="P"/>
    <n v="4"/>
    <n v="1"/>
    <s v="P"/>
    <s v="RD"/>
    <s v="RD"/>
    <n v="450"/>
    <n v="450"/>
    <s v="P"/>
    <s v="P"/>
    <s v="VL"/>
    <s v="RD"/>
    <s v="RD"/>
    <s v="P"/>
    <s v="P"/>
    <s v="P"/>
    <m/>
  </r>
  <r>
    <x v="47"/>
    <x v="0"/>
    <x v="5"/>
    <x v="0"/>
    <x v="0"/>
    <x v="0"/>
    <x v="0"/>
    <x v="0"/>
    <x v="0"/>
    <x v="0"/>
    <x v="0"/>
    <x v="0"/>
    <x v="0"/>
    <x v="3"/>
    <x v="0"/>
    <x v="0"/>
    <x v="0"/>
    <s v="P"/>
    <s v="P"/>
    <s v="P"/>
    <s v="P"/>
    <s v="RD"/>
    <s v="RD"/>
    <s v="P"/>
    <s v="P"/>
    <s v="P"/>
    <s v="P"/>
    <s v="VL"/>
    <s v="RD"/>
    <s v="RD"/>
    <n v="13"/>
    <s v="P"/>
    <s v="P"/>
    <m/>
  </r>
  <r>
    <x v="48"/>
    <x v="1"/>
    <x v="4"/>
    <x v="0"/>
    <x v="7"/>
    <x v="0"/>
    <x v="0"/>
    <x v="0"/>
    <x v="0"/>
    <x v="0"/>
    <x v="0"/>
    <x v="0"/>
    <x v="0"/>
    <x v="3"/>
    <x v="0"/>
    <x v="0"/>
    <x v="0"/>
    <s v="P"/>
    <s v="P"/>
    <s v="P"/>
    <s v="P"/>
    <s v="RD"/>
    <s v="RD"/>
    <s v="P"/>
    <s v="P"/>
    <s v="P"/>
    <s v="P"/>
    <s v="VL"/>
    <s v="RD"/>
    <s v="RD"/>
    <s v="P"/>
    <s v="P"/>
    <n v="450"/>
    <m/>
  </r>
  <r>
    <x v="49"/>
    <x v="4"/>
    <x v="3"/>
    <x v="0"/>
    <x v="0"/>
    <x v="0"/>
    <x v="0"/>
    <x v="0"/>
    <x v="0"/>
    <x v="0"/>
    <x v="0"/>
    <x v="0"/>
    <x v="7"/>
    <x v="3"/>
    <x v="0"/>
    <x v="0"/>
    <x v="9"/>
    <s v="P"/>
    <s v="VL"/>
    <s v="VL"/>
    <n v="450"/>
    <s v="RD"/>
    <s v="RD"/>
    <n v="450"/>
    <n v="450"/>
    <s v="P"/>
    <s v="P"/>
    <s v="P"/>
    <s v="RD"/>
    <s v="RD"/>
    <s v="P"/>
    <s v="P"/>
    <n v="39"/>
    <m/>
  </r>
  <r>
    <x v="50"/>
    <x v="0"/>
    <x v="0"/>
    <x v="0"/>
    <x v="0"/>
    <x v="0"/>
    <x v="0"/>
    <x v="0"/>
    <x v="0"/>
    <x v="9"/>
    <x v="0"/>
    <x v="0"/>
    <x v="0"/>
    <x v="3"/>
    <x v="0"/>
    <x v="0"/>
    <x v="0"/>
    <s v="P"/>
    <s v="P"/>
    <s v="P"/>
    <s v="P"/>
    <s v="RD"/>
    <s v="RD"/>
    <n v="450"/>
    <s v="P"/>
    <s v="P"/>
    <s v="P"/>
    <s v="P"/>
    <s v="RD"/>
    <s v="RD"/>
    <n v="13"/>
    <s v="P"/>
    <s v="P"/>
    <m/>
  </r>
  <r>
    <x v="51"/>
    <x v="2"/>
    <x v="3"/>
    <x v="0"/>
    <x v="0"/>
    <x v="0"/>
    <x v="0"/>
    <x v="1"/>
    <x v="0"/>
    <x v="3"/>
    <x v="0"/>
    <x v="0"/>
    <x v="0"/>
    <x v="3"/>
    <x v="2"/>
    <x v="0"/>
    <x v="2"/>
    <s v="P"/>
    <s v="P"/>
    <s v="P"/>
    <s v="P"/>
    <s v="p"/>
    <s v="RD"/>
    <s v="RD"/>
    <s v="P"/>
    <s v="P"/>
    <s v="P"/>
    <s v="P"/>
    <s v="P"/>
    <s v="RD"/>
    <s v="RD"/>
    <s v="P"/>
    <s v="P"/>
    <m/>
  </r>
  <r>
    <x v="52"/>
    <x v="1"/>
    <x v="4"/>
    <x v="9"/>
    <x v="8"/>
    <x v="0"/>
    <x v="0"/>
    <x v="0"/>
    <x v="0"/>
    <x v="0"/>
    <x v="0"/>
    <x v="0"/>
    <x v="0"/>
    <x v="3"/>
    <x v="0"/>
    <x v="0"/>
    <x v="0"/>
    <n v="8"/>
    <n v="450"/>
    <s v="P"/>
    <n v="450"/>
    <s v="RD"/>
    <s v="RD"/>
    <n v="450"/>
    <n v="450"/>
    <n v="450"/>
    <s v="P"/>
    <s v="P"/>
    <s v="RD"/>
    <s v="RD"/>
    <n v="5"/>
    <n v="5"/>
    <n v="3"/>
    <m/>
  </r>
  <r>
    <x v="53"/>
    <x v="2"/>
    <x v="3"/>
    <x v="1"/>
    <x v="0"/>
    <x v="0"/>
    <x v="0"/>
    <x v="1"/>
    <x v="1"/>
    <x v="3"/>
    <x v="1"/>
    <x v="0"/>
    <x v="0"/>
    <x v="3"/>
    <x v="2"/>
    <x v="0"/>
    <x v="2"/>
    <s v="P"/>
    <s v="P"/>
    <s v="P"/>
    <s v="P"/>
    <s v="p"/>
    <s v="p"/>
    <s v="P"/>
    <s v="P"/>
    <s v="P"/>
    <s v="P"/>
    <s v="P"/>
    <s v="P"/>
    <s v="P"/>
    <s v="P"/>
    <s v="P"/>
    <s v="P"/>
    <m/>
  </r>
  <r>
    <x v="54"/>
    <x v="0"/>
    <x v="5"/>
    <x v="0"/>
    <x v="0"/>
    <x v="12"/>
    <x v="11"/>
    <x v="0"/>
    <x v="0"/>
    <x v="0"/>
    <x v="0"/>
    <x v="0"/>
    <x v="0"/>
    <x v="3"/>
    <x v="0"/>
    <x v="0"/>
    <x v="0"/>
    <s v="P"/>
    <s v="P"/>
    <s v="P"/>
    <s v="P"/>
    <s v="RD"/>
    <s v="RD"/>
    <n v="450"/>
    <s v="P"/>
    <s v="P"/>
    <s v="P"/>
    <s v="P"/>
    <s v="RD"/>
    <s v="RD"/>
    <n v="1"/>
    <s v="P"/>
    <n v="8"/>
    <m/>
  </r>
  <r>
    <x v="55"/>
    <x v="0"/>
    <x v="5"/>
    <x v="0"/>
    <x v="0"/>
    <x v="0"/>
    <x v="0"/>
    <x v="0"/>
    <x v="0"/>
    <x v="0"/>
    <x v="0"/>
    <x v="0"/>
    <x v="6"/>
    <x v="3"/>
    <x v="0"/>
    <x v="0"/>
    <x v="0"/>
    <s v="P"/>
    <s v="P"/>
    <n v="450"/>
    <s v="P"/>
    <s v="RD"/>
    <s v="RD"/>
    <n v="450"/>
    <n v="450"/>
    <s v="P"/>
    <s v="P"/>
    <s v="P"/>
    <s v="RD"/>
    <s v="RD"/>
    <s v="P"/>
    <n v="16"/>
    <s v="SL"/>
    <m/>
  </r>
  <r>
    <x v="56"/>
    <x v="5"/>
    <x v="3"/>
    <x v="0"/>
    <x v="0"/>
    <x v="0"/>
    <x v="0"/>
    <x v="0"/>
    <x v="0"/>
    <x v="0"/>
    <x v="0"/>
    <x v="0"/>
    <x v="0"/>
    <x v="10"/>
    <x v="0"/>
    <x v="0"/>
    <x v="0"/>
    <s v="P"/>
    <s v="P"/>
    <s v="P"/>
    <s v="P"/>
    <s v="RD"/>
    <s v="RD"/>
    <n v="450"/>
    <s v="P"/>
    <s v="P"/>
    <s v="P"/>
    <s v="P"/>
    <s v="RD"/>
    <s v="RD"/>
    <s v="P"/>
    <s v="P"/>
    <s v="P"/>
    <m/>
  </r>
  <r>
    <x v="57"/>
    <x v="0"/>
    <x v="2"/>
    <x v="0"/>
    <x v="0"/>
    <x v="0"/>
    <x v="0"/>
    <x v="0"/>
    <x v="0"/>
    <x v="0"/>
    <x v="0"/>
    <x v="0"/>
    <x v="0"/>
    <x v="3"/>
    <x v="0"/>
    <x v="0"/>
    <x v="0"/>
    <s v="P"/>
    <n v="1"/>
    <s v="VL"/>
    <s v="VL"/>
    <s v="RD"/>
    <s v="RD"/>
    <n v="450"/>
    <s v="P"/>
    <s v="P"/>
    <s v="P"/>
    <n v="450"/>
    <s v="RD"/>
    <s v="RD"/>
    <s v="P"/>
    <s v="P"/>
    <n v="4"/>
    <m/>
  </r>
  <r>
    <x v="58"/>
    <x v="0"/>
    <x v="2"/>
    <x v="0"/>
    <x v="0"/>
    <x v="0"/>
    <x v="0"/>
    <x v="0"/>
    <x v="0"/>
    <x v="0"/>
    <x v="0"/>
    <x v="0"/>
    <x v="0"/>
    <x v="3"/>
    <x v="0"/>
    <x v="0"/>
    <x v="0"/>
    <s v="P"/>
    <s v="P"/>
    <s v="P"/>
    <s v="VL"/>
    <s v="RD"/>
    <s v="RD"/>
    <s v="P"/>
    <s v="P"/>
    <s v="P"/>
    <s v="P"/>
    <s v="P"/>
    <s v="RD"/>
    <s v="RD"/>
    <s v="P"/>
    <s v="P"/>
    <s v="P"/>
    <m/>
  </r>
  <r>
    <x v="59"/>
    <x v="1"/>
    <x v="3"/>
    <x v="1"/>
    <x v="1"/>
    <x v="0"/>
    <x v="0"/>
    <x v="1"/>
    <x v="1"/>
    <x v="0"/>
    <x v="1"/>
    <x v="1"/>
    <x v="0"/>
    <x v="12"/>
    <x v="2"/>
    <x v="2"/>
    <x v="0"/>
    <s v="RD"/>
    <s v="RD"/>
    <s v="P"/>
    <s v="P"/>
    <s v="p"/>
    <s v="p"/>
    <s v="P"/>
    <s v="P"/>
    <s v="RD"/>
    <s v="P"/>
    <s v="P"/>
    <s v="P"/>
    <s v="P"/>
    <s v="P"/>
    <s v="RD"/>
    <s v="RD"/>
    <m/>
  </r>
  <r>
    <x v="60"/>
    <x v="0"/>
    <x v="0"/>
    <x v="0"/>
    <x v="0"/>
    <x v="0"/>
    <x v="0"/>
    <x v="0"/>
    <x v="0"/>
    <x v="11"/>
    <x v="4"/>
    <x v="7"/>
    <x v="0"/>
    <x v="13"/>
    <x v="0"/>
    <x v="0"/>
    <x v="6"/>
    <s v="P"/>
    <s v="P"/>
    <s v="P"/>
    <s v="P"/>
    <s v="RD"/>
    <s v="RD"/>
    <n v="450"/>
    <n v="450"/>
    <s v="P"/>
    <s v="P"/>
    <s v="VL"/>
    <s v="RD"/>
    <s v="RD"/>
    <n v="19"/>
    <s v="P"/>
    <s v="P"/>
    <m/>
  </r>
  <r>
    <x v="61"/>
    <x v="0"/>
    <x v="4"/>
    <x v="0"/>
    <x v="9"/>
    <x v="0"/>
    <x v="0"/>
    <x v="0"/>
    <x v="0"/>
    <x v="0"/>
    <x v="0"/>
    <x v="5"/>
    <x v="9"/>
    <x v="5"/>
    <x v="0"/>
    <x v="0"/>
    <x v="0"/>
    <n v="8"/>
    <s v="P"/>
    <n v="450"/>
    <s v="P"/>
    <s v="RD"/>
    <s v="RD"/>
    <s v="P"/>
    <s v="P"/>
    <s v="P"/>
    <s v="P"/>
    <s v="P"/>
    <s v="RD"/>
    <s v="RD"/>
    <s v="SL"/>
    <s v="P"/>
    <s v="P"/>
    <m/>
  </r>
  <r>
    <x v="62"/>
    <x v="0"/>
    <x v="1"/>
    <x v="0"/>
    <x v="0"/>
    <x v="0"/>
    <x v="5"/>
    <x v="0"/>
    <x v="0"/>
    <x v="0"/>
    <x v="2"/>
    <x v="0"/>
    <x v="0"/>
    <x v="3"/>
    <x v="0"/>
    <x v="0"/>
    <x v="0"/>
    <s v="P"/>
    <s v="P"/>
    <s v="P"/>
    <s v="P"/>
    <s v="RD"/>
    <s v="RD"/>
    <n v="450"/>
    <s v="P"/>
    <s v="P"/>
    <s v="P"/>
    <s v="P"/>
    <s v="RD"/>
    <s v="RD"/>
    <s v="P"/>
    <s v="P"/>
    <s v="P"/>
    <m/>
  </r>
  <r>
    <x v="63"/>
    <x v="4"/>
    <x v="3"/>
    <x v="0"/>
    <x v="10"/>
    <x v="0"/>
    <x v="0"/>
    <x v="0"/>
    <x v="0"/>
    <x v="9"/>
    <x v="4"/>
    <x v="0"/>
    <x v="10"/>
    <x v="3"/>
    <x v="0"/>
    <x v="0"/>
    <x v="10"/>
    <n v="240"/>
    <s v="P"/>
    <s v="P"/>
    <s v="P"/>
    <s v="RD"/>
    <s v="RD"/>
    <n v="450"/>
    <n v="450"/>
    <s v="P"/>
    <s v="P"/>
    <s v="P"/>
    <s v="RD"/>
    <s v="RD"/>
    <n v="5"/>
    <s v="P"/>
    <s v="P"/>
    <m/>
  </r>
  <r>
    <x v="64"/>
    <x v="1"/>
    <x v="1"/>
    <x v="10"/>
    <x v="0"/>
    <x v="0"/>
    <x v="5"/>
    <x v="0"/>
    <x v="0"/>
    <x v="0"/>
    <x v="0"/>
    <x v="0"/>
    <x v="0"/>
    <x v="8"/>
    <x v="0"/>
    <x v="0"/>
    <x v="11"/>
    <n v="6"/>
    <s v="P"/>
    <s v="P"/>
    <s v="P"/>
    <s v="RD"/>
    <s v="RD"/>
    <n v="450"/>
    <n v="450"/>
    <n v="450"/>
    <s v="P"/>
    <s v="P"/>
    <s v="RD"/>
    <s v="RD"/>
    <s v="P"/>
    <n v="450"/>
    <s v="P"/>
    <m/>
  </r>
  <r>
    <x v="65"/>
    <x v="1"/>
    <x v="1"/>
    <x v="0"/>
    <x v="0"/>
    <x v="4"/>
    <x v="2"/>
    <x v="1"/>
    <x v="0"/>
    <x v="0"/>
    <x v="1"/>
    <x v="1"/>
    <x v="0"/>
    <x v="3"/>
    <x v="2"/>
    <x v="2"/>
    <x v="2"/>
    <s v="RD"/>
    <s v="P"/>
    <s v="P"/>
    <s v="P"/>
    <s v="p"/>
    <s v="p"/>
    <s v="RD"/>
    <s v="RD"/>
    <s v="P"/>
    <s v="P"/>
    <s v="P"/>
    <s v="VL"/>
    <s v="VL"/>
    <s v="RD"/>
    <s v="RD"/>
    <s v="P"/>
    <m/>
  </r>
  <r>
    <x v="66"/>
    <x v="1"/>
    <x v="3"/>
    <x v="0"/>
    <x v="0"/>
    <x v="0"/>
    <x v="0"/>
    <x v="0"/>
    <x v="0"/>
    <x v="0"/>
    <x v="0"/>
    <x v="0"/>
    <x v="0"/>
    <x v="3"/>
    <x v="0"/>
    <x v="0"/>
    <x v="0"/>
    <s v="P"/>
    <s v="VL"/>
    <s v="P"/>
    <s v="P"/>
    <s v="RD"/>
    <s v="RD"/>
    <s v="RD"/>
    <s v="P"/>
    <s v="P"/>
    <s v="P"/>
    <s v="P"/>
    <s v="P"/>
    <s v="RD"/>
    <s v="P"/>
    <s v="P"/>
    <s v="P"/>
    <m/>
  </r>
  <r>
    <x v="67"/>
    <x v="5"/>
    <x v="3"/>
    <x v="0"/>
    <x v="0"/>
    <x v="0"/>
    <x v="0"/>
    <x v="0"/>
    <x v="0"/>
    <x v="0"/>
    <x v="0"/>
    <x v="0"/>
    <x v="0"/>
    <x v="3"/>
    <x v="0"/>
    <x v="0"/>
    <x v="0"/>
    <s v="P"/>
    <s v="P"/>
    <s v="P"/>
    <s v="P"/>
    <s v="RD"/>
    <s v="RD"/>
    <s v="P"/>
    <n v="450"/>
    <s v="P"/>
    <s v="P"/>
    <s v="P"/>
    <s v="RD"/>
    <s v="RD"/>
    <s v="P"/>
    <s v="P"/>
    <s v="P"/>
    <m/>
  </r>
  <r>
    <x v="68"/>
    <x v="0"/>
    <x v="0"/>
    <x v="0"/>
    <x v="0"/>
    <x v="0"/>
    <x v="0"/>
    <x v="0"/>
    <x v="0"/>
    <x v="0"/>
    <x v="9"/>
    <x v="0"/>
    <x v="0"/>
    <x v="14"/>
    <x v="0"/>
    <x v="0"/>
    <x v="0"/>
    <n v="7"/>
    <s v="P"/>
    <s v="P"/>
    <s v="P"/>
    <s v="RD"/>
    <s v="RD"/>
    <n v="450"/>
    <s v="P"/>
    <s v="P"/>
    <s v="P"/>
    <s v="P"/>
    <s v="RD"/>
    <s v="RD"/>
    <s v="P"/>
    <s v="P"/>
    <s v="P"/>
    <m/>
  </r>
  <r>
    <x v="69"/>
    <x v="2"/>
    <x v="3"/>
    <x v="11"/>
    <x v="11"/>
    <x v="0"/>
    <x v="12"/>
    <x v="4"/>
    <x v="0"/>
    <x v="3"/>
    <x v="10"/>
    <x v="8"/>
    <x v="0"/>
    <x v="15"/>
    <x v="4"/>
    <x v="0"/>
    <x v="2"/>
    <s v="P"/>
    <n v="450"/>
    <s v="P"/>
    <n v="27"/>
    <n v="30"/>
    <s v="RD"/>
    <s v="RD"/>
    <s v="P"/>
    <s v="P"/>
    <s v="P"/>
    <n v="450"/>
    <n v="450"/>
    <n v="450"/>
    <s v=" "/>
    <s v=" "/>
    <s v=" "/>
    <m/>
  </r>
  <r>
    <x v="70"/>
    <x v="0"/>
    <x v="1"/>
    <x v="0"/>
    <x v="0"/>
    <x v="0"/>
    <x v="0"/>
    <x v="0"/>
    <x v="0"/>
    <x v="0"/>
    <x v="0"/>
    <x v="0"/>
    <x v="0"/>
    <x v="3"/>
    <x v="0"/>
    <x v="0"/>
    <x v="0"/>
    <s v="P"/>
    <s v="P"/>
    <s v="P"/>
    <s v="P"/>
    <s v="RD"/>
    <s v="RD"/>
    <n v="450"/>
    <s v="P"/>
    <s v="P"/>
    <s v="P"/>
    <s v="P"/>
    <s v="RD"/>
    <s v="RD"/>
    <s v="P"/>
    <s v="P"/>
    <s v="P"/>
    <m/>
  </r>
  <r>
    <x v="71"/>
    <x v="0"/>
    <x v="2"/>
    <x v="0"/>
    <x v="0"/>
    <x v="0"/>
    <x v="0"/>
    <x v="0"/>
    <x v="0"/>
    <x v="0"/>
    <x v="0"/>
    <x v="0"/>
    <x v="0"/>
    <x v="14"/>
    <x v="0"/>
    <x v="0"/>
    <x v="10"/>
    <s v="P"/>
    <n v="7"/>
    <s v="P"/>
    <s v="P"/>
    <s v="RD"/>
    <s v="RD"/>
    <s v="P"/>
    <n v="450"/>
    <s v="P"/>
    <s v="P"/>
    <s v="P"/>
    <s v="RD"/>
    <s v="RD"/>
    <n v="9"/>
    <s v="P"/>
    <s v="P"/>
    <m/>
  </r>
  <r>
    <x v="72"/>
    <x v="0"/>
    <x v="5"/>
    <x v="0"/>
    <x v="12"/>
    <x v="0"/>
    <x v="3"/>
    <x v="0"/>
    <x v="0"/>
    <x v="0"/>
    <x v="11"/>
    <x v="0"/>
    <x v="0"/>
    <x v="3"/>
    <x v="0"/>
    <x v="0"/>
    <x v="0"/>
    <s v="P"/>
    <s v="P"/>
    <s v="P"/>
    <s v="P"/>
    <s v="RD"/>
    <s v="RD"/>
    <s v="P"/>
    <n v="450"/>
    <n v="450"/>
    <n v="450"/>
    <s v="P"/>
    <s v="RD"/>
    <s v="RD"/>
    <n v="41"/>
    <s v="P"/>
    <s v="P"/>
    <m/>
  </r>
  <r>
    <x v="73"/>
    <x v="0"/>
    <x v="1"/>
    <x v="0"/>
    <x v="0"/>
    <x v="0"/>
    <x v="8"/>
    <x v="0"/>
    <x v="0"/>
    <x v="0"/>
    <x v="0"/>
    <x v="0"/>
    <x v="0"/>
    <x v="3"/>
    <x v="0"/>
    <x v="0"/>
    <x v="0"/>
    <s v="P"/>
    <s v="P"/>
    <s v="P"/>
    <s v="P"/>
    <s v="RD"/>
    <s v="RD"/>
    <n v="450"/>
    <s v="P"/>
    <s v="P"/>
    <s v="P"/>
    <s v="P"/>
    <s v="RD"/>
    <s v="RD"/>
    <s v="P"/>
    <s v="P"/>
    <s v="P"/>
    <m/>
  </r>
  <r>
    <x v="74"/>
    <x v="2"/>
    <x v="3"/>
    <x v="0"/>
    <x v="0"/>
    <x v="0"/>
    <x v="0"/>
    <x v="1"/>
    <x v="0"/>
    <x v="0"/>
    <x v="0"/>
    <x v="0"/>
    <x v="0"/>
    <x v="3"/>
    <x v="0"/>
    <x v="0"/>
    <x v="0"/>
    <s v="P"/>
    <s v="P"/>
    <s v="P"/>
    <s v="P"/>
    <s v="RD"/>
    <s v="RD"/>
    <n v="450"/>
    <s v="P"/>
    <s v="P"/>
    <s v="P"/>
    <s v="P"/>
    <s v="RD"/>
    <s v="RD"/>
    <s v="P"/>
    <s v="P"/>
    <s v="P"/>
    <m/>
  </r>
  <r>
    <x v="75"/>
    <x v="1"/>
    <x v="3"/>
    <x v="1"/>
    <x v="1"/>
    <x v="0"/>
    <x v="0"/>
    <x v="1"/>
    <x v="1"/>
    <x v="0"/>
    <x v="1"/>
    <x v="1"/>
    <x v="0"/>
    <x v="3"/>
    <x v="2"/>
    <x v="2"/>
    <x v="0"/>
    <s v="RD"/>
    <s v="RD"/>
    <s v="P"/>
    <s v="P"/>
    <s v="p"/>
    <s v="p"/>
    <s v="RD"/>
    <s v="P"/>
    <s v="P"/>
    <s v="P"/>
    <s v="RD"/>
    <s v="P"/>
    <s v="P"/>
    <s v="P"/>
    <s v="RD"/>
    <s v="RD"/>
    <m/>
  </r>
  <r>
    <x v="76"/>
    <x v="1"/>
    <x v="0"/>
    <x v="1"/>
    <x v="1"/>
    <x v="0"/>
    <x v="0"/>
    <x v="5"/>
    <x v="1"/>
    <x v="0"/>
    <x v="1"/>
    <x v="1"/>
    <x v="0"/>
    <x v="3"/>
    <x v="2"/>
    <x v="2"/>
    <x v="0"/>
    <s v="RD"/>
    <s v="RD"/>
    <s v="P"/>
    <s v="P"/>
    <s v="p"/>
    <s v="p"/>
    <s v="P"/>
    <s v="RD"/>
    <s v="RD"/>
    <s v="P"/>
    <s v="P"/>
    <s v="P"/>
    <s v="P"/>
    <s v="P"/>
    <s v="RD"/>
    <s v=" "/>
    <m/>
  </r>
  <r>
    <x v="77"/>
    <x v="0"/>
    <x v="1"/>
    <x v="0"/>
    <x v="0"/>
    <x v="0"/>
    <x v="0"/>
    <x v="0"/>
    <x v="0"/>
    <x v="0"/>
    <x v="0"/>
    <x v="9"/>
    <x v="0"/>
    <x v="3"/>
    <x v="0"/>
    <x v="0"/>
    <x v="0"/>
    <n v="240"/>
    <n v="450"/>
    <n v="48"/>
    <s v="P"/>
    <s v="RD"/>
    <s v="RD"/>
    <s v="P"/>
    <n v="450"/>
    <n v="450"/>
    <s v="P"/>
    <s v="P"/>
    <s v="RD"/>
    <s v="RD"/>
    <s v="VL"/>
    <s v="VL"/>
    <s v="VL"/>
    <m/>
  </r>
  <r>
    <x v="78"/>
    <x v="0"/>
    <x v="1"/>
    <x v="0"/>
    <x v="0"/>
    <x v="0"/>
    <x v="0"/>
    <x v="0"/>
    <x v="0"/>
    <x v="0"/>
    <x v="0"/>
    <x v="0"/>
    <x v="0"/>
    <x v="3"/>
    <x v="0"/>
    <x v="0"/>
    <x v="0"/>
    <s v="P"/>
    <s v="P"/>
    <s v="P"/>
    <s v="P"/>
    <s v="RD"/>
    <s v="RD"/>
    <s v="P"/>
    <s v="P"/>
    <s v="P"/>
    <s v="P"/>
    <s v="P"/>
    <s v="RD"/>
    <s v="RD"/>
    <s v="P"/>
    <s v="P"/>
    <s v="P"/>
    <m/>
  </r>
  <r>
    <x v="79"/>
    <x v="1"/>
    <x v="3"/>
    <x v="0"/>
    <x v="0"/>
    <x v="0"/>
    <x v="0"/>
    <x v="1"/>
    <x v="0"/>
    <x v="3"/>
    <x v="0"/>
    <x v="0"/>
    <x v="0"/>
    <x v="3"/>
    <x v="0"/>
    <x v="0"/>
    <x v="0"/>
    <s v="P"/>
    <s v="P"/>
    <s v="P"/>
    <s v="P"/>
    <s v="RD"/>
    <s v="RD"/>
    <s v="P"/>
    <s v="P"/>
    <s v="P"/>
    <s v="P"/>
    <s v="P"/>
    <s v="RD"/>
    <s v="RD"/>
    <s v="P"/>
    <s v="P"/>
    <s v="P"/>
    <m/>
  </r>
  <r>
    <x v="80"/>
    <x v="1"/>
    <x v="3"/>
    <x v="11"/>
    <x v="0"/>
    <x v="0"/>
    <x v="0"/>
    <x v="0"/>
    <x v="0"/>
    <x v="0"/>
    <x v="0"/>
    <x v="0"/>
    <x v="0"/>
    <x v="3"/>
    <x v="0"/>
    <x v="0"/>
    <x v="0"/>
    <s v="P"/>
    <s v="P"/>
    <s v="P"/>
    <s v="P"/>
    <s v="RD"/>
    <s v="RD"/>
    <s v="P"/>
    <s v="P"/>
    <s v="P"/>
    <s v="P"/>
    <s v="P"/>
    <s v="RD"/>
    <s v="RD"/>
    <s v="P"/>
    <s v="P"/>
    <s v=" "/>
    <m/>
  </r>
  <r>
    <x v="81"/>
    <x v="0"/>
    <x v="0"/>
    <x v="0"/>
    <x v="0"/>
    <x v="0"/>
    <x v="0"/>
    <x v="0"/>
    <x v="0"/>
    <x v="0"/>
    <x v="9"/>
    <x v="10"/>
    <x v="0"/>
    <x v="16"/>
    <x v="0"/>
    <x v="0"/>
    <x v="4"/>
    <n v="4"/>
    <n v="6"/>
    <n v="2"/>
    <s v="P"/>
    <s v="RD"/>
    <s v="RD"/>
    <n v="450"/>
    <n v="450"/>
    <n v="450"/>
    <s v="P"/>
    <s v="P"/>
    <s v="RD"/>
    <s v="RD"/>
    <n v="2"/>
    <n v="7"/>
    <n v="2"/>
    <m/>
  </r>
  <r>
    <x v="82"/>
    <x v="1"/>
    <x v="1"/>
    <x v="12"/>
    <x v="0"/>
    <x v="4"/>
    <x v="2"/>
    <x v="1"/>
    <x v="2"/>
    <x v="0"/>
    <x v="0"/>
    <x v="0"/>
    <x v="3"/>
    <x v="4"/>
    <x v="5"/>
    <x v="2"/>
    <x v="0"/>
    <s v="P"/>
    <s v="P"/>
    <s v="RD"/>
    <s v="RD"/>
    <n v="450"/>
    <s v="p"/>
    <n v="450"/>
    <n v="450"/>
    <s v="RD"/>
    <s v="P"/>
    <s v="RD"/>
    <n v="89"/>
    <s v="P"/>
    <s v="P"/>
    <s v="P"/>
    <s v="P"/>
    <m/>
  </r>
  <r>
    <x v="83"/>
    <x v="0"/>
    <x v="2"/>
    <x v="0"/>
    <x v="0"/>
    <x v="0"/>
    <x v="0"/>
    <x v="0"/>
    <x v="0"/>
    <x v="0"/>
    <x v="0"/>
    <x v="0"/>
    <x v="0"/>
    <x v="2"/>
    <x v="0"/>
    <x v="0"/>
    <x v="0"/>
    <s v="P"/>
    <n v="450"/>
    <n v="2"/>
    <s v="P"/>
    <s v="RD"/>
    <s v="RD"/>
    <n v="450"/>
    <s v="P"/>
    <s v="P"/>
    <s v="P"/>
    <s v="P"/>
    <s v="RD"/>
    <s v="RD"/>
    <n v="56"/>
    <s v="P"/>
    <s v="P"/>
    <m/>
  </r>
  <r>
    <x v="84"/>
    <x v="0"/>
    <x v="2"/>
    <x v="0"/>
    <x v="0"/>
    <x v="0"/>
    <x v="0"/>
    <x v="0"/>
    <x v="0"/>
    <x v="0"/>
    <x v="0"/>
    <x v="11"/>
    <x v="0"/>
    <x v="17"/>
    <x v="0"/>
    <x v="0"/>
    <x v="4"/>
    <s v="P"/>
    <n v="1"/>
    <n v="1"/>
    <s v="P"/>
    <s v="RD"/>
    <s v="RD"/>
    <n v="450"/>
    <n v="450"/>
    <s v="P"/>
    <n v="450"/>
    <s v="P"/>
    <s v="RD"/>
    <s v="RD"/>
    <s v="P"/>
    <s v="P"/>
    <s v="P"/>
    <m/>
  </r>
  <r>
    <x v="85"/>
    <x v="0"/>
    <x v="4"/>
    <x v="0"/>
    <x v="0"/>
    <x v="0"/>
    <x v="0"/>
    <x v="0"/>
    <x v="0"/>
    <x v="0"/>
    <x v="0"/>
    <x v="4"/>
    <x v="0"/>
    <x v="3"/>
    <x v="0"/>
    <x v="0"/>
    <x v="0"/>
    <n v="13"/>
    <n v="14"/>
    <s v="P"/>
    <s v="P"/>
    <s v="RD"/>
    <s v="RD"/>
    <n v="450"/>
    <s v="P"/>
    <s v="P"/>
    <n v="450"/>
    <s v="P"/>
    <s v="RD"/>
    <s v="RD"/>
    <s v="P"/>
    <n v="11"/>
    <n v="3"/>
    <m/>
  </r>
  <r>
    <x v="86"/>
    <x v="1"/>
    <x v="2"/>
    <x v="0"/>
    <x v="0"/>
    <x v="0"/>
    <x v="5"/>
    <x v="0"/>
    <x v="0"/>
    <x v="12"/>
    <x v="0"/>
    <x v="12"/>
    <x v="6"/>
    <x v="18"/>
    <x v="0"/>
    <x v="0"/>
    <x v="12"/>
    <n v="11"/>
    <n v="13"/>
    <n v="24"/>
    <n v="450"/>
    <s v="RD"/>
    <s v="RD"/>
    <n v="450"/>
    <s v="RD"/>
    <s v="P"/>
    <s v="P"/>
    <n v="450"/>
    <s v="RD"/>
    <s v="P"/>
    <s v="P"/>
    <s v="RD"/>
    <s v="P"/>
    <m/>
  </r>
  <r>
    <x v="87"/>
    <x v="1"/>
    <x v="3"/>
    <x v="0"/>
    <x v="0"/>
    <x v="0"/>
    <x v="5"/>
    <x v="0"/>
    <x v="0"/>
    <x v="0"/>
    <x v="0"/>
    <x v="0"/>
    <x v="11"/>
    <x v="19"/>
    <x v="0"/>
    <x v="0"/>
    <x v="3"/>
    <s v="VL"/>
    <s v="P"/>
    <n v="10"/>
    <s v="P"/>
    <s v="RD"/>
    <s v="RD"/>
    <n v="450"/>
    <n v="450"/>
    <s v="P"/>
    <s v="P"/>
    <s v="P"/>
    <s v="RD"/>
    <s v="RD"/>
    <n v="450"/>
    <s v="P"/>
    <n v="36"/>
    <m/>
  </r>
  <r>
    <x v="88"/>
    <x v="1"/>
    <x v="3"/>
    <x v="0"/>
    <x v="0"/>
    <x v="0"/>
    <x v="0"/>
    <x v="0"/>
    <x v="0"/>
    <x v="0"/>
    <x v="0"/>
    <x v="0"/>
    <x v="0"/>
    <x v="3"/>
    <x v="0"/>
    <x v="0"/>
    <x v="0"/>
    <s v="P"/>
    <s v="P"/>
    <s v="P"/>
    <s v="VL"/>
    <s v="RD"/>
    <s v="RD"/>
    <s v="P"/>
    <s v="P"/>
    <s v="P"/>
    <s v="VL"/>
    <s v="P"/>
    <s v="RD"/>
    <s v="RD"/>
    <s v="P"/>
    <s v="P"/>
    <s v="P"/>
    <m/>
  </r>
  <r>
    <x v="89"/>
    <x v="0"/>
    <x v="4"/>
    <x v="0"/>
    <x v="0"/>
    <x v="0"/>
    <x v="13"/>
    <x v="0"/>
    <x v="0"/>
    <x v="0"/>
    <x v="12"/>
    <x v="13"/>
    <x v="0"/>
    <x v="1"/>
    <x v="0"/>
    <x v="0"/>
    <x v="0"/>
    <n v="22"/>
    <s v="P"/>
    <n v="450"/>
    <n v="450"/>
    <s v="RD"/>
    <s v="RD"/>
    <s v="P"/>
    <s v="P"/>
    <n v="450"/>
    <s v="P"/>
    <s v="VL"/>
    <s v="RD"/>
    <s v="RD"/>
    <n v="450"/>
    <n v="450"/>
    <s v="P"/>
    <m/>
  </r>
</pivotCacheRecords>
</file>

<file path=xl/pivotCache/pivotCacheRecords1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4">
  <r>
    <x v="0"/>
    <x v="0"/>
    <x v="0"/>
    <x v="0"/>
  </r>
  <r>
    <x v="0"/>
    <x v="0"/>
    <x v="1"/>
    <x v="0"/>
  </r>
  <r>
    <x v="0"/>
    <x v="0"/>
    <x v="2"/>
    <x v="0"/>
  </r>
  <r>
    <x v="1"/>
    <x v="0"/>
    <x v="3"/>
    <x v="1"/>
  </r>
  <r>
    <x v="1"/>
    <x v="1"/>
    <x v="4"/>
    <x v="1"/>
  </r>
  <r>
    <x v="1"/>
    <x v="1"/>
    <x v="5"/>
    <x v="1"/>
  </r>
  <r>
    <x v="1"/>
    <x v="1"/>
    <x v="6"/>
    <x v="2"/>
  </r>
  <r>
    <x v="2"/>
    <x v="1"/>
    <x v="3"/>
    <x v="2"/>
  </r>
  <r>
    <x v="2"/>
    <x v="1"/>
    <x v="0"/>
    <x v="2"/>
  </r>
  <r>
    <x v="2"/>
    <x v="1"/>
    <x v="6"/>
    <x v="2"/>
  </r>
  <r>
    <x v="3"/>
    <x v="1"/>
    <x v="7"/>
    <x v="2"/>
  </r>
  <r>
    <x v="3"/>
    <x v="1"/>
    <x v="8"/>
    <x v="2"/>
  </r>
  <r>
    <x v="3"/>
    <x v="1"/>
    <x v="9"/>
    <x v="2"/>
  </r>
  <r>
    <x v="3"/>
    <x v="1"/>
    <x v="6"/>
    <x v="3"/>
  </r>
  <r>
    <x v="4"/>
    <x v="1"/>
    <x v="10"/>
    <x v="3"/>
  </r>
  <r>
    <x v="4"/>
    <x v="1"/>
    <x v="11"/>
    <x v="2"/>
  </r>
  <r>
    <x v="5"/>
    <x v="1"/>
    <x v="10"/>
    <x v="2"/>
  </r>
  <r>
    <x v="6"/>
    <x v="1"/>
    <x v="12"/>
    <x v="2"/>
  </r>
  <r>
    <x v="7"/>
    <x v="1"/>
    <x v="7"/>
    <x v="2"/>
  </r>
  <r>
    <x v="8"/>
    <x v="2"/>
    <x v="3"/>
    <x v="4"/>
  </r>
  <r>
    <x v="8"/>
    <x v="1"/>
    <x v="4"/>
    <x v="2"/>
  </r>
  <r>
    <x v="8"/>
    <x v="1"/>
    <x v="4"/>
    <x v="2"/>
  </r>
  <r>
    <x v="8"/>
    <x v="1"/>
    <x v="13"/>
    <x v="2"/>
  </r>
  <r>
    <x v="8"/>
    <x v="1"/>
    <x v="11"/>
    <x v="2"/>
  </r>
  <r>
    <x v="8"/>
    <x v="1"/>
    <x v="6"/>
    <x v="2"/>
  </r>
  <r>
    <x v="8"/>
    <x v="0"/>
    <x v="3"/>
    <x v="4"/>
  </r>
  <r>
    <x v="8"/>
    <x v="0"/>
    <x v="14"/>
    <x v="4"/>
  </r>
  <r>
    <x v="8"/>
    <x v="0"/>
    <x v="15"/>
    <x v="0"/>
  </r>
  <r>
    <x v="8"/>
    <x v="0"/>
    <x v="16"/>
    <x v="0"/>
  </r>
  <r>
    <x v="8"/>
    <x v="0"/>
    <x v="1"/>
    <x v="0"/>
  </r>
  <r>
    <x v="8"/>
    <x v="0"/>
    <x v="16"/>
    <x v="0"/>
  </r>
  <r>
    <x v="8"/>
    <x v="0"/>
    <x v="2"/>
    <x v="0"/>
  </r>
  <r>
    <x v="9"/>
    <x v="0"/>
    <x v="17"/>
    <x v="0"/>
  </r>
  <r>
    <x v="9"/>
    <x v="0"/>
    <x v="3"/>
    <x v="0"/>
  </r>
  <r>
    <x v="9"/>
    <x v="0"/>
    <x v="2"/>
    <x v="0"/>
  </r>
  <r>
    <x v="10"/>
    <x v="1"/>
    <x v="7"/>
    <x v="0"/>
  </r>
  <r>
    <x v="10"/>
    <x v="1"/>
    <x v="17"/>
    <x v="0"/>
  </r>
  <r>
    <x v="10"/>
    <x v="1"/>
    <x v="6"/>
    <x v="0"/>
  </r>
  <r>
    <x v="10"/>
    <x v="0"/>
    <x v="2"/>
    <x v="0"/>
  </r>
  <r>
    <x v="11"/>
    <x v="0"/>
    <x v="2"/>
    <x v="0"/>
  </r>
  <r>
    <x v="11"/>
    <x v="0"/>
    <x v="11"/>
    <x v="0"/>
  </r>
  <r>
    <x v="12"/>
    <x v="0"/>
    <x v="10"/>
    <x v="5"/>
  </r>
  <r>
    <x v="12"/>
    <x v="0"/>
    <x v="12"/>
    <x v="5"/>
  </r>
  <r>
    <x v="12"/>
    <x v="0"/>
    <x v="0"/>
    <x v="0"/>
  </r>
  <r>
    <x v="12"/>
    <x v="0"/>
    <x v="13"/>
    <x v="5"/>
  </r>
  <r>
    <x v="12"/>
    <x v="0"/>
    <x v="11"/>
    <x v="5"/>
  </r>
  <r>
    <x v="13"/>
    <x v="0"/>
    <x v="10"/>
    <x v="6"/>
  </r>
  <r>
    <x v="13"/>
    <x v="0"/>
    <x v="18"/>
    <x v="6"/>
  </r>
  <r>
    <x v="13"/>
    <x v="0"/>
    <x v="7"/>
    <x v="6"/>
  </r>
  <r>
    <x v="13"/>
    <x v="0"/>
    <x v="12"/>
    <x v="6"/>
  </r>
  <r>
    <x v="13"/>
    <x v="0"/>
    <x v="19"/>
    <x v="6"/>
  </r>
  <r>
    <x v="13"/>
    <x v="0"/>
    <x v="20"/>
    <x v="6"/>
  </r>
  <r>
    <x v="13"/>
    <x v="0"/>
    <x v="17"/>
    <x v="6"/>
  </r>
  <r>
    <x v="13"/>
    <x v="0"/>
    <x v="8"/>
    <x v="6"/>
  </r>
  <r>
    <x v="13"/>
    <x v="0"/>
    <x v="13"/>
    <x v="6"/>
  </r>
  <r>
    <x v="13"/>
    <x v="0"/>
    <x v="11"/>
    <x v="6"/>
  </r>
  <r>
    <x v="13"/>
    <x v="0"/>
    <x v="3"/>
    <x v="6"/>
  </r>
  <r>
    <x v="13"/>
    <x v="0"/>
    <x v="4"/>
    <x v="6"/>
  </r>
  <r>
    <x v="13"/>
    <x v="0"/>
    <x v="5"/>
    <x v="6"/>
  </r>
  <r>
    <x v="13"/>
    <x v="0"/>
    <x v="9"/>
    <x v="6"/>
  </r>
  <r>
    <x v="13"/>
    <x v="0"/>
    <x v="14"/>
    <x v="6"/>
  </r>
  <r>
    <x v="13"/>
    <x v="0"/>
    <x v="0"/>
    <x v="6"/>
  </r>
  <r>
    <x v="14"/>
    <x v="0"/>
    <x v="9"/>
    <x v="7"/>
  </r>
  <r>
    <x v="14"/>
    <x v="0"/>
    <x v="1"/>
    <x v="7"/>
  </r>
  <r>
    <x v="14"/>
    <x v="0"/>
    <x v="21"/>
    <x v="7"/>
  </r>
  <r>
    <x v="15"/>
    <x v="1"/>
    <x v="22"/>
    <x v="0"/>
  </r>
  <r>
    <x v="16"/>
    <x v="1"/>
    <x v="9"/>
    <x v="2"/>
  </r>
  <r>
    <x v="16"/>
    <x v="1"/>
    <x v="6"/>
    <x v="2"/>
  </r>
  <r>
    <x v="16"/>
    <x v="1"/>
    <x v="1"/>
    <x v="2"/>
  </r>
  <r>
    <x v="16"/>
    <x v="0"/>
    <x v="18"/>
    <x v="2"/>
  </r>
  <r>
    <x v="17"/>
    <x v="0"/>
    <x v="7"/>
    <x v="6"/>
  </r>
  <r>
    <x v="17"/>
    <x v="3"/>
    <x v="18"/>
    <x v="8"/>
  </r>
  <r>
    <x v="18"/>
    <x v="0"/>
    <x v="7"/>
    <x v="5"/>
  </r>
  <r>
    <x v="19"/>
    <x v="0"/>
    <x v="0"/>
    <x v="5"/>
  </r>
  <r>
    <x v="19"/>
    <x v="0"/>
    <x v="1"/>
    <x v="0"/>
  </r>
  <r>
    <x v="19"/>
    <x v="0"/>
    <x v="2"/>
    <x v="0"/>
  </r>
  <r>
    <x v="19"/>
    <x v="0"/>
    <x v="21"/>
    <x v="0"/>
  </r>
  <r>
    <x v="19"/>
    <x v="1"/>
    <x v="17"/>
    <x v="2"/>
  </r>
  <r>
    <x v="19"/>
    <x v="1"/>
    <x v="8"/>
    <x v="0"/>
  </r>
  <r>
    <x v="19"/>
    <x v="1"/>
    <x v="3"/>
    <x v="9"/>
  </r>
  <r>
    <x v="20"/>
    <x v="1"/>
    <x v="1"/>
    <x v="5"/>
  </r>
  <r>
    <x v="21"/>
    <x v="1"/>
    <x v="8"/>
    <x v="2"/>
  </r>
  <r>
    <x v="22"/>
    <x v="1"/>
    <x v="3"/>
    <x v="2"/>
  </r>
  <r>
    <x v="23"/>
    <x v="1"/>
    <x v="1"/>
    <x v="5"/>
  </r>
  <r>
    <x v="24"/>
    <x v="1"/>
    <x v="7"/>
    <x v="2"/>
  </r>
  <r>
    <x v="24"/>
    <x v="1"/>
    <x v="12"/>
    <x v="2"/>
  </r>
  <r>
    <x v="24"/>
    <x v="1"/>
    <x v="3"/>
    <x v="2"/>
  </r>
  <r>
    <x v="24"/>
    <x v="1"/>
    <x v="3"/>
    <x v="2"/>
  </r>
  <r>
    <x v="25"/>
    <x v="1"/>
    <x v="6"/>
    <x v="2"/>
  </r>
  <r>
    <x v="25"/>
    <x v="1"/>
    <x v="10"/>
    <x v="2"/>
  </r>
  <r>
    <x v="25"/>
    <x v="0"/>
    <x v="6"/>
    <x v="7"/>
  </r>
  <r>
    <x v="25"/>
    <x v="0"/>
    <x v="1"/>
    <x v="0"/>
  </r>
  <r>
    <x v="25"/>
    <x v="0"/>
    <x v="2"/>
    <x v="7"/>
  </r>
  <r>
    <x v="26"/>
    <x v="1"/>
    <x v="1"/>
    <x v="2"/>
  </r>
  <r>
    <x v="26"/>
    <x v="1"/>
    <x v="6"/>
    <x v="0"/>
  </r>
  <r>
    <x v="26"/>
    <x v="1"/>
    <x v="23"/>
    <x v="0"/>
  </r>
  <r>
    <x v="26"/>
    <x v="0"/>
    <x v="13"/>
    <x v="7"/>
  </r>
  <r>
    <x v="26"/>
    <x v="0"/>
    <x v="24"/>
    <x v="0"/>
  </r>
  <r>
    <x v="27"/>
    <x v="0"/>
    <x v="1"/>
    <x v="7"/>
  </r>
  <r>
    <x v="28"/>
    <x v="0"/>
    <x v="6"/>
    <x v="0"/>
  </r>
  <r>
    <x v="28"/>
    <x v="0"/>
    <x v="13"/>
    <x v="5"/>
  </r>
  <r>
    <x v="29"/>
    <x v="0"/>
    <x v="25"/>
    <x v="0"/>
  </r>
  <r>
    <x v="30"/>
    <x v="0"/>
    <x v="1"/>
    <x v="0"/>
  </r>
  <r>
    <x v="30"/>
    <x v="0"/>
    <x v="2"/>
    <x v="0"/>
  </r>
  <r>
    <x v="30"/>
    <x v="0"/>
    <x v="24"/>
    <x v="0"/>
  </r>
  <r>
    <x v="30"/>
    <x v="1"/>
    <x v="6"/>
    <x v="2"/>
  </r>
  <r>
    <x v="30"/>
    <x v="1"/>
    <x v="23"/>
    <x v="2"/>
  </r>
  <r>
    <x v="30"/>
    <x v="0"/>
    <x v="22"/>
    <x v="0"/>
  </r>
  <r>
    <x v="31"/>
    <x v="0"/>
    <x v="18"/>
    <x v="5"/>
  </r>
  <r>
    <x v="31"/>
    <x v="0"/>
    <x v="1"/>
    <x v="0"/>
  </r>
  <r>
    <x v="31"/>
    <x v="1"/>
    <x v="1"/>
    <x v="2"/>
  </r>
  <r>
    <x v="32"/>
    <x v="0"/>
    <x v="1"/>
    <x v="0"/>
  </r>
  <r>
    <x v="32"/>
    <x v="0"/>
    <x v="10"/>
    <x v="0"/>
  </r>
  <r>
    <x v="32"/>
    <x v="0"/>
    <x v="6"/>
    <x v="0"/>
  </r>
  <r>
    <x v="32"/>
    <x v="0"/>
    <x v="22"/>
    <x v="0"/>
  </r>
  <r>
    <x v="32"/>
    <x v="0"/>
    <x v="26"/>
    <x v="0"/>
  </r>
  <r>
    <x v="33"/>
    <x v="0"/>
    <x v="7"/>
    <x v="5"/>
  </r>
  <r>
    <x v="33"/>
    <x v="0"/>
    <x v="12"/>
    <x v="5"/>
  </r>
  <r>
    <x v="33"/>
    <x v="0"/>
    <x v="6"/>
    <x v="5"/>
  </r>
  <r>
    <x v="34"/>
    <x v="0"/>
    <x v="18"/>
    <x v="5"/>
  </r>
  <r>
    <x v="34"/>
    <x v="0"/>
    <x v="13"/>
    <x v="0"/>
  </r>
  <r>
    <x v="34"/>
    <x v="0"/>
    <x v="3"/>
    <x v="0"/>
  </r>
  <r>
    <x v="34"/>
    <x v="0"/>
    <x v="3"/>
    <x v="0"/>
  </r>
  <r>
    <x v="34"/>
    <x v="0"/>
    <x v="14"/>
    <x v="0"/>
  </r>
  <r>
    <x v="35"/>
    <x v="0"/>
    <x v="6"/>
    <x v="0"/>
  </r>
  <r>
    <x v="35"/>
    <x v="0"/>
    <x v="18"/>
    <x v="0"/>
  </r>
  <r>
    <x v="35"/>
    <x v="0"/>
    <x v="11"/>
    <x v="0"/>
  </r>
  <r>
    <x v="35"/>
    <x v="0"/>
    <x v="27"/>
    <x v="0"/>
  </r>
  <r>
    <x v="35"/>
    <x v="0"/>
    <x v="26"/>
    <x v="0"/>
  </r>
  <r>
    <x v="35"/>
    <x v="1"/>
    <x v="12"/>
    <x v="0"/>
  </r>
  <r>
    <x v="35"/>
    <x v="1"/>
    <x v="17"/>
    <x v="0"/>
  </r>
  <r>
    <x v="35"/>
    <x v="1"/>
    <x v="9"/>
    <x v="0"/>
  </r>
  <r>
    <x v="35"/>
    <x v="1"/>
    <x v="23"/>
    <x v="0"/>
  </r>
  <r>
    <x v="35"/>
    <x v="0"/>
    <x v="1"/>
    <x v="0"/>
  </r>
  <r>
    <x v="35"/>
    <x v="0"/>
    <x v="2"/>
    <x v="0"/>
  </r>
  <r>
    <x v="35"/>
    <x v="0"/>
    <x v="0"/>
    <x v="0"/>
  </r>
  <r>
    <x v="35"/>
    <x v="0"/>
    <x v="25"/>
    <x v="0"/>
  </r>
  <r>
    <x v="35"/>
    <x v="1"/>
    <x v="10"/>
    <x v="2"/>
  </r>
  <r>
    <x v="35"/>
    <x v="1"/>
    <x v="14"/>
    <x v="2"/>
  </r>
  <r>
    <x v="35"/>
    <x v="0"/>
    <x v="24"/>
    <x v="0"/>
  </r>
  <r>
    <x v="35"/>
    <x v="1"/>
    <x v="22"/>
    <x v="2"/>
  </r>
  <r>
    <x v="35"/>
    <x v="1"/>
    <x v="3"/>
    <x v="2"/>
  </r>
  <r>
    <x v="36"/>
    <x v="0"/>
    <x v="1"/>
    <x v="0"/>
  </r>
  <r>
    <x v="37"/>
    <x v="0"/>
    <x v="1"/>
    <x v="0"/>
  </r>
  <r>
    <x v="37"/>
    <x v="0"/>
    <x v="2"/>
    <x v="0"/>
  </r>
  <r>
    <x v="37"/>
    <x v="1"/>
    <x v="14"/>
    <x v="0"/>
  </r>
  <r>
    <x v="38"/>
    <x v="0"/>
    <x v="2"/>
    <x v="0"/>
  </r>
  <r>
    <x v="39"/>
    <x v="0"/>
    <x v="1"/>
    <x v="0"/>
  </r>
  <r>
    <x v="40"/>
    <x v="1"/>
    <x v="14"/>
    <x v="2"/>
  </r>
  <r>
    <x v="40"/>
    <x v="1"/>
    <x v="8"/>
    <x v="2"/>
  </r>
  <r>
    <x v="40"/>
    <x v="1"/>
    <x v="10"/>
    <x v="2"/>
  </r>
  <r>
    <x v="40"/>
    <x v="1"/>
    <x v="18"/>
    <x v="2"/>
  </r>
  <r>
    <x v="40"/>
    <x v="1"/>
    <x v="12"/>
    <x v="2"/>
  </r>
  <r>
    <x v="40"/>
    <x v="0"/>
    <x v="19"/>
    <x v="5"/>
  </r>
  <r>
    <x v="40"/>
    <x v="0"/>
    <x v="8"/>
    <x v="5"/>
  </r>
  <r>
    <x v="40"/>
    <x v="0"/>
    <x v="13"/>
    <x v="5"/>
  </r>
  <r>
    <x v="40"/>
    <x v="0"/>
    <x v="3"/>
    <x v="5"/>
  </r>
  <r>
    <x v="40"/>
    <x v="0"/>
    <x v="4"/>
    <x v="0"/>
  </r>
  <r>
    <x v="40"/>
    <x v="1"/>
    <x v="25"/>
    <x v="0"/>
  </r>
  <r>
    <x v="40"/>
    <x v="1"/>
    <x v="15"/>
    <x v="0"/>
  </r>
  <r>
    <x v="40"/>
    <x v="0"/>
    <x v="27"/>
    <x v="0"/>
  </r>
  <r>
    <x v="40"/>
    <x v="0"/>
    <x v="28"/>
    <x v="0"/>
  </r>
  <r>
    <x v="40"/>
    <x v="0"/>
    <x v="29"/>
    <x v="0"/>
  </r>
  <r>
    <x v="41"/>
    <x v="0"/>
    <x v="1"/>
    <x v="0"/>
  </r>
  <r>
    <x v="42"/>
    <x v="0"/>
    <x v="2"/>
    <x v="0"/>
  </r>
  <r>
    <x v="42"/>
    <x v="1"/>
    <x v="0"/>
    <x v="10"/>
  </r>
  <r>
    <x v="42"/>
    <x v="1"/>
    <x v="23"/>
    <x v="0"/>
  </r>
  <r>
    <x v="42"/>
    <x v="0"/>
    <x v="2"/>
    <x v="0"/>
  </r>
  <r>
    <x v="43"/>
    <x v="1"/>
    <x v="12"/>
    <x v="10"/>
  </r>
  <r>
    <x v="43"/>
    <x v="1"/>
    <x v="8"/>
    <x v="10"/>
  </r>
  <r>
    <x v="43"/>
    <x v="1"/>
    <x v="23"/>
    <x v="0"/>
  </r>
  <r>
    <x v="43"/>
    <x v="0"/>
    <x v="2"/>
    <x v="0"/>
  </r>
  <r>
    <x v="43"/>
    <x v="0"/>
    <x v="24"/>
    <x v="0"/>
  </r>
  <r>
    <x v="43"/>
    <x v="0"/>
    <x v="21"/>
    <x v="0"/>
  </r>
  <r>
    <x v="44"/>
    <x v="0"/>
    <x v="1"/>
    <x v="0"/>
  </r>
  <r>
    <x v="45"/>
    <x v="0"/>
    <x v="1"/>
    <x v="0"/>
  </r>
  <r>
    <x v="46"/>
    <x v="1"/>
    <x v="19"/>
    <x v="10"/>
  </r>
  <r>
    <x v="47"/>
    <x v="1"/>
    <x v="13"/>
    <x v="10"/>
  </r>
  <r>
    <x v="47"/>
    <x v="1"/>
    <x v="14"/>
    <x v="10"/>
  </r>
  <r>
    <x v="47"/>
    <x v="1"/>
    <x v="6"/>
    <x v="0"/>
  </r>
  <r>
    <x v="47"/>
    <x v="0"/>
    <x v="0"/>
    <x v="5"/>
  </r>
  <r>
    <x v="47"/>
    <x v="0"/>
    <x v="2"/>
    <x v="0"/>
  </r>
  <r>
    <x v="47"/>
    <x v="0"/>
    <x v="24"/>
    <x v="0"/>
  </r>
  <r>
    <x v="48"/>
    <x v="1"/>
    <x v="10"/>
    <x v="10"/>
  </r>
  <r>
    <x v="49"/>
    <x v="1"/>
    <x v="8"/>
    <x v="10"/>
  </r>
  <r>
    <x v="49"/>
    <x v="1"/>
    <x v="13"/>
    <x v="10"/>
  </r>
  <r>
    <x v="49"/>
    <x v="1"/>
    <x v="3"/>
    <x v="10"/>
  </r>
  <r>
    <x v="49"/>
    <x v="1"/>
    <x v="14"/>
    <x v="10"/>
  </r>
  <r>
    <x v="49"/>
    <x v="1"/>
    <x v="0"/>
    <x v="10"/>
  </r>
  <r>
    <x v="49"/>
    <x v="1"/>
    <x v="6"/>
    <x v="0"/>
  </r>
  <r>
    <x v="49"/>
    <x v="0"/>
    <x v="9"/>
    <x v="11"/>
  </r>
  <r>
    <x v="50"/>
    <x v="0"/>
    <x v="20"/>
    <x v="5"/>
  </r>
  <r>
    <x v="50"/>
    <x v="0"/>
    <x v="15"/>
    <x v="0"/>
  </r>
  <r>
    <x v="50"/>
    <x v="0"/>
    <x v="1"/>
    <x v="0"/>
  </r>
  <r>
    <x v="51"/>
    <x v="1"/>
    <x v="3"/>
    <x v="10"/>
  </r>
  <r>
    <x v="51"/>
    <x v="1"/>
    <x v="6"/>
    <x v="0"/>
  </r>
  <r>
    <x v="51"/>
    <x v="1"/>
    <x v="23"/>
    <x v="0"/>
  </r>
  <r>
    <x v="51"/>
    <x v="0"/>
    <x v="1"/>
    <x v="0"/>
  </r>
  <r>
    <x v="52"/>
    <x v="1"/>
    <x v="0"/>
    <x v="10"/>
  </r>
  <r>
    <x v="52"/>
    <x v="0"/>
    <x v="1"/>
    <x v="0"/>
  </r>
  <r>
    <x v="52"/>
    <x v="0"/>
    <x v="2"/>
    <x v="0"/>
  </r>
  <r>
    <x v="52"/>
    <x v="0"/>
    <x v="24"/>
    <x v="0"/>
  </r>
  <r>
    <x v="52"/>
    <x v="0"/>
    <x v="21"/>
    <x v="0"/>
  </r>
  <r>
    <x v="53"/>
    <x v="1"/>
    <x v="14"/>
    <x v="10"/>
  </r>
  <r>
    <x v="53"/>
    <x v="1"/>
    <x v="0"/>
    <x v="10"/>
  </r>
  <r>
    <x v="53"/>
    <x v="1"/>
    <x v="22"/>
    <x v="0"/>
  </r>
  <r>
    <x v="53"/>
    <x v="1"/>
    <x v="26"/>
    <x v="0"/>
  </r>
  <r>
    <x v="53"/>
    <x v="0"/>
    <x v="25"/>
    <x v="0"/>
  </r>
  <r>
    <x v="54"/>
    <x v="0"/>
    <x v="1"/>
    <x v="0"/>
  </r>
  <r>
    <x v="54"/>
    <x v="0"/>
    <x v="27"/>
    <x v="0"/>
  </r>
  <r>
    <x v="54"/>
    <x v="1"/>
    <x v="14"/>
    <x v="10"/>
  </r>
  <r>
    <x v="54"/>
    <x v="1"/>
    <x v="0"/>
    <x v="10"/>
  </r>
  <r>
    <x v="54"/>
    <x v="1"/>
    <x v="6"/>
    <x v="0"/>
  </r>
  <r>
    <x v="55"/>
    <x v="0"/>
    <x v="12"/>
    <x v="5"/>
  </r>
  <r>
    <x v="55"/>
    <x v="0"/>
    <x v="1"/>
    <x v="0"/>
  </r>
  <r>
    <x v="55"/>
    <x v="0"/>
    <x v="2"/>
    <x v="0"/>
  </r>
  <r>
    <x v="55"/>
    <x v="0"/>
    <x v="23"/>
    <x v="0"/>
  </r>
  <r>
    <x v="55"/>
    <x v="1"/>
    <x v="6"/>
    <x v="0"/>
  </r>
  <r>
    <x v="55"/>
    <x v="1"/>
    <x v="11"/>
    <x v="10"/>
  </r>
  <r>
    <x v="55"/>
    <x v="1"/>
    <x v="3"/>
    <x v="10"/>
  </r>
  <r>
    <x v="56"/>
    <x v="1"/>
    <x v="12"/>
    <x v="10"/>
  </r>
  <r>
    <x v="56"/>
    <x v="1"/>
    <x v="13"/>
    <x v="10"/>
  </r>
  <r>
    <x v="56"/>
    <x v="1"/>
    <x v="13"/>
    <x v="10"/>
  </r>
  <r>
    <x v="56"/>
    <x v="0"/>
    <x v="3"/>
    <x v="5"/>
  </r>
  <r>
    <x v="56"/>
    <x v="0"/>
    <x v="6"/>
    <x v="0"/>
  </r>
  <r>
    <x v="56"/>
    <x v="0"/>
    <x v="25"/>
    <x v="0"/>
  </r>
  <r>
    <x v="56"/>
    <x v="0"/>
    <x v="24"/>
    <x v="0"/>
  </r>
  <r>
    <x v="56"/>
    <x v="0"/>
    <x v="23"/>
    <x v="0"/>
  </r>
  <r>
    <x v="56"/>
    <x v="0"/>
    <x v="22"/>
    <x v="0"/>
  </r>
  <r>
    <x v="57"/>
    <x v="0"/>
    <x v="18"/>
    <x v="12"/>
  </r>
  <r>
    <x v="57"/>
    <x v="1"/>
    <x v="7"/>
    <x v="10"/>
  </r>
  <r>
    <x v="58"/>
    <x v="1"/>
    <x v="7"/>
    <x v="10"/>
  </r>
  <r>
    <x v="59"/>
    <x v="1"/>
    <x v="7"/>
    <x v="10"/>
  </r>
  <r>
    <x v="60"/>
    <x v="1"/>
    <x v="7"/>
    <x v="10"/>
  </r>
  <r>
    <x v="61"/>
    <x v="1"/>
    <x v="12"/>
    <x v="10"/>
  </r>
  <r>
    <x v="62"/>
    <x v="1"/>
    <x v="12"/>
    <x v="10"/>
  </r>
  <r>
    <x v="60"/>
    <x v="1"/>
    <x v="12"/>
    <x v="10"/>
  </r>
  <r>
    <x v="60"/>
    <x v="1"/>
    <x v="19"/>
    <x v="10"/>
  </r>
  <r>
    <x v="60"/>
    <x v="1"/>
    <x v="20"/>
    <x v="10"/>
  </r>
  <r>
    <x v="63"/>
    <x v="1"/>
    <x v="8"/>
    <x v="10"/>
  </r>
  <r>
    <x v="64"/>
    <x v="1"/>
    <x v="8"/>
    <x v="10"/>
  </r>
  <r>
    <x v="65"/>
    <x v="1"/>
    <x v="8"/>
    <x v="10"/>
  </r>
  <r>
    <x v="59"/>
    <x v="1"/>
    <x v="8"/>
    <x v="10"/>
  </r>
  <r>
    <x v="57"/>
    <x v="0"/>
    <x v="11"/>
    <x v="2"/>
  </r>
  <r>
    <x v="66"/>
    <x v="1"/>
    <x v="11"/>
    <x v="2"/>
  </r>
  <r>
    <x v="67"/>
    <x v="1"/>
    <x v="11"/>
    <x v="2"/>
  </r>
  <r>
    <x v="61"/>
    <x v="1"/>
    <x v="11"/>
    <x v="2"/>
  </r>
  <r>
    <x v="68"/>
    <x v="1"/>
    <x v="11"/>
    <x v="2"/>
  </r>
  <r>
    <x v="69"/>
    <x v="1"/>
    <x v="11"/>
    <x v="2"/>
  </r>
  <r>
    <x v="70"/>
    <x v="1"/>
    <x v="11"/>
    <x v="2"/>
  </r>
  <r>
    <x v="59"/>
    <x v="1"/>
    <x v="11"/>
    <x v="2"/>
  </r>
  <r>
    <x v="60"/>
    <x v="0"/>
    <x v="11"/>
    <x v="2"/>
  </r>
  <r>
    <x v="57"/>
    <x v="0"/>
    <x v="3"/>
    <x v="13"/>
  </r>
  <r>
    <x v="66"/>
    <x v="0"/>
    <x v="3"/>
    <x v="13"/>
  </r>
  <r>
    <x v="68"/>
    <x v="1"/>
    <x v="3"/>
    <x v="2"/>
  </r>
  <r>
    <x v="65"/>
    <x v="1"/>
    <x v="3"/>
    <x v="2"/>
  </r>
  <r>
    <x v="59"/>
    <x v="1"/>
    <x v="3"/>
    <x v="2"/>
  </r>
  <r>
    <x v="60"/>
    <x v="0"/>
    <x v="3"/>
    <x v="13"/>
  </r>
  <r>
    <x v="57"/>
    <x v="0"/>
    <x v="4"/>
    <x v="12"/>
  </r>
  <r>
    <x v="61"/>
    <x v="1"/>
    <x v="4"/>
    <x v="2"/>
  </r>
  <r>
    <x v="70"/>
    <x v="0"/>
    <x v="4"/>
    <x v="5"/>
  </r>
  <r>
    <x v="60"/>
    <x v="0"/>
    <x v="4"/>
    <x v="5"/>
  </r>
  <r>
    <x v="57"/>
    <x v="0"/>
    <x v="5"/>
    <x v="5"/>
  </r>
  <r>
    <x v="70"/>
    <x v="0"/>
    <x v="5"/>
    <x v="5"/>
  </r>
  <r>
    <x v="60"/>
    <x v="1"/>
    <x v="5"/>
    <x v="2"/>
  </r>
  <r>
    <x v="66"/>
    <x v="1"/>
    <x v="0"/>
    <x v="2"/>
  </r>
  <r>
    <x v="64"/>
    <x v="1"/>
    <x v="0"/>
    <x v="2"/>
  </r>
  <r>
    <x v="60"/>
    <x v="1"/>
    <x v="0"/>
    <x v="2"/>
  </r>
  <r>
    <x v="57"/>
    <x v="0"/>
    <x v="6"/>
    <x v="12"/>
  </r>
  <r>
    <x v="66"/>
    <x v="1"/>
    <x v="6"/>
    <x v="2"/>
  </r>
  <r>
    <x v="68"/>
    <x v="1"/>
    <x v="6"/>
    <x v="2"/>
  </r>
  <r>
    <x v="71"/>
    <x v="1"/>
    <x v="6"/>
    <x v="2"/>
  </r>
  <r>
    <x v="72"/>
    <x v="1"/>
    <x v="6"/>
    <x v="2"/>
  </r>
  <r>
    <x v="73"/>
    <x v="0"/>
    <x v="6"/>
    <x v="14"/>
  </r>
  <r>
    <x v="65"/>
    <x v="1"/>
    <x v="6"/>
    <x v="2"/>
  </r>
  <r>
    <x v="59"/>
    <x v="1"/>
    <x v="25"/>
    <x v="2"/>
  </r>
  <r>
    <x v="64"/>
    <x v="0"/>
    <x v="27"/>
    <x v="2"/>
  </r>
  <r>
    <x v="66"/>
    <x v="0"/>
    <x v="28"/>
    <x v="15"/>
  </r>
  <r>
    <x v="70"/>
    <x v="1"/>
    <x v="28"/>
    <x v="2"/>
  </r>
  <r>
    <x v="62"/>
    <x v="1"/>
    <x v="28"/>
    <x v="2"/>
  </r>
  <r>
    <x v="60"/>
    <x v="1"/>
    <x v="28"/>
    <x v="2"/>
  </r>
  <r>
    <x v="70"/>
    <x v="0"/>
    <x v="29"/>
    <x v="5"/>
  </r>
  <r>
    <x v="62"/>
    <x v="1"/>
    <x v="29"/>
    <x v="2"/>
  </r>
  <r>
    <x v="60"/>
    <x v="0"/>
    <x v="29"/>
    <x v="5"/>
  </r>
  <r>
    <x v="64"/>
    <x v="0"/>
    <x v="23"/>
    <x v="16"/>
  </r>
  <r>
    <x v="74"/>
    <x v="0"/>
    <x v="23"/>
    <x v="13"/>
  </r>
  <r>
    <x v="67"/>
    <x v="1"/>
    <x v="22"/>
    <x v="0"/>
  </r>
  <r>
    <x v="64"/>
    <x v="0"/>
    <x v="22"/>
    <x v="0"/>
  </r>
  <r>
    <x v="72"/>
    <x v="1"/>
    <x v="22"/>
    <x v="0"/>
  </r>
  <r>
    <x v="71"/>
    <x v="1"/>
    <x v="26"/>
    <x v="0"/>
  </r>
  <r>
    <x v="58"/>
    <x v="0"/>
    <x v="26"/>
    <x v="0"/>
  </r>
  <r>
    <x v="75"/>
    <x v="4"/>
    <x v="30"/>
    <x v="17"/>
  </r>
  <r>
    <x v="75"/>
    <x v="4"/>
    <x v="30"/>
    <x v="17"/>
  </r>
  <r>
    <x v="75"/>
    <x v="4"/>
    <x v="30"/>
    <x v="17"/>
  </r>
  <r>
    <x v="75"/>
    <x v="4"/>
    <x v="30"/>
    <x v="17"/>
  </r>
  <r>
    <x v="75"/>
    <x v="4"/>
    <x v="30"/>
    <x v="17"/>
  </r>
  <r>
    <x v="75"/>
    <x v="4"/>
    <x v="30"/>
    <x v="17"/>
  </r>
  <r>
    <x v="75"/>
    <x v="4"/>
    <x v="30"/>
    <x v="17"/>
  </r>
  <r>
    <x v="75"/>
    <x v="4"/>
    <x v="30"/>
    <x v="17"/>
  </r>
  <r>
    <x v="75"/>
    <x v="4"/>
    <x v="30"/>
    <x v="17"/>
  </r>
  <r>
    <x v="75"/>
    <x v="4"/>
    <x v="30"/>
    <x v="17"/>
  </r>
  <r>
    <x v="75"/>
    <x v="4"/>
    <x v="30"/>
    <x v="17"/>
  </r>
  <r>
    <x v="75"/>
    <x v="4"/>
    <x v="30"/>
    <x v="17"/>
  </r>
  <r>
    <x v="75"/>
    <x v="4"/>
    <x v="30"/>
    <x v="17"/>
  </r>
</pivotCacheRecords>
</file>

<file path=xl/pivotCache/pivotCacheRecords1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s v="Sunday"/>
    <x v="0"/>
    <n v="20"/>
    <n v="0"/>
    <n v="0"/>
    <n v="1"/>
    <n v="0"/>
    <n v="0"/>
    <n v="1"/>
  </r>
  <r>
    <s v="Monday"/>
    <x v="1"/>
    <n v="102"/>
    <n v="7"/>
    <n v="10"/>
    <n v="1"/>
    <n v="1.7339956884431531E-3"/>
    <n v="6.8627450980392163E-2"/>
    <n v="0.92976034858387802"/>
  </r>
  <r>
    <s v="Tuesday"/>
    <x v="2"/>
    <n v="98"/>
    <n v="4"/>
    <n v="7"/>
    <n v="1"/>
    <n v="9.2283665791154969E-4"/>
    <n v="4.0816326530612242E-2"/>
    <n v="0.95829931972789117"/>
  </r>
  <r>
    <s v="Wednesday"/>
    <x v="3"/>
    <n v="98"/>
    <n v="2"/>
    <n v="7"/>
    <n v="1"/>
    <n v="1.7623597068917539E-3"/>
    <n v="2.0408163265306121E-2"/>
    <n v="0.9778684807256236"/>
  </r>
  <r>
    <s v="Thursday"/>
    <x v="4"/>
    <n v="106"/>
    <n v="3"/>
    <n v="7"/>
    <n v="0"/>
    <n v="3.4856784082790276E-3"/>
    <n v="2.8301886792452831E-2"/>
    <n v="0.96832285115303984"/>
  </r>
  <r>
    <s v="Friday"/>
    <x v="5"/>
    <m/>
    <m/>
    <m/>
    <m/>
    <m/>
    <m/>
    <m/>
  </r>
  <r>
    <s v="Saturday"/>
    <x v="6"/>
    <m/>
    <m/>
    <m/>
    <m/>
    <m/>
    <m/>
    <m/>
  </r>
</pivotCacheRecords>
</file>

<file path=xl/pivotCache/pivotCacheRecords1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x v="0"/>
    <n v="25"/>
    <n v="2"/>
    <n v="1"/>
    <n v="0"/>
    <n v="0.08"/>
    <n v="2.4213075060532689E-3"/>
    <n v="0.9177777777777778"/>
  </r>
  <r>
    <x v="1"/>
    <x v="1"/>
    <n v="105"/>
    <n v="7"/>
    <n v="4"/>
    <n v="2"/>
    <n v="6.6666666666666666E-2"/>
    <n v="8.1699346405228761E-4"/>
    <n v="0.93257142857142861"/>
  </r>
  <r>
    <x v="2"/>
    <x v="2"/>
    <n v="100"/>
    <n v="5"/>
    <n v="6"/>
    <n v="0"/>
    <n v="0.05"/>
    <n v="2.1097046413502108E-3"/>
    <n v="0.94799999999999995"/>
  </r>
  <r>
    <x v="3"/>
    <x v="3"/>
    <n v="99"/>
    <n v="3"/>
    <n v="11"/>
    <n v="1"/>
    <n v="3.0303030303030304E-2"/>
    <n v="7.2277920261133131E-3"/>
    <n v="0.96273849607182937"/>
  </r>
  <r>
    <x v="4"/>
    <x v="4"/>
    <n v="106"/>
    <n v="3"/>
    <n v="7"/>
    <n v="3"/>
    <n v="2.8301886792452831E-2"/>
    <n v="2.0105065179324209E-3"/>
    <n v="0.96974842767295599"/>
  </r>
</pivotCacheRecords>
</file>

<file path=xl/pivotCache/pivotCacheRecords1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x v="0"/>
    <x v="0"/>
    <x v="0"/>
  </r>
  <r>
    <x v="1"/>
    <x v="0"/>
    <x v="1"/>
    <x v="1"/>
  </r>
  <r>
    <x v="2"/>
    <x v="0"/>
    <x v="2"/>
    <x v="1"/>
  </r>
  <r>
    <x v="3"/>
    <x v="1"/>
    <x v="3"/>
    <x v="1"/>
  </r>
  <r>
    <x v="3"/>
    <x v="1"/>
    <x v="4"/>
    <x v="1"/>
  </r>
  <r>
    <x v="3"/>
    <x v="1"/>
    <x v="5"/>
    <x v="1"/>
  </r>
  <r>
    <x v="3"/>
    <x v="1"/>
    <x v="6"/>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F44F0E4-7066-4727-BAAC-139ED0CDBBB5}" name="PivotTable5" cacheId="30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T1:X8" firstHeaderRow="0" firstDataRow="1" firstDataCol="1"/>
  <pivotFields count="18">
    <pivotField axis="axisRow" showAll="0">
      <items count="8">
        <item x="5"/>
        <item x="0"/>
        <item x="2"/>
        <item x="4"/>
        <item x="3"/>
        <item x="1"/>
        <item h="1" x="6"/>
        <item t="default"/>
      </items>
    </pivotField>
    <pivotField showAll="0"/>
    <pivotField showAll="0"/>
    <pivotField showAll="0"/>
    <pivotField showAll="0"/>
    <pivotField showAll="0"/>
    <pivotField showAll="0"/>
    <pivotField showAll="0"/>
    <pivotField showAll="0"/>
    <pivotField showAll="0"/>
    <pivotField dataField="1" showAll="0"/>
    <pivotField dataField="1" showAll="0"/>
    <pivotField showAll="0"/>
    <pivotField dataField="1" showAll="0"/>
    <pivotField dataField="1" showAll="0"/>
    <pivotField showAll="0"/>
    <pivotField showAll="0"/>
    <pivotField showAll="0"/>
  </pivotFields>
  <rowFields count="1">
    <field x="0"/>
  </rowFields>
  <rowItems count="7">
    <i>
      <x/>
    </i>
    <i>
      <x v="1"/>
    </i>
    <i>
      <x v="2"/>
    </i>
    <i>
      <x v="3"/>
    </i>
    <i>
      <x v="4"/>
    </i>
    <i>
      <x v="5"/>
    </i>
    <i t="grand">
      <x/>
    </i>
  </rowItems>
  <colFields count="1">
    <field x="-2"/>
  </colFields>
  <colItems count="4">
    <i>
      <x/>
    </i>
    <i i="1">
      <x v="1"/>
    </i>
    <i i="2">
      <x v="2"/>
    </i>
    <i i="3">
      <x v="3"/>
    </i>
  </colItems>
  <dataFields count="4">
    <dataField name="Sum of Tardiness" fld="10" baseField="0" baseItem="0"/>
    <dataField name="Sum of Absences" fld="11" baseField="0" baseItem="0"/>
    <dataField name="Sum of Target" fld="13" baseField="0" baseItem="0"/>
    <dataField name="Sum of Completed"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9CAF501-C242-493F-BA6A-CB6BA90FF9D0}" name="PivotTable15" cacheId="30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T11:U49" firstHeaderRow="1" firstDataRow="1" firstDataCol="1"/>
  <pivotFields count="18">
    <pivotField axis="axisRow" showAll="0">
      <items count="8">
        <item h="1" x="5"/>
        <item h="1" x="0"/>
        <item h="1" x="2"/>
        <item h="1" x="4"/>
        <item h="1" x="3"/>
        <item x="1"/>
        <item h="1" x="6"/>
        <item t="default"/>
      </items>
    </pivotField>
    <pivotField axis="axisRow" showAll="0">
      <items count="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2">
    <field x="0"/>
    <field x="1"/>
  </rowFields>
  <rowItems count="38">
    <i>
      <x v="5"/>
    </i>
    <i r="1">
      <x v="1"/>
    </i>
    <i r="1">
      <x v="2"/>
    </i>
    <i r="1">
      <x v="4"/>
    </i>
    <i r="1">
      <x v="10"/>
    </i>
    <i r="1">
      <x v="11"/>
    </i>
    <i r="1">
      <x v="12"/>
    </i>
    <i r="1">
      <x v="13"/>
    </i>
    <i r="1">
      <x v="14"/>
    </i>
    <i r="1">
      <x v="16"/>
    </i>
    <i r="1">
      <x v="17"/>
    </i>
    <i r="1">
      <x v="22"/>
    </i>
    <i r="1">
      <x v="24"/>
    </i>
    <i r="1">
      <x v="27"/>
    </i>
    <i r="1">
      <x v="29"/>
    </i>
    <i r="1">
      <x v="32"/>
    </i>
    <i r="1">
      <x v="36"/>
    </i>
    <i r="1">
      <x v="37"/>
    </i>
    <i r="1">
      <x v="38"/>
    </i>
    <i r="1">
      <x v="42"/>
    </i>
    <i r="1">
      <x v="43"/>
    </i>
    <i r="1">
      <x v="45"/>
    </i>
    <i r="1">
      <x v="50"/>
    </i>
    <i r="1">
      <x v="52"/>
    </i>
    <i r="1">
      <x v="55"/>
    </i>
    <i r="1">
      <x v="57"/>
    </i>
    <i r="1">
      <x v="63"/>
    </i>
    <i r="1">
      <x v="68"/>
    </i>
    <i r="1">
      <x v="69"/>
    </i>
    <i r="1">
      <x v="72"/>
    </i>
    <i r="1">
      <x v="79"/>
    </i>
    <i r="1">
      <x v="83"/>
    </i>
    <i r="1">
      <x v="84"/>
    </i>
    <i r="1">
      <x v="86"/>
    </i>
    <i r="1">
      <x v="91"/>
    </i>
    <i r="1">
      <x v="93"/>
    </i>
    <i r="1">
      <x v="94"/>
    </i>
    <i t="grand">
      <x/>
    </i>
  </rowItems>
  <colItems count="1">
    <i/>
  </colItems>
  <dataFields count="1">
    <dataField name="Sum of Completed"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EA976DE-81B4-4AC4-82EB-8F26598F1170}" name="PivotTable105" cacheId="30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9" firstHeaderRow="0" firstDataRow="1" firstDataCol="1"/>
  <pivotFields count="22">
    <pivotField axis="axisRow" showAll="0">
      <items count="8">
        <item m="1" x="6"/>
        <item x="0"/>
        <item x="2"/>
        <item x="3"/>
        <item m="1" x="5"/>
        <item x="1"/>
        <item x="4"/>
        <item t="default"/>
      </items>
    </pivotField>
    <pivotField showAll="0"/>
    <pivotField showAll="0"/>
    <pivotField showAll="0"/>
    <pivotField dataField="1" showAll="0"/>
    <pivotField dataField="1"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6">
    <i>
      <x v="1"/>
    </i>
    <i>
      <x v="2"/>
    </i>
    <i>
      <x v="3"/>
    </i>
    <i>
      <x v="5"/>
    </i>
    <i>
      <x v="6"/>
    </i>
    <i t="grand">
      <x/>
    </i>
  </rowItems>
  <colFields count="1">
    <field x="-2"/>
  </colFields>
  <colItems count="3">
    <i>
      <x/>
    </i>
    <i i="1">
      <x v="1"/>
    </i>
    <i i="2">
      <x v="2"/>
    </i>
  </colItems>
  <dataFields count="3">
    <dataField name="Sum of Target" fld="7" baseField="0" baseItem="0"/>
    <dataField name="Sum of Tardiness" fld="4" baseField="0" baseItem="0"/>
    <dataField name="Sum of Absence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5C4EF5D-CAB2-4D0E-9691-622A569BFBC2}" name="PivotTable142" cacheId="30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0:E34" firstHeaderRow="0" firstDataRow="1" firstDataCol="1"/>
  <pivotFields count="22">
    <pivotField axis="axisRow" showAll="0">
      <items count="8">
        <item m="1" x="6"/>
        <item x="0"/>
        <item x="2"/>
        <item x="3"/>
        <item m="1" x="5"/>
        <item x="1"/>
        <item h="1" x="4"/>
        <item t="default"/>
      </items>
    </pivotField>
    <pivotField axis="axisRow" showAll="0">
      <items count="12">
        <item x="3"/>
        <item x="9"/>
        <item x="6"/>
        <item x="7"/>
        <item x="0"/>
        <item x="4"/>
        <item x="2"/>
        <item x="8"/>
        <item h="1" x="5"/>
        <item x="1"/>
        <item h="1" x="10"/>
        <item t="default"/>
      </items>
    </pivotField>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s>
  <rowFields count="2">
    <field x="0"/>
    <field x="1"/>
  </rowFields>
  <rowItems count="14">
    <i>
      <x v="1"/>
    </i>
    <i r="1">
      <x v="1"/>
    </i>
    <i r="1">
      <x v="3"/>
    </i>
    <i r="1">
      <x v="4"/>
    </i>
    <i r="1">
      <x v="6"/>
    </i>
    <i r="1">
      <x v="7"/>
    </i>
    <i>
      <x v="2"/>
    </i>
    <i r="1">
      <x v="5"/>
    </i>
    <i>
      <x v="3"/>
    </i>
    <i r="1">
      <x v="2"/>
    </i>
    <i>
      <x v="5"/>
    </i>
    <i r="1">
      <x/>
    </i>
    <i r="1">
      <x v="9"/>
    </i>
    <i t="grand">
      <x/>
    </i>
  </rowItems>
  <colFields count="1">
    <field x="-2"/>
  </colFields>
  <colItems count="4">
    <i>
      <x/>
    </i>
    <i i="1">
      <x v="1"/>
    </i>
    <i i="2">
      <x v="2"/>
    </i>
    <i i="3">
      <x v="3"/>
    </i>
  </colItems>
  <dataFields count="4">
    <dataField name="Sum of SL" fld="13" baseField="0" baseItem="0"/>
    <dataField name="Sum of Absent" fld="11" baseField="0" baseItem="0"/>
    <dataField name="Sum of VL" fld="12" baseField="0" baseItem="0"/>
    <dataField name="Sum of LWOP"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E608D55-36CC-4555-9BAB-3EAEFD9701FA}" name="PivotTable107" cacheId="30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L17" firstHeaderRow="0" firstDataRow="1" firstDataCol="1"/>
  <pivotFields count="22">
    <pivotField axis="axisRow" showAll="0">
      <items count="8">
        <item m="1" x="6"/>
        <item x="0"/>
        <item x="2"/>
        <item x="3"/>
        <item m="1" x="5"/>
        <item x="1"/>
        <item h="1" x="4"/>
        <item t="default"/>
      </items>
    </pivotField>
    <pivotField axis="axisRow" showAll="0">
      <items count="12">
        <item x="3"/>
        <item x="9"/>
        <item x="6"/>
        <item x="7"/>
        <item x="0"/>
        <item x="4"/>
        <item x="2"/>
        <item x="8"/>
        <item h="1" x="5"/>
        <item x="1"/>
        <item h="1" x="10"/>
        <item t="default"/>
      </items>
    </pivotField>
    <pivotField showAll="0"/>
    <pivotField showAll="0"/>
    <pivotField dataField="1" showAll="0"/>
    <pivotField dataField="1"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0"/>
    <field x="1"/>
  </rowFields>
  <rowItems count="14">
    <i>
      <x v="1"/>
    </i>
    <i r="1">
      <x v="1"/>
    </i>
    <i r="1">
      <x v="3"/>
    </i>
    <i r="1">
      <x v="4"/>
    </i>
    <i r="1">
      <x v="6"/>
    </i>
    <i r="1">
      <x v="7"/>
    </i>
    <i>
      <x v="2"/>
    </i>
    <i r="1">
      <x v="5"/>
    </i>
    <i>
      <x v="3"/>
    </i>
    <i r="1">
      <x v="2"/>
    </i>
    <i>
      <x v="5"/>
    </i>
    <i r="1">
      <x/>
    </i>
    <i r="1">
      <x v="9"/>
    </i>
    <i t="grand">
      <x/>
    </i>
  </rowItems>
  <colFields count="1">
    <field x="-2"/>
  </colFields>
  <colItems count="3">
    <i>
      <x/>
    </i>
    <i i="1">
      <x v="1"/>
    </i>
    <i i="2">
      <x v="2"/>
    </i>
  </colItems>
  <dataFields count="3">
    <dataField name="Sum of Target" fld="7" baseField="0" baseItem="0"/>
    <dataField name="Sum of Tardiness" fld="4" baseField="0" baseItem="0"/>
    <dataField name="Sum of Absence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C135AA5-9D12-44FC-909B-717954D5AF77}" name="PivotTable73" cacheId="30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D20" firstHeaderRow="1" firstDataRow="2" firstDataCol="1"/>
  <pivotFields count="22">
    <pivotField axis="axisRow" showAll="0">
      <items count="8">
        <item h="1" m="1" x="6"/>
        <item h="1" x="0"/>
        <item x="2"/>
        <item x="3"/>
        <item h="1" m="1" x="5"/>
        <item h="1" x="1"/>
        <item h="1" x="4"/>
        <item t="default"/>
      </items>
    </pivotField>
    <pivotField axis="axisCol" showAll="0">
      <items count="12">
        <item h="1" x="3"/>
        <item h="1" x="9"/>
        <item x="6"/>
        <item h="1" x="7"/>
        <item h="1" x="0"/>
        <item x="4"/>
        <item h="1" x="2"/>
        <item h="1" x="8"/>
        <item h="1" x="5"/>
        <item h="1" x="1"/>
        <item h="1" x="10"/>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3">
    <i>
      <x v="2"/>
    </i>
    <i>
      <x v="3"/>
    </i>
    <i t="grand">
      <x/>
    </i>
  </rowItems>
  <colFields count="1">
    <field x="1"/>
  </colFields>
  <colItems count="3">
    <i>
      <x v="2"/>
    </i>
    <i>
      <x v="5"/>
    </i>
    <i t="grand">
      <x/>
    </i>
  </colItems>
  <dataFields count="1">
    <dataField name="Average of Attendance" fld="9" subtotal="average" baseField="0" baseItem="0" numFmtId="9"/>
  </dataFields>
  <formats count="12">
    <format dxfId="11942">
      <pivotArea outline="0" collapsedLevelsAreSubtotals="1" fieldPosition="0"/>
    </format>
    <format dxfId="11943">
      <pivotArea dataOnly="0" labelOnly="1" outline="0" axis="axisValues" fieldPosition="0"/>
    </format>
    <format dxfId="11944">
      <pivotArea type="all" dataOnly="0" outline="0" fieldPosition="0"/>
    </format>
    <format dxfId="11945">
      <pivotArea outline="0" collapsedLevelsAreSubtotals="1" fieldPosition="0"/>
    </format>
    <format dxfId="11946">
      <pivotArea type="origin" dataOnly="0" labelOnly="1" outline="0" fieldPosition="0"/>
    </format>
    <format dxfId="11947">
      <pivotArea field="1" type="button" dataOnly="0" labelOnly="1" outline="0" axis="axisCol" fieldPosition="0"/>
    </format>
    <format dxfId="11948">
      <pivotArea type="topRight" dataOnly="0" labelOnly="1" outline="0" fieldPosition="0"/>
    </format>
    <format dxfId="11949">
      <pivotArea field="0" type="button" dataOnly="0" labelOnly="1" outline="0" axis="axisRow" fieldPosition="0"/>
    </format>
    <format dxfId="11950">
      <pivotArea dataOnly="0" labelOnly="1" fieldPosition="0">
        <references count="1">
          <reference field="0" count="0"/>
        </references>
      </pivotArea>
    </format>
    <format dxfId="11951">
      <pivotArea dataOnly="0" labelOnly="1" grandRow="1" outline="0" fieldPosition="0"/>
    </format>
    <format dxfId="11952">
      <pivotArea dataOnly="0" labelOnly="1" fieldPosition="0">
        <references count="1">
          <reference field="1" count="0"/>
        </references>
      </pivotArea>
    </format>
    <format dxfId="11953">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E911540-8BCD-4F12-9E07-12EE6CFE2267}" name="PivotTable72" cacheId="30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G14" firstHeaderRow="1" firstDataRow="2" firstDataCol="1"/>
  <pivotFields count="22">
    <pivotField axis="axisRow" showAll="0">
      <items count="8">
        <item h="1" m="1" x="6"/>
        <item x="0"/>
        <item h="1" x="2"/>
        <item h="1" x="3"/>
        <item h="1" m="1" x="5"/>
        <item h="1" x="1"/>
        <item h="1" x="4"/>
        <item t="default"/>
      </items>
    </pivotField>
    <pivotField axis="axisCol" showAll="0">
      <items count="12">
        <item h="1" x="3"/>
        <item x="9"/>
        <item h="1" x="6"/>
        <item x="7"/>
        <item x="0"/>
        <item h="1" x="4"/>
        <item x="2"/>
        <item x="8"/>
        <item h="1" x="5"/>
        <item h="1" x="1"/>
        <item h="1" x="10"/>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2">
    <i>
      <x v="1"/>
    </i>
    <i t="grand">
      <x/>
    </i>
  </rowItems>
  <colFields count="1">
    <field x="1"/>
  </colFields>
  <colItems count="6">
    <i>
      <x v="1"/>
    </i>
    <i>
      <x v="3"/>
    </i>
    <i>
      <x v="4"/>
    </i>
    <i>
      <x v="6"/>
    </i>
    <i>
      <x v="7"/>
    </i>
    <i t="grand">
      <x/>
    </i>
  </colItems>
  <dataFields count="1">
    <dataField name="Average of Attendance" fld="9" subtotal="average" baseField="0" baseItem="0" numFmtId="9"/>
  </dataFields>
  <formats count="12">
    <format dxfId="11930">
      <pivotArea outline="0" collapsedLevelsAreSubtotals="1" fieldPosition="0"/>
    </format>
    <format dxfId="11931">
      <pivotArea dataOnly="0" labelOnly="1" outline="0" axis="axisValues" fieldPosition="0"/>
    </format>
    <format dxfId="11932">
      <pivotArea type="all" dataOnly="0" outline="0" fieldPosition="0"/>
    </format>
    <format dxfId="11933">
      <pivotArea outline="0" collapsedLevelsAreSubtotals="1" fieldPosition="0"/>
    </format>
    <format dxfId="11934">
      <pivotArea type="origin" dataOnly="0" labelOnly="1" outline="0" fieldPosition="0"/>
    </format>
    <format dxfId="11935">
      <pivotArea field="1" type="button" dataOnly="0" labelOnly="1" outline="0" axis="axisCol" fieldPosition="0"/>
    </format>
    <format dxfId="11936">
      <pivotArea type="topRight" dataOnly="0" labelOnly="1" outline="0" fieldPosition="0"/>
    </format>
    <format dxfId="11937">
      <pivotArea field="0" type="button" dataOnly="0" labelOnly="1" outline="0" axis="axisRow" fieldPosition="0"/>
    </format>
    <format dxfId="11938">
      <pivotArea dataOnly="0" labelOnly="1" fieldPosition="0">
        <references count="1">
          <reference field="0" count="0"/>
        </references>
      </pivotArea>
    </format>
    <format dxfId="11939">
      <pivotArea dataOnly="0" labelOnly="1" grandRow="1" outline="0" fieldPosition="0"/>
    </format>
    <format dxfId="11940">
      <pivotArea dataOnly="0" labelOnly="1" fieldPosition="0">
        <references count="1">
          <reference field="1" count="0"/>
        </references>
      </pivotArea>
    </format>
    <format dxfId="11941">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45672AC-B816-4F6B-806E-DEA2E185BF7A}" name="PivotTable75" cacheId="30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2:K52" firstHeaderRow="1" firstDataRow="1" firstDataCol="1"/>
  <pivotFields count="22">
    <pivotField axis="axisRow" showAll="0">
      <items count="8">
        <item h="1" m="1" x="6"/>
        <item x="0"/>
        <item h="1" x="2"/>
        <item h="1" x="3"/>
        <item h="1" m="1" x="5"/>
        <item h="1" x="1"/>
        <item h="1" x="4"/>
        <item t="default"/>
      </items>
    </pivotField>
    <pivotField axis="axisRow" showAll="0">
      <items count="12">
        <item x="3"/>
        <item x="9"/>
        <item x="6"/>
        <item x="7"/>
        <item x="0"/>
        <item x="4"/>
        <item x="2"/>
        <item x="8"/>
        <item x="5"/>
        <item x="1"/>
        <item x="10"/>
        <item t="default"/>
      </items>
    </pivotField>
    <pivotField axis="axisRow" showAll="0">
      <items count="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Fields count="3">
    <field x="0"/>
    <field x="1"/>
    <field x="2"/>
  </rowFields>
  <rowItems count="50">
    <i>
      <x v="1"/>
    </i>
    <i r="1">
      <x v="1"/>
    </i>
    <i r="2">
      <x v="66"/>
    </i>
    <i r="2">
      <x v="90"/>
    </i>
    <i r="2">
      <x v="93"/>
    </i>
    <i r="2">
      <x v="96"/>
    </i>
    <i r="1">
      <x v="3"/>
    </i>
    <i r="2">
      <x v="21"/>
    </i>
    <i r="2">
      <x v="22"/>
    </i>
    <i r="2">
      <x v="27"/>
    </i>
    <i r="2">
      <x v="43"/>
    </i>
    <i r="2">
      <x v="50"/>
    </i>
    <i r="2">
      <x v="59"/>
    </i>
    <i r="2">
      <x v="60"/>
    </i>
    <i r="2">
      <x v="77"/>
    </i>
    <i r="2">
      <x v="82"/>
    </i>
    <i r="1">
      <x v="4"/>
    </i>
    <i r="2">
      <x/>
    </i>
    <i r="2">
      <x v="7"/>
    </i>
    <i r="2">
      <x v="8"/>
    </i>
    <i r="2">
      <x v="46"/>
    </i>
    <i r="2">
      <x v="65"/>
    </i>
    <i r="2">
      <x v="72"/>
    </i>
    <i r="2">
      <x v="86"/>
    </i>
    <i r="1">
      <x v="6"/>
    </i>
    <i r="2">
      <x v="3"/>
    </i>
    <i r="2">
      <x v="6"/>
    </i>
    <i r="2">
      <x v="40"/>
    </i>
    <i r="2">
      <x v="62"/>
    </i>
    <i r="2">
      <x v="76"/>
    </i>
    <i r="2">
      <x v="88"/>
    </i>
    <i r="2">
      <x v="89"/>
    </i>
    <i r="2">
      <x v="91"/>
    </i>
    <i r="1">
      <x v="7"/>
    </i>
    <i r="2">
      <x v="24"/>
    </i>
    <i r="2">
      <x v="26"/>
    </i>
    <i r="2">
      <x v="29"/>
    </i>
    <i r="2">
      <x v="35"/>
    </i>
    <i r="2">
      <x v="49"/>
    </i>
    <i r="2">
      <x v="67"/>
    </i>
    <i r="2">
      <x v="78"/>
    </i>
    <i r="2">
      <x v="81"/>
    </i>
    <i r="2">
      <x v="83"/>
    </i>
    <i r="1">
      <x v="8"/>
    </i>
    <i r="2">
      <x v="19"/>
    </i>
    <i r="2">
      <x v="36"/>
    </i>
    <i r="2">
      <x v="54"/>
    </i>
    <i r="2">
      <x v="63"/>
    </i>
    <i r="2">
      <x v="75"/>
    </i>
    <i t="grand">
      <x/>
    </i>
  </rowItems>
  <colItems count="1">
    <i/>
  </colItems>
  <dataFields count="1">
    <dataField name="Average of Attendance" fld="9" subtotal="average" baseField="0" baseItem="0" numFmtId="9"/>
  </dataFields>
  <formats count="8">
    <format dxfId="11922">
      <pivotArea outline="0" collapsedLevelsAreSubtotals="1" fieldPosition="0"/>
    </format>
    <format dxfId="11923">
      <pivotArea dataOnly="0" labelOnly="1" outline="0" axis="axisValues" fieldPosition="0"/>
    </format>
    <format dxfId="11924">
      <pivotArea type="all" dataOnly="0" outline="0" fieldPosition="0"/>
    </format>
    <format dxfId="11925">
      <pivotArea outline="0" collapsedLevelsAreSubtotals="1" fieldPosition="0"/>
    </format>
    <format dxfId="11926">
      <pivotArea field="0" type="button" dataOnly="0" labelOnly="1" outline="0" axis="axisRow" fieldPosition="0"/>
    </format>
    <format dxfId="11927">
      <pivotArea dataOnly="0" labelOnly="1" fieldPosition="0">
        <references count="1">
          <reference field="0" count="0"/>
        </references>
      </pivotArea>
    </format>
    <format dxfId="11928">
      <pivotArea dataOnly="0" labelOnly="1" grandRow="1" outline="0" fieldPosition="0"/>
    </format>
    <format dxfId="1192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713B5D0-9282-4422-8E6D-F4501066D7A4}" name="PivotTable78" cacheId="30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2:Q45" firstHeaderRow="1" firstDataRow="1" firstDataCol="1"/>
  <pivotFields count="22">
    <pivotField axis="axisRow" showAll="0">
      <items count="8">
        <item h="1" m="1" x="6"/>
        <item h="1" x="0"/>
        <item h="1" x="2"/>
        <item h="1" x="3"/>
        <item h="1" m="1" x="5"/>
        <item x="1"/>
        <item h="1" x="4"/>
        <item t="default"/>
      </items>
    </pivotField>
    <pivotField axis="axisRow" showAll="0">
      <items count="12">
        <item x="3"/>
        <item x="9"/>
        <item x="6"/>
        <item x="7"/>
        <item x="0"/>
        <item x="4"/>
        <item x="2"/>
        <item x="8"/>
        <item x="5"/>
        <item x="1"/>
        <item x="10"/>
        <item t="default"/>
      </items>
    </pivotField>
    <pivotField axis="axisRow" showAll="0">
      <items count="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Fields count="3">
    <field x="0"/>
    <field x="1"/>
    <field x="2"/>
  </rowFields>
  <rowItems count="43">
    <i>
      <x v="5"/>
    </i>
    <i r="1">
      <x/>
    </i>
    <i r="2">
      <x v="4"/>
    </i>
    <i r="2">
      <x v="11"/>
    </i>
    <i r="2">
      <x v="23"/>
    </i>
    <i r="2">
      <x v="38"/>
    </i>
    <i r="2">
      <x v="39"/>
    </i>
    <i r="2">
      <x v="41"/>
    </i>
    <i r="2">
      <x v="47"/>
    </i>
    <i r="2">
      <x v="51"/>
    </i>
    <i r="2">
      <x v="53"/>
    </i>
    <i r="2">
      <x v="56"/>
    </i>
    <i r="2">
      <x v="58"/>
    </i>
    <i r="2">
      <x v="64"/>
    </i>
    <i r="2">
      <x v="69"/>
    </i>
    <i r="2">
      <x v="80"/>
    </i>
    <i r="2">
      <x v="84"/>
    </i>
    <i r="2">
      <x v="85"/>
    </i>
    <i r="2">
      <x v="87"/>
    </i>
    <i r="1">
      <x v="8"/>
    </i>
    <i r="2">
      <x v="18"/>
    </i>
    <i r="2">
      <x v="95"/>
    </i>
    <i r="1">
      <x v="9"/>
    </i>
    <i r="2">
      <x v="1"/>
    </i>
    <i r="2">
      <x v="2"/>
    </i>
    <i r="2">
      <x v="10"/>
    </i>
    <i r="2">
      <x v="12"/>
    </i>
    <i r="2">
      <x v="13"/>
    </i>
    <i r="2">
      <x v="14"/>
    </i>
    <i r="2">
      <x v="15"/>
    </i>
    <i r="2">
      <x v="17"/>
    </i>
    <i r="2">
      <x v="25"/>
    </i>
    <i r="2">
      <x v="28"/>
    </i>
    <i r="2">
      <x v="30"/>
    </i>
    <i r="2">
      <x v="33"/>
    </i>
    <i r="2">
      <x v="37"/>
    </i>
    <i r="2">
      <x v="44"/>
    </i>
    <i r="2">
      <x v="45"/>
    </i>
    <i r="2">
      <x v="70"/>
    </i>
    <i r="2">
      <x v="73"/>
    </i>
    <i r="2">
      <x v="92"/>
    </i>
    <i r="2">
      <x v="94"/>
    </i>
    <i t="grand">
      <x/>
    </i>
  </rowItems>
  <colItems count="1">
    <i/>
  </colItems>
  <dataFields count="1">
    <dataField name="Average of Attendance" fld="9" subtotal="average" baseField="0" baseItem="0" numFmtId="9"/>
  </dataFields>
  <formats count="8">
    <format dxfId="11914">
      <pivotArea outline="0" collapsedLevelsAreSubtotals="1" fieldPosition="0"/>
    </format>
    <format dxfId="11915">
      <pivotArea dataOnly="0" labelOnly="1" outline="0" axis="axisValues" fieldPosition="0"/>
    </format>
    <format dxfId="11916">
      <pivotArea type="all" dataOnly="0" outline="0" fieldPosition="0"/>
    </format>
    <format dxfId="11917">
      <pivotArea outline="0" collapsedLevelsAreSubtotals="1" fieldPosition="0"/>
    </format>
    <format dxfId="11918">
      <pivotArea field="0" type="button" dataOnly="0" labelOnly="1" outline="0" axis="axisRow" fieldPosition="0"/>
    </format>
    <format dxfId="11919">
      <pivotArea dataOnly="0" labelOnly="1" fieldPosition="0">
        <references count="1">
          <reference field="0" count="0"/>
        </references>
      </pivotArea>
    </format>
    <format dxfId="11920">
      <pivotArea dataOnly="0" labelOnly="1" grandRow="1" outline="0" fieldPosition="0"/>
    </format>
    <format dxfId="1192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59AE16D-D142-4AD6-ADC1-EBF55AA80498}" name="PivotTable71" cacheId="30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22">
    <pivotField axis="axisRow" showAll="0">
      <items count="8">
        <item m="1" x="6"/>
        <item x="0"/>
        <item x="2"/>
        <item x="3"/>
        <item m="1" x="5"/>
        <item x="1"/>
        <item h="1" x="4"/>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5">
    <i>
      <x v="1"/>
    </i>
    <i>
      <x v="2"/>
    </i>
    <i>
      <x v="3"/>
    </i>
    <i>
      <x v="5"/>
    </i>
    <i t="grand">
      <x/>
    </i>
  </rowItems>
  <colItems count="1">
    <i/>
  </colItems>
  <dataFields count="1">
    <dataField name="Average of Attendance" fld="9" subtotal="average" baseField="0" baseItem="0" numFmtId="9"/>
  </dataFields>
  <formats count="8">
    <format dxfId="11906">
      <pivotArea outline="0" collapsedLevelsAreSubtotals="1" fieldPosition="0"/>
    </format>
    <format dxfId="11907">
      <pivotArea dataOnly="0" labelOnly="1" outline="0" axis="axisValues" fieldPosition="0"/>
    </format>
    <format dxfId="11908">
      <pivotArea type="all" dataOnly="0" outline="0" fieldPosition="0"/>
    </format>
    <format dxfId="11909">
      <pivotArea outline="0" collapsedLevelsAreSubtotals="1" fieldPosition="0"/>
    </format>
    <format dxfId="11910">
      <pivotArea field="0" type="button" dataOnly="0" labelOnly="1" outline="0" axis="axisRow" fieldPosition="0"/>
    </format>
    <format dxfId="11911">
      <pivotArea dataOnly="0" labelOnly="1" fieldPosition="0">
        <references count="1">
          <reference field="0" count="0"/>
        </references>
      </pivotArea>
    </format>
    <format dxfId="11912">
      <pivotArea dataOnly="0" labelOnly="1" grandRow="1" outline="0" fieldPosition="0"/>
    </format>
    <format dxfId="1191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0453B88-FCA1-4831-AAB0-D9A9C582D334}" name="PivotTable74" cacheId="30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2:D25" firstHeaderRow="1" firstDataRow="2" firstDataCol="1"/>
  <pivotFields count="22">
    <pivotField axis="axisRow" showAll="0">
      <items count="8">
        <item h="1" m="1" x="6"/>
        <item h="1" x="0"/>
        <item h="1" x="2"/>
        <item h="1" x="3"/>
        <item h="1" m="1" x="5"/>
        <item x="1"/>
        <item h="1" x="4"/>
        <item t="default"/>
      </items>
    </pivotField>
    <pivotField axis="axisCol" showAll="0">
      <items count="12">
        <item x="3"/>
        <item h="1" x="9"/>
        <item h="1" x="6"/>
        <item h="1" x="7"/>
        <item h="1" x="0"/>
        <item h="1" x="4"/>
        <item h="1" x="2"/>
        <item h="1" x="8"/>
        <item h="1" x="5"/>
        <item x="1"/>
        <item h="1" x="10"/>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2">
    <i>
      <x v="5"/>
    </i>
    <i t="grand">
      <x/>
    </i>
  </rowItems>
  <colFields count="1">
    <field x="1"/>
  </colFields>
  <colItems count="3">
    <i>
      <x/>
    </i>
    <i>
      <x v="9"/>
    </i>
    <i t="grand">
      <x/>
    </i>
  </colItems>
  <dataFields count="1">
    <dataField name="Average of Attendance" fld="9" subtotal="average" baseField="0" baseItem="0" numFmtId="9"/>
  </dataFields>
  <formats count="12">
    <format dxfId="11894">
      <pivotArea outline="0" collapsedLevelsAreSubtotals="1" fieldPosition="0"/>
    </format>
    <format dxfId="11895">
      <pivotArea dataOnly="0" labelOnly="1" outline="0" axis="axisValues" fieldPosition="0"/>
    </format>
    <format dxfId="11896">
      <pivotArea type="all" dataOnly="0" outline="0" fieldPosition="0"/>
    </format>
    <format dxfId="11897">
      <pivotArea outline="0" collapsedLevelsAreSubtotals="1" fieldPosition="0"/>
    </format>
    <format dxfId="11898">
      <pivotArea type="origin" dataOnly="0" labelOnly="1" outline="0" fieldPosition="0"/>
    </format>
    <format dxfId="11899">
      <pivotArea field="1" type="button" dataOnly="0" labelOnly="1" outline="0" axis="axisCol" fieldPosition="0"/>
    </format>
    <format dxfId="11900">
      <pivotArea type="topRight" dataOnly="0" labelOnly="1" outline="0" fieldPosition="0"/>
    </format>
    <format dxfId="11901">
      <pivotArea field="0" type="button" dataOnly="0" labelOnly="1" outline="0" axis="axisRow" fieldPosition="0"/>
    </format>
    <format dxfId="11902">
      <pivotArea dataOnly="0" labelOnly="1" fieldPosition="0">
        <references count="1">
          <reference field="0" count="0"/>
        </references>
      </pivotArea>
    </format>
    <format dxfId="11903">
      <pivotArea dataOnly="0" labelOnly="1" grandRow="1" outline="0" fieldPosition="0"/>
    </format>
    <format dxfId="11904">
      <pivotArea dataOnly="0" labelOnly="1" fieldPosition="0">
        <references count="1">
          <reference field="1" count="0"/>
        </references>
      </pivotArea>
    </format>
    <format dxfId="11905">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38F9AF7-0324-445B-B9D6-EAB71DED95AD}" name="PivotTable77" cacheId="30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18:N29" firstHeaderRow="1" firstDataRow="1" firstDataCol="1"/>
  <pivotFields count="22">
    <pivotField axis="axisRow" showAll="0">
      <items count="8">
        <item h="1" m="1" x="6"/>
        <item h="1" x="0"/>
        <item h="1" x="2"/>
        <item x="3"/>
        <item h="1" m="1" x="5"/>
        <item h="1" x="1"/>
        <item h="1" x="4"/>
        <item t="default"/>
      </items>
    </pivotField>
    <pivotField axis="axisRow" showAll="0">
      <items count="12">
        <item x="3"/>
        <item x="9"/>
        <item x="6"/>
        <item x="7"/>
        <item x="0"/>
        <item x="4"/>
        <item x="2"/>
        <item x="8"/>
        <item x="5"/>
        <item x="1"/>
        <item x="10"/>
        <item t="default"/>
      </items>
    </pivotField>
    <pivotField axis="axisRow" showAll="0">
      <items count="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Fields count="3">
    <field x="0"/>
    <field x="1"/>
    <field x="2"/>
  </rowFields>
  <rowItems count="11">
    <i>
      <x v="3"/>
    </i>
    <i r="1">
      <x v="2"/>
    </i>
    <i r="2">
      <x v="20"/>
    </i>
    <i r="2">
      <x v="42"/>
    </i>
    <i r="2">
      <x v="52"/>
    </i>
    <i r="2">
      <x v="61"/>
    </i>
    <i r="2">
      <x v="68"/>
    </i>
    <i r="2">
      <x v="71"/>
    </i>
    <i r="1">
      <x v="8"/>
    </i>
    <i r="2">
      <x v="31"/>
    </i>
    <i t="grand">
      <x/>
    </i>
  </rowItems>
  <colItems count="1">
    <i/>
  </colItems>
  <dataFields count="1">
    <dataField name="Average of Attendance" fld="9" subtotal="average" baseField="0" baseItem="0" numFmtId="9"/>
  </dataFields>
  <formats count="8">
    <format dxfId="11886">
      <pivotArea outline="0" collapsedLevelsAreSubtotals="1" fieldPosition="0"/>
    </format>
    <format dxfId="11887">
      <pivotArea dataOnly="0" labelOnly="1" outline="0" axis="axisValues" fieldPosition="0"/>
    </format>
    <format dxfId="11888">
      <pivotArea type="all" dataOnly="0" outline="0" fieldPosition="0"/>
    </format>
    <format dxfId="11889">
      <pivotArea outline="0" collapsedLevelsAreSubtotals="1" fieldPosition="0"/>
    </format>
    <format dxfId="11890">
      <pivotArea field="0" type="button" dataOnly="0" labelOnly="1" outline="0" axis="axisRow" fieldPosition="0"/>
    </format>
    <format dxfId="11891">
      <pivotArea dataOnly="0" labelOnly="1" fieldPosition="0">
        <references count="1">
          <reference field="0" count="0"/>
        </references>
      </pivotArea>
    </format>
    <format dxfId="11892">
      <pivotArea dataOnly="0" labelOnly="1" grandRow="1" outline="0" fieldPosition="0"/>
    </format>
    <format dxfId="1189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AE793A4-8D67-4434-BCAC-5024FF8DBE5C}" name="PivotTable76" cacheId="30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2:N16" firstHeaderRow="1" firstDataRow="1" firstDataCol="1"/>
  <pivotFields count="22">
    <pivotField axis="axisRow" showAll="0">
      <items count="8">
        <item h="1" m="1" x="6"/>
        <item h="1" x="0"/>
        <item x="2"/>
        <item h="1" x="3"/>
        <item h="1" m="1" x="5"/>
        <item h="1" x="1"/>
        <item h="1" x="4"/>
        <item t="default"/>
      </items>
    </pivotField>
    <pivotField axis="axisRow" showAll="0">
      <items count="12">
        <item x="3"/>
        <item x="9"/>
        <item x="6"/>
        <item x="7"/>
        <item x="0"/>
        <item x="4"/>
        <item x="2"/>
        <item x="8"/>
        <item x="5"/>
        <item x="1"/>
        <item x="10"/>
        <item t="default"/>
      </items>
    </pivotField>
    <pivotField axis="axisRow" showAll="0">
      <items count="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Fields count="3">
    <field x="0"/>
    <field x="1"/>
    <field x="2"/>
  </rowFields>
  <rowItems count="14">
    <i>
      <x v="2"/>
    </i>
    <i r="1">
      <x v="5"/>
    </i>
    <i r="2">
      <x v="5"/>
    </i>
    <i r="2">
      <x v="9"/>
    </i>
    <i r="2">
      <x v="16"/>
    </i>
    <i r="2">
      <x v="32"/>
    </i>
    <i r="2">
      <x v="34"/>
    </i>
    <i r="2">
      <x v="48"/>
    </i>
    <i r="2">
      <x v="55"/>
    </i>
    <i r="2">
      <x v="74"/>
    </i>
    <i r="2">
      <x v="79"/>
    </i>
    <i r="1">
      <x v="8"/>
    </i>
    <i r="2">
      <x v="57"/>
    </i>
    <i t="grand">
      <x/>
    </i>
  </rowItems>
  <colItems count="1">
    <i/>
  </colItems>
  <dataFields count="1">
    <dataField name="Average of Attendance" fld="9" subtotal="average" baseField="0" baseItem="0" numFmtId="9"/>
  </dataFields>
  <formats count="8">
    <format dxfId="11878">
      <pivotArea outline="0" collapsedLevelsAreSubtotals="1" fieldPosition="0"/>
    </format>
    <format dxfId="11879">
      <pivotArea dataOnly="0" labelOnly="1" outline="0" axis="axisValues" fieldPosition="0"/>
    </format>
    <format dxfId="11880">
      <pivotArea type="all" dataOnly="0" outline="0" fieldPosition="0"/>
    </format>
    <format dxfId="11881">
      <pivotArea outline="0" collapsedLevelsAreSubtotals="1" fieldPosition="0"/>
    </format>
    <format dxfId="11882">
      <pivotArea field="0" type="button" dataOnly="0" labelOnly="1" outline="0" axis="axisRow" fieldPosition="0"/>
    </format>
    <format dxfId="11883">
      <pivotArea dataOnly="0" labelOnly="1" fieldPosition="0">
        <references count="1">
          <reference field="0" count="0"/>
        </references>
      </pivotArea>
    </format>
    <format dxfId="11884">
      <pivotArea dataOnly="0" labelOnly="1" grandRow="1" outline="0" fieldPosition="0"/>
    </format>
    <format dxfId="1188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51270C3-2E01-4DFE-8240-665ACC4B7A2D}" name="PivotTable5" cacheId="30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W1:AA8" firstHeaderRow="0" firstDataRow="1" firstDataCol="1"/>
  <pivotFields count="21">
    <pivotField axis="axisRow" showAll="0">
      <items count="8">
        <item x="5"/>
        <item x="0"/>
        <item x="2"/>
        <item x="4"/>
        <item x="3"/>
        <item x="1"/>
        <item h="1"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dataField="1" showAll="0"/>
    <pivotField dataField="1" showAll="0"/>
    <pivotField showAll="0"/>
    <pivotField showAll="0"/>
    <pivotField showAll="0"/>
  </pivotFields>
  <rowFields count="1">
    <field x="0"/>
  </rowFields>
  <rowItems count="7">
    <i>
      <x/>
    </i>
    <i>
      <x v="1"/>
    </i>
    <i>
      <x v="2"/>
    </i>
    <i>
      <x v="3"/>
    </i>
    <i>
      <x v="4"/>
    </i>
    <i>
      <x v="5"/>
    </i>
    <i t="grand">
      <x/>
    </i>
  </rowItems>
  <colFields count="1">
    <field x="-2"/>
  </colFields>
  <colItems count="4">
    <i>
      <x/>
    </i>
    <i i="1">
      <x v="1"/>
    </i>
    <i i="2">
      <x v="2"/>
    </i>
    <i i="3">
      <x v="3"/>
    </i>
  </colItems>
  <dataFields count="4">
    <dataField name="Sum of Tardiness" fld="13" baseField="0" baseItem="0"/>
    <dataField name="Sum of Absences" fld="14" baseField="0" baseItem="0"/>
    <dataField name="Sum of Completed" fld="17" baseField="0" baseItem="0"/>
    <dataField name="Sum of Target"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14D6A98-60A6-4252-A6FD-84084349DDC4}" name="PivotTable4" cacheId="30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T1:X8" firstHeaderRow="0" firstDataRow="1" firstDataCol="1"/>
  <pivotFields count="18">
    <pivotField axis="axisRow" showAll="0">
      <items count="8">
        <item x="5"/>
        <item x="0"/>
        <item x="2"/>
        <item x="4"/>
        <item x="3"/>
        <item x="1"/>
        <item h="1" x="6"/>
        <item t="default"/>
      </items>
    </pivotField>
    <pivotField showAll="0"/>
    <pivotField showAll="0"/>
    <pivotField showAll="0"/>
    <pivotField showAll="0"/>
    <pivotField showAll="0"/>
    <pivotField showAll="0"/>
    <pivotField showAll="0"/>
    <pivotField showAll="0"/>
    <pivotField showAll="0"/>
    <pivotField dataField="1" showAll="0"/>
    <pivotField dataField="1" showAll="0"/>
    <pivotField showAll="0"/>
    <pivotField dataField="1" showAll="0"/>
    <pivotField dataField="1" showAll="0"/>
    <pivotField showAll="0"/>
    <pivotField showAll="0"/>
    <pivotField showAll="0"/>
  </pivotFields>
  <rowFields count="1">
    <field x="0"/>
  </rowFields>
  <rowItems count="7">
    <i>
      <x/>
    </i>
    <i>
      <x v="1"/>
    </i>
    <i>
      <x v="2"/>
    </i>
    <i>
      <x v="3"/>
    </i>
    <i>
      <x v="4"/>
    </i>
    <i>
      <x v="5"/>
    </i>
    <i t="grand">
      <x/>
    </i>
  </rowItems>
  <colFields count="1">
    <field x="-2"/>
  </colFields>
  <colItems count="4">
    <i>
      <x/>
    </i>
    <i i="1">
      <x v="1"/>
    </i>
    <i i="2">
      <x v="2"/>
    </i>
    <i i="3">
      <x v="3"/>
    </i>
  </colItems>
  <dataFields count="4">
    <dataField name="Sum of Tardiness" fld="10" baseField="0" baseItem="0"/>
    <dataField name="Sum of Absences" fld="11" baseField="0" baseItem="0"/>
    <dataField name="Sum of Completed" fld="14" baseField="0" baseItem="0"/>
    <dataField name="Sum of Target"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66D70521-B624-4C25-9FAB-34CE6D24D108}" name="PivotTable17" cacheId="30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T11:U49" firstHeaderRow="1" firstDataRow="1" firstDataCol="1"/>
  <pivotFields count="18">
    <pivotField axis="axisRow" showAll="0">
      <items count="8">
        <item h="1" x="5"/>
        <item h="1" x="0"/>
        <item h="1" x="2"/>
        <item h="1" x="4"/>
        <item h="1" x="3"/>
        <item x="1"/>
        <item h="1" x="6"/>
        <item t="default"/>
      </items>
    </pivotField>
    <pivotField axis="axisRow" showAll="0">
      <items count="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m="1" x="94"/>
        <item x="90"/>
        <item x="91"/>
        <item x="92"/>
        <item x="9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2">
    <field x="0"/>
    <field x="1"/>
  </rowFields>
  <rowItems count="38">
    <i>
      <x v="5"/>
    </i>
    <i r="1">
      <x v="1"/>
    </i>
    <i r="1">
      <x v="2"/>
    </i>
    <i r="1">
      <x v="4"/>
    </i>
    <i r="1">
      <x v="10"/>
    </i>
    <i r="1">
      <x v="11"/>
    </i>
    <i r="1">
      <x v="12"/>
    </i>
    <i r="1">
      <x v="13"/>
    </i>
    <i r="1">
      <x v="14"/>
    </i>
    <i r="1">
      <x v="16"/>
    </i>
    <i r="1">
      <x v="17"/>
    </i>
    <i r="1">
      <x v="22"/>
    </i>
    <i r="1">
      <x v="24"/>
    </i>
    <i r="1">
      <x v="27"/>
    </i>
    <i r="1">
      <x v="29"/>
    </i>
    <i r="1">
      <x v="32"/>
    </i>
    <i r="1">
      <x v="36"/>
    </i>
    <i r="1">
      <x v="37"/>
    </i>
    <i r="1">
      <x v="38"/>
    </i>
    <i r="1">
      <x v="42"/>
    </i>
    <i r="1">
      <x v="43"/>
    </i>
    <i r="1">
      <x v="45"/>
    </i>
    <i r="1">
      <x v="50"/>
    </i>
    <i r="1">
      <x v="52"/>
    </i>
    <i r="1">
      <x v="55"/>
    </i>
    <i r="1">
      <x v="57"/>
    </i>
    <i r="1">
      <x v="63"/>
    </i>
    <i r="1">
      <x v="68"/>
    </i>
    <i r="1">
      <x v="69"/>
    </i>
    <i r="1">
      <x v="72"/>
    </i>
    <i r="1">
      <x v="79"/>
    </i>
    <i r="1">
      <x v="82"/>
    </i>
    <i r="1">
      <x v="83"/>
    </i>
    <i r="1">
      <x v="85"/>
    </i>
    <i r="1">
      <x v="89"/>
    </i>
    <i r="1">
      <x v="91"/>
    </i>
    <i r="1">
      <x v="92"/>
    </i>
    <i t="grand">
      <x/>
    </i>
  </rowItems>
  <colItems count="1">
    <i/>
  </colItems>
  <dataFields count="1">
    <dataField name="Average of Attendance" fld="15" subtotal="average" baseField="0" baseItem="2" numFmtId="10"/>
  </dataFields>
  <formats count="1">
    <format dxfId="1187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18B9F481-E89D-4156-97BE-6396393C33FA}" name="PivotTable16" cacheId="30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T1:Z8" firstHeaderRow="0" firstDataRow="1" firstDataCol="1"/>
  <pivotFields count="18">
    <pivotField axis="axisRow" showAll="0">
      <items count="8">
        <item x="5"/>
        <item x="0"/>
        <item x="2"/>
        <item x="4"/>
        <item x="3"/>
        <item x="1"/>
        <item h="1" x="6"/>
        <item t="default"/>
      </items>
    </pivotField>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showAll="0"/>
    <pivotField showAll="0"/>
  </pivotFields>
  <rowFields count="1">
    <field x="0"/>
  </rowFields>
  <rowItems count="7">
    <i>
      <x/>
    </i>
    <i>
      <x v="1"/>
    </i>
    <i>
      <x v="2"/>
    </i>
    <i>
      <x v="3"/>
    </i>
    <i>
      <x v="4"/>
    </i>
    <i>
      <x v="5"/>
    </i>
    <i t="grand">
      <x/>
    </i>
  </rowItems>
  <colFields count="1">
    <field x="-2"/>
  </colFields>
  <colItems count="6">
    <i>
      <x/>
    </i>
    <i i="1">
      <x v="1"/>
    </i>
    <i i="2">
      <x v="2"/>
    </i>
    <i i="3">
      <x v="3"/>
    </i>
    <i i="4">
      <x v="4"/>
    </i>
    <i i="5">
      <x v="5"/>
    </i>
  </colItems>
  <dataFields count="6">
    <dataField name="Sum of Tardiness" fld="10" baseField="0" baseItem="0"/>
    <dataField name="Sum of Absences" fld="11" baseField="0" baseItem="0"/>
    <dataField name="Sum of Lost Hours" fld="12" baseField="0" baseItem="0"/>
    <dataField name="Sum of Completed" fld="14" baseField="0" baseItem="0"/>
    <dataField name="Sum of Target" fld="13" baseField="0" baseItem="0"/>
    <dataField name="Average of Attendance" fld="15" subtotal="average" baseField="0" baseItem="2" numFmtId="10"/>
  </dataFields>
  <formats count="2">
    <format dxfId="11875">
      <pivotArea outline="0" collapsedLevelsAreSubtotals="1" fieldPosition="0"/>
    </format>
    <format dxfId="11876">
      <pivotArea outline="0" collapsedLevelsAreSubtotals="1" fieldPosition="0">
        <references count="1">
          <reference field="4294967294" count="5" selected="0">
            <x v="0"/>
            <x v="1"/>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4D5317D6-64C9-4244-93DD-8B35C2DFD7E7}" name="PivotTable101" cacheId="30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T11:Z23" firstHeaderRow="0" firstDataRow="1" firstDataCol="1"/>
  <pivotFields count="19">
    <pivotField axis="axisRow" showAll="0">
      <items count="8">
        <item h="1" x="5"/>
        <item h="1" x="0"/>
        <item x="2"/>
        <item h="1" x="4"/>
        <item h="1" x="3"/>
        <item h="1" x="1"/>
        <item h="1" x="6"/>
        <item t="default"/>
      </items>
    </pivotField>
    <pivotField axis="axisRow" showAll="0">
      <items count="9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t="default"/>
      </items>
    </pivotField>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showAll="0"/>
    <pivotField showAll="0"/>
    <pivotField showAll="0"/>
  </pivotFields>
  <rowFields count="2">
    <field x="0"/>
    <field x="1"/>
  </rowFields>
  <rowItems count="12">
    <i>
      <x v="2"/>
    </i>
    <i r="1">
      <x v="5"/>
    </i>
    <i r="1">
      <x v="9"/>
    </i>
    <i r="1">
      <x v="15"/>
    </i>
    <i r="1">
      <x v="31"/>
    </i>
    <i r="1">
      <x v="33"/>
    </i>
    <i r="1">
      <x v="46"/>
    </i>
    <i r="1">
      <x v="54"/>
    </i>
    <i r="1">
      <x v="56"/>
    </i>
    <i r="1">
      <x v="73"/>
    </i>
    <i r="1">
      <x v="78"/>
    </i>
    <i t="grand">
      <x/>
    </i>
  </rowItems>
  <colFields count="1">
    <field x="-2"/>
  </colFields>
  <colItems count="6">
    <i>
      <x/>
    </i>
    <i i="1">
      <x v="1"/>
    </i>
    <i i="2">
      <x v="2"/>
    </i>
    <i i="3">
      <x v="3"/>
    </i>
    <i i="4">
      <x v="4"/>
    </i>
    <i i="5">
      <x v="5"/>
    </i>
  </colItems>
  <dataFields count="6">
    <dataField name="Sum of Tardiness" fld="10" baseField="0" baseItem="0"/>
    <dataField name="Sum of Absences" fld="11" baseField="0" baseItem="0"/>
    <dataField name="Sum of Lost Hours" fld="12" baseField="0" baseItem="0"/>
    <dataField name="Sum of Target" fld="13" baseField="0" baseItem="0"/>
    <dataField name="Sum of Completed" fld="14" baseField="0" baseItem="0"/>
    <dataField name="Average of Attendance" fld="15" subtotal="average" baseField="0" baseItem="0" numFmtId="10"/>
  </dataFields>
  <formats count="1">
    <format dxfId="11874">
      <pivotArea outline="0" collapsedLevelsAreSubtotals="1" fieldPosition="0">
        <references count="1">
          <reference field="4294967294" count="1" selected="0">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6691584D-05B2-4903-BF84-95B0BE236242}" name="PivotTable100" cacheId="30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T1:Z8" firstHeaderRow="0" firstDataRow="1" firstDataCol="1"/>
  <pivotFields count="19">
    <pivotField axis="axisRow" showAll="0">
      <items count="8">
        <item x="5"/>
        <item x="0"/>
        <item x="2"/>
        <item x="4"/>
        <item x="3"/>
        <item x="1"/>
        <item h="1" x="6"/>
        <item t="default"/>
      </items>
    </pivotField>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showAll="0"/>
    <pivotField showAll="0"/>
    <pivotField showAll="0"/>
  </pivotFields>
  <rowFields count="1">
    <field x="0"/>
  </rowFields>
  <rowItems count="7">
    <i>
      <x/>
    </i>
    <i>
      <x v="1"/>
    </i>
    <i>
      <x v="2"/>
    </i>
    <i>
      <x v="3"/>
    </i>
    <i>
      <x v="4"/>
    </i>
    <i>
      <x v="5"/>
    </i>
    <i t="grand">
      <x/>
    </i>
  </rowItems>
  <colFields count="1">
    <field x="-2"/>
  </colFields>
  <colItems count="6">
    <i>
      <x/>
    </i>
    <i i="1">
      <x v="1"/>
    </i>
    <i i="2">
      <x v="2"/>
    </i>
    <i i="3">
      <x v="3"/>
    </i>
    <i i="4">
      <x v="4"/>
    </i>
    <i i="5">
      <x v="5"/>
    </i>
  </colItems>
  <dataFields count="6">
    <dataField name="Sum of Tardiness" fld="10" baseField="0" baseItem="0"/>
    <dataField name="Sum of Absences" fld="11" baseField="0" baseItem="0"/>
    <dataField name="Sum of Lost Hours" fld="12" baseField="0" baseItem="0"/>
    <dataField name="Sum of Target" fld="13" baseField="0" baseItem="0"/>
    <dataField name="Sum of Completed" fld="14" baseField="0" baseItem="0"/>
    <dataField name="Average of Attendance" fld="15" subtotal="average" baseField="0" baseItem="0" numFmtId="10"/>
  </dataFields>
  <formats count="1">
    <format dxfId="11873">
      <pivotArea outline="0" collapsedLevelsAreSubtotals="1" fieldPosition="0">
        <references count="1">
          <reference field="4294967294" count="1" selected="0">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E1040BBE-37BF-4146-963C-2E6AB1301A73}" name="PivotTable108" cacheId="30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X4:Y116" firstHeaderRow="1" firstDataRow="1" firstDataCol="1"/>
  <pivotFields count="18">
    <pivotField axis="axisRow" multipleItemSelectionAllowed="1" showAll="0">
      <items count="8">
        <item x="5"/>
        <item x="0"/>
        <item x="2"/>
        <item x="4"/>
        <item x="3"/>
        <item x="1"/>
        <item h="1" x="6"/>
        <item t="default"/>
      </items>
    </pivotField>
    <pivotField axis="axisRow" showAll="0">
      <items count="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axis="axisRow" showAll="0">
      <items count="8">
        <item x="1"/>
        <item x="0"/>
        <item x="5"/>
        <item x="3"/>
        <item x="2"/>
        <item x="4"/>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3">
    <field x="0"/>
    <field x="2"/>
    <field x="1"/>
  </rowFields>
  <rowItems count="112">
    <i>
      <x/>
    </i>
    <i r="1">
      <x v="3"/>
    </i>
    <i r="2">
      <x v="68"/>
    </i>
    <i>
      <x v="1"/>
    </i>
    <i r="1">
      <x/>
    </i>
    <i r="2">
      <x v="22"/>
    </i>
    <i r="2">
      <x v="24"/>
    </i>
    <i r="2">
      <x v="27"/>
    </i>
    <i r="2">
      <x v="33"/>
    </i>
    <i r="2">
      <x v="46"/>
    </i>
    <i r="2">
      <x v="64"/>
    </i>
    <i r="2">
      <x v="72"/>
    </i>
    <i r="2">
      <x v="75"/>
    </i>
    <i r="2">
      <x v="78"/>
    </i>
    <i r="2">
      <x v="79"/>
    </i>
    <i r="1">
      <x v="1"/>
    </i>
    <i r="2">
      <x/>
    </i>
    <i r="2">
      <x v="7"/>
    </i>
    <i r="2">
      <x v="8"/>
    </i>
    <i r="2">
      <x v="43"/>
    </i>
    <i r="2">
      <x v="51"/>
    </i>
    <i r="2">
      <x v="62"/>
    </i>
    <i r="2">
      <x v="69"/>
    </i>
    <i r="2">
      <x v="82"/>
    </i>
    <i r="1">
      <x v="2"/>
    </i>
    <i r="2">
      <x v="19"/>
    </i>
    <i r="2">
      <x v="20"/>
    </i>
    <i r="2">
      <x v="25"/>
    </i>
    <i r="2">
      <x v="34"/>
    </i>
    <i r="2">
      <x v="40"/>
    </i>
    <i r="2">
      <x v="48"/>
    </i>
    <i r="2">
      <x v="56"/>
    </i>
    <i r="2">
      <x v="57"/>
    </i>
    <i r="2">
      <x v="74"/>
    </i>
    <i r="1">
      <x v="4"/>
    </i>
    <i r="2">
      <x v="3"/>
    </i>
    <i r="2">
      <x v="6"/>
    </i>
    <i r="2">
      <x v="38"/>
    </i>
    <i r="2">
      <x v="47"/>
    </i>
    <i r="2">
      <x v="59"/>
    </i>
    <i r="2">
      <x v="60"/>
    </i>
    <i r="2">
      <x v="73"/>
    </i>
    <i r="2">
      <x v="84"/>
    </i>
    <i r="2">
      <x v="85"/>
    </i>
    <i r="1">
      <x v="5"/>
    </i>
    <i r="2">
      <x v="17"/>
    </i>
    <i r="2">
      <x v="63"/>
    </i>
    <i r="2">
      <x v="86"/>
    </i>
    <i r="2">
      <x v="90"/>
    </i>
    <i>
      <x v="2"/>
    </i>
    <i r="1">
      <x v="3"/>
    </i>
    <i r="2">
      <x v="5"/>
    </i>
    <i r="2">
      <x v="9"/>
    </i>
    <i r="2">
      <x v="14"/>
    </i>
    <i r="2">
      <x v="30"/>
    </i>
    <i r="2">
      <x v="32"/>
    </i>
    <i r="2">
      <x v="45"/>
    </i>
    <i r="2">
      <x v="52"/>
    </i>
    <i r="2">
      <x v="54"/>
    </i>
    <i r="2">
      <x v="71"/>
    </i>
    <i r="2">
      <x v="76"/>
    </i>
    <i>
      <x v="3"/>
    </i>
    <i r="1">
      <x v="3"/>
    </i>
    <i r="2">
      <x v="29"/>
    </i>
    <i r="2">
      <x v="50"/>
    </i>
    <i r="2">
      <x v="58"/>
    </i>
    <i r="2">
      <x v="65"/>
    </i>
    <i>
      <x v="4"/>
    </i>
    <i r="1">
      <x v="3"/>
    </i>
    <i r="2">
      <x v="18"/>
    </i>
    <i r="2">
      <x v="39"/>
    </i>
    <i>
      <x v="5"/>
    </i>
    <i r="1">
      <x/>
    </i>
    <i r="2">
      <x v="2"/>
    </i>
    <i r="2">
      <x v="10"/>
    </i>
    <i r="2">
      <x v="55"/>
    </i>
    <i r="2">
      <x v="66"/>
    </i>
    <i r="2">
      <x v="83"/>
    </i>
    <i r="1">
      <x v="1"/>
    </i>
    <i r="2">
      <x v="1"/>
    </i>
    <i r="2">
      <x v="13"/>
    </i>
    <i r="2">
      <x v="15"/>
    </i>
    <i r="2">
      <x v="26"/>
    </i>
    <i r="2">
      <x v="28"/>
    </i>
    <i r="2">
      <x v="77"/>
    </i>
    <i r="1">
      <x v="3"/>
    </i>
    <i r="2">
      <x v="4"/>
    </i>
    <i r="2">
      <x v="12"/>
    </i>
    <i r="2">
      <x v="16"/>
    </i>
    <i r="2">
      <x v="23"/>
    </i>
    <i r="2">
      <x v="31"/>
    </i>
    <i r="2">
      <x v="35"/>
    </i>
    <i r="2">
      <x v="36"/>
    </i>
    <i r="2">
      <x v="44"/>
    </i>
    <i r="2">
      <x v="61"/>
    </i>
    <i r="2">
      <x v="67"/>
    </i>
    <i r="2">
      <x v="70"/>
    </i>
    <i r="2">
      <x v="80"/>
    </i>
    <i r="2">
      <x v="81"/>
    </i>
    <i r="2">
      <x v="88"/>
    </i>
    <i r="2">
      <x v="89"/>
    </i>
    <i r="1">
      <x v="4"/>
    </i>
    <i r="2">
      <x v="11"/>
    </i>
    <i r="2">
      <x v="37"/>
    </i>
    <i r="2">
      <x v="42"/>
    </i>
    <i r="2">
      <x v="87"/>
    </i>
    <i r="1">
      <x v="5"/>
    </i>
    <i r="2">
      <x v="21"/>
    </i>
    <i r="2">
      <x v="41"/>
    </i>
    <i r="2">
      <x v="49"/>
    </i>
    <i r="2">
      <x v="53"/>
    </i>
    <i t="grand">
      <x/>
    </i>
  </rowItems>
  <colItems count="1">
    <i/>
  </colItems>
  <dataFields count="1">
    <dataField name="Average of Attendance" fld="17" subtotal="average" baseField="0" baseItem="0"/>
  </dataFields>
  <formats count="2">
    <format dxfId="11871">
      <pivotArea outline="0" collapsedLevelsAreSubtotals="1" fieldPosition="0"/>
    </format>
    <format dxfId="1187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EF94D887-D49F-4724-BDAA-EC18927819E1}" name="PivotTable8" cacheId="302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BF21:BF26" firstHeaderRow="1" firstDataRow="1" firstDataCol="1"/>
  <pivotFields count="34">
    <pivotField compact="0" outline="0" showAll="0">
      <items count="91">
        <item x="0"/>
        <item x="1"/>
        <item x="2"/>
        <item x="3"/>
        <item x="4"/>
        <item x="5"/>
        <item x="6"/>
        <item x="7"/>
        <item x="8"/>
        <item x="9"/>
        <item x="10"/>
        <item x="11"/>
        <item x="12"/>
        <item x="13"/>
        <item x="14"/>
        <item x="24"/>
        <item x="15"/>
        <item x="16"/>
        <item x="17"/>
        <item x="18"/>
        <item x="19"/>
        <item x="20"/>
        <item x="21"/>
        <item x="22"/>
        <item x="23"/>
        <item x="25"/>
        <item x="26"/>
        <item x="27"/>
        <item x="28"/>
        <item x="29"/>
        <item x="30"/>
        <item x="31"/>
        <item x="32"/>
        <item x="38"/>
        <item x="33"/>
        <item x="34"/>
        <item x="35"/>
        <item x="36"/>
        <item x="37"/>
        <item x="39"/>
        <item x="40"/>
        <item x="41"/>
        <item x="61"/>
        <item x="42"/>
        <item x="43"/>
        <item x="44"/>
        <item x="45"/>
        <item x="46"/>
        <item x="47"/>
        <item x="48"/>
        <item x="49"/>
        <item x="50"/>
        <item x="51"/>
        <item x="52"/>
        <item x="53"/>
        <item x="64"/>
        <item x="54"/>
        <item x="55"/>
        <item x="56"/>
        <item x="57"/>
        <item x="58"/>
        <item x="59"/>
        <item x="60"/>
        <item x="62"/>
        <item x="63"/>
        <item x="65"/>
        <item x="66"/>
        <item x="67"/>
        <item x="68"/>
        <item x="75"/>
        <item x="69"/>
        <item x="70"/>
        <item x="71"/>
        <item x="72"/>
        <item x="73"/>
        <item x="74"/>
        <item x="76"/>
        <item x="77"/>
        <item x="78"/>
        <item x="79"/>
        <item x="80"/>
        <item x="81"/>
        <item x="82"/>
        <item x="83"/>
        <item x="84"/>
        <item x="85"/>
        <item x="86"/>
        <item x="87"/>
        <item x="88"/>
        <item x="89"/>
        <item t="default"/>
      </items>
    </pivotField>
    <pivotField compact="0" outline="0" showAll="0">
      <items count="7">
        <item x="5"/>
        <item x="0"/>
        <item x="2"/>
        <item x="4"/>
        <item x="3"/>
        <item x="1"/>
        <item t="default"/>
      </items>
    </pivotField>
    <pivotField compact="0" outline="0" showAll="0">
      <items count="7">
        <item x="1"/>
        <item x="0"/>
        <item x="5"/>
        <item x="3"/>
        <item x="2"/>
        <item x="4"/>
        <item t="default"/>
      </items>
    </pivotField>
    <pivotField compact="0" outline="0" showAll="0">
      <items count="14">
        <item x="9"/>
        <item x="7"/>
        <item x="12"/>
        <item x="3"/>
        <item x="10"/>
        <item x="11"/>
        <item x="2"/>
        <item x="8"/>
        <item x="5"/>
        <item x="4"/>
        <item x="0"/>
        <item x="1"/>
        <item x="6"/>
        <item t="default"/>
      </items>
    </pivotField>
    <pivotField compact="0" outline="0" showAll="0">
      <items count="14">
        <item x="4"/>
        <item x="12"/>
        <item x="9"/>
        <item x="8"/>
        <item x="7"/>
        <item x="10"/>
        <item x="3"/>
        <item x="11"/>
        <item x="6"/>
        <item x="2"/>
        <item x="0"/>
        <item x="1"/>
        <item x="5"/>
        <item t="default"/>
      </items>
    </pivotField>
    <pivotField compact="0" outline="0" showAll="0">
      <items count="14">
        <item x="7"/>
        <item x="3"/>
        <item x="8"/>
        <item x="2"/>
        <item x="5"/>
        <item x="11"/>
        <item x="12"/>
        <item x="9"/>
        <item x="6"/>
        <item x="1"/>
        <item x="0"/>
        <item x="4"/>
        <item x="10"/>
        <item t="default"/>
      </items>
    </pivotField>
    <pivotField compact="0" outline="0" showAll="0">
      <items count="15">
        <item x="3"/>
        <item x="13"/>
        <item x="12"/>
        <item x="10"/>
        <item x="4"/>
        <item x="9"/>
        <item x="6"/>
        <item x="7"/>
        <item x="11"/>
        <item x="5"/>
        <item x="1"/>
        <item x="0"/>
        <item x="2"/>
        <item x="8"/>
        <item t="default"/>
      </items>
    </pivotField>
    <pivotField compact="0" outline="0" showAll="0">
      <items count="7">
        <item x="5"/>
        <item x="4"/>
        <item x="2"/>
        <item x="1"/>
        <item x="0"/>
        <item x="3"/>
        <item t="default"/>
      </items>
    </pivotField>
    <pivotField compact="0" outline="0" showAll="0">
      <items count="4">
        <item x="2"/>
        <item x="1"/>
        <item x="0"/>
        <item t="default"/>
      </items>
    </pivotField>
    <pivotField compact="0" outline="0" showAll="0">
      <items count="14">
        <item x="5"/>
        <item x="2"/>
        <item x="6"/>
        <item x="1"/>
        <item x="12"/>
        <item x="8"/>
        <item x="11"/>
        <item x="10"/>
        <item x="7"/>
        <item x="4"/>
        <item x="0"/>
        <item x="3"/>
        <item x="9"/>
        <item t="default"/>
      </items>
    </pivotField>
    <pivotField compact="0" outline="0" showAll="0">
      <items count="14">
        <item x="7"/>
        <item x="2"/>
        <item x="9"/>
        <item x="10"/>
        <item x="8"/>
        <item x="5"/>
        <item x="11"/>
        <item x="12"/>
        <item x="6"/>
        <item x="4"/>
        <item x="0"/>
        <item x="1"/>
        <item x="3"/>
        <item t="default"/>
      </items>
    </pivotField>
    <pivotField compact="0" outline="0" showAll="0">
      <items count="15">
        <item x="7"/>
        <item x="10"/>
        <item x="11"/>
        <item x="5"/>
        <item x="2"/>
        <item x="3"/>
        <item x="13"/>
        <item x="8"/>
        <item x="12"/>
        <item x="9"/>
        <item x="6"/>
        <item x="4"/>
        <item x="0"/>
        <item x="1"/>
        <item t="default"/>
      </items>
    </pivotField>
    <pivotField compact="0" outline="0" showAll="0">
      <items count="13">
        <item x="5"/>
        <item x="1"/>
        <item x="11"/>
        <item x="4"/>
        <item x="7"/>
        <item x="9"/>
        <item x="10"/>
        <item x="8"/>
        <item x="2"/>
        <item x="6"/>
        <item x="0"/>
        <item x="3"/>
        <item t="default"/>
      </items>
    </pivotField>
    <pivotField compact="0" outline="0" showAll="0">
      <items count="21">
        <item x="12"/>
        <item x="2"/>
        <item x="5"/>
        <item x="0"/>
        <item x="16"/>
        <item x="8"/>
        <item x="13"/>
        <item x="15"/>
        <item x="11"/>
        <item x="7"/>
        <item x="19"/>
        <item x="9"/>
        <item x="18"/>
        <item x="6"/>
        <item x="17"/>
        <item x="1"/>
        <item x="14"/>
        <item x="3"/>
        <item x="4"/>
        <item x="10"/>
        <item t="default"/>
      </items>
    </pivotField>
    <pivotField compact="0" outline="0" showAll="0">
      <items count="7">
        <item x="4"/>
        <item x="3"/>
        <item x="1"/>
        <item x="5"/>
        <item x="2"/>
        <item x="0"/>
        <item t="default"/>
      </items>
    </pivotField>
    <pivotField axis="axisRow" compact="0" outline="0" showAll="0">
      <items count="5">
        <item x="1"/>
        <item x="3"/>
        <item x="2"/>
        <item x="0"/>
        <item t="default"/>
      </items>
    </pivotField>
    <pivotField compact="0" outline="0" showAll="0">
      <items count="14">
        <item x="1"/>
        <item x="12"/>
        <item x="5"/>
        <item x="11"/>
        <item x="6"/>
        <item x="7"/>
        <item x="8"/>
        <item x="9"/>
        <item x="4"/>
        <item x="10"/>
        <item x="0"/>
        <item x="2"/>
        <item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5"/>
  </rowFields>
  <rowItems count="5">
    <i>
      <x/>
    </i>
    <i>
      <x v="1"/>
    </i>
    <i>
      <x v="2"/>
    </i>
    <i>
      <x v="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593A5B67-9AFE-48C9-81C9-898F63E9983C}" name="PivotTable3" cacheId="303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F1:J288" firstHeaderRow="1" firstDataRow="1" firstDataCol="4"/>
  <pivotFields count="4">
    <pivotField axis="axisRow" compact="0" outline="0" showAll="0" defaultSubtotal="0">
      <items count="76">
        <item x="0"/>
        <item x="1"/>
        <item x="2"/>
        <item x="3"/>
        <item x="57"/>
        <item x="4"/>
        <item x="5"/>
        <item x="66"/>
        <item x="6"/>
        <item x="7"/>
        <item x="8"/>
        <item x="9"/>
        <item x="10"/>
        <item x="11"/>
        <item x="63"/>
        <item x="12"/>
        <item x="67"/>
        <item x="13"/>
        <item x="14"/>
        <item x="64"/>
        <item x="15"/>
        <item x="16"/>
        <item x="17"/>
        <item x="18"/>
        <item x="19"/>
        <item x="20"/>
        <item x="21"/>
        <item x="22"/>
        <item x="23"/>
        <item x="24"/>
        <item x="61"/>
        <item x="68"/>
        <item x="25"/>
        <item x="26"/>
        <item x="27"/>
        <item x="28"/>
        <item x="29"/>
        <item x="69"/>
        <item x="30"/>
        <item x="31"/>
        <item x="32"/>
        <item x="33"/>
        <item x="34"/>
        <item x="35"/>
        <item x="71"/>
        <item x="58"/>
        <item x="36"/>
        <item x="37"/>
        <item x="72"/>
        <item x="38"/>
        <item x="39"/>
        <item x="73"/>
        <item x="40"/>
        <item x="74"/>
        <item x="41"/>
        <item x="42"/>
        <item x="43"/>
        <item x="44"/>
        <item x="70"/>
        <item x="45"/>
        <item x="46"/>
        <item x="47"/>
        <item x="65"/>
        <item x="48"/>
        <item x="49"/>
        <item x="50"/>
        <item x="51"/>
        <item x="59"/>
        <item x="52"/>
        <item x="53"/>
        <item x="62"/>
        <item x="54"/>
        <item x="55"/>
        <item x="60"/>
        <item x="56"/>
        <item x="75"/>
      </items>
    </pivotField>
    <pivotField axis="axisRow" compact="0" outline="0" showAll="0" defaultSubtotal="0">
      <items count="5">
        <item x="0"/>
        <item x="3"/>
        <item x="1"/>
        <item x="2"/>
        <item x="4"/>
      </items>
    </pivotField>
    <pivotField axis="axisRow" compact="0" outline="0" showAll="0" defaultSubtotal="0">
      <items count="31">
        <item x="10"/>
        <item x="18"/>
        <item x="7"/>
        <item x="12"/>
        <item x="19"/>
        <item x="20"/>
        <item x="17"/>
        <item x="8"/>
        <item x="13"/>
        <item x="11"/>
        <item x="3"/>
        <item x="4"/>
        <item x="5"/>
        <item x="9"/>
        <item x="14"/>
        <item x="0"/>
        <item x="6"/>
        <item x="25"/>
        <item x="15"/>
        <item x="16"/>
        <item x="1"/>
        <item x="2"/>
        <item x="24"/>
        <item x="21"/>
        <item x="27"/>
        <item x="28"/>
        <item x="29"/>
        <item x="23"/>
        <item x="22"/>
        <item x="26"/>
        <item x="30"/>
      </items>
    </pivotField>
    <pivotField axis="axisRow" dataField="1" compact="0" outline="0" showAll="0">
      <items count="19">
        <item x="15"/>
        <item x="1"/>
        <item x="4"/>
        <item x="13"/>
        <item x="12"/>
        <item x="8"/>
        <item x="0"/>
        <item x="2"/>
        <item x="14"/>
        <item x="5"/>
        <item x="9"/>
        <item x="11"/>
        <item x="6"/>
        <item x="7"/>
        <item x="3"/>
        <item x="10"/>
        <item x="16"/>
        <item x="17"/>
        <item t="default"/>
      </items>
    </pivotField>
  </pivotFields>
  <rowFields count="4">
    <field x="0"/>
    <field x="1"/>
    <field x="2"/>
    <field x="3"/>
  </rowFields>
  <rowItems count="287">
    <i>
      <x/>
      <x/>
      <x v="15"/>
      <x v="6"/>
    </i>
    <i r="2">
      <x v="20"/>
      <x v="6"/>
    </i>
    <i r="2">
      <x v="21"/>
      <x v="6"/>
    </i>
    <i>
      <x v="1"/>
      <x/>
      <x v="10"/>
      <x v="1"/>
    </i>
    <i r="1">
      <x v="2"/>
      <x v="11"/>
      <x v="1"/>
    </i>
    <i r="2">
      <x v="12"/>
      <x v="1"/>
    </i>
    <i r="2">
      <x v="16"/>
      <x v="7"/>
    </i>
    <i>
      <x v="2"/>
      <x v="2"/>
      <x v="10"/>
      <x v="7"/>
    </i>
    <i r="2">
      <x v="15"/>
      <x v="7"/>
    </i>
    <i r="2">
      <x v="16"/>
      <x v="7"/>
    </i>
    <i>
      <x v="3"/>
      <x v="2"/>
      <x v="2"/>
      <x v="7"/>
    </i>
    <i r="2">
      <x v="7"/>
      <x v="7"/>
    </i>
    <i r="2">
      <x v="13"/>
      <x v="7"/>
    </i>
    <i r="2">
      <x v="16"/>
      <x v="14"/>
    </i>
    <i>
      <x v="4"/>
      <x/>
      <x v="1"/>
      <x v="4"/>
    </i>
    <i r="2">
      <x v="9"/>
      <x v="7"/>
    </i>
    <i r="2">
      <x v="10"/>
      <x v="3"/>
    </i>
    <i r="2">
      <x v="11"/>
      <x v="4"/>
    </i>
    <i r="2">
      <x v="12"/>
      <x v="9"/>
    </i>
    <i r="2">
      <x v="16"/>
      <x v="4"/>
    </i>
    <i r="1">
      <x v="2"/>
      <x v="2"/>
      <x v="15"/>
    </i>
    <i>
      <x v="5"/>
      <x v="2"/>
      <x/>
      <x v="14"/>
    </i>
    <i r="2">
      <x v="9"/>
      <x v="7"/>
    </i>
    <i>
      <x v="6"/>
      <x v="2"/>
      <x/>
      <x v="7"/>
    </i>
    <i>
      <x v="7"/>
      <x/>
      <x v="10"/>
      <x v="3"/>
    </i>
    <i r="2">
      <x v="25"/>
      <x/>
    </i>
    <i r="1">
      <x v="2"/>
      <x v="9"/>
      <x v="7"/>
    </i>
    <i r="2">
      <x v="15"/>
      <x v="7"/>
    </i>
    <i r="2">
      <x v="16"/>
      <x v="7"/>
    </i>
    <i>
      <x v="8"/>
      <x v="2"/>
      <x v="3"/>
      <x v="7"/>
    </i>
    <i>
      <x v="9"/>
      <x v="2"/>
      <x v="2"/>
      <x v="7"/>
    </i>
    <i>
      <x v="10"/>
      <x/>
      <x v="10"/>
      <x v="2"/>
    </i>
    <i r="2">
      <x v="14"/>
      <x v="2"/>
    </i>
    <i r="2">
      <x v="18"/>
      <x v="6"/>
    </i>
    <i r="2">
      <x v="19"/>
      <x v="6"/>
    </i>
    <i r="2">
      <x v="20"/>
      <x v="6"/>
    </i>
    <i r="2">
      <x v="21"/>
      <x v="6"/>
    </i>
    <i r="1">
      <x v="2"/>
      <x v="8"/>
      <x v="7"/>
    </i>
    <i r="2">
      <x v="9"/>
      <x v="7"/>
    </i>
    <i r="2">
      <x v="11"/>
      <x v="7"/>
    </i>
    <i r="2">
      <x v="16"/>
      <x v="7"/>
    </i>
    <i r="1">
      <x v="3"/>
      <x v="10"/>
      <x v="2"/>
    </i>
    <i>
      <x v="11"/>
      <x/>
      <x v="6"/>
      <x v="6"/>
    </i>
    <i r="2">
      <x v="10"/>
      <x v="6"/>
    </i>
    <i r="2">
      <x v="21"/>
      <x v="6"/>
    </i>
    <i>
      <x v="12"/>
      <x/>
      <x v="21"/>
      <x v="6"/>
    </i>
    <i r="1">
      <x v="2"/>
      <x v="2"/>
      <x v="6"/>
    </i>
    <i r="2">
      <x v="6"/>
      <x v="6"/>
    </i>
    <i r="2">
      <x v="16"/>
      <x v="6"/>
    </i>
    <i>
      <x v="13"/>
      <x/>
      <x v="9"/>
      <x v="6"/>
    </i>
    <i r="2">
      <x v="21"/>
      <x v="6"/>
    </i>
    <i>
      <x v="14"/>
      <x v="2"/>
      <x v="7"/>
      <x v="15"/>
    </i>
    <i>
      <x v="15"/>
      <x/>
      <x/>
      <x v="9"/>
    </i>
    <i r="2">
      <x v="3"/>
      <x v="9"/>
    </i>
    <i r="2">
      <x v="8"/>
      <x v="9"/>
    </i>
    <i r="2">
      <x v="9"/>
      <x v="9"/>
    </i>
    <i r="2">
      <x v="15"/>
      <x v="6"/>
    </i>
    <i>
      <x v="16"/>
      <x v="2"/>
      <x v="9"/>
      <x v="7"/>
    </i>
    <i r="2">
      <x v="28"/>
      <x v="6"/>
    </i>
    <i>
      <x v="17"/>
      <x/>
      <x/>
      <x v="12"/>
    </i>
    <i r="2">
      <x v="1"/>
      <x v="12"/>
    </i>
    <i r="2">
      <x v="2"/>
      <x v="12"/>
    </i>
    <i r="2">
      <x v="3"/>
      <x v="12"/>
    </i>
    <i r="2">
      <x v="4"/>
      <x v="12"/>
    </i>
    <i r="2">
      <x v="5"/>
      <x v="12"/>
    </i>
    <i r="2">
      <x v="6"/>
      <x v="12"/>
    </i>
    <i r="2">
      <x v="7"/>
      <x v="12"/>
    </i>
    <i r="2">
      <x v="8"/>
      <x v="12"/>
    </i>
    <i r="2">
      <x v="9"/>
      <x v="12"/>
    </i>
    <i r="2">
      <x v="10"/>
      <x v="12"/>
    </i>
    <i r="2">
      <x v="11"/>
      <x v="12"/>
    </i>
    <i r="2">
      <x v="12"/>
      <x v="12"/>
    </i>
    <i r="2">
      <x v="13"/>
      <x v="12"/>
    </i>
    <i r="2">
      <x v="14"/>
      <x v="12"/>
    </i>
    <i r="2">
      <x v="15"/>
      <x v="12"/>
    </i>
    <i>
      <x v="18"/>
      <x/>
      <x v="13"/>
      <x v="13"/>
    </i>
    <i r="2">
      <x v="20"/>
      <x v="13"/>
    </i>
    <i r="2">
      <x v="23"/>
      <x v="13"/>
    </i>
    <i>
      <x v="19"/>
      <x/>
      <x v="24"/>
      <x v="7"/>
    </i>
    <i r="2">
      <x v="27"/>
      <x v="16"/>
    </i>
    <i r="2">
      <x v="28"/>
      <x v="6"/>
    </i>
    <i r="1">
      <x v="2"/>
      <x v="7"/>
      <x v="15"/>
    </i>
    <i r="2">
      <x v="15"/>
      <x v="7"/>
    </i>
    <i>
      <x v="20"/>
      <x v="2"/>
      <x v="28"/>
      <x v="6"/>
    </i>
    <i>
      <x v="21"/>
      <x/>
      <x v="1"/>
      <x v="7"/>
    </i>
    <i r="1">
      <x v="2"/>
      <x v="13"/>
      <x v="7"/>
    </i>
    <i r="2">
      <x v="16"/>
      <x v="7"/>
    </i>
    <i r="2">
      <x v="20"/>
      <x v="7"/>
    </i>
    <i>
      <x v="22"/>
      <x/>
      <x v="2"/>
      <x v="12"/>
    </i>
    <i r="1">
      <x v="1"/>
      <x v="1"/>
      <x v="5"/>
    </i>
    <i>
      <x v="23"/>
      <x/>
      <x v="2"/>
      <x v="9"/>
    </i>
    <i>
      <x v="24"/>
      <x/>
      <x v="15"/>
      <x v="9"/>
    </i>
    <i r="2">
      <x v="20"/>
      <x v="6"/>
    </i>
    <i r="2">
      <x v="21"/>
      <x v="6"/>
    </i>
    <i r="2">
      <x v="23"/>
      <x v="6"/>
    </i>
    <i r="1">
      <x v="2"/>
      <x v="6"/>
      <x v="7"/>
    </i>
    <i r="2">
      <x v="7"/>
      <x v="6"/>
    </i>
    <i r="2">
      <x v="10"/>
      <x v="10"/>
    </i>
    <i>
      <x v="25"/>
      <x v="2"/>
      <x v="20"/>
      <x v="9"/>
    </i>
    <i>
      <x v="26"/>
      <x v="2"/>
      <x v="7"/>
      <x v="7"/>
    </i>
    <i>
      <x v="27"/>
      <x v="2"/>
      <x v="10"/>
      <x v="7"/>
    </i>
    <i>
      <x v="28"/>
      <x v="2"/>
      <x v="20"/>
      <x v="9"/>
    </i>
    <i>
      <x v="29"/>
      <x v="2"/>
      <x v="2"/>
      <x v="7"/>
    </i>
    <i r="2">
      <x v="3"/>
      <x v="7"/>
    </i>
    <i r="2">
      <x v="10"/>
      <x v="7"/>
    </i>
    <i>
      <x v="30"/>
      <x v="2"/>
      <x v="3"/>
      <x v="15"/>
    </i>
    <i r="2">
      <x v="9"/>
      <x v="7"/>
    </i>
    <i r="2">
      <x v="11"/>
      <x v="7"/>
    </i>
    <i>
      <x v="31"/>
      <x v="2"/>
      <x v="9"/>
      <x v="7"/>
    </i>
    <i r="2">
      <x v="10"/>
      <x v="7"/>
    </i>
    <i r="2">
      <x v="16"/>
      <x v="7"/>
    </i>
    <i>
      <x v="32"/>
      <x/>
      <x v="16"/>
      <x v="13"/>
    </i>
    <i r="2">
      <x v="20"/>
      <x v="6"/>
    </i>
    <i r="2">
      <x v="21"/>
      <x v="13"/>
    </i>
    <i r="1">
      <x v="2"/>
      <x/>
      <x v="7"/>
    </i>
    <i r="2">
      <x v="16"/>
      <x v="7"/>
    </i>
    <i>
      <x v="33"/>
      <x/>
      <x v="8"/>
      <x v="13"/>
    </i>
    <i r="2">
      <x v="22"/>
      <x v="6"/>
    </i>
    <i r="1">
      <x v="2"/>
      <x v="16"/>
      <x v="6"/>
    </i>
    <i r="2">
      <x v="20"/>
      <x v="7"/>
    </i>
    <i r="2">
      <x v="27"/>
      <x v="6"/>
    </i>
    <i>
      <x v="34"/>
      <x/>
      <x v="20"/>
      <x v="13"/>
    </i>
    <i>
      <x v="35"/>
      <x/>
      <x v="8"/>
      <x v="9"/>
    </i>
    <i r="2">
      <x v="16"/>
      <x v="6"/>
    </i>
    <i>
      <x v="36"/>
      <x/>
      <x v="17"/>
      <x v="6"/>
    </i>
    <i>
      <x v="37"/>
      <x v="2"/>
      <x v="9"/>
      <x v="7"/>
    </i>
    <i>
      <x v="38"/>
      <x/>
      <x v="20"/>
      <x v="6"/>
    </i>
    <i r="2">
      <x v="21"/>
      <x v="6"/>
    </i>
    <i r="2">
      <x v="22"/>
      <x v="6"/>
    </i>
    <i r="2">
      <x v="28"/>
      <x v="6"/>
    </i>
    <i r="1">
      <x v="2"/>
      <x v="16"/>
      <x v="7"/>
    </i>
    <i r="2">
      <x v="27"/>
      <x v="7"/>
    </i>
    <i>
      <x v="39"/>
      <x/>
      <x v="1"/>
      <x v="9"/>
    </i>
    <i r="2">
      <x v="20"/>
      <x v="6"/>
    </i>
    <i r="1">
      <x v="2"/>
      <x v="20"/>
      <x v="7"/>
    </i>
    <i>
      <x v="40"/>
      <x/>
      <x/>
      <x v="6"/>
    </i>
    <i r="2">
      <x v="16"/>
      <x v="6"/>
    </i>
    <i r="2">
      <x v="20"/>
      <x v="6"/>
    </i>
    <i r="2">
      <x v="28"/>
      <x v="6"/>
    </i>
    <i r="2">
      <x v="29"/>
      <x v="6"/>
    </i>
    <i>
      <x v="41"/>
      <x/>
      <x v="2"/>
      <x v="9"/>
    </i>
    <i r="2">
      <x v="3"/>
      <x v="9"/>
    </i>
    <i r="2">
      <x v="16"/>
      <x v="9"/>
    </i>
    <i>
      <x v="42"/>
      <x/>
      <x v="1"/>
      <x v="9"/>
    </i>
    <i r="2">
      <x v="8"/>
      <x v="6"/>
    </i>
    <i r="2">
      <x v="10"/>
      <x v="6"/>
    </i>
    <i r="2">
      <x v="14"/>
      <x v="6"/>
    </i>
    <i>
      <x v="43"/>
      <x/>
      <x v="1"/>
      <x v="6"/>
    </i>
    <i r="2">
      <x v="9"/>
      <x v="6"/>
    </i>
    <i r="2">
      <x v="15"/>
      <x v="6"/>
    </i>
    <i r="2">
      <x v="16"/>
      <x v="6"/>
    </i>
    <i r="2">
      <x v="17"/>
      <x v="6"/>
    </i>
    <i r="2">
      <x v="20"/>
      <x v="6"/>
    </i>
    <i r="2">
      <x v="21"/>
      <x v="6"/>
    </i>
    <i r="2">
      <x v="22"/>
      <x v="6"/>
    </i>
    <i r="2">
      <x v="24"/>
      <x v="6"/>
    </i>
    <i r="2">
      <x v="29"/>
      <x v="6"/>
    </i>
    <i r="1">
      <x v="2"/>
      <x/>
      <x v="7"/>
    </i>
    <i r="2">
      <x v="3"/>
      <x v="6"/>
    </i>
    <i r="2">
      <x v="6"/>
      <x v="6"/>
    </i>
    <i r="2">
      <x v="10"/>
      <x v="7"/>
    </i>
    <i r="2">
      <x v="13"/>
      <x v="6"/>
    </i>
    <i r="2">
      <x v="14"/>
      <x v="7"/>
    </i>
    <i r="2">
      <x v="27"/>
      <x v="6"/>
    </i>
    <i r="2">
      <x v="28"/>
      <x v="7"/>
    </i>
    <i>
      <x v="44"/>
      <x v="2"/>
      <x v="16"/>
      <x v="7"/>
    </i>
    <i r="2">
      <x v="29"/>
      <x v="6"/>
    </i>
    <i>
      <x v="45"/>
      <x/>
      <x v="29"/>
      <x v="6"/>
    </i>
    <i r="1">
      <x v="2"/>
      <x v="2"/>
      <x v="15"/>
    </i>
    <i>
      <x v="46"/>
      <x/>
      <x v="20"/>
      <x v="6"/>
    </i>
    <i>
      <x v="47"/>
      <x/>
      <x v="20"/>
      <x v="6"/>
    </i>
    <i r="2">
      <x v="21"/>
      <x v="6"/>
    </i>
    <i r="1">
      <x v="2"/>
      <x v="14"/>
      <x v="6"/>
    </i>
    <i>
      <x v="48"/>
      <x v="2"/>
      <x v="16"/>
      <x v="7"/>
    </i>
    <i r="2">
      <x v="28"/>
      <x v="6"/>
    </i>
    <i>
      <x v="49"/>
      <x/>
      <x v="21"/>
      <x v="6"/>
    </i>
    <i>
      <x v="50"/>
      <x/>
      <x v="20"/>
      <x v="6"/>
    </i>
    <i>
      <x v="51"/>
      <x/>
      <x v="16"/>
      <x v="8"/>
    </i>
    <i>
      <x v="52"/>
      <x/>
      <x v="4"/>
      <x v="9"/>
    </i>
    <i r="2">
      <x v="7"/>
      <x v="9"/>
    </i>
    <i r="2">
      <x v="8"/>
      <x v="9"/>
    </i>
    <i r="2">
      <x v="10"/>
      <x v="9"/>
    </i>
    <i r="2">
      <x v="11"/>
      <x v="6"/>
    </i>
    <i r="2">
      <x v="24"/>
      <x v="6"/>
    </i>
    <i r="2">
      <x v="25"/>
      <x v="6"/>
    </i>
    <i r="2">
      <x v="26"/>
      <x v="6"/>
    </i>
    <i r="1">
      <x v="2"/>
      <x/>
      <x v="7"/>
    </i>
    <i r="2">
      <x v="1"/>
      <x v="7"/>
    </i>
    <i r="2">
      <x v="3"/>
      <x v="7"/>
    </i>
    <i r="2">
      <x v="7"/>
      <x v="7"/>
    </i>
    <i r="2">
      <x v="14"/>
      <x v="7"/>
    </i>
    <i r="2">
      <x v="17"/>
      <x v="6"/>
    </i>
    <i r="2">
      <x v="18"/>
      <x v="6"/>
    </i>
    <i>
      <x v="53"/>
      <x/>
      <x v="27"/>
      <x v="3"/>
    </i>
    <i>
      <x v="54"/>
      <x/>
      <x v="20"/>
      <x v="6"/>
    </i>
    <i>
      <x v="55"/>
      <x/>
      <x v="21"/>
      <x v="6"/>
    </i>
    <i r="1">
      <x v="2"/>
      <x v="15"/>
      <x v="15"/>
    </i>
    <i r="2">
      <x v="27"/>
      <x v="6"/>
    </i>
    <i>
      <x v="56"/>
      <x/>
      <x v="21"/>
      <x v="6"/>
    </i>
    <i r="2">
      <x v="22"/>
      <x v="6"/>
    </i>
    <i r="2">
      <x v="23"/>
      <x v="6"/>
    </i>
    <i r="1">
      <x v="2"/>
      <x v="3"/>
      <x v="15"/>
    </i>
    <i r="2">
      <x v="7"/>
      <x v="15"/>
    </i>
    <i r="2">
      <x v="27"/>
      <x v="6"/>
    </i>
    <i>
      <x v="57"/>
      <x/>
      <x v="20"/>
      <x v="6"/>
    </i>
    <i>
      <x v="58"/>
      <x/>
      <x v="11"/>
      <x v="9"/>
    </i>
    <i r="2">
      <x v="12"/>
      <x v="9"/>
    </i>
    <i r="2">
      <x v="26"/>
      <x v="9"/>
    </i>
    <i r="1">
      <x v="2"/>
      <x v="9"/>
      <x v="7"/>
    </i>
    <i r="2">
      <x v="25"/>
      <x v="7"/>
    </i>
    <i>
      <x v="59"/>
      <x/>
      <x v="20"/>
      <x v="6"/>
    </i>
    <i>
      <x v="60"/>
      <x v="2"/>
      <x v="4"/>
      <x v="15"/>
    </i>
    <i>
      <x v="61"/>
      <x/>
      <x v="15"/>
      <x v="9"/>
    </i>
    <i r="2">
      <x v="21"/>
      <x v="6"/>
    </i>
    <i r="2">
      <x v="22"/>
      <x v="6"/>
    </i>
    <i r="1">
      <x v="2"/>
      <x v="8"/>
      <x v="15"/>
    </i>
    <i r="2">
      <x v="14"/>
      <x v="15"/>
    </i>
    <i r="2">
      <x v="16"/>
      <x v="6"/>
    </i>
    <i>
      <x v="62"/>
      <x v="2"/>
      <x v="7"/>
      <x v="15"/>
    </i>
    <i r="2">
      <x v="10"/>
      <x v="7"/>
    </i>
    <i r="2">
      <x v="16"/>
      <x v="7"/>
    </i>
    <i>
      <x v="63"/>
      <x v="2"/>
      <x/>
      <x v="15"/>
    </i>
    <i>
      <x v="64"/>
      <x/>
      <x v="13"/>
      <x v="11"/>
    </i>
    <i r="1">
      <x v="2"/>
      <x v="7"/>
      <x v="15"/>
    </i>
    <i r="2">
      <x v="8"/>
      <x v="15"/>
    </i>
    <i r="2">
      <x v="10"/>
      <x v="15"/>
    </i>
    <i r="2">
      <x v="14"/>
      <x v="15"/>
    </i>
    <i r="2">
      <x v="15"/>
      <x v="15"/>
    </i>
    <i r="2">
      <x v="16"/>
      <x v="6"/>
    </i>
    <i>
      <x v="65"/>
      <x/>
      <x v="5"/>
      <x v="9"/>
    </i>
    <i r="2">
      <x v="18"/>
      <x v="6"/>
    </i>
    <i r="2">
      <x v="20"/>
      <x v="6"/>
    </i>
    <i>
      <x v="66"/>
      <x/>
      <x v="20"/>
      <x v="6"/>
    </i>
    <i r="1">
      <x v="2"/>
      <x v="10"/>
      <x v="15"/>
    </i>
    <i r="2">
      <x v="16"/>
      <x v="6"/>
    </i>
    <i r="2">
      <x v="27"/>
      <x v="6"/>
    </i>
    <i>
      <x v="67"/>
      <x v="2"/>
      <x v="2"/>
      <x v="15"/>
    </i>
    <i r="2">
      <x v="7"/>
      <x v="15"/>
    </i>
    <i r="2">
      <x v="9"/>
      <x v="7"/>
    </i>
    <i r="2">
      <x v="10"/>
      <x v="7"/>
    </i>
    <i r="2">
      <x v="17"/>
      <x v="7"/>
    </i>
    <i>
      <x v="68"/>
      <x/>
      <x v="20"/>
      <x v="6"/>
    </i>
    <i r="2">
      <x v="21"/>
      <x v="6"/>
    </i>
    <i r="2">
      <x v="22"/>
      <x v="6"/>
    </i>
    <i r="2">
      <x v="23"/>
      <x v="6"/>
    </i>
    <i r="1">
      <x v="2"/>
      <x v="15"/>
      <x v="15"/>
    </i>
    <i>
      <x v="69"/>
      <x/>
      <x v="17"/>
      <x v="6"/>
    </i>
    <i r="1">
      <x v="2"/>
      <x v="14"/>
      <x v="15"/>
    </i>
    <i r="2">
      <x v="15"/>
      <x v="15"/>
    </i>
    <i r="2">
      <x v="28"/>
      <x v="6"/>
    </i>
    <i r="2">
      <x v="29"/>
      <x v="6"/>
    </i>
    <i>
      <x v="70"/>
      <x v="2"/>
      <x v="3"/>
      <x v="15"/>
    </i>
    <i r="2">
      <x v="25"/>
      <x v="7"/>
    </i>
    <i r="2">
      <x v="26"/>
      <x v="7"/>
    </i>
    <i>
      <x v="71"/>
      <x/>
      <x v="20"/>
      <x v="6"/>
    </i>
    <i r="2">
      <x v="24"/>
      <x v="6"/>
    </i>
    <i r="1">
      <x v="2"/>
      <x v="14"/>
      <x v="15"/>
    </i>
    <i r="2">
      <x v="15"/>
      <x v="15"/>
    </i>
    <i r="2">
      <x v="16"/>
      <x v="6"/>
    </i>
    <i>
      <x v="72"/>
      <x/>
      <x v="3"/>
      <x v="9"/>
    </i>
    <i r="2">
      <x v="20"/>
      <x v="6"/>
    </i>
    <i r="2">
      <x v="21"/>
      <x v="6"/>
    </i>
    <i r="2">
      <x v="27"/>
      <x v="6"/>
    </i>
    <i r="1">
      <x v="2"/>
      <x v="9"/>
      <x v="15"/>
    </i>
    <i r="2">
      <x v="10"/>
      <x v="15"/>
    </i>
    <i r="2">
      <x v="16"/>
      <x v="6"/>
    </i>
    <i>
      <x v="73"/>
      <x/>
      <x v="9"/>
      <x v="7"/>
    </i>
    <i r="2">
      <x v="10"/>
      <x v="3"/>
    </i>
    <i r="2">
      <x v="11"/>
      <x v="9"/>
    </i>
    <i r="2">
      <x v="26"/>
      <x v="9"/>
    </i>
    <i r="1">
      <x v="2"/>
      <x v="2"/>
      <x v="15"/>
    </i>
    <i r="2">
      <x v="3"/>
      <x v="15"/>
    </i>
    <i r="2">
      <x v="4"/>
      <x v="15"/>
    </i>
    <i r="2">
      <x v="5"/>
      <x v="15"/>
    </i>
    <i r="2">
      <x v="12"/>
      <x v="7"/>
    </i>
    <i r="2">
      <x v="15"/>
      <x v="7"/>
    </i>
    <i r="2">
      <x v="25"/>
      <x v="7"/>
    </i>
    <i>
      <x v="74"/>
      <x/>
      <x v="10"/>
      <x v="9"/>
    </i>
    <i r="2">
      <x v="16"/>
      <x v="6"/>
    </i>
    <i r="2">
      <x v="17"/>
      <x v="6"/>
    </i>
    <i r="2">
      <x v="22"/>
      <x v="6"/>
    </i>
    <i r="2">
      <x v="27"/>
      <x v="6"/>
    </i>
    <i r="2">
      <x v="28"/>
      <x v="6"/>
    </i>
    <i r="1">
      <x v="2"/>
      <x v="3"/>
      <x v="15"/>
    </i>
    <i r="2">
      <x v="8"/>
      <x v="15"/>
    </i>
    <i>
      <x v="75"/>
      <x v="4"/>
      <x v="30"/>
      <x v="17"/>
    </i>
    <i t="grand">
      <x/>
    </i>
  </rowItems>
  <colItems count="1">
    <i/>
  </colItems>
  <dataFields count="1">
    <dataField name="Count of Reason"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17AB7EFB-49BB-4AA0-AAC3-2B4A0F016458}" name="PivotTable2" cacheId="30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T1:X8" firstHeaderRow="0" firstDataRow="1" firstDataCol="1"/>
  <pivotFields count="18">
    <pivotField axis="axisRow" showAll="0">
      <items count="8">
        <item x="5"/>
        <item x="0"/>
        <item x="2"/>
        <item x="4"/>
        <item x="3"/>
        <item x="1"/>
        <item h="1" x="6"/>
        <item t="default"/>
      </items>
    </pivotField>
    <pivotField showAll="0"/>
    <pivotField showAll="0"/>
    <pivotField showAll="0"/>
    <pivotField showAll="0"/>
    <pivotField showAll="0"/>
    <pivotField showAll="0"/>
    <pivotField showAll="0"/>
    <pivotField showAll="0"/>
    <pivotField showAll="0"/>
    <pivotField dataField="1" showAll="0"/>
    <pivotField dataField="1" showAll="0"/>
    <pivotField showAll="0"/>
    <pivotField dataField="1" showAll="0"/>
    <pivotField dataField="1" showAll="0"/>
    <pivotField showAll="0"/>
    <pivotField showAll="0"/>
    <pivotField showAll="0"/>
  </pivotFields>
  <rowFields count="1">
    <field x="0"/>
  </rowFields>
  <rowItems count="7">
    <i>
      <x/>
    </i>
    <i>
      <x v="1"/>
    </i>
    <i>
      <x v="2"/>
    </i>
    <i>
      <x v="3"/>
    </i>
    <i>
      <x v="4"/>
    </i>
    <i>
      <x v="5"/>
    </i>
    <i t="grand">
      <x/>
    </i>
  </rowItems>
  <colFields count="1">
    <field x="-2"/>
  </colFields>
  <colItems count="4">
    <i>
      <x/>
    </i>
    <i i="1">
      <x v="1"/>
    </i>
    <i i="2">
      <x v="2"/>
    </i>
    <i i="3">
      <x v="3"/>
    </i>
  </colItems>
  <dataFields count="4">
    <dataField name="Sum of Tardiness" fld="10" baseField="0" baseItem="0"/>
    <dataField name="Sum of Absences" fld="11" baseField="0" baseItem="0"/>
    <dataField name="Sum of Completed" fld="14" baseField="0" baseItem="0"/>
    <dataField name="Sum of Target"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4EA85486-9FF5-4FC6-AD1B-F5AB10FE3DCD}" name="PivotTable1" cacheId="30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T1:X8" firstHeaderRow="0" firstDataRow="1" firstDataCol="1"/>
  <pivotFields count="18">
    <pivotField axis="axisRow" showAll="0">
      <items count="8">
        <item x="5"/>
        <item x="0"/>
        <item x="2"/>
        <item x="4"/>
        <item x="3"/>
        <item x="1"/>
        <item h="1" x="6"/>
        <item t="default"/>
      </items>
    </pivotField>
    <pivotField showAll="0"/>
    <pivotField showAll="0"/>
    <pivotField showAll="0"/>
    <pivotField showAll="0"/>
    <pivotField showAll="0"/>
    <pivotField showAll="0"/>
    <pivotField showAll="0"/>
    <pivotField showAll="0"/>
    <pivotField showAll="0"/>
    <pivotField dataField="1" showAll="0"/>
    <pivotField dataField="1" showAll="0"/>
    <pivotField showAll="0"/>
    <pivotField dataField="1" showAll="0"/>
    <pivotField dataField="1" showAll="0"/>
    <pivotField showAll="0"/>
    <pivotField showAll="0"/>
    <pivotField showAll="0"/>
  </pivotFields>
  <rowFields count="1">
    <field x="0"/>
  </rowFields>
  <rowItems count="7">
    <i>
      <x/>
    </i>
    <i>
      <x v="1"/>
    </i>
    <i>
      <x v="2"/>
    </i>
    <i>
      <x v="3"/>
    </i>
    <i>
      <x v="4"/>
    </i>
    <i>
      <x v="5"/>
    </i>
    <i t="grand">
      <x/>
    </i>
  </rowItems>
  <colFields count="1">
    <field x="-2"/>
  </colFields>
  <colItems count="4">
    <i>
      <x/>
    </i>
    <i i="1">
      <x v="1"/>
    </i>
    <i i="2">
      <x v="2"/>
    </i>
    <i i="3">
      <x v="3"/>
    </i>
  </colItems>
  <dataFields count="4">
    <dataField name="Sum of Tardiness" fld="10" baseField="0" baseItem="0"/>
    <dataField name="Sum of Absences" fld="11" baseField="0" baseItem="0"/>
    <dataField name="Sum of Completed" fld="14" baseField="0" baseItem="0"/>
    <dataField name="Sum of Target"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326B3389-4AA8-41D8-A513-69F96B3D4F3C}" name="PivotTable5" cacheId="402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H20:K28" firstHeaderRow="1" firstDataRow="1" firstDataCol="4"/>
  <pivotFields count="4">
    <pivotField axis="axisRow" compact="0" outline="0" showAll="0" defaultSubtotal="0">
      <items count="4">
        <item x="0"/>
        <item x="1"/>
        <item x="2"/>
        <item x="3"/>
      </items>
    </pivotField>
    <pivotField axis="axisRow" compact="0" outline="0" showAll="0" defaultSubtotal="0">
      <items count="2">
        <item x="0"/>
        <item x="1"/>
      </items>
    </pivotField>
    <pivotField axis="axisRow" compact="0" outline="0" showAll="0" defaultSubtotal="0">
      <items count="7">
        <item x="5"/>
        <item x="3"/>
        <item x="0"/>
        <item x="4"/>
        <item x="1"/>
        <item x="2"/>
        <item x="6"/>
      </items>
    </pivotField>
    <pivotField axis="axisRow" compact="0" outline="0" showAll="0">
      <items count="3">
        <item x="0"/>
        <item x="1"/>
        <item t="default"/>
      </items>
    </pivotField>
  </pivotFields>
  <rowFields count="4">
    <field x="0"/>
    <field x="1"/>
    <field x="2"/>
    <field x="3"/>
  </rowFields>
  <rowItems count="8">
    <i>
      <x/>
      <x/>
      <x v="2"/>
      <x/>
    </i>
    <i>
      <x v="1"/>
      <x/>
      <x v="4"/>
      <x v="1"/>
    </i>
    <i>
      <x v="2"/>
      <x/>
      <x v="5"/>
      <x v="1"/>
    </i>
    <i>
      <x v="3"/>
      <x v="1"/>
      <x/>
      <x v="1"/>
    </i>
    <i r="2">
      <x v="1"/>
      <x v="1"/>
    </i>
    <i r="2">
      <x v="3"/>
      <x v="1"/>
    </i>
    <i r="2">
      <x v="6"/>
      <x v="1"/>
    </i>
    <i t="grand">
      <x/>
    </i>
  </rowItems>
  <colItems count="1">
    <i/>
  </colItems>
  <formats count="31">
    <format dxfId="11840">
      <pivotArea dataOnly="0" labelOnly="1" outline="0" fieldPosition="0">
        <references count="3">
          <reference field="0" count="1" selected="0">
            <x v="0"/>
          </reference>
          <reference field="1" count="1" selected="0">
            <x v="0"/>
          </reference>
          <reference field="2" count="1">
            <x v="2"/>
          </reference>
        </references>
      </pivotArea>
    </format>
    <format dxfId="11841">
      <pivotArea dataOnly="0" labelOnly="1" outline="0" fieldPosition="0">
        <references count="3">
          <reference field="0" count="1" selected="0">
            <x v="1"/>
          </reference>
          <reference field="1" count="1" selected="0">
            <x v="0"/>
          </reference>
          <reference field="2" count="1">
            <x v="4"/>
          </reference>
        </references>
      </pivotArea>
    </format>
    <format dxfId="11842">
      <pivotArea dataOnly="0" labelOnly="1" outline="0" fieldPosition="0">
        <references count="3">
          <reference field="0" count="1" selected="0">
            <x v="2"/>
          </reference>
          <reference field="1" count="1" selected="0">
            <x v="0"/>
          </reference>
          <reference field="2" count="1">
            <x v="5"/>
          </reference>
        </references>
      </pivotArea>
    </format>
    <format dxfId="11843">
      <pivotArea dataOnly="0" labelOnly="1" outline="0" fieldPosition="0">
        <references count="3">
          <reference field="0" count="1" selected="0">
            <x v="3"/>
          </reference>
          <reference field="1" count="1" selected="0">
            <x v="1"/>
          </reference>
          <reference field="2" count="4">
            <x v="0"/>
            <x v="1"/>
            <x v="3"/>
            <x v="6"/>
          </reference>
        </references>
      </pivotArea>
    </format>
    <format dxfId="11844">
      <pivotArea dataOnly="0" labelOnly="1" outline="0" fieldPosition="0">
        <references count="4">
          <reference field="0" count="1" selected="0">
            <x v="0"/>
          </reference>
          <reference field="1" count="1" selected="0">
            <x v="0"/>
          </reference>
          <reference field="2" count="1" selected="0">
            <x v="2"/>
          </reference>
          <reference field="3" count="1">
            <x v="0"/>
          </reference>
        </references>
      </pivotArea>
    </format>
    <format dxfId="11845">
      <pivotArea dataOnly="0" labelOnly="1" outline="0" fieldPosition="0">
        <references count="4">
          <reference field="0" count="1" selected="0">
            <x v="1"/>
          </reference>
          <reference field="1" count="1" selected="0">
            <x v="0"/>
          </reference>
          <reference field="2" count="1" selected="0">
            <x v="4"/>
          </reference>
          <reference field="3" count="1">
            <x v="1"/>
          </reference>
        </references>
      </pivotArea>
    </format>
    <format dxfId="11846">
      <pivotArea dataOnly="0" labelOnly="1" outline="0" fieldPosition="0">
        <references count="4">
          <reference field="0" count="1" selected="0">
            <x v="2"/>
          </reference>
          <reference field="1" count="1" selected="0">
            <x v="0"/>
          </reference>
          <reference field="2" count="1" selected="0">
            <x v="5"/>
          </reference>
          <reference field="3" count="1">
            <x v="1"/>
          </reference>
        </references>
      </pivotArea>
    </format>
    <format dxfId="11847">
      <pivotArea dataOnly="0" labelOnly="1" outline="0" fieldPosition="0">
        <references count="4">
          <reference field="0" count="1" selected="0">
            <x v="3"/>
          </reference>
          <reference field="1" count="1" selected="0">
            <x v="1"/>
          </reference>
          <reference field="2" count="1" selected="0">
            <x v="0"/>
          </reference>
          <reference field="3" count="1">
            <x v="1"/>
          </reference>
        </references>
      </pivotArea>
    </format>
    <format dxfId="11848">
      <pivotArea dataOnly="0" labelOnly="1" outline="0" fieldPosition="0">
        <references count="4">
          <reference field="0" count="1" selected="0">
            <x v="3"/>
          </reference>
          <reference field="1" count="1" selected="0">
            <x v="1"/>
          </reference>
          <reference field="2" count="1" selected="0">
            <x v="1"/>
          </reference>
          <reference field="3" count="1">
            <x v="1"/>
          </reference>
        </references>
      </pivotArea>
    </format>
    <format dxfId="11849">
      <pivotArea dataOnly="0" labelOnly="1" outline="0" fieldPosition="0">
        <references count="4">
          <reference field="0" count="1" selected="0">
            <x v="3"/>
          </reference>
          <reference field="1" count="1" selected="0">
            <x v="1"/>
          </reference>
          <reference field="2" count="1" selected="0">
            <x v="3"/>
          </reference>
          <reference field="3" count="1">
            <x v="1"/>
          </reference>
        </references>
      </pivotArea>
    </format>
    <format dxfId="11850">
      <pivotArea dataOnly="0" labelOnly="1" outline="0" fieldPosition="0">
        <references count="4">
          <reference field="0" count="1" selected="0">
            <x v="3"/>
          </reference>
          <reference field="1" count="1" selected="0">
            <x v="1"/>
          </reference>
          <reference field="2" count="1" selected="0">
            <x v="6"/>
          </reference>
          <reference field="3" count="1">
            <x v="1"/>
          </reference>
        </references>
      </pivotArea>
    </format>
    <format dxfId="11851">
      <pivotArea type="all" dataOnly="0" outline="0" fieldPosition="0"/>
    </format>
    <format dxfId="11852">
      <pivotArea field="0" type="button" dataOnly="0" labelOnly="1" outline="0" axis="axisRow" fieldPosition="0"/>
    </format>
    <format dxfId="11853">
      <pivotArea field="1" type="button" dataOnly="0" labelOnly="1" outline="0" axis="axisRow" fieldPosition="1"/>
    </format>
    <format dxfId="11854">
      <pivotArea field="2" type="button" dataOnly="0" labelOnly="1" outline="0" axis="axisRow" fieldPosition="2"/>
    </format>
    <format dxfId="11855">
      <pivotArea field="3" type="button" dataOnly="0" labelOnly="1" outline="0" axis="axisRow" fieldPosition="3"/>
    </format>
    <format dxfId="11856">
      <pivotArea dataOnly="0" labelOnly="1" outline="0" fieldPosition="0">
        <references count="1">
          <reference field="0" count="0"/>
        </references>
      </pivotArea>
    </format>
    <format dxfId="11857">
      <pivotArea dataOnly="0" labelOnly="1" grandRow="1" outline="0" fieldPosition="0"/>
    </format>
    <format dxfId="11858">
      <pivotArea dataOnly="0" labelOnly="1" outline="0" fieldPosition="0">
        <references count="2">
          <reference field="0" count="1" selected="0">
            <x v="0"/>
          </reference>
          <reference field="1" count="1">
            <x v="0"/>
          </reference>
        </references>
      </pivotArea>
    </format>
    <format dxfId="11859">
      <pivotArea dataOnly="0" labelOnly="1" outline="0" fieldPosition="0">
        <references count="2">
          <reference field="0" count="1" selected="0">
            <x v="3"/>
          </reference>
          <reference field="1" count="1">
            <x v="1"/>
          </reference>
        </references>
      </pivotArea>
    </format>
    <format dxfId="11860">
      <pivotArea dataOnly="0" labelOnly="1" outline="0" fieldPosition="0">
        <references count="3">
          <reference field="0" count="1" selected="0">
            <x v="0"/>
          </reference>
          <reference field="1" count="1" selected="0">
            <x v="0"/>
          </reference>
          <reference field="2" count="1">
            <x v="2"/>
          </reference>
        </references>
      </pivotArea>
    </format>
    <format dxfId="11861">
      <pivotArea dataOnly="0" labelOnly="1" outline="0" fieldPosition="0">
        <references count="3">
          <reference field="0" count="1" selected="0">
            <x v="1"/>
          </reference>
          <reference field="1" count="1" selected="0">
            <x v="0"/>
          </reference>
          <reference field="2" count="1">
            <x v="4"/>
          </reference>
        </references>
      </pivotArea>
    </format>
    <format dxfId="11862">
      <pivotArea dataOnly="0" labelOnly="1" outline="0" fieldPosition="0">
        <references count="3">
          <reference field="0" count="1" selected="0">
            <x v="2"/>
          </reference>
          <reference field="1" count="1" selected="0">
            <x v="0"/>
          </reference>
          <reference field="2" count="1">
            <x v="5"/>
          </reference>
        </references>
      </pivotArea>
    </format>
    <format dxfId="11863">
      <pivotArea dataOnly="0" labelOnly="1" outline="0" fieldPosition="0">
        <references count="3">
          <reference field="0" count="1" selected="0">
            <x v="3"/>
          </reference>
          <reference field="1" count="1" selected="0">
            <x v="1"/>
          </reference>
          <reference field="2" count="4">
            <x v="0"/>
            <x v="1"/>
            <x v="3"/>
            <x v="6"/>
          </reference>
        </references>
      </pivotArea>
    </format>
    <format dxfId="11864">
      <pivotArea dataOnly="0" labelOnly="1" outline="0" fieldPosition="0">
        <references count="4">
          <reference field="0" count="1" selected="0">
            <x v="0"/>
          </reference>
          <reference field="1" count="1" selected="0">
            <x v="0"/>
          </reference>
          <reference field="2" count="1" selected="0">
            <x v="2"/>
          </reference>
          <reference field="3" count="1">
            <x v="0"/>
          </reference>
        </references>
      </pivotArea>
    </format>
    <format dxfId="11865">
      <pivotArea dataOnly="0" labelOnly="1" outline="0" fieldPosition="0">
        <references count="4">
          <reference field="0" count="1" selected="0">
            <x v="1"/>
          </reference>
          <reference field="1" count="1" selected="0">
            <x v="0"/>
          </reference>
          <reference field="2" count="1" selected="0">
            <x v="4"/>
          </reference>
          <reference field="3" count="1">
            <x v="1"/>
          </reference>
        </references>
      </pivotArea>
    </format>
    <format dxfId="11866">
      <pivotArea dataOnly="0" labelOnly="1" outline="0" fieldPosition="0">
        <references count="4">
          <reference field="0" count="1" selected="0">
            <x v="2"/>
          </reference>
          <reference field="1" count="1" selected="0">
            <x v="0"/>
          </reference>
          <reference field="2" count="1" selected="0">
            <x v="5"/>
          </reference>
          <reference field="3" count="1">
            <x v="1"/>
          </reference>
        </references>
      </pivotArea>
    </format>
    <format dxfId="11867">
      <pivotArea dataOnly="0" labelOnly="1" outline="0" fieldPosition="0">
        <references count="4">
          <reference field="0" count="1" selected="0">
            <x v="3"/>
          </reference>
          <reference field="1" count="1" selected="0">
            <x v="1"/>
          </reference>
          <reference field="2" count="1" selected="0">
            <x v="0"/>
          </reference>
          <reference field="3" count="1">
            <x v="1"/>
          </reference>
        </references>
      </pivotArea>
    </format>
    <format dxfId="11868">
      <pivotArea dataOnly="0" labelOnly="1" outline="0" fieldPosition="0">
        <references count="4">
          <reference field="0" count="1" selected="0">
            <x v="3"/>
          </reference>
          <reference field="1" count="1" selected="0">
            <x v="1"/>
          </reference>
          <reference field="2" count="1" selected="0">
            <x v="1"/>
          </reference>
          <reference field="3" count="1">
            <x v="1"/>
          </reference>
        </references>
      </pivotArea>
    </format>
    <format dxfId="11869">
      <pivotArea dataOnly="0" labelOnly="1" outline="0" fieldPosition="0">
        <references count="4">
          <reference field="0" count="1" selected="0">
            <x v="3"/>
          </reference>
          <reference field="1" count="1" selected="0">
            <x v="1"/>
          </reference>
          <reference field="2" count="1" selected="0">
            <x v="3"/>
          </reference>
          <reference field="3" count="1">
            <x v="1"/>
          </reference>
        </references>
      </pivotArea>
    </format>
    <format dxfId="11870">
      <pivotArea dataOnly="0" labelOnly="1" outline="0" fieldPosition="0">
        <references count="4">
          <reference field="0" count="1" selected="0">
            <x v="3"/>
          </reference>
          <reference field="1" count="1" selected="0">
            <x v="1"/>
          </reference>
          <reference field="2" count="1" selected="0">
            <x v="6"/>
          </reference>
          <reference field="3"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3E707317-71E9-40CB-A079-6D7C3E4AFE7B}" name="PivotTable4" cacheId="391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L2:T8" firstHeaderRow="0" firstDataRow="1" firstDataCol="2"/>
  <pivotFields count="9">
    <pivotField axis="axisRow" compact="0" outline="0" showAll="0" defaultSubtotal="0">
      <items count="5">
        <item x="0"/>
        <item x="1"/>
        <item x="2"/>
        <item x="3"/>
        <item x="4"/>
      </items>
    </pivotField>
    <pivotField axis="axisRow" compact="0" numFmtId="14" outline="0" showAll="0">
      <items count="6">
        <item x="0"/>
        <item x="1"/>
        <item x="2"/>
        <item x="3"/>
        <item x="4"/>
        <item t="default"/>
      </items>
    </pivotField>
    <pivotField dataField="1" compact="0" outline="0" showAll="0"/>
    <pivotField dataField="1" compact="0" outline="0" showAll="0"/>
    <pivotField dataField="1" compact="0" outline="0" showAll="0"/>
    <pivotField dataField="1" compact="0" outline="0" showAll="0"/>
    <pivotField dataField="1" compact="0" numFmtId="10" outline="0" showAll="0"/>
    <pivotField dataField="1" compact="0" numFmtId="10" outline="0" showAll="0"/>
    <pivotField dataField="1" compact="0" numFmtId="9" outline="0" showAll="0"/>
  </pivotFields>
  <rowFields count="2">
    <field x="0"/>
    <field x="1"/>
  </rowFields>
  <rowItems count="6">
    <i>
      <x/>
      <x/>
    </i>
    <i>
      <x v="1"/>
      <x v="1"/>
    </i>
    <i>
      <x v="2"/>
      <x v="2"/>
    </i>
    <i>
      <x v="3"/>
      <x v="3"/>
    </i>
    <i>
      <x v="4"/>
      <x v="4"/>
    </i>
    <i t="grand">
      <x/>
    </i>
  </rowItems>
  <colFields count="1">
    <field x="-2"/>
  </colFields>
  <colItems count="7">
    <i>
      <x/>
    </i>
    <i i="1">
      <x v="1"/>
    </i>
    <i i="2">
      <x v="2"/>
    </i>
    <i i="3">
      <x v="3"/>
    </i>
    <i i="4">
      <x v="4"/>
    </i>
    <i i="5">
      <x v="5"/>
    </i>
    <i i="6">
      <x v="6"/>
    </i>
  </colItems>
  <dataFields count="7">
    <dataField name="Sum of Scheduled Employees" fld="2" baseField="0" baseItem="0"/>
    <dataField name="Sum of Absent Employees" fld="3" baseField="0" baseItem="0"/>
    <dataField name="Sum of Tardy Employees" fld="4" baseField="0" baseItem="0"/>
    <dataField name="Sum of VL&amp;LWOP" fld="5" baseField="0" baseItem="0"/>
    <dataField name="Sum of Absenteeism Rate (%)" fld="6" baseField="0" baseItem="0" numFmtId="10"/>
    <dataField name="Sum of Tardiness Rate (%)" fld="7" baseField="0" baseItem="0" numFmtId="10"/>
    <dataField name="Sum of Attendance" fld="8" baseField="0" baseItem="0" numFmtId="9"/>
  </dataFields>
  <formats count="38">
    <format dxfId="11802">
      <pivotArea outline="0" fieldPosition="0">
        <references count="1">
          <reference field="0" count="0" selected="0" defaultSubtotal="1"/>
        </references>
      </pivotArea>
    </format>
    <format dxfId="11803">
      <pivotArea dataOnly="0" labelOnly="1" outline="0" fieldPosition="0">
        <references count="1">
          <reference field="0" count="1" defaultSubtotal="1">
            <x v="0"/>
          </reference>
        </references>
      </pivotArea>
    </format>
    <format dxfId="11804">
      <pivotArea dataOnly="0" labelOnly="1" outline="0" fieldPosition="0">
        <references count="1">
          <reference field="0" count="1" defaultSubtotal="1">
            <x v="1"/>
          </reference>
        </references>
      </pivotArea>
    </format>
    <format dxfId="11805">
      <pivotArea dataOnly="0" labelOnly="1" outline="0" fieldPosition="0">
        <references count="1">
          <reference field="0" count="1" defaultSubtotal="1">
            <x v="2"/>
          </reference>
        </references>
      </pivotArea>
    </format>
    <format dxfId="11806">
      <pivotArea dataOnly="0" labelOnly="1" outline="0" fieldPosition="0">
        <references count="1">
          <reference field="0" count="1" defaultSubtotal="1">
            <x v="3"/>
          </reference>
        </references>
      </pivotArea>
    </format>
    <format dxfId="11807">
      <pivotArea dataOnly="0" labelOnly="1" outline="0" fieldPosition="0">
        <references count="1">
          <reference field="0" count="1" defaultSubtotal="1">
            <x v="4"/>
          </reference>
        </references>
      </pivotArea>
    </format>
    <format dxfId="11808">
      <pivotArea dataOnly="0" labelOnly="1" outline="0" fieldPosition="0">
        <references count="2">
          <reference field="0" count="1" selected="0">
            <x v="0"/>
          </reference>
          <reference field="1" count="1">
            <x v="0"/>
          </reference>
        </references>
      </pivotArea>
    </format>
    <format dxfId="11809">
      <pivotArea dataOnly="0" labelOnly="1" outline="0" fieldPosition="0">
        <references count="2">
          <reference field="0" count="1" selected="0">
            <x v="1"/>
          </reference>
          <reference field="1" count="1">
            <x v="1"/>
          </reference>
        </references>
      </pivotArea>
    </format>
    <format dxfId="11810">
      <pivotArea dataOnly="0" labelOnly="1" outline="0" fieldPosition="0">
        <references count="2">
          <reference field="0" count="1" selected="0">
            <x v="2"/>
          </reference>
          <reference field="1" count="1">
            <x v="2"/>
          </reference>
        </references>
      </pivotArea>
    </format>
    <format dxfId="11811">
      <pivotArea dataOnly="0" labelOnly="1" outline="0" fieldPosition="0">
        <references count="2">
          <reference field="0" count="1" selected="0">
            <x v="3"/>
          </reference>
          <reference field="1" count="1">
            <x v="3"/>
          </reference>
        </references>
      </pivotArea>
    </format>
    <format dxfId="11812">
      <pivotArea dataOnly="0" labelOnly="1" outline="0" fieldPosition="0">
        <references count="2">
          <reference field="0" count="1" selected="0">
            <x v="4"/>
          </reference>
          <reference field="1" count="1">
            <x v="4"/>
          </reference>
        </references>
      </pivotArea>
    </format>
    <format dxfId="11813">
      <pivotArea outline="0" fieldPosition="0">
        <references count="1">
          <reference field="0" count="0" selected="0" defaultSubtotal="1"/>
        </references>
      </pivotArea>
    </format>
    <format dxfId="11814">
      <pivotArea dataOnly="0" labelOnly="1" outline="0" fieldPosition="0">
        <references count="1">
          <reference field="0" count="1" defaultSubtotal="1">
            <x v="0"/>
          </reference>
        </references>
      </pivotArea>
    </format>
    <format dxfId="11815">
      <pivotArea dataOnly="0" labelOnly="1" outline="0" fieldPosition="0">
        <references count="1">
          <reference field="0" count="1" defaultSubtotal="1">
            <x v="1"/>
          </reference>
        </references>
      </pivotArea>
    </format>
    <format dxfId="11816">
      <pivotArea dataOnly="0" labelOnly="1" outline="0" fieldPosition="0">
        <references count="1">
          <reference field="0" count="1" defaultSubtotal="1">
            <x v="2"/>
          </reference>
        </references>
      </pivotArea>
    </format>
    <format dxfId="11817">
      <pivotArea dataOnly="0" labelOnly="1" outline="0" fieldPosition="0">
        <references count="1">
          <reference field="0" count="1" defaultSubtotal="1">
            <x v="3"/>
          </reference>
        </references>
      </pivotArea>
    </format>
    <format dxfId="11818">
      <pivotArea dataOnly="0" labelOnly="1" outline="0" fieldPosition="0">
        <references count="1">
          <reference field="0" count="1" defaultSubtotal="1">
            <x v="4"/>
          </reference>
        </references>
      </pivotArea>
    </format>
    <format dxfId="11819">
      <pivotArea dataOnly="0" labelOnly="1" outline="0" fieldPosition="0">
        <references count="2">
          <reference field="0" count="1" selected="0">
            <x v="0"/>
          </reference>
          <reference field="1" count="1">
            <x v="0"/>
          </reference>
        </references>
      </pivotArea>
    </format>
    <format dxfId="11820">
      <pivotArea dataOnly="0" labelOnly="1" outline="0" fieldPosition="0">
        <references count="2">
          <reference field="0" count="1" selected="0">
            <x v="1"/>
          </reference>
          <reference field="1" count="1">
            <x v="1"/>
          </reference>
        </references>
      </pivotArea>
    </format>
    <format dxfId="11821">
      <pivotArea dataOnly="0" labelOnly="1" outline="0" fieldPosition="0">
        <references count="2">
          <reference field="0" count="1" selected="0">
            <x v="2"/>
          </reference>
          <reference field="1" count="1">
            <x v="2"/>
          </reference>
        </references>
      </pivotArea>
    </format>
    <format dxfId="11822">
      <pivotArea dataOnly="0" labelOnly="1" outline="0" fieldPosition="0">
        <references count="2">
          <reference field="0" count="1" selected="0">
            <x v="3"/>
          </reference>
          <reference field="1" count="1">
            <x v="3"/>
          </reference>
        </references>
      </pivotArea>
    </format>
    <format dxfId="11823">
      <pivotArea dataOnly="0" labelOnly="1" outline="0" fieldPosition="0">
        <references count="2">
          <reference field="0" count="1" selected="0">
            <x v="4"/>
          </reference>
          <reference field="1" count="1">
            <x v="4"/>
          </reference>
        </references>
      </pivotArea>
    </format>
    <format dxfId="11824">
      <pivotArea outline="0" collapsedLevelsAreSubtotals="1" fieldPosition="0"/>
    </format>
    <format dxfId="11825">
      <pivotArea dataOnly="0" labelOnly="1" outline="0" fieldPosition="0">
        <references count="1">
          <reference field="4294967294" count="7">
            <x v="0"/>
            <x v="1"/>
            <x v="2"/>
            <x v="3"/>
            <x v="4"/>
            <x v="5"/>
            <x v="6"/>
          </reference>
        </references>
      </pivotArea>
    </format>
    <format dxfId="11826">
      <pivotArea type="all" dataOnly="0" outline="0" fieldPosition="0"/>
    </format>
    <format dxfId="11827">
      <pivotArea outline="0" collapsedLevelsAreSubtotals="1" fieldPosition="0"/>
    </format>
    <format dxfId="11828">
      <pivotArea field="0" type="button" dataOnly="0" labelOnly="1" outline="0" axis="axisRow" fieldPosition="0"/>
    </format>
    <format dxfId="11829">
      <pivotArea field="1" type="button" dataOnly="0" labelOnly="1" outline="0" axis="axisRow" fieldPosition="1"/>
    </format>
    <format dxfId="11830">
      <pivotArea dataOnly="0" labelOnly="1" outline="0" fieldPosition="0">
        <references count="1">
          <reference field="0" count="0"/>
        </references>
      </pivotArea>
    </format>
    <format dxfId="11831">
      <pivotArea dataOnly="0" labelOnly="1" grandRow="1" outline="0" fieldPosition="0"/>
    </format>
    <format dxfId="11832">
      <pivotArea dataOnly="0" labelOnly="1" outline="0" fieldPosition="0">
        <references count="2">
          <reference field="0" count="1" selected="0">
            <x v="0"/>
          </reference>
          <reference field="1" count="1">
            <x v="0"/>
          </reference>
        </references>
      </pivotArea>
    </format>
    <format dxfId="11833">
      <pivotArea dataOnly="0" labelOnly="1" outline="0" fieldPosition="0">
        <references count="2">
          <reference field="0" count="1" selected="0">
            <x v="1"/>
          </reference>
          <reference field="1" count="1">
            <x v="1"/>
          </reference>
        </references>
      </pivotArea>
    </format>
    <format dxfId="11834">
      <pivotArea dataOnly="0" labelOnly="1" outline="0" fieldPosition="0">
        <references count="2">
          <reference field="0" count="1" selected="0">
            <x v="2"/>
          </reference>
          <reference field="1" count="1">
            <x v="2"/>
          </reference>
        </references>
      </pivotArea>
    </format>
    <format dxfId="11835">
      <pivotArea dataOnly="0" labelOnly="1" outline="0" fieldPosition="0">
        <references count="2">
          <reference field="0" count="1" selected="0">
            <x v="3"/>
          </reference>
          <reference field="1" count="1">
            <x v="3"/>
          </reference>
        </references>
      </pivotArea>
    </format>
    <format dxfId="11836">
      <pivotArea dataOnly="0" labelOnly="1" outline="0" fieldPosition="0">
        <references count="2">
          <reference field="0" count="1" selected="0">
            <x v="4"/>
          </reference>
          <reference field="1" count="1">
            <x v="4"/>
          </reference>
        </references>
      </pivotArea>
    </format>
    <format dxfId="11837">
      <pivotArea dataOnly="0" labelOnly="1" outline="0" fieldPosition="0">
        <references count="1">
          <reference field="4294967294" count="7">
            <x v="0"/>
            <x v="1"/>
            <x v="2"/>
            <x v="3"/>
            <x v="4"/>
            <x v="5"/>
            <x v="6"/>
          </reference>
        </references>
      </pivotArea>
    </format>
    <format dxfId="11838">
      <pivotArea outline="0" fieldPosition="0">
        <references count="3">
          <reference field="4294967294" count="1" selected="0">
            <x v="6"/>
          </reference>
          <reference field="0" count="3" selected="0">
            <x v="2"/>
            <x v="3"/>
            <x v="4"/>
          </reference>
          <reference field="1" count="3" selected="0">
            <x v="2"/>
            <x v="3"/>
            <x v="4"/>
          </reference>
        </references>
      </pivotArea>
    </format>
    <format dxfId="11839">
      <pivotArea outline="0" fieldPosition="0">
        <references count="3">
          <reference field="4294967294" count="1" selected="0">
            <x v="6"/>
          </reference>
          <reference field="0" count="2" selected="0">
            <x v="0"/>
            <x v="1"/>
          </reference>
          <reference field="1" count="2" selected="0">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1E7F008D-DA3C-499A-AE93-4D6B02953CDA}" name="PivotTable6" cacheId="30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2:B10" firstHeaderRow="1" firstDataRow="1" firstDataCol="1"/>
  <pivotFields count="9">
    <pivotField showAll="0"/>
    <pivotField axis="axisRow" numFmtId="14" showAll="0">
      <items count="8">
        <item x="0"/>
        <item x="1"/>
        <item x="2"/>
        <item x="3"/>
        <item x="4"/>
        <item x="5"/>
        <item x="6"/>
        <item t="default"/>
      </items>
    </pivotField>
    <pivotField showAll="0"/>
    <pivotField showAll="0"/>
    <pivotField dataField="1" showAll="0"/>
    <pivotField showAll="0"/>
    <pivotField showAll="0"/>
    <pivotField showAll="0"/>
    <pivotField showAll="0"/>
  </pivotFields>
  <rowFields count="1">
    <field x="1"/>
  </rowFields>
  <rowItems count="8">
    <i>
      <x/>
    </i>
    <i>
      <x v="1"/>
    </i>
    <i>
      <x v="2"/>
    </i>
    <i>
      <x v="3"/>
    </i>
    <i>
      <x v="4"/>
    </i>
    <i>
      <x v="5"/>
    </i>
    <i>
      <x v="6"/>
    </i>
    <i t="grand">
      <x/>
    </i>
  </rowItems>
  <colItems count="1">
    <i/>
  </colItems>
  <dataFields count="1">
    <dataField name="Sum of Tardy Employee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13.xml"/><Relationship Id="rId3" Type="http://schemas.openxmlformats.org/officeDocument/2006/relationships/pivotTable" Target="../pivotTables/pivotTable8.xml"/><Relationship Id="rId7" Type="http://schemas.openxmlformats.org/officeDocument/2006/relationships/pivotTable" Target="../pivotTables/pivotTable12.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pivotTable" Target="../pivotTables/pivotTable11.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5.xml"/></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17.xml"/><Relationship Id="rId1" Type="http://schemas.openxmlformats.org/officeDocument/2006/relationships/pivotTable" Target="../pivotTables/pivotTable16.xml"/></Relationships>
</file>

<file path=xl/worksheets/_rels/sheet8.xml.rels><?xml version="1.0" encoding="UTF-8" standalone="yes"?>
<Relationships xmlns="http://schemas.openxmlformats.org/package/2006/relationships"><Relationship Id="rId2" Type="http://schemas.openxmlformats.org/officeDocument/2006/relationships/pivotTable" Target="../pivotTables/pivotTable19.xml"/><Relationship Id="rId1" Type="http://schemas.openxmlformats.org/officeDocument/2006/relationships/pivotTable" Target="../pivotTables/pivotTable1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20.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21.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2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1.xml.rels><?xml version="1.0" encoding="UTF-8" standalone="yes"?>
<Relationships xmlns="http://schemas.openxmlformats.org/package/2006/relationships"><Relationship Id="rId1" Type="http://schemas.openxmlformats.org/officeDocument/2006/relationships/pivotTable" Target="../pivotTables/pivotTable23.xml"/></Relationships>
</file>

<file path=xl/worksheets/_rels/sheet22.xml.rels><?xml version="1.0" encoding="UTF-8" standalone="yes"?>
<Relationships xmlns="http://schemas.openxmlformats.org/package/2006/relationships"><Relationship Id="rId1" Type="http://schemas.openxmlformats.org/officeDocument/2006/relationships/pivotTable" Target="../pivotTables/pivotTable24.xml"/></Relationships>
</file>

<file path=xl/worksheets/_rels/sheet2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26.xml"/><Relationship Id="rId1" Type="http://schemas.openxmlformats.org/officeDocument/2006/relationships/pivotTable" Target="../pivotTables/pivotTable25.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28.xml.rels><?xml version="1.0" encoding="UTF-8" standalone="yes"?>
<Relationships xmlns="http://schemas.openxmlformats.org/package/2006/relationships"><Relationship Id="rId1" Type="http://schemas.openxmlformats.org/officeDocument/2006/relationships/pivotTable" Target="../pivotTables/pivotTable27.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87DFB-94BB-4049-81CE-69A6E525FE3D}">
  <dimension ref="A1:V98"/>
  <sheetViews>
    <sheetView showGridLines="0" topLeftCell="A61" workbookViewId="0">
      <selection activeCell="B54" sqref="B54"/>
    </sheetView>
  </sheetViews>
  <sheetFormatPr defaultRowHeight="11.25"/>
  <cols>
    <col min="1" max="1" width="9.140625" style="6"/>
    <col min="2" max="2" width="12.5703125" style="6" bestFit="1" customWidth="1"/>
    <col min="3" max="3" width="21.42578125" style="6" bestFit="1" customWidth="1"/>
    <col min="4" max="4" width="12" style="6" bestFit="1" customWidth="1"/>
    <col min="5" max="16384" width="9.140625" style="20"/>
  </cols>
  <sheetData>
    <row r="1" spans="1:22">
      <c r="A1" s="17" t="s">
        <v>0</v>
      </c>
      <c r="B1" s="17" t="s">
        <v>1</v>
      </c>
      <c r="C1" s="17" t="s">
        <v>2</v>
      </c>
      <c r="D1" s="17" t="s">
        <v>3</v>
      </c>
      <c r="E1" s="17" t="s">
        <v>4</v>
      </c>
      <c r="F1" s="17" t="s">
        <v>5</v>
      </c>
      <c r="G1" s="17" t="s">
        <v>6</v>
      </c>
      <c r="H1" s="17" t="s">
        <v>7</v>
      </c>
      <c r="I1" s="17" t="s">
        <v>8</v>
      </c>
      <c r="J1" s="17" t="s">
        <v>9</v>
      </c>
      <c r="K1" s="17" t="s">
        <v>10</v>
      </c>
      <c r="L1" s="17" t="s">
        <v>11</v>
      </c>
      <c r="M1" s="17" t="s">
        <v>12</v>
      </c>
      <c r="N1" s="17" t="s">
        <v>13</v>
      </c>
      <c r="O1" s="17" t="s">
        <v>14</v>
      </c>
      <c r="P1" s="17" t="s">
        <v>15</v>
      </c>
      <c r="Q1" s="17" t="s">
        <v>16</v>
      </c>
      <c r="R1" s="17" t="s">
        <v>17</v>
      </c>
      <c r="S1" s="17" t="s">
        <v>18</v>
      </c>
      <c r="T1" s="17" t="s">
        <v>19</v>
      </c>
      <c r="U1" s="17" t="s">
        <v>20</v>
      </c>
      <c r="V1" s="17" t="s">
        <v>21</v>
      </c>
    </row>
    <row r="2" spans="1:22">
      <c r="A2" s="18" t="s">
        <v>22</v>
      </c>
      <c r="B2" s="18" t="s">
        <v>23</v>
      </c>
      <c r="C2" s="18" t="s">
        <v>24</v>
      </c>
      <c r="D2" s="18" t="s">
        <v>25</v>
      </c>
      <c r="E2" s="18">
        <v>231</v>
      </c>
      <c r="F2" s="18">
        <v>1620</v>
      </c>
      <c r="G2" s="18">
        <v>1620</v>
      </c>
      <c r="H2" s="18">
        <v>10800</v>
      </c>
      <c r="I2" s="18">
        <v>9180</v>
      </c>
      <c r="J2" s="21">
        <v>0.85</v>
      </c>
      <c r="K2" s="18">
        <v>5</v>
      </c>
      <c r="L2" s="18"/>
      <c r="M2" s="18"/>
      <c r="N2" s="18">
        <v>3</v>
      </c>
      <c r="O2" s="18"/>
      <c r="P2" s="18"/>
      <c r="Q2" s="18"/>
      <c r="R2" s="18"/>
      <c r="S2" s="18"/>
      <c r="T2" s="18"/>
      <c r="U2" s="18"/>
      <c r="V2" s="18"/>
    </row>
    <row r="3" spans="1:22">
      <c r="A3" s="18" t="s">
        <v>26</v>
      </c>
      <c r="B3" s="18" t="s">
        <v>27</v>
      </c>
      <c r="C3" s="19" t="s">
        <v>28</v>
      </c>
      <c r="D3" s="19" t="s">
        <v>25</v>
      </c>
      <c r="E3" s="18">
        <v>262</v>
      </c>
      <c r="F3" s="18">
        <v>540</v>
      </c>
      <c r="G3" s="18">
        <v>802</v>
      </c>
      <c r="H3" s="18">
        <v>11880</v>
      </c>
      <c r="I3" s="18">
        <v>11078</v>
      </c>
      <c r="J3" s="21">
        <v>0.93249158249158248</v>
      </c>
      <c r="K3" s="18">
        <v>9</v>
      </c>
      <c r="L3" s="18">
        <v>1</v>
      </c>
      <c r="M3" s="18"/>
      <c r="N3" s="18"/>
      <c r="O3" s="18">
        <v>2</v>
      </c>
      <c r="P3" s="18"/>
      <c r="Q3" s="18"/>
      <c r="R3" s="18"/>
      <c r="S3" s="18"/>
      <c r="T3" s="18"/>
      <c r="U3" s="18"/>
      <c r="V3" s="18"/>
    </row>
    <row r="4" spans="1:22">
      <c r="A4" s="18" t="s">
        <v>26</v>
      </c>
      <c r="B4" s="18" t="s">
        <v>27</v>
      </c>
      <c r="C4" s="19" t="s">
        <v>29</v>
      </c>
      <c r="D4" s="19" t="s">
        <v>30</v>
      </c>
      <c r="E4" s="18">
        <v>374</v>
      </c>
      <c r="F4" s="18">
        <v>540</v>
      </c>
      <c r="G4" s="18">
        <v>914</v>
      </c>
      <c r="H4" s="18">
        <v>11880</v>
      </c>
      <c r="I4" s="18">
        <v>10966</v>
      </c>
      <c r="J4" s="21">
        <v>0.92306397306397303</v>
      </c>
      <c r="K4" s="18">
        <v>9</v>
      </c>
      <c r="L4" s="18">
        <v>1</v>
      </c>
      <c r="M4" s="18"/>
      <c r="N4" s="18"/>
      <c r="O4" s="18"/>
      <c r="P4" s="18"/>
      <c r="Q4" s="18"/>
      <c r="R4" s="18"/>
      <c r="S4" s="18"/>
      <c r="T4" s="18"/>
      <c r="U4" s="18"/>
      <c r="V4" s="18"/>
    </row>
    <row r="5" spans="1:22">
      <c r="A5" s="18" t="s">
        <v>22</v>
      </c>
      <c r="B5" s="18" t="s">
        <v>31</v>
      </c>
      <c r="C5" s="18" t="s">
        <v>32</v>
      </c>
      <c r="D5" s="18" t="s">
        <v>33</v>
      </c>
      <c r="E5" s="18">
        <v>32</v>
      </c>
      <c r="F5" s="18">
        <v>2160</v>
      </c>
      <c r="G5" s="18">
        <v>2192</v>
      </c>
      <c r="H5" s="18">
        <v>11880</v>
      </c>
      <c r="I5" s="18">
        <v>9688</v>
      </c>
      <c r="J5" s="21">
        <v>0.81548821548821548</v>
      </c>
      <c r="K5" s="18">
        <v>3</v>
      </c>
      <c r="L5" s="18">
        <v>4</v>
      </c>
      <c r="M5" s="18"/>
      <c r="N5" s="18"/>
      <c r="O5" s="18"/>
      <c r="P5" s="18"/>
      <c r="Q5" s="18"/>
      <c r="R5" s="18"/>
      <c r="S5" s="18"/>
      <c r="T5" s="18"/>
      <c r="U5" s="18"/>
      <c r="V5" s="18"/>
    </row>
    <row r="6" spans="1:22">
      <c r="A6" s="18" t="s">
        <v>26</v>
      </c>
      <c r="B6" s="18" t="s">
        <v>34</v>
      </c>
      <c r="C6" s="19" t="s">
        <v>35</v>
      </c>
      <c r="D6" s="19" t="s">
        <v>36</v>
      </c>
      <c r="E6" s="18">
        <v>31</v>
      </c>
      <c r="F6" s="18"/>
      <c r="G6" s="18">
        <v>31</v>
      </c>
      <c r="H6" s="18">
        <v>11880</v>
      </c>
      <c r="I6" s="18">
        <v>11849</v>
      </c>
      <c r="J6" s="21">
        <v>0.99739057239057238</v>
      </c>
      <c r="K6" s="18">
        <v>7</v>
      </c>
      <c r="L6" s="18"/>
      <c r="M6" s="18"/>
      <c r="N6" s="18"/>
      <c r="O6" s="18"/>
      <c r="P6" s="18"/>
      <c r="Q6" s="18"/>
      <c r="R6" s="18"/>
      <c r="S6" s="18"/>
      <c r="T6" s="18"/>
      <c r="U6" s="18"/>
      <c r="V6" s="18"/>
    </row>
    <row r="7" spans="1:22">
      <c r="A7" s="18" t="s">
        <v>37</v>
      </c>
      <c r="B7" s="18" t="s">
        <v>38</v>
      </c>
      <c r="C7" s="18" t="s">
        <v>39</v>
      </c>
      <c r="D7" s="18" t="s">
        <v>40</v>
      </c>
      <c r="E7" s="18">
        <v>533</v>
      </c>
      <c r="F7" s="18">
        <v>540</v>
      </c>
      <c r="G7" s="18">
        <v>1073</v>
      </c>
      <c r="H7" s="18">
        <v>11880</v>
      </c>
      <c r="I7" s="18">
        <v>10807</v>
      </c>
      <c r="J7" s="21">
        <v>0.90968013468013464</v>
      </c>
      <c r="K7" s="18">
        <v>4</v>
      </c>
      <c r="L7" s="18">
        <v>1</v>
      </c>
      <c r="M7" s="18"/>
      <c r="N7" s="18"/>
      <c r="O7" s="18"/>
      <c r="P7" s="18"/>
      <c r="Q7" s="18"/>
      <c r="R7" s="18"/>
      <c r="S7" s="18"/>
      <c r="T7" s="18"/>
      <c r="U7" s="18"/>
      <c r="V7" s="18"/>
    </row>
    <row r="8" spans="1:22">
      <c r="A8" s="18" t="s">
        <v>22</v>
      </c>
      <c r="B8" s="18" t="s">
        <v>31</v>
      </c>
      <c r="C8" s="18" t="s">
        <v>41</v>
      </c>
      <c r="D8" s="18" t="s">
        <v>33</v>
      </c>
      <c r="E8" s="18">
        <v>27</v>
      </c>
      <c r="F8" s="18">
        <v>2160</v>
      </c>
      <c r="G8" s="18">
        <v>2187</v>
      </c>
      <c r="H8" s="18">
        <v>11340</v>
      </c>
      <c r="I8" s="18">
        <v>9153</v>
      </c>
      <c r="J8" s="21">
        <v>0.80714285714285716</v>
      </c>
      <c r="K8" s="18">
        <v>7</v>
      </c>
      <c r="L8" s="18">
        <v>4</v>
      </c>
      <c r="M8" s="18"/>
      <c r="N8" s="18"/>
      <c r="O8" s="18">
        <v>1</v>
      </c>
      <c r="P8" s="18"/>
      <c r="Q8" s="18"/>
      <c r="R8" s="18"/>
      <c r="S8" s="18"/>
      <c r="T8" s="18"/>
      <c r="U8" s="18"/>
      <c r="V8" s="18"/>
    </row>
    <row r="9" spans="1:22">
      <c r="A9" s="18" t="s">
        <v>22</v>
      </c>
      <c r="B9" s="18" t="s">
        <v>23</v>
      </c>
      <c r="C9" s="18" t="s">
        <v>42</v>
      </c>
      <c r="D9" s="18" t="s">
        <v>25</v>
      </c>
      <c r="E9" s="18">
        <v>41</v>
      </c>
      <c r="F9" s="18"/>
      <c r="G9" s="18">
        <v>41</v>
      </c>
      <c r="H9" s="18">
        <v>11340</v>
      </c>
      <c r="I9" s="18">
        <v>11299</v>
      </c>
      <c r="J9" s="21">
        <v>0.99638447971781308</v>
      </c>
      <c r="K9" s="18">
        <v>4</v>
      </c>
      <c r="L9" s="18"/>
      <c r="M9" s="18"/>
      <c r="N9" s="18"/>
      <c r="O9" s="18">
        <v>1</v>
      </c>
      <c r="P9" s="18"/>
      <c r="Q9" s="18"/>
      <c r="R9" s="18"/>
      <c r="S9" s="18"/>
      <c r="T9" s="18"/>
      <c r="U9" s="18"/>
      <c r="V9" s="18"/>
    </row>
    <row r="10" spans="1:22">
      <c r="A10" s="18" t="s">
        <v>22</v>
      </c>
      <c r="B10" s="18" t="s">
        <v>23</v>
      </c>
      <c r="C10" s="18" t="s">
        <v>43</v>
      </c>
      <c r="D10" s="18" t="s">
        <v>25</v>
      </c>
      <c r="E10" s="18">
        <v>0</v>
      </c>
      <c r="F10" s="18">
        <v>540</v>
      </c>
      <c r="G10" s="18">
        <v>540</v>
      </c>
      <c r="H10" s="18">
        <v>10260</v>
      </c>
      <c r="I10" s="18">
        <v>9720</v>
      </c>
      <c r="J10" s="21">
        <v>0.94736842105263153</v>
      </c>
      <c r="K10" s="18"/>
      <c r="L10" s="18"/>
      <c r="M10" s="18">
        <v>3</v>
      </c>
      <c r="N10" s="18">
        <v>1</v>
      </c>
      <c r="O10" s="18"/>
      <c r="P10" s="18"/>
      <c r="Q10" s="18"/>
      <c r="R10" s="18"/>
      <c r="S10" s="18"/>
      <c r="T10" s="18"/>
      <c r="U10" s="18"/>
      <c r="V10" s="18"/>
    </row>
    <row r="11" spans="1:22">
      <c r="A11" s="18" t="s">
        <v>37</v>
      </c>
      <c r="B11" s="18" t="s">
        <v>38</v>
      </c>
      <c r="C11" s="18" t="s">
        <v>44</v>
      </c>
      <c r="D11" s="18" t="s">
        <v>40</v>
      </c>
      <c r="E11" s="18">
        <v>8</v>
      </c>
      <c r="F11" s="18"/>
      <c r="G11" s="18">
        <v>8</v>
      </c>
      <c r="H11" s="18">
        <v>11880</v>
      </c>
      <c r="I11" s="18">
        <v>11872</v>
      </c>
      <c r="J11" s="21">
        <v>0.99932659932659929</v>
      </c>
      <c r="K11" s="18">
        <v>2</v>
      </c>
      <c r="L11" s="18"/>
      <c r="M11" s="18"/>
      <c r="N11" s="18"/>
      <c r="O11" s="18"/>
      <c r="P11" s="18"/>
      <c r="Q11" s="18"/>
      <c r="R11" s="18"/>
      <c r="S11" s="18"/>
      <c r="T11" s="18"/>
      <c r="U11" s="18"/>
      <c r="V11" s="18"/>
    </row>
    <row r="12" spans="1:22">
      <c r="A12" s="18" t="s">
        <v>26</v>
      </c>
      <c r="B12" s="18" t="s">
        <v>27</v>
      </c>
      <c r="C12" s="19" t="s">
        <v>45</v>
      </c>
      <c r="D12" s="19" t="s">
        <v>30</v>
      </c>
      <c r="E12" s="18"/>
      <c r="F12" s="18">
        <v>1620</v>
      </c>
      <c r="G12" s="18">
        <v>1620</v>
      </c>
      <c r="H12" s="18">
        <v>11880</v>
      </c>
      <c r="I12" s="18">
        <v>10260</v>
      </c>
      <c r="J12" s="21">
        <v>0.86363636363636365</v>
      </c>
      <c r="K12" s="18"/>
      <c r="L12" s="18">
        <v>3</v>
      </c>
      <c r="M12" s="18"/>
      <c r="N12" s="18"/>
      <c r="O12" s="18"/>
      <c r="P12" s="18"/>
      <c r="Q12" s="18"/>
      <c r="R12" s="18"/>
      <c r="S12" s="18"/>
      <c r="T12" s="18"/>
      <c r="U12" s="18"/>
      <c r="V12" s="18"/>
    </row>
    <row r="13" spans="1:22">
      <c r="A13" s="18" t="s">
        <v>26</v>
      </c>
      <c r="B13" s="18" t="s">
        <v>34</v>
      </c>
      <c r="C13" s="19" t="s">
        <v>46</v>
      </c>
      <c r="D13" s="19" t="s">
        <v>33</v>
      </c>
      <c r="E13" s="18"/>
      <c r="F13" s="18">
        <v>1080</v>
      </c>
      <c r="G13" s="18">
        <v>1080</v>
      </c>
      <c r="H13" s="18">
        <v>10800</v>
      </c>
      <c r="I13" s="18">
        <v>9720</v>
      </c>
      <c r="J13" s="21">
        <v>0.9</v>
      </c>
      <c r="K13" s="18"/>
      <c r="L13" s="18">
        <v>1</v>
      </c>
      <c r="M13" s="18">
        <v>2</v>
      </c>
      <c r="N13" s="18">
        <v>1</v>
      </c>
      <c r="O13" s="18"/>
      <c r="P13" s="18"/>
      <c r="Q13" s="18"/>
      <c r="R13" s="18"/>
      <c r="S13" s="18"/>
      <c r="T13" s="18"/>
      <c r="U13" s="18"/>
      <c r="V13" s="18"/>
    </row>
    <row r="14" spans="1:22">
      <c r="A14" s="18" t="s">
        <v>26</v>
      </c>
      <c r="B14" s="18" t="s">
        <v>27</v>
      </c>
      <c r="C14" s="19" t="s">
        <v>47</v>
      </c>
      <c r="D14" s="19" t="s">
        <v>33</v>
      </c>
      <c r="E14" s="18">
        <v>44</v>
      </c>
      <c r="F14" s="18">
        <v>540</v>
      </c>
      <c r="G14" s="18">
        <v>584</v>
      </c>
      <c r="H14" s="18">
        <v>11880</v>
      </c>
      <c r="I14" s="18">
        <v>11296</v>
      </c>
      <c r="J14" s="21">
        <v>0.95084175084175082</v>
      </c>
      <c r="K14" s="18">
        <v>5</v>
      </c>
      <c r="L14" s="18">
        <v>1</v>
      </c>
      <c r="M14" s="18"/>
      <c r="N14" s="18"/>
      <c r="O14" s="18"/>
      <c r="P14" s="18"/>
      <c r="Q14" s="18"/>
      <c r="R14" s="18"/>
      <c r="S14" s="18"/>
      <c r="T14" s="18"/>
      <c r="U14" s="18"/>
      <c r="V14" s="18"/>
    </row>
    <row r="15" spans="1:22">
      <c r="A15" s="18" t="s">
        <v>26</v>
      </c>
      <c r="B15" s="18" t="s">
        <v>27</v>
      </c>
      <c r="C15" s="19" t="s">
        <v>48</v>
      </c>
      <c r="D15" s="19" t="s">
        <v>33</v>
      </c>
      <c r="E15" s="18"/>
      <c r="F15" s="18">
        <v>1080</v>
      </c>
      <c r="G15" s="18">
        <v>1080</v>
      </c>
      <c r="H15" s="18">
        <v>11340</v>
      </c>
      <c r="I15" s="18">
        <v>10260</v>
      </c>
      <c r="J15" s="21">
        <v>0.90476190476190477</v>
      </c>
      <c r="K15" s="18"/>
      <c r="L15" s="18">
        <v>2</v>
      </c>
      <c r="M15" s="18"/>
      <c r="N15" s="18"/>
      <c r="O15" s="18">
        <v>1</v>
      </c>
      <c r="P15" s="18"/>
      <c r="Q15" s="18"/>
      <c r="R15" s="18"/>
      <c r="S15" s="18"/>
      <c r="T15" s="18"/>
      <c r="U15" s="18"/>
      <c r="V15" s="18"/>
    </row>
    <row r="16" spans="1:22">
      <c r="A16" s="18" t="s">
        <v>26</v>
      </c>
      <c r="B16" s="18" t="s">
        <v>27</v>
      </c>
      <c r="C16" s="19" t="s">
        <v>49</v>
      </c>
      <c r="D16" s="19" t="s">
        <v>50</v>
      </c>
      <c r="E16" s="18">
        <v>46</v>
      </c>
      <c r="F16" s="18">
        <v>540</v>
      </c>
      <c r="G16" s="18">
        <v>586</v>
      </c>
      <c r="H16" s="18">
        <v>11880</v>
      </c>
      <c r="I16" s="18">
        <v>11294</v>
      </c>
      <c r="J16" s="21">
        <v>0.95067340067340067</v>
      </c>
      <c r="K16" s="18">
        <v>3</v>
      </c>
      <c r="L16" s="18"/>
      <c r="M16" s="18"/>
      <c r="N16" s="18">
        <v>1</v>
      </c>
      <c r="O16" s="18"/>
      <c r="P16" s="18"/>
      <c r="Q16" s="18"/>
      <c r="R16" s="18"/>
      <c r="S16" s="18"/>
      <c r="T16" s="18"/>
      <c r="U16" s="18"/>
      <c r="V16" s="18"/>
    </row>
    <row r="17" spans="1:22">
      <c r="A17" s="18" t="s">
        <v>26</v>
      </c>
      <c r="B17" s="18" t="s">
        <v>27</v>
      </c>
      <c r="C17" s="19" t="s">
        <v>51</v>
      </c>
      <c r="D17" s="19" t="s">
        <v>25</v>
      </c>
      <c r="E17" s="18">
        <v>29</v>
      </c>
      <c r="F17" s="18">
        <v>1080</v>
      </c>
      <c r="G17" s="18">
        <v>1109</v>
      </c>
      <c r="H17" s="18">
        <v>11880</v>
      </c>
      <c r="I17" s="18">
        <v>10771</v>
      </c>
      <c r="J17" s="21">
        <v>0.90664983164983159</v>
      </c>
      <c r="K17" s="18">
        <v>3</v>
      </c>
      <c r="L17" s="18"/>
      <c r="M17" s="18"/>
      <c r="N17" s="18">
        <v>2</v>
      </c>
      <c r="O17" s="18"/>
      <c r="P17" s="18"/>
      <c r="Q17" s="18"/>
      <c r="R17" s="18"/>
      <c r="S17" s="18"/>
      <c r="T17" s="18"/>
      <c r="U17" s="18"/>
      <c r="V17" s="18"/>
    </row>
    <row r="18" spans="1:22">
      <c r="A18" s="18" t="s">
        <v>37</v>
      </c>
      <c r="B18" s="18" t="s">
        <v>38</v>
      </c>
      <c r="C18" s="18" t="s">
        <v>52</v>
      </c>
      <c r="D18" s="18" t="s">
        <v>40</v>
      </c>
      <c r="E18" s="18">
        <v>48</v>
      </c>
      <c r="F18" s="18"/>
      <c r="G18" s="18">
        <v>48</v>
      </c>
      <c r="H18" s="18">
        <v>11340</v>
      </c>
      <c r="I18" s="18">
        <v>11292</v>
      </c>
      <c r="J18" s="21">
        <v>0.99576719576719575</v>
      </c>
      <c r="K18" s="18">
        <v>3</v>
      </c>
      <c r="L18" s="18"/>
      <c r="M18" s="18"/>
      <c r="N18" s="18"/>
      <c r="O18" s="18"/>
      <c r="P18" s="18"/>
      <c r="Q18" s="18"/>
      <c r="R18" s="18"/>
      <c r="S18" s="18"/>
      <c r="T18" s="18"/>
      <c r="U18" s="18"/>
      <c r="V18" s="18"/>
    </row>
    <row r="19" spans="1:22">
      <c r="A19" s="18" t="s">
        <v>26</v>
      </c>
      <c r="B19" s="18" t="s">
        <v>27</v>
      </c>
      <c r="C19" s="19" t="s">
        <v>53</v>
      </c>
      <c r="D19" s="19" t="s">
        <v>25</v>
      </c>
      <c r="E19" s="18">
        <v>194</v>
      </c>
      <c r="F19" s="18">
        <v>1080</v>
      </c>
      <c r="G19" s="18">
        <v>1274</v>
      </c>
      <c r="H19" s="18">
        <v>10800</v>
      </c>
      <c r="I19" s="18">
        <v>9526</v>
      </c>
      <c r="J19" s="21">
        <v>0.88203703703703706</v>
      </c>
      <c r="K19" s="18">
        <v>7</v>
      </c>
      <c r="L19" s="18">
        <v>2</v>
      </c>
      <c r="M19" s="18"/>
      <c r="N19" s="18"/>
      <c r="O19" s="18">
        <v>2</v>
      </c>
      <c r="P19" s="18"/>
      <c r="Q19" s="18"/>
      <c r="R19" s="18"/>
      <c r="S19" s="18"/>
      <c r="T19" s="18"/>
      <c r="U19" s="18"/>
      <c r="V19" s="18"/>
    </row>
    <row r="20" spans="1:22">
      <c r="A20" s="18" t="s">
        <v>26</v>
      </c>
      <c r="B20" s="18" t="s">
        <v>54</v>
      </c>
      <c r="C20" s="18" t="s">
        <v>34</v>
      </c>
      <c r="D20" s="18" t="s">
        <v>40</v>
      </c>
      <c r="E20" s="18"/>
      <c r="F20" s="18">
        <v>540</v>
      </c>
      <c r="G20" s="18">
        <v>540</v>
      </c>
      <c r="H20" s="18">
        <v>10800</v>
      </c>
      <c r="I20" s="18">
        <v>10260</v>
      </c>
      <c r="J20" s="21">
        <v>0.95</v>
      </c>
      <c r="K20" s="18"/>
      <c r="L20" s="18"/>
      <c r="M20" s="18">
        <v>2</v>
      </c>
      <c r="N20" s="18">
        <v>1</v>
      </c>
      <c r="O20" s="18"/>
      <c r="P20" s="18"/>
      <c r="Q20" s="18"/>
      <c r="R20" s="18"/>
      <c r="S20" s="18"/>
      <c r="T20" s="18"/>
      <c r="U20" s="18"/>
      <c r="V20" s="18"/>
    </row>
    <row r="21" spans="1:22">
      <c r="A21" s="18" t="s">
        <v>22</v>
      </c>
      <c r="B21" s="18" t="s">
        <v>54</v>
      </c>
      <c r="C21" s="18" t="s">
        <v>55</v>
      </c>
      <c r="D21" s="18" t="s">
        <v>56</v>
      </c>
      <c r="E21" s="18">
        <v>419</v>
      </c>
      <c r="F21" s="18">
        <v>1080</v>
      </c>
      <c r="G21" s="18">
        <v>1499</v>
      </c>
      <c r="H21" s="18">
        <v>10260</v>
      </c>
      <c r="I21" s="18">
        <v>8761</v>
      </c>
      <c r="J21" s="21">
        <v>0.85389863547758282</v>
      </c>
      <c r="K21" s="18">
        <v>3</v>
      </c>
      <c r="L21" s="18"/>
      <c r="M21" s="18">
        <v>3</v>
      </c>
      <c r="N21" s="18">
        <v>2</v>
      </c>
      <c r="O21" s="18"/>
      <c r="P21" s="18"/>
      <c r="Q21" s="18"/>
      <c r="R21" s="18"/>
      <c r="S21" s="18"/>
      <c r="T21" s="18"/>
      <c r="U21" s="18"/>
      <c r="V21" s="18"/>
    </row>
    <row r="22" spans="1:22">
      <c r="A22" s="18" t="s">
        <v>57</v>
      </c>
      <c r="B22" s="18" t="s">
        <v>58</v>
      </c>
      <c r="C22" s="18" t="s">
        <v>59</v>
      </c>
      <c r="D22" s="18" t="s">
        <v>60</v>
      </c>
      <c r="E22" s="18">
        <v>16</v>
      </c>
      <c r="F22" s="18">
        <v>0</v>
      </c>
      <c r="G22" s="18">
        <v>16</v>
      </c>
      <c r="H22" s="18">
        <v>11880</v>
      </c>
      <c r="I22" s="18">
        <v>11864</v>
      </c>
      <c r="J22" s="21">
        <v>0.99865319865319868</v>
      </c>
      <c r="K22" s="18">
        <v>1</v>
      </c>
      <c r="L22" s="18"/>
      <c r="M22" s="18"/>
      <c r="N22" s="18"/>
      <c r="O22" s="18"/>
      <c r="P22" s="18"/>
      <c r="Q22" s="18"/>
      <c r="R22" s="18"/>
      <c r="S22" s="18"/>
      <c r="T22" s="18"/>
      <c r="U22" s="18"/>
      <c r="V22" s="18"/>
    </row>
    <row r="23" spans="1:22">
      <c r="A23" s="18" t="s">
        <v>22</v>
      </c>
      <c r="B23" s="18" t="s">
        <v>61</v>
      </c>
      <c r="C23" s="18" t="s">
        <v>62</v>
      </c>
      <c r="D23" s="18" t="s">
        <v>63</v>
      </c>
      <c r="E23" s="18">
        <v>237</v>
      </c>
      <c r="F23" s="18">
        <v>1620</v>
      </c>
      <c r="G23" s="18">
        <v>1857</v>
      </c>
      <c r="H23" s="18">
        <v>11880</v>
      </c>
      <c r="I23" s="18">
        <v>10023</v>
      </c>
      <c r="J23" s="21">
        <v>0.84368686868686871</v>
      </c>
      <c r="K23" s="18">
        <v>16</v>
      </c>
      <c r="L23" s="18">
        <v>3</v>
      </c>
      <c r="M23" s="18"/>
      <c r="N23" s="18"/>
      <c r="O23" s="18"/>
      <c r="P23" s="18"/>
      <c r="Q23" s="18"/>
      <c r="R23" s="18"/>
      <c r="S23" s="18"/>
      <c r="T23" s="18"/>
      <c r="U23" s="18"/>
      <c r="V23" s="18"/>
    </row>
    <row r="24" spans="1:22">
      <c r="A24" s="18" t="s">
        <v>22</v>
      </c>
      <c r="B24" s="18" t="s">
        <v>61</v>
      </c>
      <c r="C24" s="18" t="s">
        <v>64</v>
      </c>
      <c r="D24" s="18" t="s">
        <v>63</v>
      </c>
      <c r="E24" s="18">
        <v>77</v>
      </c>
      <c r="F24" s="18">
        <v>540</v>
      </c>
      <c r="G24" s="18">
        <v>617</v>
      </c>
      <c r="H24" s="18">
        <v>11880</v>
      </c>
      <c r="I24" s="18">
        <v>11263</v>
      </c>
      <c r="J24" s="21">
        <v>0.94806397306397305</v>
      </c>
      <c r="K24" s="18">
        <v>8</v>
      </c>
      <c r="L24" s="18"/>
      <c r="M24" s="18"/>
      <c r="N24" s="18">
        <v>1</v>
      </c>
      <c r="O24" s="18"/>
      <c r="P24" s="18"/>
      <c r="Q24" s="18"/>
      <c r="R24" s="18"/>
      <c r="S24" s="18"/>
      <c r="T24" s="18"/>
      <c r="U24" s="18"/>
      <c r="V24" s="18"/>
    </row>
    <row r="25" spans="1:22">
      <c r="A25" s="18" t="s">
        <v>26</v>
      </c>
      <c r="B25" s="18" t="s">
        <v>34</v>
      </c>
      <c r="C25" s="19" t="s">
        <v>65</v>
      </c>
      <c r="D25" s="19" t="s">
        <v>56</v>
      </c>
      <c r="E25" s="18">
        <v>1</v>
      </c>
      <c r="F25" s="18"/>
      <c r="G25" s="18">
        <v>1</v>
      </c>
      <c r="H25" s="18">
        <v>11880</v>
      </c>
      <c r="I25" s="18">
        <v>11879</v>
      </c>
      <c r="J25" s="21">
        <v>0.99991582491582487</v>
      </c>
      <c r="K25" s="18">
        <v>1</v>
      </c>
      <c r="L25" s="18"/>
      <c r="M25" s="18"/>
      <c r="N25" s="18"/>
      <c r="O25" s="18"/>
      <c r="P25" s="18"/>
      <c r="Q25" s="18"/>
      <c r="R25" s="18"/>
      <c r="S25" s="18"/>
      <c r="T25" s="18"/>
      <c r="U25" s="18"/>
      <c r="V25" s="18"/>
    </row>
    <row r="26" spans="1:22">
      <c r="A26" s="18" t="s">
        <v>22</v>
      </c>
      <c r="B26" s="18" t="s">
        <v>66</v>
      </c>
      <c r="C26" s="18" t="s">
        <v>67</v>
      </c>
      <c r="D26" s="18" t="s">
        <v>30</v>
      </c>
      <c r="E26" s="18">
        <v>39</v>
      </c>
      <c r="F26" s="18"/>
      <c r="G26" s="18">
        <v>39</v>
      </c>
      <c r="H26" s="18">
        <v>11880</v>
      </c>
      <c r="I26" s="18">
        <v>11841</v>
      </c>
      <c r="J26" s="21">
        <v>0.99671717171717167</v>
      </c>
      <c r="K26" s="18">
        <v>3</v>
      </c>
      <c r="L26" s="18"/>
      <c r="M26" s="18"/>
      <c r="N26" s="18"/>
      <c r="O26" s="18">
        <v>1</v>
      </c>
      <c r="P26" s="18"/>
      <c r="Q26" s="18"/>
      <c r="R26" s="18"/>
      <c r="S26" s="18"/>
      <c r="T26" s="18"/>
      <c r="U26" s="18"/>
      <c r="V26" s="18"/>
    </row>
    <row r="27" spans="1:22">
      <c r="A27" s="18" t="s">
        <v>26</v>
      </c>
      <c r="B27" s="18" t="s">
        <v>27</v>
      </c>
      <c r="C27" s="19" t="s">
        <v>68</v>
      </c>
      <c r="D27" s="19" t="s">
        <v>40</v>
      </c>
      <c r="E27" s="18">
        <v>42</v>
      </c>
      <c r="F27" s="18">
        <v>540</v>
      </c>
      <c r="G27" s="18">
        <v>582</v>
      </c>
      <c r="H27" s="18">
        <v>10800</v>
      </c>
      <c r="I27" s="18">
        <v>10218</v>
      </c>
      <c r="J27" s="21">
        <v>0.94611111111111112</v>
      </c>
      <c r="K27" s="18">
        <v>2</v>
      </c>
      <c r="L27" s="18"/>
      <c r="M27" s="18">
        <v>2</v>
      </c>
      <c r="N27" s="18">
        <v>1</v>
      </c>
      <c r="O27" s="18"/>
      <c r="P27" s="18"/>
      <c r="Q27" s="18"/>
      <c r="R27" s="18"/>
      <c r="S27" s="18"/>
      <c r="T27" s="18"/>
      <c r="U27" s="18"/>
      <c r="V27" s="18"/>
    </row>
    <row r="28" spans="1:22">
      <c r="A28" s="18" t="s">
        <v>22</v>
      </c>
      <c r="B28" s="18" t="s">
        <v>66</v>
      </c>
      <c r="C28" s="18" t="s">
        <v>69</v>
      </c>
      <c r="D28" s="18" t="s">
        <v>30</v>
      </c>
      <c r="E28" s="18">
        <v>317</v>
      </c>
      <c r="F28" s="18">
        <v>2700</v>
      </c>
      <c r="G28" s="18">
        <v>3017</v>
      </c>
      <c r="H28" s="18">
        <v>11340</v>
      </c>
      <c r="I28" s="18">
        <v>8323</v>
      </c>
      <c r="J28" s="21">
        <v>0.73395061728395061</v>
      </c>
      <c r="K28" s="18">
        <v>3</v>
      </c>
      <c r="L28" s="18">
        <v>5</v>
      </c>
      <c r="M28" s="18">
        <v>1</v>
      </c>
      <c r="N28" s="18"/>
      <c r="O28" s="18">
        <v>1</v>
      </c>
      <c r="P28" s="18"/>
      <c r="Q28" s="18"/>
      <c r="R28" s="18"/>
      <c r="S28" s="18"/>
      <c r="T28" s="18"/>
      <c r="U28" s="18"/>
      <c r="V28" s="18"/>
    </row>
    <row r="29" spans="1:22">
      <c r="A29" s="18" t="s">
        <v>22</v>
      </c>
      <c r="B29" s="18" t="s">
        <v>61</v>
      </c>
      <c r="C29" s="18" t="s">
        <v>70</v>
      </c>
      <c r="D29" s="18" t="s">
        <v>63</v>
      </c>
      <c r="E29" s="18">
        <v>26</v>
      </c>
      <c r="F29" s="18"/>
      <c r="G29" s="18">
        <v>26</v>
      </c>
      <c r="H29" s="18">
        <v>11880</v>
      </c>
      <c r="I29" s="18">
        <v>11854</v>
      </c>
      <c r="J29" s="21">
        <v>0.99781144781144782</v>
      </c>
      <c r="K29" s="18">
        <v>3</v>
      </c>
      <c r="L29" s="18"/>
      <c r="M29" s="18"/>
      <c r="N29" s="18"/>
      <c r="O29" s="18"/>
      <c r="P29" s="18"/>
      <c r="Q29" s="18"/>
      <c r="R29" s="18"/>
      <c r="S29" s="18"/>
      <c r="T29" s="18"/>
      <c r="U29" s="18"/>
      <c r="V29" s="18"/>
    </row>
    <row r="30" spans="1:22">
      <c r="A30" s="18" t="s">
        <v>26</v>
      </c>
      <c r="B30" s="18" t="s">
        <v>27</v>
      </c>
      <c r="C30" s="19" t="s">
        <v>71</v>
      </c>
      <c r="D30" s="19" t="s">
        <v>25</v>
      </c>
      <c r="E30" s="18"/>
      <c r="F30" s="18">
        <v>1620</v>
      </c>
      <c r="G30" s="18">
        <v>1620</v>
      </c>
      <c r="H30" s="18">
        <v>11880</v>
      </c>
      <c r="I30" s="18">
        <v>10260</v>
      </c>
      <c r="J30" s="21">
        <v>0.86363636363636365</v>
      </c>
      <c r="K30" s="18"/>
      <c r="L30" s="18">
        <v>3</v>
      </c>
      <c r="M30" s="18"/>
      <c r="N30" s="18"/>
      <c r="O30" s="18"/>
      <c r="P30" s="18"/>
      <c r="Q30" s="18"/>
      <c r="R30" s="18"/>
      <c r="S30" s="18"/>
      <c r="T30" s="18"/>
      <c r="U30" s="18"/>
      <c r="V30" s="18"/>
    </row>
    <row r="31" spans="1:22">
      <c r="A31" s="18" t="s">
        <v>22</v>
      </c>
      <c r="B31" s="18" t="s">
        <v>66</v>
      </c>
      <c r="C31" s="18" t="s">
        <v>72</v>
      </c>
      <c r="D31" s="18" t="s">
        <v>30</v>
      </c>
      <c r="E31" s="18">
        <v>23</v>
      </c>
      <c r="F31" s="18">
        <v>540</v>
      </c>
      <c r="G31" s="18">
        <v>563</v>
      </c>
      <c r="H31" s="18">
        <v>11880</v>
      </c>
      <c r="I31" s="18">
        <v>11317</v>
      </c>
      <c r="J31" s="21">
        <v>0.95260942760942757</v>
      </c>
      <c r="K31" s="18">
        <v>3</v>
      </c>
      <c r="L31" s="18">
        <v>1</v>
      </c>
      <c r="M31" s="18"/>
      <c r="N31" s="18"/>
      <c r="O31" s="18"/>
      <c r="P31" s="18"/>
      <c r="Q31" s="18"/>
      <c r="R31" s="18"/>
      <c r="S31" s="18"/>
      <c r="T31" s="18"/>
      <c r="U31" s="18"/>
      <c r="V31" s="18"/>
    </row>
    <row r="32" spans="1:22">
      <c r="A32" s="18" t="s">
        <v>26</v>
      </c>
      <c r="B32" s="18" t="s">
        <v>27</v>
      </c>
      <c r="C32" s="19" t="s">
        <v>73</v>
      </c>
      <c r="D32" s="19" t="s">
        <v>25</v>
      </c>
      <c r="E32" s="18">
        <v>71</v>
      </c>
      <c r="F32" s="18">
        <v>1080</v>
      </c>
      <c r="G32" s="18">
        <v>1151</v>
      </c>
      <c r="H32" s="18">
        <v>11880</v>
      </c>
      <c r="I32" s="18">
        <v>10729</v>
      </c>
      <c r="J32" s="21">
        <v>0.90311447811447809</v>
      </c>
      <c r="K32" s="18">
        <v>8</v>
      </c>
      <c r="L32" s="18"/>
      <c r="M32" s="18"/>
      <c r="N32" s="18">
        <v>2</v>
      </c>
      <c r="O32" s="18"/>
      <c r="P32" s="18"/>
      <c r="Q32" s="18"/>
      <c r="R32" s="18"/>
      <c r="S32" s="18"/>
      <c r="T32" s="18"/>
      <c r="U32" s="18"/>
      <c r="V32" s="18"/>
    </row>
    <row r="33" spans="1:22">
      <c r="A33" s="18" t="s">
        <v>57</v>
      </c>
      <c r="B33" s="18" t="s">
        <v>54</v>
      </c>
      <c r="C33" s="18" t="s">
        <v>58</v>
      </c>
      <c r="D33" s="18" t="s">
        <v>40</v>
      </c>
      <c r="E33" s="18">
        <v>9</v>
      </c>
      <c r="F33" s="18">
        <v>540</v>
      </c>
      <c r="G33" s="18">
        <v>549</v>
      </c>
      <c r="H33" s="18">
        <v>11340</v>
      </c>
      <c r="I33" s="18">
        <v>10791</v>
      </c>
      <c r="J33" s="21">
        <v>0.95158730158730154</v>
      </c>
      <c r="K33" s="18">
        <v>1</v>
      </c>
      <c r="L33" s="18"/>
      <c r="M33" s="18">
        <v>1</v>
      </c>
      <c r="N33" s="18">
        <v>1</v>
      </c>
      <c r="O33" s="18"/>
      <c r="P33" s="18"/>
      <c r="Q33" s="18"/>
      <c r="R33" s="18"/>
      <c r="S33" s="18"/>
      <c r="T33" s="18"/>
      <c r="U33" s="18"/>
      <c r="V33" s="18"/>
    </row>
    <row r="34" spans="1:22">
      <c r="A34" s="18" t="s">
        <v>37</v>
      </c>
      <c r="B34" s="18" t="s">
        <v>38</v>
      </c>
      <c r="C34" s="18" t="s">
        <v>74</v>
      </c>
      <c r="D34" s="18" t="s">
        <v>40</v>
      </c>
      <c r="E34" s="18">
        <v>300</v>
      </c>
      <c r="F34" s="18"/>
      <c r="G34" s="18">
        <v>300</v>
      </c>
      <c r="H34" s="18">
        <v>11340</v>
      </c>
      <c r="I34" s="18">
        <v>11040</v>
      </c>
      <c r="J34" s="21">
        <v>0.97354497354497349</v>
      </c>
      <c r="K34" s="18">
        <v>6</v>
      </c>
      <c r="L34" s="18"/>
      <c r="M34" s="18"/>
      <c r="N34" s="18"/>
      <c r="O34" s="18"/>
      <c r="P34" s="18"/>
      <c r="Q34" s="18"/>
      <c r="R34" s="18"/>
      <c r="S34" s="18"/>
      <c r="T34" s="18"/>
      <c r="U34" s="18"/>
      <c r="V34" s="18"/>
    </row>
    <row r="35" spans="1:22">
      <c r="A35" s="18" t="s">
        <v>26</v>
      </c>
      <c r="B35" s="18" t="s">
        <v>27</v>
      </c>
      <c r="C35" s="19" t="s">
        <v>75</v>
      </c>
      <c r="D35" s="19" t="s">
        <v>40</v>
      </c>
      <c r="E35" s="18">
        <v>9</v>
      </c>
      <c r="F35" s="18">
        <v>0</v>
      </c>
      <c r="G35" s="18">
        <v>9</v>
      </c>
      <c r="H35" s="18">
        <v>11340</v>
      </c>
      <c r="I35" s="18">
        <v>11331</v>
      </c>
      <c r="J35" s="21">
        <v>0.99920634920634921</v>
      </c>
      <c r="K35" s="18">
        <v>2</v>
      </c>
      <c r="L35" s="18"/>
      <c r="M35" s="18">
        <v>1</v>
      </c>
      <c r="N35" s="18"/>
      <c r="O35" s="18"/>
      <c r="P35" s="18"/>
      <c r="Q35" s="18"/>
      <c r="R35" s="18"/>
      <c r="S35" s="18"/>
      <c r="T35" s="18"/>
      <c r="U35" s="18"/>
      <c r="V35" s="18"/>
    </row>
    <row r="36" spans="1:22">
      <c r="A36" s="18" t="s">
        <v>37</v>
      </c>
      <c r="B36" s="18" t="s">
        <v>38</v>
      </c>
      <c r="C36" s="18" t="s">
        <v>76</v>
      </c>
      <c r="D36" s="18" t="s">
        <v>40</v>
      </c>
      <c r="E36" s="18">
        <v>303</v>
      </c>
      <c r="F36" s="18"/>
      <c r="G36" s="18">
        <v>303</v>
      </c>
      <c r="H36" s="18">
        <v>11340</v>
      </c>
      <c r="I36" s="18">
        <v>11037</v>
      </c>
      <c r="J36" s="21">
        <v>0.9732804232804233</v>
      </c>
      <c r="K36" s="18">
        <v>6</v>
      </c>
      <c r="L36" s="18"/>
      <c r="M36" s="18"/>
      <c r="N36" s="18"/>
      <c r="O36" s="18">
        <v>1</v>
      </c>
      <c r="P36" s="18"/>
      <c r="Q36" s="18"/>
      <c r="R36" s="18"/>
      <c r="S36" s="18"/>
      <c r="T36" s="18"/>
      <c r="U36" s="18"/>
      <c r="V36" s="18"/>
    </row>
    <row r="37" spans="1:22">
      <c r="A37" s="18" t="s">
        <v>22</v>
      </c>
      <c r="B37" s="18" t="s">
        <v>66</v>
      </c>
      <c r="C37" s="18" t="s">
        <v>77</v>
      </c>
      <c r="D37" s="18" t="s">
        <v>30</v>
      </c>
      <c r="E37" s="18">
        <v>151</v>
      </c>
      <c r="F37" s="18">
        <v>540</v>
      </c>
      <c r="G37" s="18">
        <v>691</v>
      </c>
      <c r="H37" s="18">
        <v>11880</v>
      </c>
      <c r="I37" s="18">
        <v>11189</v>
      </c>
      <c r="J37" s="21">
        <v>0.9418350168350168</v>
      </c>
      <c r="K37" s="18">
        <v>5</v>
      </c>
      <c r="L37" s="18"/>
      <c r="M37" s="18"/>
      <c r="N37" s="18"/>
      <c r="O37" s="18"/>
      <c r="P37" s="18"/>
      <c r="Q37" s="18"/>
      <c r="R37" s="18"/>
      <c r="S37" s="18"/>
      <c r="T37" s="18"/>
      <c r="U37" s="18"/>
      <c r="V37" s="18"/>
    </row>
    <row r="38" spans="1:22">
      <c r="A38" s="18" t="s">
        <v>22</v>
      </c>
      <c r="B38" s="18" t="s">
        <v>54</v>
      </c>
      <c r="C38" s="18" t="s">
        <v>61</v>
      </c>
      <c r="D38" s="18" t="s">
        <v>63</v>
      </c>
      <c r="E38" s="18">
        <v>15</v>
      </c>
      <c r="F38" s="18">
        <v>540</v>
      </c>
      <c r="G38" s="18">
        <v>555</v>
      </c>
      <c r="H38" s="18">
        <v>10260</v>
      </c>
      <c r="I38" s="18">
        <v>9705</v>
      </c>
      <c r="J38" s="21">
        <v>0.94590643274853803</v>
      </c>
      <c r="K38" s="18">
        <v>1</v>
      </c>
      <c r="L38" s="18"/>
      <c r="M38" s="18">
        <v>3</v>
      </c>
      <c r="N38" s="18">
        <v>1</v>
      </c>
      <c r="O38" s="18"/>
      <c r="P38" s="18"/>
      <c r="Q38" s="18"/>
      <c r="R38" s="18"/>
      <c r="S38" s="18"/>
      <c r="T38" s="18"/>
      <c r="U38" s="18"/>
      <c r="V38" s="18"/>
    </row>
    <row r="39" spans="1:22">
      <c r="A39" s="18" t="s">
        <v>26</v>
      </c>
      <c r="B39" s="18" t="s">
        <v>27</v>
      </c>
      <c r="C39" s="19" t="s">
        <v>78</v>
      </c>
      <c r="D39" s="19" t="s">
        <v>79</v>
      </c>
      <c r="E39" s="18">
        <v>1</v>
      </c>
      <c r="F39" s="18">
        <v>540</v>
      </c>
      <c r="G39" s="18">
        <v>541</v>
      </c>
      <c r="H39" s="18">
        <v>11880</v>
      </c>
      <c r="I39" s="18">
        <v>11339</v>
      </c>
      <c r="J39" s="21">
        <v>0.95446127946127945</v>
      </c>
      <c r="K39" s="18">
        <v>1</v>
      </c>
      <c r="L39" s="18"/>
      <c r="M39" s="18"/>
      <c r="N39" s="18">
        <v>1</v>
      </c>
      <c r="O39" s="18"/>
      <c r="P39" s="18"/>
      <c r="Q39" s="18"/>
      <c r="R39" s="18"/>
      <c r="S39" s="18"/>
      <c r="T39" s="18"/>
      <c r="U39" s="18"/>
      <c r="V39" s="18"/>
    </row>
    <row r="40" spans="1:22">
      <c r="A40" s="18" t="s">
        <v>26</v>
      </c>
      <c r="B40" s="18" t="s">
        <v>34</v>
      </c>
      <c r="C40" s="19" t="s">
        <v>80</v>
      </c>
      <c r="D40" s="19" t="s">
        <v>40</v>
      </c>
      <c r="E40" s="18"/>
      <c r="F40" s="18">
        <v>540</v>
      </c>
      <c r="G40" s="18">
        <v>540</v>
      </c>
      <c r="H40" s="18">
        <v>11340</v>
      </c>
      <c r="I40" s="18">
        <v>10800</v>
      </c>
      <c r="J40" s="21">
        <v>0.95238095238095233</v>
      </c>
      <c r="K40" s="18"/>
      <c r="L40" s="18"/>
      <c r="M40" s="18">
        <v>1</v>
      </c>
      <c r="N40" s="18">
        <v>1</v>
      </c>
      <c r="O40" s="18"/>
      <c r="P40" s="18"/>
      <c r="Q40" s="18"/>
      <c r="R40" s="18"/>
      <c r="S40" s="18"/>
      <c r="T40" s="18"/>
      <c r="U40" s="18"/>
      <c r="V40" s="18"/>
    </row>
    <row r="41" spans="1:22">
      <c r="A41" s="18" t="s">
        <v>26</v>
      </c>
      <c r="B41" s="18" t="s">
        <v>34</v>
      </c>
      <c r="C41" s="19" t="s">
        <v>81</v>
      </c>
      <c r="D41" s="19" t="s">
        <v>33</v>
      </c>
      <c r="E41" s="18">
        <v>0</v>
      </c>
      <c r="F41" s="18">
        <v>0</v>
      </c>
      <c r="G41" s="18">
        <v>0</v>
      </c>
      <c r="H41" s="18">
        <v>11880</v>
      </c>
      <c r="I41" s="18">
        <v>11880</v>
      </c>
      <c r="J41" s="21">
        <v>1</v>
      </c>
      <c r="K41" s="18"/>
      <c r="L41" s="18"/>
      <c r="M41" s="18"/>
      <c r="N41" s="18"/>
      <c r="O41" s="18"/>
      <c r="P41" s="18"/>
      <c r="Q41" s="18"/>
      <c r="R41" s="18"/>
      <c r="S41" s="18"/>
      <c r="T41" s="18"/>
      <c r="U41" s="18"/>
      <c r="V41" s="18"/>
    </row>
    <row r="42" spans="1:22">
      <c r="A42" s="18" t="s">
        <v>22</v>
      </c>
      <c r="B42" s="18" t="s">
        <v>31</v>
      </c>
      <c r="C42" s="18" t="s">
        <v>82</v>
      </c>
      <c r="D42" s="18" t="s">
        <v>33</v>
      </c>
      <c r="E42" s="18">
        <v>485</v>
      </c>
      <c r="F42" s="18"/>
      <c r="G42" s="18">
        <v>485</v>
      </c>
      <c r="H42" s="18">
        <v>11880</v>
      </c>
      <c r="I42" s="18">
        <v>11395</v>
      </c>
      <c r="J42" s="21">
        <v>0.95917508417508412</v>
      </c>
      <c r="K42" s="18">
        <v>7</v>
      </c>
      <c r="L42" s="18"/>
      <c r="M42" s="18"/>
      <c r="N42" s="18"/>
      <c r="O42" s="18"/>
      <c r="P42" s="18"/>
      <c r="Q42" s="18"/>
      <c r="R42" s="18"/>
      <c r="S42" s="18"/>
      <c r="T42" s="18"/>
      <c r="U42" s="18"/>
      <c r="V42" s="18"/>
    </row>
    <row r="43" spans="1:22">
      <c r="A43" s="18" t="s">
        <v>26</v>
      </c>
      <c r="B43" s="18" t="s">
        <v>34</v>
      </c>
      <c r="C43" s="19" t="s">
        <v>83</v>
      </c>
      <c r="D43" s="19" t="s">
        <v>40</v>
      </c>
      <c r="E43" s="18">
        <v>104</v>
      </c>
      <c r="F43" s="18">
        <v>1620</v>
      </c>
      <c r="G43" s="18">
        <v>1724</v>
      </c>
      <c r="H43" s="18">
        <v>11880</v>
      </c>
      <c r="I43" s="18">
        <v>10156</v>
      </c>
      <c r="J43" s="21">
        <v>0.85488215488215491</v>
      </c>
      <c r="K43" s="18">
        <v>3</v>
      </c>
      <c r="L43" s="18"/>
      <c r="M43" s="18"/>
      <c r="N43" s="18">
        <v>3</v>
      </c>
      <c r="O43" s="18"/>
      <c r="P43" s="18"/>
      <c r="Q43" s="18"/>
      <c r="R43" s="18"/>
      <c r="S43" s="18"/>
      <c r="T43" s="18"/>
      <c r="U43" s="18"/>
      <c r="V43" s="18"/>
    </row>
    <row r="44" spans="1:22">
      <c r="A44" s="18" t="s">
        <v>57</v>
      </c>
      <c r="B44" s="18" t="s">
        <v>58</v>
      </c>
      <c r="C44" s="18" t="s">
        <v>84</v>
      </c>
      <c r="D44" s="18" t="s">
        <v>60</v>
      </c>
      <c r="E44" s="18">
        <v>0</v>
      </c>
      <c r="F44" s="18">
        <v>540</v>
      </c>
      <c r="G44" s="18">
        <v>540</v>
      </c>
      <c r="H44" s="18">
        <v>11880</v>
      </c>
      <c r="I44" s="18">
        <v>11340</v>
      </c>
      <c r="J44" s="21">
        <v>0.95454545454545459</v>
      </c>
      <c r="K44" s="18"/>
      <c r="L44" s="18">
        <v>1</v>
      </c>
      <c r="M44" s="18"/>
      <c r="N44" s="18"/>
      <c r="O44" s="18"/>
      <c r="P44" s="18"/>
      <c r="Q44" s="18"/>
      <c r="R44" s="18"/>
      <c r="S44" s="18"/>
      <c r="T44" s="18"/>
      <c r="U44" s="18"/>
      <c r="V44" s="18"/>
    </row>
    <row r="45" spans="1:22">
      <c r="A45" s="18" t="s">
        <v>22</v>
      </c>
      <c r="B45" s="18" t="s">
        <v>61</v>
      </c>
      <c r="C45" s="18" t="s">
        <v>85</v>
      </c>
      <c r="D45" s="18" t="s">
        <v>63</v>
      </c>
      <c r="E45" s="18">
        <v>64</v>
      </c>
      <c r="F45" s="18">
        <v>0</v>
      </c>
      <c r="G45" s="18">
        <v>64</v>
      </c>
      <c r="H45" s="18">
        <v>11880</v>
      </c>
      <c r="I45" s="18">
        <v>11816</v>
      </c>
      <c r="J45" s="21">
        <v>0.99461279461279462</v>
      </c>
      <c r="K45" s="18">
        <v>4</v>
      </c>
      <c r="L45" s="18"/>
      <c r="M45" s="18"/>
      <c r="N45" s="18"/>
      <c r="O45" s="18"/>
      <c r="P45" s="18"/>
      <c r="Q45" s="18"/>
      <c r="R45" s="18"/>
      <c r="S45" s="18"/>
      <c r="T45" s="18"/>
      <c r="U45" s="18"/>
      <c r="V45" s="18"/>
    </row>
    <row r="46" spans="1:22">
      <c r="A46" s="18" t="s">
        <v>26</v>
      </c>
      <c r="B46" s="18" t="s">
        <v>27</v>
      </c>
      <c r="C46" s="19" t="s">
        <v>86</v>
      </c>
      <c r="D46" s="19" t="s">
        <v>56</v>
      </c>
      <c r="E46" s="18"/>
      <c r="F46" s="18">
        <v>540</v>
      </c>
      <c r="G46" s="18">
        <v>540</v>
      </c>
      <c r="H46" s="18">
        <v>11880</v>
      </c>
      <c r="I46" s="18">
        <v>11340</v>
      </c>
      <c r="J46" s="21">
        <v>0.95454545454545459</v>
      </c>
      <c r="K46" s="18"/>
      <c r="L46" s="18">
        <v>1</v>
      </c>
      <c r="M46" s="18"/>
      <c r="N46" s="18"/>
      <c r="O46" s="18"/>
      <c r="P46" s="18"/>
      <c r="Q46" s="18"/>
      <c r="R46" s="18"/>
      <c r="S46" s="18"/>
      <c r="T46" s="18"/>
      <c r="U46" s="18"/>
      <c r="V46" s="18"/>
    </row>
    <row r="47" spans="1:22">
      <c r="A47" s="18" t="s">
        <v>26</v>
      </c>
      <c r="B47" s="18" t="s">
        <v>27</v>
      </c>
      <c r="C47" s="19" t="s">
        <v>87</v>
      </c>
      <c r="D47" s="19" t="s">
        <v>33</v>
      </c>
      <c r="E47" s="18">
        <v>209</v>
      </c>
      <c r="F47" s="18">
        <v>540</v>
      </c>
      <c r="G47" s="18">
        <v>749</v>
      </c>
      <c r="H47" s="18">
        <v>11880</v>
      </c>
      <c r="I47" s="18">
        <v>11131</v>
      </c>
      <c r="J47" s="21">
        <v>0.93695286195286198</v>
      </c>
      <c r="K47" s="18">
        <v>7</v>
      </c>
      <c r="L47" s="18"/>
      <c r="M47" s="18"/>
      <c r="N47" s="18">
        <v>1</v>
      </c>
      <c r="O47" s="18"/>
      <c r="P47" s="18"/>
      <c r="Q47" s="18"/>
      <c r="R47" s="18"/>
      <c r="S47" s="18"/>
      <c r="T47" s="18"/>
      <c r="U47" s="18"/>
      <c r="V47" s="18"/>
    </row>
    <row r="48" spans="1:22">
      <c r="A48" s="18" t="s">
        <v>22</v>
      </c>
      <c r="B48" s="18" t="s">
        <v>23</v>
      </c>
      <c r="C48" s="18" t="s">
        <v>88</v>
      </c>
      <c r="D48" s="18" t="s">
        <v>25</v>
      </c>
      <c r="E48" s="18">
        <v>160</v>
      </c>
      <c r="F48" s="18">
        <v>540</v>
      </c>
      <c r="G48" s="18">
        <v>700</v>
      </c>
      <c r="H48" s="18">
        <v>11880</v>
      </c>
      <c r="I48" s="18">
        <v>11180</v>
      </c>
      <c r="J48" s="21">
        <v>0.94107744107744107</v>
      </c>
      <c r="K48" s="18">
        <v>5</v>
      </c>
      <c r="L48" s="18">
        <v>1</v>
      </c>
      <c r="M48" s="18"/>
      <c r="N48" s="18"/>
      <c r="O48" s="18"/>
      <c r="P48" s="18"/>
      <c r="Q48" s="18"/>
      <c r="R48" s="18"/>
      <c r="S48" s="18"/>
      <c r="T48" s="18"/>
      <c r="U48" s="18"/>
      <c r="V48" s="18"/>
    </row>
    <row r="49" spans="1:22">
      <c r="A49" s="18" t="s">
        <v>26</v>
      </c>
      <c r="B49" s="18" t="s">
        <v>34</v>
      </c>
      <c r="C49" s="19" t="s">
        <v>89</v>
      </c>
      <c r="D49" s="19" t="s">
        <v>40</v>
      </c>
      <c r="E49" s="18">
        <v>113</v>
      </c>
      <c r="F49" s="18"/>
      <c r="G49" s="18">
        <v>113</v>
      </c>
      <c r="H49" s="18">
        <v>11880</v>
      </c>
      <c r="I49" s="18">
        <v>11767</v>
      </c>
      <c r="J49" s="21">
        <v>0.99048821548821553</v>
      </c>
      <c r="K49" s="18">
        <v>9</v>
      </c>
      <c r="L49" s="18"/>
      <c r="M49" s="18"/>
      <c r="N49" s="18"/>
      <c r="O49" s="18"/>
      <c r="P49" s="18"/>
      <c r="Q49" s="18"/>
      <c r="R49" s="18"/>
      <c r="S49" s="18"/>
      <c r="T49" s="18"/>
      <c r="U49" s="18"/>
      <c r="V49" s="18"/>
    </row>
    <row r="50" spans="1:22">
      <c r="A50" s="18" t="s">
        <v>37</v>
      </c>
      <c r="B50" s="18" t="s">
        <v>38</v>
      </c>
      <c r="C50" s="18" t="s">
        <v>90</v>
      </c>
      <c r="D50" s="18" t="s">
        <v>40</v>
      </c>
      <c r="E50" s="18">
        <v>28</v>
      </c>
      <c r="F50" s="18"/>
      <c r="G50" s="18">
        <v>28</v>
      </c>
      <c r="H50" s="18">
        <v>12420</v>
      </c>
      <c r="I50" s="18">
        <v>12392</v>
      </c>
      <c r="J50" s="21">
        <v>0.9977455716586151</v>
      </c>
      <c r="K50" s="18">
        <v>1</v>
      </c>
      <c r="L50" s="18"/>
      <c r="M50" s="18"/>
      <c r="N50" s="18"/>
      <c r="O50" s="18">
        <v>1</v>
      </c>
      <c r="P50" s="18"/>
      <c r="Q50" s="18"/>
      <c r="R50" s="18"/>
      <c r="S50" s="18"/>
      <c r="T50" s="18"/>
      <c r="U50" s="18"/>
      <c r="V50" s="18"/>
    </row>
    <row r="51" spans="1:22">
      <c r="A51" s="18" t="s">
        <v>22</v>
      </c>
      <c r="B51" s="18" t="s">
        <v>66</v>
      </c>
      <c r="C51" s="18" t="s">
        <v>91</v>
      </c>
      <c r="D51" s="18" t="s">
        <v>30</v>
      </c>
      <c r="E51" s="18">
        <v>1</v>
      </c>
      <c r="F51" s="18"/>
      <c r="G51" s="18">
        <v>1</v>
      </c>
      <c r="H51" s="18">
        <v>11880</v>
      </c>
      <c r="I51" s="18">
        <v>11879</v>
      </c>
      <c r="J51" s="21">
        <v>0.99991582491582487</v>
      </c>
      <c r="K51" s="18">
        <v>1</v>
      </c>
      <c r="L51" s="18"/>
      <c r="M51" s="18"/>
      <c r="N51" s="18"/>
      <c r="O51" s="18"/>
      <c r="P51" s="18"/>
      <c r="Q51" s="18"/>
      <c r="R51" s="18"/>
      <c r="S51" s="18"/>
      <c r="T51" s="18"/>
      <c r="U51" s="18"/>
      <c r="V51" s="18"/>
    </row>
    <row r="52" spans="1:22">
      <c r="A52" s="18" t="s">
        <v>22</v>
      </c>
      <c r="B52" s="18" t="s">
        <v>61</v>
      </c>
      <c r="C52" s="18" t="s">
        <v>92</v>
      </c>
      <c r="D52" s="18" t="s">
        <v>63</v>
      </c>
      <c r="E52" s="18">
        <v>0</v>
      </c>
      <c r="F52" s="18">
        <v>2160</v>
      </c>
      <c r="G52" s="18">
        <v>2160</v>
      </c>
      <c r="H52" s="18">
        <v>11340</v>
      </c>
      <c r="I52" s="18">
        <v>9180</v>
      </c>
      <c r="J52" s="21">
        <v>0.80952380952380953</v>
      </c>
      <c r="K52" s="18"/>
      <c r="L52" s="18"/>
      <c r="M52" s="18">
        <v>1</v>
      </c>
      <c r="N52" s="18">
        <v>4</v>
      </c>
      <c r="O52" s="18"/>
      <c r="P52" s="18"/>
      <c r="Q52" s="18"/>
      <c r="R52" s="18"/>
      <c r="S52" s="18"/>
      <c r="T52" s="18"/>
      <c r="U52" s="18"/>
      <c r="V52" s="18"/>
    </row>
    <row r="53" spans="1:22">
      <c r="A53" s="18" t="s">
        <v>26</v>
      </c>
      <c r="B53" s="18" t="s">
        <v>34</v>
      </c>
      <c r="C53" s="19" t="s">
        <v>93</v>
      </c>
      <c r="D53" s="19" t="s">
        <v>56</v>
      </c>
      <c r="E53" s="18"/>
      <c r="F53" s="18"/>
      <c r="G53" s="18">
        <v>0</v>
      </c>
      <c r="H53" s="18">
        <v>11880</v>
      </c>
      <c r="I53" s="18">
        <v>11880</v>
      </c>
      <c r="J53" s="21">
        <v>1</v>
      </c>
      <c r="K53" s="18"/>
      <c r="L53" s="18"/>
      <c r="M53" s="18"/>
      <c r="N53" s="18"/>
      <c r="O53" s="18"/>
      <c r="P53" s="18"/>
      <c r="Q53" s="18"/>
      <c r="R53" s="18"/>
      <c r="S53" s="18"/>
      <c r="T53" s="18"/>
      <c r="U53" s="18"/>
      <c r="V53" s="18"/>
    </row>
    <row r="54" spans="1:22">
      <c r="A54" s="18" t="s">
        <v>57</v>
      </c>
      <c r="B54" s="18" t="s">
        <v>58</v>
      </c>
      <c r="C54" s="19" t="s">
        <v>94</v>
      </c>
      <c r="D54" s="18" t="s">
        <v>40</v>
      </c>
      <c r="E54" s="18">
        <v>37</v>
      </c>
      <c r="F54" s="18"/>
      <c r="G54" s="18">
        <v>37</v>
      </c>
      <c r="H54" s="18">
        <v>10800</v>
      </c>
      <c r="I54" s="18">
        <v>10763</v>
      </c>
      <c r="J54" s="21">
        <v>0.99657407407407406</v>
      </c>
      <c r="K54" s="18">
        <v>3</v>
      </c>
      <c r="L54" s="18"/>
      <c r="M54" s="18">
        <v>2</v>
      </c>
      <c r="N54" s="18"/>
      <c r="O54" s="18"/>
      <c r="P54" s="18"/>
      <c r="Q54" s="18"/>
      <c r="R54" s="18"/>
      <c r="S54" s="18"/>
      <c r="T54" s="18"/>
      <c r="U54" s="18"/>
      <c r="V54" s="18"/>
    </row>
    <row r="55" spans="1:22">
      <c r="A55" s="18" t="s">
        <v>26</v>
      </c>
      <c r="B55" s="18" t="s">
        <v>34</v>
      </c>
      <c r="C55" s="19" t="s">
        <v>95</v>
      </c>
      <c r="D55" s="19" t="s">
        <v>33</v>
      </c>
      <c r="E55" s="18"/>
      <c r="F55" s="18">
        <v>5940</v>
      </c>
      <c r="G55" s="18">
        <v>5940</v>
      </c>
      <c r="H55" s="18">
        <v>11880</v>
      </c>
      <c r="I55" s="18">
        <v>5940</v>
      </c>
      <c r="J55" s="21">
        <v>0.5</v>
      </c>
      <c r="K55" s="18"/>
      <c r="L55" s="18"/>
      <c r="M55" s="18"/>
      <c r="N55" s="18">
        <v>11</v>
      </c>
      <c r="O55" s="18"/>
      <c r="P55" s="18"/>
      <c r="Q55" s="18"/>
      <c r="R55" s="18"/>
      <c r="S55" s="18"/>
      <c r="T55" s="18"/>
      <c r="U55" s="18"/>
      <c r="V55" s="18"/>
    </row>
    <row r="56" spans="1:22">
      <c r="A56" s="18" t="s">
        <v>22</v>
      </c>
      <c r="B56" s="18" t="s">
        <v>54</v>
      </c>
      <c r="C56" s="18" t="s">
        <v>23</v>
      </c>
      <c r="D56" s="18" t="s">
        <v>25</v>
      </c>
      <c r="E56" s="18">
        <v>14</v>
      </c>
      <c r="F56" s="18">
        <v>540</v>
      </c>
      <c r="G56" s="18">
        <v>554</v>
      </c>
      <c r="H56" s="18">
        <v>10260</v>
      </c>
      <c r="I56" s="18">
        <v>9706</v>
      </c>
      <c r="J56" s="21">
        <v>0.94600389863547762</v>
      </c>
      <c r="K56" s="18">
        <v>1</v>
      </c>
      <c r="L56" s="18"/>
      <c r="M56" s="18">
        <v>3</v>
      </c>
      <c r="N56" s="18">
        <v>1</v>
      </c>
      <c r="O56" s="18"/>
      <c r="P56" s="18"/>
      <c r="Q56" s="18"/>
      <c r="R56" s="18"/>
      <c r="S56" s="18"/>
      <c r="T56" s="18"/>
      <c r="U56" s="18"/>
      <c r="V56" s="18"/>
    </row>
    <row r="57" spans="1:22">
      <c r="A57" s="18" t="s">
        <v>37</v>
      </c>
      <c r="B57" s="18" t="s">
        <v>38</v>
      </c>
      <c r="C57" s="18" t="s">
        <v>96</v>
      </c>
      <c r="D57" s="18" t="s">
        <v>40</v>
      </c>
      <c r="E57" s="18"/>
      <c r="F57" s="18">
        <v>540</v>
      </c>
      <c r="G57" s="18">
        <v>540</v>
      </c>
      <c r="H57" s="18">
        <v>11880</v>
      </c>
      <c r="I57" s="18">
        <v>11340</v>
      </c>
      <c r="J57" s="21">
        <v>0.95454545454545459</v>
      </c>
      <c r="K57" s="18"/>
      <c r="L57" s="18"/>
      <c r="M57" s="18"/>
      <c r="N57" s="18">
        <v>1</v>
      </c>
      <c r="O57" s="18"/>
      <c r="P57" s="18"/>
      <c r="Q57" s="18"/>
      <c r="R57" s="18"/>
      <c r="S57" s="18"/>
      <c r="T57" s="18"/>
      <c r="U57" s="18"/>
      <c r="V57" s="18"/>
    </row>
    <row r="58" spans="1:22">
      <c r="A58" s="18" t="s">
        <v>26</v>
      </c>
      <c r="B58" s="18" t="s">
        <v>34</v>
      </c>
      <c r="C58" s="19" t="s">
        <v>97</v>
      </c>
      <c r="D58" s="19" t="s">
        <v>56</v>
      </c>
      <c r="E58" s="18">
        <v>39</v>
      </c>
      <c r="F58" s="18"/>
      <c r="G58" s="18">
        <v>39</v>
      </c>
      <c r="H58" s="18">
        <v>11880</v>
      </c>
      <c r="I58" s="18">
        <v>11841</v>
      </c>
      <c r="J58" s="21">
        <v>0.99671717171717167</v>
      </c>
      <c r="K58" s="18">
        <v>6</v>
      </c>
      <c r="L58" s="18"/>
      <c r="M58" s="18"/>
      <c r="N58" s="18"/>
      <c r="O58" s="18"/>
      <c r="P58" s="18"/>
      <c r="Q58" s="18"/>
      <c r="R58" s="18"/>
      <c r="S58" s="18"/>
      <c r="T58" s="18"/>
      <c r="U58" s="18"/>
      <c r="V58" s="18"/>
    </row>
    <row r="59" spans="1:22">
      <c r="A59" s="18" t="s">
        <v>37</v>
      </c>
      <c r="B59" s="18" t="s">
        <v>54</v>
      </c>
      <c r="C59" s="18" t="s">
        <v>38</v>
      </c>
      <c r="D59" s="18" t="s">
        <v>40</v>
      </c>
      <c r="E59" s="18">
        <v>0</v>
      </c>
      <c r="F59" s="18">
        <v>0</v>
      </c>
      <c r="G59" s="18">
        <v>0</v>
      </c>
      <c r="H59" s="18">
        <v>12420</v>
      </c>
      <c r="I59" s="18">
        <v>12420</v>
      </c>
      <c r="J59" s="21">
        <v>1</v>
      </c>
      <c r="K59" s="18"/>
      <c r="L59" s="18"/>
      <c r="M59" s="18"/>
      <c r="N59" s="18"/>
      <c r="O59" s="18"/>
      <c r="P59" s="18"/>
      <c r="Q59" s="18"/>
      <c r="R59" s="18"/>
      <c r="S59" s="18"/>
      <c r="T59" s="18"/>
      <c r="U59" s="18"/>
      <c r="V59" s="18"/>
    </row>
    <row r="60" spans="1:22">
      <c r="A60" s="18" t="s">
        <v>26</v>
      </c>
      <c r="B60" s="18" t="s">
        <v>34</v>
      </c>
      <c r="C60" s="19" t="s">
        <v>98</v>
      </c>
      <c r="D60" s="19" t="s">
        <v>30</v>
      </c>
      <c r="E60" s="18">
        <v>67</v>
      </c>
      <c r="F60" s="18">
        <v>1080</v>
      </c>
      <c r="G60" s="18">
        <v>1147</v>
      </c>
      <c r="H60" s="18">
        <v>11880</v>
      </c>
      <c r="I60" s="18">
        <v>10733</v>
      </c>
      <c r="J60" s="21">
        <v>0.9034511784511785</v>
      </c>
      <c r="K60" s="18">
        <v>4</v>
      </c>
      <c r="L60" s="18"/>
      <c r="M60" s="18"/>
      <c r="N60" s="18">
        <v>2</v>
      </c>
      <c r="O60" s="18"/>
      <c r="P60" s="18"/>
      <c r="Q60" s="18"/>
      <c r="R60" s="18"/>
      <c r="S60" s="18"/>
      <c r="T60" s="18"/>
      <c r="U60" s="18"/>
      <c r="V60" s="18"/>
    </row>
    <row r="61" spans="1:22">
      <c r="A61" s="18" t="s">
        <v>22</v>
      </c>
      <c r="B61" s="18" t="s">
        <v>61</v>
      </c>
      <c r="C61" s="18" t="s">
        <v>99</v>
      </c>
      <c r="D61" s="18" t="s">
        <v>63</v>
      </c>
      <c r="E61" s="18">
        <v>11</v>
      </c>
      <c r="F61" s="18">
        <v>1080</v>
      </c>
      <c r="G61" s="18">
        <v>1091</v>
      </c>
      <c r="H61" s="18">
        <v>11880</v>
      </c>
      <c r="I61" s="18">
        <v>10789</v>
      </c>
      <c r="J61" s="21">
        <v>0.90816498316498318</v>
      </c>
      <c r="K61" s="18">
        <v>2</v>
      </c>
      <c r="L61" s="18">
        <v>2</v>
      </c>
      <c r="M61" s="18"/>
      <c r="N61" s="18"/>
      <c r="O61" s="18"/>
      <c r="P61" s="18"/>
      <c r="Q61" s="18"/>
      <c r="R61" s="18"/>
      <c r="S61" s="18"/>
      <c r="T61" s="18"/>
      <c r="U61" s="18"/>
      <c r="V61" s="18"/>
    </row>
    <row r="62" spans="1:22">
      <c r="A62" s="18" t="s">
        <v>22</v>
      </c>
      <c r="B62" s="18" t="s">
        <v>61</v>
      </c>
      <c r="C62" s="18" t="s">
        <v>100</v>
      </c>
      <c r="D62" s="18" t="s">
        <v>63</v>
      </c>
      <c r="E62" s="18">
        <v>61</v>
      </c>
      <c r="F62" s="18">
        <v>540</v>
      </c>
      <c r="G62" s="18">
        <v>601</v>
      </c>
      <c r="H62" s="18">
        <v>9720</v>
      </c>
      <c r="I62" s="18">
        <v>9119</v>
      </c>
      <c r="J62" s="21">
        <v>0.93816872427983544</v>
      </c>
      <c r="K62" s="18">
        <v>3</v>
      </c>
      <c r="L62" s="18">
        <v>1</v>
      </c>
      <c r="M62" s="18">
        <v>4</v>
      </c>
      <c r="N62" s="18"/>
      <c r="O62" s="18"/>
      <c r="P62" s="18"/>
      <c r="Q62" s="18"/>
      <c r="R62" s="18"/>
      <c r="S62" s="18"/>
      <c r="T62" s="18"/>
      <c r="U62" s="18"/>
      <c r="V62" s="18"/>
    </row>
    <row r="63" spans="1:22">
      <c r="A63" s="18" t="s">
        <v>57</v>
      </c>
      <c r="B63" s="18" t="s">
        <v>58</v>
      </c>
      <c r="C63" s="19" t="s">
        <v>101</v>
      </c>
      <c r="D63" s="18" t="s">
        <v>40</v>
      </c>
      <c r="E63" s="18">
        <v>0</v>
      </c>
      <c r="F63" s="18">
        <v>0</v>
      </c>
      <c r="G63" s="18">
        <v>0</v>
      </c>
      <c r="H63" s="18">
        <v>11340</v>
      </c>
      <c r="I63" s="18">
        <v>11340</v>
      </c>
      <c r="J63" s="21">
        <v>1</v>
      </c>
      <c r="K63" s="18"/>
      <c r="L63" s="18"/>
      <c r="M63" s="18">
        <v>1</v>
      </c>
      <c r="N63" s="18"/>
      <c r="O63" s="18"/>
      <c r="P63" s="18"/>
      <c r="Q63" s="18"/>
      <c r="R63" s="18"/>
      <c r="S63" s="18"/>
      <c r="T63" s="18"/>
      <c r="U63" s="18"/>
      <c r="V63" s="18"/>
    </row>
    <row r="64" spans="1:22">
      <c r="A64" s="18" t="s">
        <v>22</v>
      </c>
      <c r="B64" s="18" t="s">
        <v>31</v>
      </c>
      <c r="C64" s="18" t="s">
        <v>102</v>
      </c>
      <c r="D64" s="18" t="s">
        <v>33</v>
      </c>
      <c r="E64" s="18">
        <v>218</v>
      </c>
      <c r="F64" s="18">
        <v>1080</v>
      </c>
      <c r="G64" s="18">
        <v>1298</v>
      </c>
      <c r="H64" s="18">
        <v>11880</v>
      </c>
      <c r="I64" s="18">
        <v>10582</v>
      </c>
      <c r="J64" s="21">
        <v>0.89074074074074072</v>
      </c>
      <c r="K64" s="18">
        <v>1</v>
      </c>
      <c r="L64" s="18"/>
      <c r="M64" s="18"/>
      <c r="N64" s="18">
        <v>2</v>
      </c>
      <c r="O64" s="18"/>
      <c r="P64" s="18"/>
      <c r="Q64" s="18"/>
      <c r="R64" s="18"/>
      <c r="S64" s="18"/>
      <c r="T64" s="18"/>
      <c r="U64" s="18"/>
      <c r="V64" s="18"/>
    </row>
    <row r="65" spans="1:22">
      <c r="A65" s="18" t="s">
        <v>22</v>
      </c>
      <c r="B65" s="18" t="s">
        <v>54</v>
      </c>
      <c r="C65" s="18" t="s">
        <v>31</v>
      </c>
      <c r="D65" s="18" t="s">
        <v>33</v>
      </c>
      <c r="E65" s="18">
        <v>15</v>
      </c>
      <c r="F65" s="18">
        <v>0</v>
      </c>
      <c r="G65" s="18">
        <v>15</v>
      </c>
      <c r="H65" s="18">
        <v>11340</v>
      </c>
      <c r="I65" s="18">
        <v>11325</v>
      </c>
      <c r="J65" s="21">
        <v>0.99867724867724872</v>
      </c>
      <c r="K65" s="18">
        <v>1</v>
      </c>
      <c r="L65" s="18"/>
      <c r="M65" s="18"/>
      <c r="N65" s="18"/>
      <c r="O65" s="18"/>
      <c r="P65" s="18"/>
      <c r="Q65" s="18"/>
      <c r="R65" s="18"/>
      <c r="S65" s="18"/>
      <c r="T65" s="18"/>
      <c r="U65" s="18"/>
      <c r="V65" s="18"/>
    </row>
    <row r="66" spans="1:22">
      <c r="A66" s="18" t="s">
        <v>26</v>
      </c>
      <c r="B66" s="18" t="s">
        <v>34</v>
      </c>
      <c r="C66" s="19" t="s">
        <v>103</v>
      </c>
      <c r="D66" s="19" t="s">
        <v>40</v>
      </c>
      <c r="E66" s="18">
        <v>453</v>
      </c>
      <c r="F66" s="18"/>
      <c r="G66" s="18">
        <v>453</v>
      </c>
      <c r="H66" s="18">
        <v>11880</v>
      </c>
      <c r="I66" s="18">
        <v>11427</v>
      </c>
      <c r="J66" s="21">
        <v>0.96186868686868687</v>
      </c>
      <c r="K66" s="18">
        <v>4</v>
      </c>
      <c r="L66" s="18"/>
      <c r="M66" s="18"/>
      <c r="N66" s="18"/>
      <c r="O66" s="18"/>
      <c r="P66" s="18"/>
      <c r="Q66" s="18"/>
      <c r="R66" s="18"/>
      <c r="S66" s="18"/>
      <c r="T66" s="18"/>
      <c r="U66" s="18"/>
      <c r="V66" s="18"/>
    </row>
    <row r="67" spans="1:22">
      <c r="A67" s="18" t="s">
        <v>22</v>
      </c>
      <c r="B67" s="18" t="s">
        <v>23</v>
      </c>
      <c r="C67" s="18" t="s">
        <v>104</v>
      </c>
      <c r="D67" s="18" t="s">
        <v>25</v>
      </c>
      <c r="E67" s="18">
        <v>46</v>
      </c>
      <c r="F67" s="18">
        <v>2700</v>
      </c>
      <c r="G67" s="18">
        <v>2746</v>
      </c>
      <c r="H67" s="18">
        <v>11880</v>
      </c>
      <c r="I67" s="18">
        <v>9134</v>
      </c>
      <c r="J67" s="21">
        <v>0.7688552188552189</v>
      </c>
      <c r="K67" s="18">
        <v>4</v>
      </c>
      <c r="L67" s="18">
        <v>5</v>
      </c>
      <c r="M67" s="18"/>
      <c r="N67" s="18"/>
      <c r="O67" s="18"/>
      <c r="P67" s="18"/>
      <c r="Q67" s="18"/>
      <c r="R67" s="18"/>
      <c r="S67" s="18"/>
      <c r="T67" s="18"/>
      <c r="U67" s="18"/>
      <c r="V67" s="18"/>
    </row>
    <row r="68" spans="1:22">
      <c r="A68" s="18" t="s">
        <v>22</v>
      </c>
      <c r="B68" s="18" t="s">
        <v>55</v>
      </c>
      <c r="C68" s="18" t="s">
        <v>105</v>
      </c>
      <c r="D68" s="18" t="s">
        <v>56</v>
      </c>
      <c r="E68" s="18">
        <v>252</v>
      </c>
      <c r="F68" s="18"/>
      <c r="G68" s="18">
        <v>252</v>
      </c>
      <c r="H68" s="18">
        <v>11880</v>
      </c>
      <c r="I68" s="18">
        <v>11628</v>
      </c>
      <c r="J68" s="21">
        <v>0.97878787878787876</v>
      </c>
      <c r="K68" s="18">
        <v>4</v>
      </c>
      <c r="L68" s="18"/>
      <c r="M68" s="18"/>
      <c r="N68" s="18"/>
      <c r="O68" s="18"/>
      <c r="P68" s="18"/>
      <c r="Q68" s="18"/>
      <c r="R68" s="18"/>
      <c r="S68" s="18"/>
      <c r="T68" s="18"/>
      <c r="U68" s="18"/>
      <c r="V68" s="18"/>
    </row>
    <row r="69" spans="1:22">
      <c r="A69" s="18" t="s">
        <v>22</v>
      </c>
      <c r="B69" s="18" t="s">
        <v>66</v>
      </c>
      <c r="C69" s="18" t="s">
        <v>106</v>
      </c>
      <c r="D69" s="18" t="s">
        <v>30</v>
      </c>
      <c r="E69" s="18">
        <v>274</v>
      </c>
      <c r="F69" s="18"/>
      <c r="G69" s="18">
        <v>274</v>
      </c>
      <c r="H69" s="18">
        <v>11880</v>
      </c>
      <c r="I69" s="18">
        <v>11606</v>
      </c>
      <c r="J69" s="21">
        <v>0.97693602693602699</v>
      </c>
      <c r="K69" s="18">
        <v>2</v>
      </c>
      <c r="L69" s="18"/>
      <c r="M69" s="18"/>
      <c r="N69" s="18"/>
      <c r="O69" s="18"/>
      <c r="P69" s="18"/>
      <c r="Q69" s="18"/>
      <c r="R69" s="18"/>
      <c r="S69" s="18"/>
      <c r="T69" s="18"/>
      <c r="U69" s="18"/>
      <c r="V69" s="18"/>
    </row>
    <row r="70" spans="1:22">
      <c r="A70" s="18" t="s">
        <v>57</v>
      </c>
      <c r="B70" s="18" t="s">
        <v>58</v>
      </c>
      <c r="C70" s="19" t="s">
        <v>107</v>
      </c>
      <c r="D70" s="18" t="s">
        <v>40</v>
      </c>
      <c r="E70" s="18">
        <v>43</v>
      </c>
      <c r="F70" s="18">
        <v>2700</v>
      </c>
      <c r="G70" s="18">
        <v>2743</v>
      </c>
      <c r="H70" s="18">
        <v>10260</v>
      </c>
      <c r="I70" s="18">
        <v>7517</v>
      </c>
      <c r="J70" s="21">
        <v>0.73265107212475633</v>
      </c>
      <c r="K70" s="18">
        <v>3</v>
      </c>
      <c r="L70" s="18">
        <v>1</v>
      </c>
      <c r="M70" s="18"/>
      <c r="N70" s="18">
        <v>4</v>
      </c>
      <c r="O70" s="18">
        <v>3</v>
      </c>
      <c r="P70" s="18"/>
      <c r="Q70" s="18"/>
      <c r="R70" s="18"/>
      <c r="S70" s="18"/>
      <c r="T70" s="18"/>
      <c r="U70" s="18"/>
      <c r="V70" s="18"/>
    </row>
    <row r="71" spans="1:22">
      <c r="A71" s="18" t="s">
        <v>26</v>
      </c>
      <c r="B71" s="18" t="s">
        <v>34</v>
      </c>
      <c r="C71" s="19" t="s">
        <v>108</v>
      </c>
      <c r="D71" s="19" t="s">
        <v>30</v>
      </c>
      <c r="E71" s="18">
        <v>0</v>
      </c>
      <c r="F71" s="18">
        <v>0</v>
      </c>
      <c r="G71" s="18">
        <v>0</v>
      </c>
      <c r="H71" s="18">
        <v>11880</v>
      </c>
      <c r="I71" s="18">
        <v>11880</v>
      </c>
      <c r="J71" s="21">
        <v>1</v>
      </c>
      <c r="K71" s="18"/>
      <c r="L71" s="18"/>
      <c r="M71" s="18"/>
      <c r="N71" s="18"/>
      <c r="O71" s="18"/>
      <c r="P71" s="18"/>
      <c r="Q71" s="18"/>
      <c r="R71" s="18"/>
      <c r="S71" s="18"/>
      <c r="T71" s="18"/>
      <c r="U71" s="18"/>
      <c r="V71" s="18"/>
    </row>
    <row r="72" spans="1:22">
      <c r="A72" s="18" t="s">
        <v>26</v>
      </c>
      <c r="B72" s="18" t="s">
        <v>27</v>
      </c>
      <c r="C72" s="19" t="s">
        <v>109</v>
      </c>
      <c r="D72" s="19" t="s">
        <v>36</v>
      </c>
      <c r="E72" s="18">
        <v>3</v>
      </c>
      <c r="F72" s="18">
        <v>540</v>
      </c>
      <c r="G72" s="18">
        <v>543</v>
      </c>
      <c r="H72" s="18">
        <v>11880</v>
      </c>
      <c r="I72" s="18">
        <v>11337</v>
      </c>
      <c r="J72" s="21">
        <v>0.9542929292929293</v>
      </c>
      <c r="K72" s="18">
        <v>1</v>
      </c>
      <c r="L72" s="18"/>
      <c r="M72" s="18"/>
      <c r="N72" s="18">
        <v>1</v>
      </c>
      <c r="O72" s="18"/>
      <c r="P72" s="18"/>
      <c r="Q72" s="18"/>
      <c r="R72" s="18"/>
      <c r="S72" s="18"/>
      <c r="T72" s="18"/>
      <c r="U72" s="18"/>
      <c r="V72" s="18"/>
    </row>
    <row r="73" spans="1:22">
      <c r="A73" s="18" t="s">
        <v>57</v>
      </c>
      <c r="B73" s="18" t="s">
        <v>58</v>
      </c>
      <c r="C73" s="19" t="s">
        <v>110</v>
      </c>
      <c r="D73" s="18" t="s">
        <v>111</v>
      </c>
      <c r="E73" s="18">
        <v>0</v>
      </c>
      <c r="F73" s="18">
        <v>0</v>
      </c>
      <c r="G73" s="18">
        <v>0</v>
      </c>
      <c r="H73" s="18">
        <v>10800</v>
      </c>
      <c r="I73" s="18">
        <v>10800</v>
      </c>
      <c r="J73" s="21">
        <v>1</v>
      </c>
      <c r="K73" s="18"/>
      <c r="L73" s="18"/>
      <c r="M73" s="18">
        <v>2</v>
      </c>
      <c r="N73" s="18"/>
      <c r="O73" s="18"/>
      <c r="P73" s="18"/>
      <c r="Q73" s="18"/>
      <c r="R73" s="18"/>
      <c r="S73" s="18"/>
      <c r="T73" s="18"/>
      <c r="U73" s="18"/>
      <c r="V73" s="18"/>
    </row>
    <row r="74" spans="1:22">
      <c r="A74" s="18" t="s">
        <v>22</v>
      </c>
      <c r="B74" s="18" t="s">
        <v>23</v>
      </c>
      <c r="C74" s="18" t="s">
        <v>112</v>
      </c>
      <c r="D74" s="18" t="s">
        <v>25</v>
      </c>
      <c r="E74" s="18">
        <v>44</v>
      </c>
      <c r="F74" s="18"/>
      <c r="G74" s="18">
        <v>44</v>
      </c>
      <c r="H74" s="18">
        <v>11880</v>
      </c>
      <c r="I74" s="18">
        <v>11836</v>
      </c>
      <c r="J74" s="21">
        <v>0.99629629629629635</v>
      </c>
      <c r="K74" s="18">
        <v>4</v>
      </c>
      <c r="L74" s="18"/>
      <c r="M74" s="18"/>
      <c r="N74" s="18"/>
      <c r="O74" s="18"/>
      <c r="P74" s="18"/>
      <c r="Q74" s="18"/>
      <c r="R74" s="18"/>
      <c r="S74" s="18"/>
      <c r="T74" s="18"/>
      <c r="U74" s="18"/>
      <c r="V74" s="18"/>
    </row>
    <row r="75" spans="1:22">
      <c r="A75" s="18" t="s">
        <v>26</v>
      </c>
      <c r="B75" s="18" t="s">
        <v>27</v>
      </c>
      <c r="C75" s="19" t="s">
        <v>113</v>
      </c>
      <c r="D75" s="19" t="s">
        <v>40</v>
      </c>
      <c r="E75" s="18">
        <v>0</v>
      </c>
      <c r="F75" s="18">
        <v>0</v>
      </c>
      <c r="G75" s="18">
        <v>0</v>
      </c>
      <c r="H75" s="18">
        <v>11340</v>
      </c>
      <c r="I75" s="18">
        <v>11340</v>
      </c>
      <c r="J75" s="21">
        <v>1</v>
      </c>
      <c r="K75" s="18"/>
      <c r="L75" s="18"/>
      <c r="M75" s="18">
        <v>1</v>
      </c>
      <c r="N75" s="18"/>
      <c r="O75" s="18"/>
      <c r="P75" s="18"/>
      <c r="Q75" s="18"/>
      <c r="R75" s="18"/>
      <c r="S75" s="18"/>
      <c r="T75" s="18"/>
      <c r="U75" s="18"/>
      <c r="V75" s="18"/>
    </row>
    <row r="76" spans="1:22">
      <c r="A76" s="18" t="s">
        <v>37</v>
      </c>
      <c r="B76" s="18" t="s">
        <v>38</v>
      </c>
      <c r="C76" s="18" t="s">
        <v>114</v>
      </c>
      <c r="D76" s="18" t="s">
        <v>40</v>
      </c>
      <c r="E76" s="18">
        <v>41</v>
      </c>
      <c r="F76" s="18">
        <v>3240</v>
      </c>
      <c r="G76" s="18">
        <v>3281</v>
      </c>
      <c r="H76" s="18">
        <v>11880</v>
      </c>
      <c r="I76" s="18">
        <v>8599</v>
      </c>
      <c r="J76" s="21">
        <v>0.72382154882154881</v>
      </c>
      <c r="K76" s="18">
        <v>4</v>
      </c>
      <c r="L76" s="18">
        <v>1</v>
      </c>
      <c r="M76" s="18"/>
      <c r="N76" s="18">
        <v>5</v>
      </c>
      <c r="O76" s="18"/>
      <c r="P76" s="18"/>
      <c r="Q76" s="18"/>
      <c r="R76" s="18"/>
      <c r="S76" s="18"/>
      <c r="T76" s="18"/>
      <c r="U76" s="18"/>
      <c r="V76" s="18"/>
    </row>
    <row r="77" spans="1:22">
      <c r="A77" s="18" t="s">
        <v>22</v>
      </c>
      <c r="B77" s="18" t="s">
        <v>54</v>
      </c>
      <c r="C77" s="18" t="s">
        <v>66</v>
      </c>
      <c r="D77" s="18" t="s">
        <v>30</v>
      </c>
      <c r="E77" s="18">
        <v>73</v>
      </c>
      <c r="F77" s="18">
        <v>2160</v>
      </c>
      <c r="G77" s="18">
        <v>2233</v>
      </c>
      <c r="H77" s="18">
        <v>11340</v>
      </c>
      <c r="I77" s="18">
        <v>9107</v>
      </c>
      <c r="J77" s="21">
        <v>0.80308641975308637</v>
      </c>
      <c r="K77" s="18">
        <v>6</v>
      </c>
      <c r="L77" s="18"/>
      <c r="M77" s="18">
        <v>1</v>
      </c>
      <c r="N77" s="18">
        <v>4</v>
      </c>
      <c r="O77" s="18"/>
      <c r="P77" s="18"/>
      <c r="Q77" s="18"/>
      <c r="R77" s="18"/>
      <c r="S77" s="18"/>
      <c r="T77" s="18"/>
      <c r="U77" s="18"/>
      <c r="V77" s="18"/>
    </row>
    <row r="78" spans="1:22">
      <c r="A78" s="18" t="s">
        <v>22</v>
      </c>
      <c r="B78" s="18" t="s">
        <v>31</v>
      </c>
      <c r="C78" s="18" t="s">
        <v>115</v>
      </c>
      <c r="D78" s="18" t="s">
        <v>33</v>
      </c>
      <c r="E78" s="18">
        <v>31</v>
      </c>
      <c r="F78" s="18">
        <v>540</v>
      </c>
      <c r="G78" s="18">
        <v>571</v>
      </c>
      <c r="H78" s="18">
        <v>11340</v>
      </c>
      <c r="I78" s="18">
        <v>10769</v>
      </c>
      <c r="J78" s="21">
        <v>0.94964726631393304</v>
      </c>
      <c r="K78" s="18">
        <v>2</v>
      </c>
      <c r="L78" s="18"/>
      <c r="M78" s="18"/>
      <c r="N78" s="18"/>
      <c r="O78" s="18">
        <v>1</v>
      </c>
      <c r="P78" s="18"/>
      <c r="Q78" s="18"/>
      <c r="R78" s="18"/>
      <c r="S78" s="18"/>
      <c r="T78" s="18"/>
      <c r="U78" s="18"/>
      <c r="V78" s="18"/>
    </row>
    <row r="79" spans="1:22">
      <c r="A79" s="18" t="s">
        <v>22</v>
      </c>
      <c r="B79" s="18" t="s">
        <v>61</v>
      </c>
      <c r="C79" s="18" t="s">
        <v>116</v>
      </c>
      <c r="D79" s="18" t="s">
        <v>63</v>
      </c>
      <c r="E79" s="18">
        <v>40</v>
      </c>
      <c r="F79" s="18">
        <v>540</v>
      </c>
      <c r="G79" s="18">
        <v>580</v>
      </c>
      <c r="H79" s="18">
        <v>11880</v>
      </c>
      <c r="I79" s="18">
        <v>11300</v>
      </c>
      <c r="J79" s="21">
        <v>0.95117845117845112</v>
      </c>
      <c r="K79" s="18">
        <v>3</v>
      </c>
      <c r="L79" s="18"/>
      <c r="M79" s="18"/>
      <c r="N79" s="18">
        <v>1</v>
      </c>
      <c r="O79" s="18"/>
      <c r="P79" s="18"/>
      <c r="Q79" s="18"/>
      <c r="R79" s="18"/>
      <c r="S79" s="18"/>
      <c r="T79" s="18"/>
      <c r="U79" s="18"/>
      <c r="V79" s="18"/>
    </row>
    <row r="80" spans="1:22">
      <c r="A80" s="18" t="s">
        <v>22</v>
      </c>
      <c r="B80" s="18" t="s">
        <v>66</v>
      </c>
      <c r="C80" s="18" t="s">
        <v>117</v>
      </c>
      <c r="D80" s="18" t="s">
        <v>30</v>
      </c>
      <c r="E80" s="18">
        <v>19</v>
      </c>
      <c r="F80" s="18">
        <v>540</v>
      </c>
      <c r="G80" s="18">
        <v>559</v>
      </c>
      <c r="H80" s="18">
        <v>11880</v>
      </c>
      <c r="I80" s="18">
        <v>11321</v>
      </c>
      <c r="J80" s="21">
        <v>0.95294612794612799</v>
      </c>
      <c r="K80" s="18">
        <v>2</v>
      </c>
      <c r="L80" s="18"/>
      <c r="M80" s="18">
        <v>2</v>
      </c>
      <c r="N80" s="18">
        <v>1</v>
      </c>
      <c r="O80" s="18"/>
      <c r="P80" s="18"/>
      <c r="Q80" s="18"/>
      <c r="R80" s="18"/>
      <c r="S80" s="18"/>
      <c r="T80" s="18"/>
      <c r="U80" s="18"/>
      <c r="V80" s="18"/>
    </row>
    <row r="81" spans="1:22">
      <c r="A81" s="18" t="s">
        <v>37</v>
      </c>
      <c r="B81" s="18" t="s">
        <v>38</v>
      </c>
      <c r="C81" s="18" t="s">
        <v>118</v>
      </c>
      <c r="D81" s="18" t="s">
        <v>40</v>
      </c>
      <c r="E81" s="18">
        <v>43</v>
      </c>
      <c r="F81" s="18"/>
      <c r="G81" s="18">
        <v>43</v>
      </c>
      <c r="H81" s="18">
        <v>11880</v>
      </c>
      <c r="I81" s="18">
        <v>11837</v>
      </c>
      <c r="J81" s="21">
        <v>0.99638047138047137</v>
      </c>
      <c r="K81" s="18">
        <v>5</v>
      </c>
      <c r="L81" s="18"/>
      <c r="M81" s="18"/>
      <c r="N81" s="18"/>
      <c r="O81" s="18"/>
      <c r="P81" s="18"/>
      <c r="Q81" s="18"/>
      <c r="R81" s="18"/>
      <c r="S81" s="18"/>
      <c r="T81" s="18"/>
      <c r="U81" s="18"/>
      <c r="V81" s="18"/>
    </row>
    <row r="82" spans="1:22">
      <c r="A82" s="18" t="s">
        <v>26</v>
      </c>
      <c r="B82" s="18" t="s">
        <v>34</v>
      </c>
      <c r="C82" s="19" t="s">
        <v>119</v>
      </c>
      <c r="D82" s="19" t="s">
        <v>25</v>
      </c>
      <c r="E82" s="18">
        <v>0</v>
      </c>
      <c r="F82" s="18">
        <v>0</v>
      </c>
      <c r="G82" s="18">
        <v>0</v>
      </c>
      <c r="H82" s="18">
        <v>11340</v>
      </c>
      <c r="I82" s="18">
        <v>11340</v>
      </c>
      <c r="J82" s="21">
        <v>1</v>
      </c>
      <c r="K82" s="18"/>
      <c r="L82" s="18"/>
      <c r="M82" s="18"/>
      <c r="N82" s="18"/>
      <c r="O82" s="18"/>
      <c r="P82" s="18"/>
      <c r="Q82" s="18"/>
      <c r="R82" s="18"/>
      <c r="S82" s="18"/>
      <c r="T82" s="18"/>
      <c r="U82" s="18"/>
      <c r="V82" s="18"/>
    </row>
    <row r="83" spans="1:22">
      <c r="A83" s="18" t="s">
        <v>22</v>
      </c>
      <c r="B83" s="18" t="s">
        <v>66</v>
      </c>
      <c r="C83" s="18" t="s">
        <v>120</v>
      </c>
      <c r="D83" s="18" t="s">
        <v>30</v>
      </c>
      <c r="E83" s="18">
        <v>261</v>
      </c>
      <c r="F83" s="18">
        <v>540</v>
      </c>
      <c r="G83" s="18">
        <v>801</v>
      </c>
      <c r="H83" s="18">
        <v>11880</v>
      </c>
      <c r="I83" s="18">
        <v>11079</v>
      </c>
      <c r="J83" s="21">
        <v>0.93257575757575761</v>
      </c>
      <c r="K83" s="18">
        <v>4</v>
      </c>
      <c r="L83" s="18">
        <v>1</v>
      </c>
      <c r="M83" s="18"/>
      <c r="N83" s="18"/>
      <c r="O83" s="18"/>
      <c r="P83" s="18"/>
      <c r="Q83" s="18"/>
      <c r="R83" s="18"/>
      <c r="S83" s="18"/>
      <c r="T83" s="18"/>
      <c r="U83" s="18"/>
      <c r="V83" s="18"/>
    </row>
    <row r="84" spans="1:22">
      <c r="A84" s="18" t="s">
        <v>22</v>
      </c>
      <c r="B84" s="18" t="s">
        <v>61</v>
      </c>
      <c r="C84" s="18" t="s">
        <v>121</v>
      </c>
      <c r="D84" s="18" t="s">
        <v>63</v>
      </c>
      <c r="E84" s="18">
        <v>5</v>
      </c>
      <c r="F84" s="18">
        <v>2160</v>
      </c>
      <c r="G84" s="18">
        <v>2165</v>
      </c>
      <c r="H84" s="18">
        <v>10800</v>
      </c>
      <c r="I84" s="18">
        <v>8635</v>
      </c>
      <c r="J84" s="21">
        <v>0.79953703703703705</v>
      </c>
      <c r="K84" s="18">
        <v>2</v>
      </c>
      <c r="L84" s="18"/>
      <c r="M84" s="18"/>
      <c r="N84" s="18">
        <v>4</v>
      </c>
      <c r="O84" s="18">
        <v>2</v>
      </c>
      <c r="P84" s="18"/>
      <c r="Q84" s="18"/>
      <c r="R84" s="18"/>
      <c r="S84" s="18"/>
      <c r="T84" s="18"/>
      <c r="U84" s="18"/>
      <c r="V84" s="18"/>
    </row>
    <row r="85" spans="1:22">
      <c r="A85" s="18" t="s">
        <v>22</v>
      </c>
      <c r="B85" s="18" t="s">
        <v>66</v>
      </c>
      <c r="C85" s="18" t="s">
        <v>122</v>
      </c>
      <c r="D85" s="18" t="s">
        <v>30</v>
      </c>
      <c r="E85" s="18"/>
      <c r="F85" s="18"/>
      <c r="G85" s="18">
        <v>0</v>
      </c>
      <c r="H85" s="18">
        <v>11880</v>
      </c>
      <c r="I85" s="18">
        <v>11880</v>
      </c>
      <c r="J85" s="21">
        <v>1</v>
      </c>
      <c r="K85" s="18"/>
      <c r="L85" s="18"/>
      <c r="M85" s="18"/>
      <c r="N85" s="18"/>
      <c r="O85" s="18"/>
      <c r="P85" s="18"/>
      <c r="Q85" s="18"/>
      <c r="R85" s="18"/>
      <c r="S85" s="18"/>
      <c r="T85" s="18"/>
      <c r="U85" s="18"/>
      <c r="V85" s="18"/>
    </row>
    <row r="86" spans="1:22">
      <c r="A86" s="18" t="s">
        <v>26</v>
      </c>
      <c r="B86" s="18" t="s">
        <v>34</v>
      </c>
      <c r="C86" s="19" t="s">
        <v>123</v>
      </c>
      <c r="D86" s="19" t="s">
        <v>40</v>
      </c>
      <c r="E86" s="18">
        <v>20</v>
      </c>
      <c r="F86" s="18"/>
      <c r="G86" s="18">
        <v>20</v>
      </c>
      <c r="H86" s="18">
        <v>11880</v>
      </c>
      <c r="I86" s="18">
        <v>11860</v>
      </c>
      <c r="J86" s="21">
        <v>0.99831649831649827</v>
      </c>
      <c r="K86" s="18">
        <v>1</v>
      </c>
      <c r="L86" s="18"/>
      <c r="M86" s="18"/>
      <c r="N86" s="18"/>
      <c r="O86" s="18"/>
      <c r="P86" s="18"/>
      <c r="Q86" s="18"/>
      <c r="R86" s="18"/>
      <c r="S86" s="18"/>
      <c r="T86" s="18"/>
      <c r="U86" s="18"/>
      <c r="V86" s="18"/>
    </row>
    <row r="87" spans="1:22">
      <c r="A87" s="18" t="s">
        <v>26</v>
      </c>
      <c r="B87" s="18" t="s">
        <v>34</v>
      </c>
      <c r="C87" s="19" t="s">
        <v>124</v>
      </c>
      <c r="D87" s="19" t="s">
        <v>36</v>
      </c>
      <c r="E87" s="18">
        <v>0</v>
      </c>
      <c r="F87" s="18">
        <v>1620</v>
      </c>
      <c r="G87" s="18">
        <v>1620</v>
      </c>
      <c r="H87" s="18">
        <v>11340</v>
      </c>
      <c r="I87" s="18">
        <v>9720</v>
      </c>
      <c r="J87" s="21">
        <v>0.8571428571428571</v>
      </c>
      <c r="K87" s="18"/>
      <c r="L87" s="18"/>
      <c r="M87" s="18"/>
      <c r="N87" s="18">
        <v>3</v>
      </c>
      <c r="O87" s="18"/>
      <c r="P87" s="18"/>
      <c r="Q87" s="18"/>
      <c r="R87" s="18"/>
      <c r="S87" s="18"/>
      <c r="T87" s="18"/>
      <c r="U87" s="18"/>
      <c r="V87" s="18"/>
    </row>
    <row r="88" spans="1:22">
      <c r="A88" s="18" t="s">
        <v>22</v>
      </c>
      <c r="B88" s="18" t="s">
        <v>23</v>
      </c>
      <c r="C88" s="18" t="s">
        <v>125</v>
      </c>
      <c r="D88" s="18" t="s">
        <v>25</v>
      </c>
      <c r="E88" s="18">
        <v>298</v>
      </c>
      <c r="F88" s="18">
        <v>540</v>
      </c>
      <c r="G88" s="18">
        <v>838</v>
      </c>
      <c r="H88" s="18">
        <v>10260</v>
      </c>
      <c r="I88" s="18">
        <v>9422</v>
      </c>
      <c r="J88" s="21">
        <v>0.91832358674463943</v>
      </c>
      <c r="K88" s="18">
        <v>4</v>
      </c>
      <c r="L88" s="18">
        <v>1</v>
      </c>
      <c r="M88" s="18"/>
      <c r="N88" s="18"/>
      <c r="O88" s="18">
        <v>3</v>
      </c>
      <c r="P88" s="18"/>
      <c r="Q88" s="18"/>
      <c r="R88" s="18"/>
      <c r="S88" s="18"/>
      <c r="T88" s="18"/>
      <c r="U88" s="18"/>
      <c r="V88" s="18"/>
    </row>
    <row r="89" spans="1:22">
      <c r="A89" s="18" t="s">
        <v>26</v>
      </c>
      <c r="B89" s="18" t="s">
        <v>34</v>
      </c>
      <c r="C89" s="19" t="s">
        <v>126</v>
      </c>
      <c r="D89" s="19" t="s">
        <v>30</v>
      </c>
      <c r="E89" s="18">
        <v>77</v>
      </c>
      <c r="F89" s="18">
        <v>2160</v>
      </c>
      <c r="G89" s="18">
        <v>2237</v>
      </c>
      <c r="H89" s="18">
        <v>11880</v>
      </c>
      <c r="I89" s="18">
        <v>9643</v>
      </c>
      <c r="J89" s="21">
        <v>0.8117003367003367</v>
      </c>
      <c r="K89" s="18">
        <v>7</v>
      </c>
      <c r="L89" s="18"/>
      <c r="M89" s="18"/>
      <c r="N89" s="18">
        <v>4</v>
      </c>
      <c r="O89" s="18"/>
      <c r="P89" s="18"/>
      <c r="Q89" s="18"/>
      <c r="R89" s="18"/>
      <c r="S89" s="18"/>
      <c r="T89" s="18"/>
      <c r="U89" s="18"/>
      <c r="V89" s="18"/>
    </row>
    <row r="90" spans="1:22">
      <c r="A90" s="18" t="s">
        <v>22</v>
      </c>
      <c r="B90" s="18" t="s">
        <v>31</v>
      </c>
      <c r="C90" s="18" t="s">
        <v>127</v>
      </c>
      <c r="D90" s="18" t="s">
        <v>33</v>
      </c>
      <c r="E90" s="18">
        <v>50</v>
      </c>
      <c r="F90" s="18">
        <v>540</v>
      </c>
      <c r="G90" s="18">
        <v>590</v>
      </c>
      <c r="H90" s="18">
        <v>11340</v>
      </c>
      <c r="I90" s="18">
        <v>10750</v>
      </c>
      <c r="J90" s="21">
        <v>0.94797178130511461</v>
      </c>
      <c r="K90" s="18">
        <v>3</v>
      </c>
      <c r="L90" s="18">
        <v>1</v>
      </c>
      <c r="M90" s="18"/>
      <c r="N90" s="18"/>
      <c r="O90" s="18">
        <v>1</v>
      </c>
      <c r="P90" s="18"/>
      <c r="Q90" s="18"/>
      <c r="R90" s="18"/>
      <c r="S90" s="18"/>
      <c r="T90" s="18"/>
      <c r="U90" s="18"/>
      <c r="V90" s="18"/>
    </row>
    <row r="91" spans="1:22">
      <c r="A91" s="18" t="s">
        <v>22</v>
      </c>
      <c r="B91" s="18" t="s">
        <v>31</v>
      </c>
      <c r="C91" s="18" t="s">
        <v>128</v>
      </c>
      <c r="D91" s="18" t="s">
        <v>33</v>
      </c>
      <c r="E91" s="18">
        <v>37</v>
      </c>
      <c r="F91" s="18">
        <v>1620</v>
      </c>
      <c r="G91" s="18">
        <v>1657</v>
      </c>
      <c r="H91" s="18">
        <v>11880</v>
      </c>
      <c r="I91" s="18">
        <v>10223</v>
      </c>
      <c r="J91" s="21">
        <v>0.86052188552188558</v>
      </c>
      <c r="K91" s="18">
        <v>4</v>
      </c>
      <c r="L91" s="18"/>
      <c r="M91" s="18"/>
      <c r="N91" s="18">
        <v>3</v>
      </c>
      <c r="O91" s="18"/>
      <c r="P91" s="18"/>
      <c r="Q91" s="18"/>
      <c r="R91" s="18"/>
      <c r="S91" s="18"/>
      <c r="T91" s="18"/>
      <c r="U91" s="18"/>
      <c r="V91" s="18"/>
    </row>
    <row r="92" spans="1:22">
      <c r="A92" s="18" t="s">
        <v>22</v>
      </c>
      <c r="B92" s="18" t="s">
        <v>55</v>
      </c>
      <c r="C92" s="18" t="s">
        <v>129</v>
      </c>
      <c r="D92" s="18" t="s">
        <v>56</v>
      </c>
      <c r="E92" s="18">
        <v>110</v>
      </c>
      <c r="F92" s="18">
        <v>1080</v>
      </c>
      <c r="G92" s="18">
        <v>1190</v>
      </c>
      <c r="H92" s="18">
        <v>11880</v>
      </c>
      <c r="I92" s="18">
        <v>10690</v>
      </c>
      <c r="J92" s="21">
        <v>0.89983164983164987</v>
      </c>
      <c r="K92" s="18">
        <v>6</v>
      </c>
      <c r="L92" s="18"/>
      <c r="M92" s="18"/>
      <c r="N92" s="18">
        <v>2</v>
      </c>
      <c r="O92" s="18"/>
      <c r="P92" s="18"/>
      <c r="Q92" s="18"/>
      <c r="R92" s="18"/>
      <c r="S92" s="18"/>
      <c r="T92" s="18"/>
      <c r="U92" s="18"/>
      <c r="V92" s="18"/>
    </row>
    <row r="93" spans="1:22">
      <c r="A93" s="18" t="s">
        <v>22</v>
      </c>
      <c r="B93" s="18" t="s">
        <v>31</v>
      </c>
      <c r="C93" s="18" t="s">
        <v>130</v>
      </c>
      <c r="D93" s="18" t="s">
        <v>33</v>
      </c>
      <c r="E93" s="18">
        <v>212</v>
      </c>
      <c r="F93" s="18">
        <v>1080</v>
      </c>
      <c r="G93" s="18">
        <v>1292</v>
      </c>
      <c r="H93" s="18">
        <v>11880</v>
      </c>
      <c r="I93" s="18">
        <v>10588</v>
      </c>
      <c r="J93" s="21">
        <v>0.89124579124579129</v>
      </c>
      <c r="K93" s="18">
        <v>4</v>
      </c>
      <c r="L93" s="18">
        <v>2</v>
      </c>
      <c r="M93" s="18"/>
      <c r="N93" s="18"/>
      <c r="O93" s="18"/>
      <c r="P93" s="18"/>
      <c r="Q93" s="18"/>
      <c r="R93" s="18"/>
      <c r="S93" s="18"/>
      <c r="T93" s="18"/>
      <c r="U93" s="18"/>
      <c r="V93" s="18"/>
    </row>
    <row r="94" spans="1:22">
      <c r="A94" s="18" t="s">
        <v>26</v>
      </c>
      <c r="B94" s="18" t="s">
        <v>27</v>
      </c>
      <c r="C94" s="19" t="s">
        <v>131</v>
      </c>
      <c r="D94" s="19" t="s">
        <v>33</v>
      </c>
      <c r="E94" s="18">
        <v>125</v>
      </c>
      <c r="F94" s="18">
        <v>1620</v>
      </c>
      <c r="G94" s="18">
        <v>1745</v>
      </c>
      <c r="H94" s="18">
        <v>11880</v>
      </c>
      <c r="I94" s="18">
        <v>10135</v>
      </c>
      <c r="J94" s="21">
        <v>0.85311447811447816</v>
      </c>
      <c r="K94" s="18">
        <v>7</v>
      </c>
      <c r="L94" s="18"/>
      <c r="M94" s="18"/>
      <c r="N94" s="18">
        <v>3</v>
      </c>
      <c r="O94" s="18"/>
      <c r="P94" s="18"/>
      <c r="Q94" s="18"/>
      <c r="R94" s="18"/>
      <c r="S94" s="18"/>
      <c r="T94" s="18"/>
      <c r="U94" s="18"/>
      <c r="V94" s="18"/>
    </row>
    <row r="95" spans="1:22">
      <c r="A95" s="18" t="s">
        <v>22</v>
      </c>
      <c r="B95" s="18" t="s">
        <v>55</v>
      </c>
      <c r="C95" s="18" t="s">
        <v>132</v>
      </c>
      <c r="D95" s="18" t="s">
        <v>56</v>
      </c>
      <c r="E95" s="18">
        <v>2</v>
      </c>
      <c r="F95" s="18"/>
      <c r="G95" s="18">
        <v>2</v>
      </c>
      <c r="H95" s="18">
        <v>10800</v>
      </c>
      <c r="I95" s="18">
        <v>10798</v>
      </c>
      <c r="J95" s="21">
        <v>0.99981481481481482</v>
      </c>
      <c r="K95" s="18">
        <v>2</v>
      </c>
      <c r="L95" s="18"/>
      <c r="M95" s="18">
        <v>2</v>
      </c>
      <c r="N95" s="18"/>
      <c r="O95" s="18"/>
      <c r="P95" s="18"/>
      <c r="Q95" s="18"/>
      <c r="R95" s="18"/>
      <c r="S95" s="18"/>
      <c r="T95" s="18"/>
      <c r="U95" s="18"/>
      <c r="V95" s="18"/>
    </row>
    <row r="96" spans="1:22">
      <c r="A96" s="18" t="s">
        <v>26</v>
      </c>
      <c r="B96" s="18" t="s">
        <v>27</v>
      </c>
      <c r="C96" s="19" t="s">
        <v>133</v>
      </c>
      <c r="D96" s="19" t="s">
        <v>40</v>
      </c>
      <c r="E96" s="18">
        <v>582</v>
      </c>
      <c r="F96" s="18">
        <v>2700</v>
      </c>
      <c r="G96" s="18">
        <v>3282</v>
      </c>
      <c r="H96" s="18">
        <v>11880</v>
      </c>
      <c r="I96" s="18">
        <v>8598</v>
      </c>
      <c r="J96" s="21">
        <v>0.72373737373737379</v>
      </c>
      <c r="K96" s="18">
        <v>10</v>
      </c>
      <c r="L96" s="18">
        <v>5</v>
      </c>
      <c r="M96" s="18"/>
      <c r="N96" s="18"/>
      <c r="O96" s="18"/>
      <c r="P96" s="18"/>
      <c r="Q96" s="18"/>
      <c r="R96" s="18"/>
      <c r="S96" s="18"/>
      <c r="T96" s="18"/>
      <c r="U96" s="18"/>
      <c r="V96" s="18"/>
    </row>
    <row r="97" spans="1:22">
      <c r="A97" s="18" t="s">
        <v>26</v>
      </c>
      <c r="B97" s="18" t="s">
        <v>54</v>
      </c>
      <c r="C97" s="18" t="s">
        <v>27</v>
      </c>
      <c r="D97" s="18" t="s">
        <v>40</v>
      </c>
      <c r="E97" s="18">
        <v>7</v>
      </c>
      <c r="F97" s="18">
        <v>0</v>
      </c>
      <c r="G97" s="18">
        <v>7</v>
      </c>
      <c r="H97" s="18">
        <v>11880</v>
      </c>
      <c r="I97" s="18">
        <v>11873</v>
      </c>
      <c r="J97" s="21">
        <v>0.99941077441077442</v>
      </c>
      <c r="K97" s="18">
        <v>1</v>
      </c>
      <c r="L97" s="18"/>
      <c r="M97" s="18"/>
      <c r="N97" s="18"/>
      <c r="O97" s="18"/>
      <c r="P97" s="18"/>
      <c r="Q97" s="18"/>
      <c r="R97" s="18"/>
      <c r="S97" s="18"/>
      <c r="T97" s="18"/>
      <c r="U97" s="18"/>
      <c r="V97" s="18"/>
    </row>
    <row r="98" spans="1:22">
      <c r="A98" s="18" t="s">
        <v>22</v>
      </c>
      <c r="B98" s="18" t="s">
        <v>55</v>
      </c>
      <c r="C98" s="18" t="s">
        <v>134</v>
      </c>
      <c r="D98" s="18" t="s">
        <v>56</v>
      </c>
      <c r="E98" s="18">
        <v>33</v>
      </c>
      <c r="F98" s="18">
        <v>1620</v>
      </c>
      <c r="G98" s="18">
        <v>1653</v>
      </c>
      <c r="H98" s="18">
        <v>11340</v>
      </c>
      <c r="I98" s="18">
        <v>9687</v>
      </c>
      <c r="J98" s="21">
        <v>0.85423280423280423</v>
      </c>
      <c r="K98" s="18">
        <v>4</v>
      </c>
      <c r="L98" s="18"/>
      <c r="M98" s="18"/>
      <c r="N98" s="18">
        <v>3</v>
      </c>
      <c r="O98" s="18">
        <v>1</v>
      </c>
      <c r="P98" s="18"/>
      <c r="Q98" s="18"/>
      <c r="R98" s="18"/>
      <c r="S98" s="18"/>
      <c r="T98" s="18"/>
      <c r="U98" s="18"/>
      <c r="V98" s="18"/>
    </row>
  </sheetData>
  <autoFilter ref="A1:V98" xr:uid="{08D87DFB-94BB-4049-81CE-69A6E525FE3D}"/>
  <sortState xmlns:xlrd2="http://schemas.microsoft.com/office/spreadsheetml/2017/richdata2" ref="A2:V98">
    <sortCondition ref="C2:C98"/>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5F48F-C161-484B-B9BC-932EC5FC9BE3}">
  <dimension ref="A1:X100"/>
  <sheetViews>
    <sheetView topLeftCell="A81" workbookViewId="0">
      <selection activeCell="A2" sqref="A2:A97"/>
    </sheetView>
  </sheetViews>
  <sheetFormatPr defaultRowHeight="15"/>
  <cols>
    <col min="1" max="1" width="9.140625" style="6"/>
    <col min="2" max="2" width="21.42578125" style="6" bestFit="1" customWidth="1"/>
    <col min="3" max="3" width="12" style="6" bestFit="1" customWidth="1"/>
    <col min="4" max="4" width="9.85546875" style="6" bestFit="1" customWidth="1"/>
    <col min="5" max="5" width="11.85546875" style="6" bestFit="1" customWidth="1"/>
    <col min="6" max="6" width="9.85546875" style="6" bestFit="1" customWidth="1"/>
    <col min="7" max="7" width="14" style="6" bestFit="1" customWidth="1"/>
    <col min="8" max="8" width="12.7109375" style="6" bestFit="1" customWidth="1"/>
    <col min="9" max="9" width="10.42578125" style="6" bestFit="1" customWidth="1"/>
    <col min="10" max="10" width="12.7109375" style="6" bestFit="1" customWidth="1"/>
    <col min="15" max="16" width="10" bestFit="1" customWidth="1"/>
    <col min="20" max="20" width="13.140625" bestFit="1" customWidth="1"/>
    <col min="21" max="21" width="18.42578125" bestFit="1" customWidth="1"/>
    <col min="22" max="22" width="16.140625" bestFit="1" customWidth="1"/>
    <col min="23" max="23" width="13.28515625" bestFit="1" customWidth="1"/>
    <col min="24" max="25" width="17.7109375" bestFit="1" customWidth="1"/>
    <col min="26" max="26" width="21.7109375" bestFit="1" customWidth="1"/>
  </cols>
  <sheetData>
    <row r="1" spans="1:24">
      <c r="A1" s="1" t="s">
        <v>0</v>
      </c>
      <c r="B1" s="1" t="s">
        <v>2</v>
      </c>
      <c r="C1" s="1" t="s">
        <v>3</v>
      </c>
      <c r="D1" s="8" t="s">
        <v>135</v>
      </c>
      <c r="E1" s="8" t="s">
        <v>136</v>
      </c>
      <c r="F1" s="8" t="s">
        <v>137</v>
      </c>
      <c r="G1" s="8" t="s">
        <v>138</v>
      </c>
      <c r="H1" s="8" t="s">
        <v>139</v>
      </c>
      <c r="I1" s="8" t="s">
        <v>140</v>
      </c>
      <c r="J1" s="8" t="s">
        <v>141</v>
      </c>
      <c r="K1" s="1" t="s">
        <v>4</v>
      </c>
      <c r="L1" s="1" t="s">
        <v>5</v>
      </c>
      <c r="M1" s="1" t="s">
        <v>6</v>
      </c>
      <c r="N1" s="1" t="s">
        <v>7</v>
      </c>
      <c r="O1" s="1" t="s">
        <v>8</v>
      </c>
      <c r="P1" s="1" t="s">
        <v>9</v>
      </c>
      <c r="Q1" s="2" t="s">
        <v>12</v>
      </c>
      <c r="R1" s="2" t="s">
        <v>14</v>
      </c>
      <c r="T1" s="13" t="s">
        <v>142</v>
      </c>
      <c r="U1" t="s">
        <v>143</v>
      </c>
      <c r="V1" t="s">
        <v>144</v>
      </c>
      <c r="W1" t="s">
        <v>145</v>
      </c>
      <c r="X1" t="s">
        <v>146</v>
      </c>
    </row>
    <row r="2" spans="1:24">
      <c r="A2" s="5" t="s">
        <v>22</v>
      </c>
      <c r="B2" s="5" t="s">
        <v>24</v>
      </c>
      <c r="C2" s="5" t="s">
        <v>25</v>
      </c>
      <c r="D2" s="9" t="s">
        <v>147</v>
      </c>
      <c r="E2" s="9">
        <v>450</v>
      </c>
      <c r="F2" s="9">
        <v>5</v>
      </c>
      <c r="G2" s="9" t="s">
        <v>148</v>
      </c>
      <c r="H2" s="9">
        <v>19</v>
      </c>
      <c r="I2" s="9" t="s">
        <v>148</v>
      </c>
      <c r="J2" s="9" t="s">
        <v>147</v>
      </c>
      <c r="K2" s="4">
        <f>SUM(F2:I2)</f>
        <v>24</v>
      </c>
      <c r="L2" s="6">
        <f>SUMIF(D2:J2,"450")</f>
        <v>450</v>
      </c>
      <c r="M2" s="4">
        <f>SUM(K2:L2)</f>
        <v>474</v>
      </c>
      <c r="N2" s="4">
        <f>450*5</f>
        <v>2250</v>
      </c>
      <c r="O2" s="4">
        <f>N2-M2</f>
        <v>1776</v>
      </c>
      <c r="P2" s="4">
        <f>O2/N2*100%</f>
        <v>0.78933333333333333</v>
      </c>
      <c r="Q2" s="4"/>
      <c r="R2" s="4"/>
      <c r="T2" s="14" t="s">
        <v>111</v>
      </c>
      <c r="U2">
        <v>0</v>
      </c>
      <c r="V2">
        <v>0</v>
      </c>
      <c r="W2">
        <v>2250</v>
      </c>
      <c r="X2">
        <v>2250</v>
      </c>
    </row>
    <row r="3" spans="1:24">
      <c r="A3" s="5" t="s">
        <v>26</v>
      </c>
      <c r="B3" s="7" t="s">
        <v>28</v>
      </c>
      <c r="C3" s="34" t="s">
        <v>25</v>
      </c>
      <c r="D3" s="9" t="s">
        <v>148</v>
      </c>
      <c r="E3" s="9">
        <v>17</v>
      </c>
      <c r="F3" s="9" t="s">
        <v>147</v>
      </c>
      <c r="G3" s="9" t="s">
        <v>147</v>
      </c>
      <c r="H3" s="9">
        <v>4</v>
      </c>
      <c r="I3" s="9" t="s">
        <v>148</v>
      </c>
      <c r="J3" s="9" t="s">
        <v>148</v>
      </c>
      <c r="K3" s="6">
        <f>SUM(D3:J3)</f>
        <v>21</v>
      </c>
      <c r="L3" s="6">
        <f t="shared" ref="L3:L66" si="0">SUMIF(D3:J3,"450")</f>
        <v>0</v>
      </c>
      <c r="M3" s="4">
        <f t="shared" ref="M3:M64" si="1">SUM(K3:L3)</f>
        <v>21</v>
      </c>
      <c r="N3" s="4">
        <f>450*5</f>
        <v>2250</v>
      </c>
      <c r="O3" s="4">
        <f t="shared" ref="O3:O64" si="2">N3-M3</f>
        <v>2229</v>
      </c>
      <c r="P3" s="4">
        <f t="shared" ref="P3:P64" si="3">O3/N3*100%</f>
        <v>0.9906666666666667</v>
      </c>
      <c r="Q3" s="6"/>
      <c r="R3" s="6"/>
      <c r="T3" s="14" t="s">
        <v>22</v>
      </c>
      <c r="U3">
        <v>914</v>
      </c>
      <c r="V3">
        <v>1350</v>
      </c>
      <c r="W3">
        <v>96300</v>
      </c>
      <c r="X3">
        <v>94036</v>
      </c>
    </row>
    <row r="4" spans="1:24">
      <c r="A4" s="5" t="s">
        <v>26</v>
      </c>
      <c r="B4" s="7" t="s">
        <v>29</v>
      </c>
      <c r="C4" s="34" t="s">
        <v>30</v>
      </c>
      <c r="D4" s="9">
        <v>25</v>
      </c>
      <c r="E4" s="9">
        <v>4</v>
      </c>
      <c r="F4" s="9" t="s">
        <v>147</v>
      </c>
      <c r="G4" s="9" t="s">
        <v>147</v>
      </c>
      <c r="H4" s="9" t="s">
        <v>148</v>
      </c>
      <c r="I4" s="9" t="s">
        <v>148</v>
      </c>
      <c r="J4" s="9" t="s">
        <v>148</v>
      </c>
      <c r="K4" s="6">
        <f>SUM(D4:J4)</f>
        <v>29</v>
      </c>
      <c r="L4" s="6">
        <f t="shared" si="0"/>
        <v>0</v>
      </c>
      <c r="M4" s="4">
        <f t="shared" si="1"/>
        <v>29</v>
      </c>
      <c r="N4" s="4">
        <f>450*5</f>
        <v>2250</v>
      </c>
      <c r="O4" s="4">
        <f t="shared" si="2"/>
        <v>2221</v>
      </c>
      <c r="P4" s="4">
        <f t="shared" si="3"/>
        <v>0.98711111111111116</v>
      </c>
      <c r="Q4" s="6"/>
      <c r="R4" s="6"/>
      <c r="T4" s="14" t="s">
        <v>37</v>
      </c>
      <c r="U4">
        <v>639</v>
      </c>
      <c r="V4">
        <v>0</v>
      </c>
      <c r="W4">
        <v>22500</v>
      </c>
      <c r="X4">
        <v>21861</v>
      </c>
    </row>
    <row r="5" spans="1:24">
      <c r="A5" s="5" t="s">
        <v>22</v>
      </c>
      <c r="B5" s="5" t="s">
        <v>32</v>
      </c>
      <c r="C5" s="5" t="s">
        <v>33</v>
      </c>
      <c r="D5" s="9" t="s">
        <v>147</v>
      </c>
      <c r="E5" s="9">
        <v>9</v>
      </c>
      <c r="F5" s="9">
        <v>4</v>
      </c>
      <c r="G5" s="9" t="s">
        <v>148</v>
      </c>
      <c r="H5" s="9">
        <v>8</v>
      </c>
      <c r="I5" s="9">
        <v>9</v>
      </c>
      <c r="J5" s="9" t="s">
        <v>147</v>
      </c>
      <c r="K5" s="6">
        <f>SUM(E5:I5)</f>
        <v>30</v>
      </c>
      <c r="L5" s="6">
        <f t="shared" si="0"/>
        <v>0</v>
      </c>
      <c r="M5" s="4">
        <f t="shared" si="1"/>
        <v>30</v>
      </c>
      <c r="N5" s="4">
        <f t="shared" ref="N5:N10" si="4">450*5</f>
        <v>2250</v>
      </c>
      <c r="O5" s="4">
        <f t="shared" si="2"/>
        <v>2220</v>
      </c>
      <c r="P5" s="4">
        <f t="shared" si="3"/>
        <v>0.98666666666666669</v>
      </c>
      <c r="Q5" s="6"/>
      <c r="R5" s="6"/>
      <c r="T5" s="14" t="s">
        <v>57</v>
      </c>
      <c r="U5">
        <v>0</v>
      </c>
      <c r="V5">
        <v>450</v>
      </c>
      <c r="W5">
        <v>9000</v>
      </c>
      <c r="X5">
        <v>8550</v>
      </c>
    </row>
    <row r="6" spans="1:24">
      <c r="A6" s="5" t="s">
        <v>26</v>
      </c>
      <c r="B6" s="7" t="s">
        <v>35</v>
      </c>
      <c r="C6" s="34" t="s">
        <v>36</v>
      </c>
      <c r="D6" s="9" t="s">
        <v>147</v>
      </c>
      <c r="E6" s="9">
        <v>450</v>
      </c>
      <c r="F6" s="9" t="s">
        <v>148</v>
      </c>
      <c r="G6" s="9">
        <v>13</v>
      </c>
      <c r="H6" s="9" t="s">
        <v>148</v>
      </c>
      <c r="I6" s="9" t="s">
        <v>148</v>
      </c>
      <c r="J6" s="9" t="s">
        <v>147</v>
      </c>
      <c r="K6" s="6">
        <f>G6</f>
        <v>13</v>
      </c>
      <c r="L6" s="6">
        <f t="shared" si="0"/>
        <v>450</v>
      </c>
      <c r="M6" s="4">
        <f t="shared" si="1"/>
        <v>463</v>
      </c>
      <c r="N6" s="4">
        <f t="shared" si="4"/>
        <v>2250</v>
      </c>
      <c r="O6" s="4">
        <f t="shared" si="2"/>
        <v>1787</v>
      </c>
      <c r="P6" s="4">
        <f t="shared" si="3"/>
        <v>0.79422222222222227</v>
      </c>
      <c r="Q6" s="6"/>
      <c r="R6" s="6"/>
      <c r="T6" s="14" t="s">
        <v>60</v>
      </c>
      <c r="U6">
        <v>60</v>
      </c>
      <c r="V6">
        <v>0</v>
      </c>
      <c r="W6">
        <v>4500</v>
      </c>
      <c r="X6">
        <v>4440</v>
      </c>
    </row>
    <row r="7" spans="1:24">
      <c r="A7" s="5" t="s">
        <v>37</v>
      </c>
      <c r="B7" s="5" t="s">
        <v>39</v>
      </c>
      <c r="C7" s="5" t="s">
        <v>40</v>
      </c>
      <c r="D7" s="9" t="s">
        <v>148</v>
      </c>
      <c r="E7" s="9">
        <v>1</v>
      </c>
      <c r="F7" s="9">
        <v>1</v>
      </c>
      <c r="G7" s="9" t="s">
        <v>148</v>
      </c>
      <c r="H7" s="9" t="s">
        <v>148</v>
      </c>
      <c r="I7" s="9" t="s">
        <v>147</v>
      </c>
      <c r="J7" s="9" t="s">
        <v>147</v>
      </c>
      <c r="K7" s="6">
        <f>SUM(D7:J7)</f>
        <v>2</v>
      </c>
      <c r="L7" s="6">
        <f t="shared" si="0"/>
        <v>0</v>
      </c>
      <c r="M7" s="4">
        <f t="shared" si="1"/>
        <v>2</v>
      </c>
      <c r="N7" s="4">
        <f t="shared" si="4"/>
        <v>2250</v>
      </c>
      <c r="O7" s="4">
        <f t="shared" si="2"/>
        <v>2248</v>
      </c>
      <c r="P7" s="4">
        <f t="shared" si="3"/>
        <v>0.99911111111111106</v>
      </c>
      <c r="Q7" s="6"/>
      <c r="R7" s="6"/>
      <c r="T7" s="14" t="s">
        <v>26</v>
      </c>
      <c r="U7">
        <v>749</v>
      </c>
      <c r="V7">
        <v>1350</v>
      </c>
      <c r="W7">
        <v>80550</v>
      </c>
      <c r="X7">
        <v>78451</v>
      </c>
    </row>
    <row r="8" spans="1:24">
      <c r="A8" s="5" t="s">
        <v>22</v>
      </c>
      <c r="B8" s="5" t="s">
        <v>41</v>
      </c>
      <c r="C8" s="5" t="s">
        <v>33</v>
      </c>
      <c r="D8" s="9" t="s">
        <v>148</v>
      </c>
      <c r="E8" s="9" t="s">
        <v>148</v>
      </c>
      <c r="F8" s="9" t="s">
        <v>148</v>
      </c>
      <c r="G8" s="9">
        <v>2</v>
      </c>
      <c r="H8" s="9" t="s">
        <v>148</v>
      </c>
      <c r="I8" s="9" t="s">
        <v>148</v>
      </c>
      <c r="J8" s="9" t="s">
        <v>147</v>
      </c>
      <c r="K8" s="6">
        <f>SUM(E8:I8)</f>
        <v>2</v>
      </c>
      <c r="L8" s="6">
        <f t="shared" si="0"/>
        <v>0</v>
      </c>
      <c r="M8" s="4">
        <f t="shared" si="1"/>
        <v>2</v>
      </c>
      <c r="N8" s="4">
        <f t="shared" si="4"/>
        <v>2250</v>
      </c>
      <c r="O8" s="4">
        <f t="shared" si="2"/>
        <v>2248</v>
      </c>
      <c r="P8" s="4">
        <f t="shared" si="3"/>
        <v>0.99911111111111106</v>
      </c>
      <c r="Q8" s="6"/>
      <c r="R8" s="6"/>
      <c r="T8" s="14" t="s">
        <v>149</v>
      </c>
      <c r="U8">
        <v>2362</v>
      </c>
      <c r="V8">
        <v>3150</v>
      </c>
      <c r="W8">
        <v>215100</v>
      </c>
      <c r="X8">
        <v>209588</v>
      </c>
    </row>
    <row r="9" spans="1:24">
      <c r="A9" s="5" t="s">
        <v>22</v>
      </c>
      <c r="B9" s="5" t="s">
        <v>42</v>
      </c>
      <c r="C9" s="5" t="s">
        <v>25</v>
      </c>
      <c r="D9" s="9" t="s">
        <v>148</v>
      </c>
      <c r="E9" s="9">
        <v>5</v>
      </c>
      <c r="F9" s="9" t="s">
        <v>148</v>
      </c>
      <c r="G9" s="9" t="s">
        <v>148</v>
      </c>
      <c r="H9" s="9">
        <v>7</v>
      </c>
      <c r="I9" s="9">
        <v>17</v>
      </c>
      <c r="J9" s="9" t="s">
        <v>147</v>
      </c>
      <c r="K9" s="6">
        <f>SUM(D9:I9)</f>
        <v>29</v>
      </c>
      <c r="L9" s="6">
        <f t="shared" si="0"/>
        <v>0</v>
      </c>
      <c r="M9" s="4">
        <f t="shared" si="1"/>
        <v>29</v>
      </c>
      <c r="N9" s="4">
        <f t="shared" si="4"/>
        <v>2250</v>
      </c>
      <c r="O9" s="4">
        <f t="shared" si="2"/>
        <v>2221</v>
      </c>
      <c r="P9" s="4">
        <f t="shared" si="3"/>
        <v>0.98711111111111116</v>
      </c>
      <c r="Q9" s="6"/>
      <c r="R9" s="6"/>
    </row>
    <row r="10" spans="1:24">
      <c r="A10" s="5" t="s">
        <v>22</v>
      </c>
      <c r="B10" s="5" t="s">
        <v>43</v>
      </c>
      <c r="C10" s="5" t="s">
        <v>25</v>
      </c>
      <c r="D10" s="9" t="s">
        <v>148</v>
      </c>
      <c r="E10" s="9" t="s">
        <v>148</v>
      </c>
      <c r="F10" s="9" t="s">
        <v>148</v>
      </c>
      <c r="G10" s="9" t="s">
        <v>148</v>
      </c>
      <c r="H10" s="9" t="s">
        <v>148</v>
      </c>
      <c r="I10" s="9" t="s">
        <v>148</v>
      </c>
      <c r="J10" s="9" t="s">
        <v>147</v>
      </c>
      <c r="K10" s="6">
        <f>SUM(D10:I10)</f>
        <v>0</v>
      </c>
      <c r="L10" s="6">
        <f t="shared" si="0"/>
        <v>0</v>
      </c>
      <c r="M10" s="4">
        <f t="shared" si="1"/>
        <v>0</v>
      </c>
      <c r="N10" s="4">
        <f t="shared" si="4"/>
        <v>2250</v>
      </c>
      <c r="O10" s="4">
        <f t="shared" si="2"/>
        <v>2250</v>
      </c>
      <c r="P10" s="4">
        <f t="shared" si="3"/>
        <v>1</v>
      </c>
      <c r="Q10" s="6"/>
      <c r="R10" s="6"/>
    </row>
    <row r="11" spans="1:24">
      <c r="A11" s="5" t="s">
        <v>37</v>
      </c>
      <c r="B11" s="5" t="s">
        <v>44</v>
      </c>
      <c r="C11" s="5" t="s">
        <v>40</v>
      </c>
      <c r="D11" s="9" t="s">
        <v>147</v>
      </c>
      <c r="E11" s="9" t="s">
        <v>147</v>
      </c>
      <c r="F11" s="9" t="s">
        <v>148</v>
      </c>
      <c r="G11" s="9" t="s">
        <v>148</v>
      </c>
      <c r="H11" s="9" t="s">
        <v>148</v>
      </c>
      <c r="I11" s="9" t="s">
        <v>148</v>
      </c>
      <c r="J11" s="9" t="s">
        <v>148</v>
      </c>
      <c r="K11" s="6">
        <f>SUM(D11:I11)</f>
        <v>0</v>
      </c>
      <c r="L11" s="6">
        <f t="shared" si="0"/>
        <v>0</v>
      </c>
      <c r="M11" s="4">
        <f t="shared" si="1"/>
        <v>0</v>
      </c>
      <c r="N11" s="4">
        <f>450*5</f>
        <v>2250</v>
      </c>
      <c r="O11" s="4">
        <f t="shared" si="2"/>
        <v>2250</v>
      </c>
      <c r="P11" s="4">
        <f t="shared" si="3"/>
        <v>1</v>
      </c>
      <c r="Q11" s="6"/>
      <c r="R11" s="6"/>
      <c r="T11" s="13" t="s">
        <v>142</v>
      </c>
      <c r="U11" t="s">
        <v>146</v>
      </c>
    </row>
    <row r="12" spans="1:24">
      <c r="A12" s="5" t="s">
        <v>26</v>
      </c>
      <c r="B12" s="7" t="s">
        <v>45</v>
      </c>
      <c r="C12" s="34" t="s">
        <v>30</v>
      </c>
      <c r="D12" s="9" t="s">
        <v>148</v>
      </c>
      <c r="E12" s="9" t="s">
        <v>148</v>
      </c>
      <c r="F12" s="9">
        <v>6</v>
      </c>
      <c r="G12" s="9" t="s">
        <v>147</v>
      </c>
      <c r="H12" s="9" t="s">
        <v>147</v>
      </c>
      <c r="I12" s="9" t="s">
        <v>148</v>
      </c>
      <c r="J12" s="9" t="s">
        <v>148</v>
      </c>
      <c r="K12" s="6">
        <f t="shared" ref="K12:K16" si="5">SUM(D12:J12)</f>
        <v>6</v>
      </c>
      <c r="L12" s="6">
        <f t="shared" si="0"/>
        <v>0</v>
      </c>
      <c r="M12" s="4">
        <f t="shared" si="1"/>
        <v>6</v>
      </c>
      <c r="N12" s="4">
        <f>450*5</f>
        <v>2250</v>
      </c>
      <c r="O12" s="4">
        <f t="shared" si="2"/>
        <v>2244</v>
      </c>
      <c r="P12" s="4">
        <f t="shared" si="3"/>
        <v>0.99733333333333329</v>
      </c>
      <c r="Q12" s="6"/>
      <c r="R12" s="6"/>
      <c r="T12" s="14" t="s">
        <v>26</v>
      </c>
      <c r="U12">
        <v>78451</v>
      </c>
    </row>
    <row r="13" spans="1:24">
      <c r="A13" s="5" t="s">
        <v>26</v>
      </c>
      <c r="B13" s="7" t="s">
        <v>47</v>
      </c>
      <c r="C13" s="34" t="s">
        <v>33</v>
      </c>
      <c r="D13" s="9" t="s">
        <v>147</v>
      </c>
      <c r="E13" s="9">
        <v>450</v>
      </c>
      <c r="F13" s="9" t="s">
        <v>148</v>
      </c>
      <c r="G13" s="9" t="s">
        <v>148</v>
      </c>
      <c r="H13" s="9" t="s">
        <v>148</v>
      </c>
      <c r="I13" s="9" t="s">
        <v>148</v>
      </c>
      <c r="J13" s="9" t="s">
        <v>147</v>
      </c>
      <c r="K13" s="6"/>
      <c r="L13" s="6">
        <f t="shared" si="0"/>
        <v>450</v>
      </c>
      <c r="M13" s="4">
        <f t="shared" si="1"/>
        <v>450</v>
      </c>
      <c r="N13" s="4">
        <f t="shared" ref="N13:N16" si="6">450*5</f>
        <v>2250</v>
      </c>
      <c r="O13" s="4">
        <f t="shared" si="2"/>
        <v>1800</v>
      </c>
      <c r="P13" s="4">
        <f t="shared" si="3"/>
        <v>0.8</v>
      </c>
      <c r="Q13" s="6"/>
      <c r="R13" s="6"/>
      <c r="T13" s="24" t="s">
        <v>28</v>
      </c>
      <c r="U13">
        <v>2229</v>
      </c>
    </row>
    <row r="14" spans="1:24">
      <c r="A14" s="5" t="s">
        <v>26</v>
      </c>
      <c r="B14" s="7" t="s">
        <v>48</v>
      </c>
      <c r="C14" s="34" t="s">
        <v>33</v>
      </c>
      <c r="D14" s="9" t="s">
        <v>147</v>
      </c>
      <c r="E14" s="9" t="s">
        <v>148</v>
      </c>
      <c r="F14" s="9" t="s">
        <v>148</v>
      </c>
      <c r="G14" s="9" t="s">
        <v>148</v>
      </c>
      <c r="H14" s="9" t="s">
        <v>148</v>
      </c>
      <c r="I14" s="9" t="s">
        <v>148</v>
      </c>
      <c r="J14" s="9" t="s">
        <v>147</v>
      </c>
      <c r="K14" s="6">
        <f t="shared" si="5"/>
        <v>0</v>
      </c>
      <c r="L14" s="6">
        <f t="shared" si="0"/>
        <v>0</v>
      </c>
      <c r="M14" s="4">
        <f t="shared" si="1"/>
        <v>0</v>
      </c>
      <c r="N14" s="4">
        <f t="shared" si="6"/>
        <v>2250</v>
      </c>
      <c r="O14" s="4">
        <f t="shared" si="2"/>
        <v>2250</v>
      </c>
      <c r="P14" s="4">
        <f t="shared" si="3"/>
        <v>1</v>
      </c>
      <c r="Q14" s="6"/>
      <c r="R14" s="6">
        <v>1</v>
      </c>
      <c r="T14" s="24" t="s">
        <v>29</v>
      </c>
      <c r="U14">
        <v>2221</v>
      </c>
    </row>
    <row r="15" spans="1:24">
      <c r="A15" s="5" t="s">
        <v>26</v>
      </c>
      <c r="B15" s="7" t="s">
        <v>49</v>
      </c>
      <c r="C15" s="34" t="s">
        <v>50</v>
      </c>
      <c r="D15" s="9" t="s">
        <v>147</v>
      </c>
      <c r="E15" s="9" t="s">
        <v>148</v>
      </c>
      <c r="F15" s="9" t="s">
        <v>148</v>
      </c>
      <c r="G15" s="9">
        <v>3</v>
      </c>
      <c r="H15" s="9" t="s">
        <v>148</v>
      </c>
      <c r="I15" s="9" t="s">
        <v>148</v>
      </c>
      <c r="J15" s="9" t="s">
        <v>147</v>
      </c>
      <c r="K15" s="6">
        <f t="shared" si="5"/>
        <v>3</v>
      </c>
      <c r="L15" s="6">
        <f t="shared" si="0"/>
        <v>0</v>
      </c>
      <c r="M15" s="4">
        <f t="shared" si="1"/>
        <v>3</v>
      </c>
      <c r="N15" s="4">
        <f t="shared" si="6"/>
        <v>2250</v>
      </c>
      <c r="O15" s="4">
        <f t="shared" si="2"/>
        <v>2247</v>
      </c>
      <c r="P15" s="4">
        <f t="shared" si="3"/>
        <v>0.9986666666666667</v>
      </c>
      <c r="Q15" s="6"/>
      <c r="R15" s="6"/>
      <c r="T15" s="24" t="s">
        <v>35</v>
      </c>
      <c r="U15">
        <v>1787</v>
      </c>
    </row>
    <row r="16" spans="1:24">
      <c r="A16" s="5" t="s">
        <v>26</v>
      </c>
      <c r="B16" s="7" t="s">
        <v>51</v>
      </c>
      <c r="C16" s="34" t="s">
        <v>25</v>
      </c>
      <c r="D16" s="9" t="s">
        <v>147</v>
      </c>
      <c r="E16" s="9">
        <v>5</v>
      </c>
      <c r="F16" s="9" t="s">
        <v>148</v>
      </c>
      <c r="G16" s="9" t="s">
        <v>148</v>
      </c>
      <c r="H16" s="9" t="s">
        <v>148</v>
      </c>
      <c r="I16" s="9" t="s">
        <v>148</v>
      </c>
      <c r="J16" s="9" t="s">
        <v>147</v>
      </c>
      <c r="K16" s="6">
        <f t="shared" si="5"/>
        <v>5</v>
      </c>
      <c r="L16" s="6">
        <f t="shared" si="0"/>
        <v>0</v>
      </c>
      <c r="M16" s="4">
        <f t="shared" si="1"/>
        <v>5</v>
      </c>
      <c r="N16" s="4">
        <f t="shared" si="6"/>
        <v>2250</v>
      </c>
      <c r="O16" s="4">
        <f t="shared" si="2"/>
        <v>2245</v>
      </c>
      <c r="P16" s="4">
        <f t="shared" si="3"/>
        <v>0.99777777777777776</v>
      </c>
      <c r="Q16" s="6"/>
      <c r="R16" s="6"/>
      <c r="T16" s="24" t="s">
        <v>45</v>
      </c>
      <c r="U16">
        <v>2244</v>
      </c>
    </row>
    <row r="17" spans="1:21">
      <c r="A17" s="5" t="s">
        <v>37</v>
      </c>
      <c r="B17" s="5" t="s">
        <v>52</v>
      </c>
      <c r="C17" s="5" t="s">
        <v>40</v>
      </c>
      <c r="D17" s="9">
        <v>5</v>
      </c>
      <c r="E17" s="9" t="s">
        <v>148</v>
      </c>
      <c r="F17" s="9" t="s">
        <v>148</v>
      </c>
      <c r="G17" s="9" t="s">
        <v>148</v>
      </c>
      <c r="H17" s="9" t="s">
        <v>148</v>
      </c>
      <c r="I17" s="9" t="s">
        <v>147</v>
      </c>
      <c r="J17" s="9" t="s">
        <v>147</v>
      </c>
      <c r="K17" s="6">
        <f>SUM(D17:J17)</f>
        <v>5</v>
      </c>
      <c r="L17" s="6">
        <f t="shared" si="0"/>
        <v>0</v>
      </c>
      <c r="M17" s="4">
        <f t="shared" si="1"/>
        <v>5</v>
      </c>
      <c r="N17" s="4">
        <f>450*5</f>
        <v>2250</v>
      </c>
      <c r="O17" s="4">
        <f t="shared" si="2"/>
        <v>2245</v>
      </c>
      <c r="P17" s="4">
        <f t="shared" si="3"/>
        <v>0.99777777777777776</v>
      </c>
      <c r="Q17" s="6"/>
      <c r="R17" s="6"/>
      <c r="T17" s="24" t="s">
        <v>47</v>
      </c>
      <c r="U17">
        <v>1800</v>
      </c>
    </row>
    <row r="18" spans="1:21">
      <c r="A18" s="5" t="s">
        <v>26</v>
      </c>
      <c r="B18" s="7" t="s">
        <v>53</v>
      </c>
      <c r="C18" s="34" t="s">
        <v>25</v>
      </c>
      <c r="D18" s="9" t="s">
        <v>147</v>
      </c>
      <c r="E18" s="9" t="s">
        <v>148</v>
      </c>
      <c r="F18" s="9" t="s">
        <v>148</v>
      </c>
      <c r="G18" s="9">
        <v>8</v>
      </c>
      <c r="H18" s="9">
        <v>6</v>
      </c>
      <c r="I18" s="9" t="s">
        <v>148</v>
      </c>
      <c r="J18" s="9" t="s">
        <v>147</v>
      </c>
      <c r="K18" s="6">
        <f t="shared" ref="K18:K19" si="7">SUM(D18:J18)</f>
        <v>14</v>
      </c>
      <c r="L18" s="6">
        <f t="shared" si="0"/>
        <v>0</v>
      </c>
      <c r="M18" s="4">
        <f t="shared" si="1"/>
        <v>14</v>
      </c>
      <c r="N18" s="4">
        <f>450*5</f>
        <v>2250</v>
      </c>
      <c r="O18" s="4">
        <f t="shared" si="2"/>
        <v>2236</v>
      </c>
      <c r="P18" s="4">
        <f t="shared" si="3"/>
        <v>0.99377777777777776</v>
      </c>
      <c r="Q18" s="6"/>
      <c r="R18" s="6"/>
      <c r="T18" s="24" t="s">
        <v>48</v>
      </c>
      <c r="U18">
        <v>2250</v>
      </c>
    </row>
    <row r="19" spans="1:21">
      <c r="A19" s="5" t="s">
        <v>26</v>
      </c>
      <c r="B19" s="5" t="s">
        <v>34</v>
      </c>
      <c r="C19" s="5" t="s">
        <v>40</v>
      </c>
      <c r="D19" s="9" t="s">
        <v>147</v>
      </c>
      <c r="E19" s="9" t="s">
        <v>148</v>
      </c>
      <c r="F19" s="9" t="s">
        <v>148</v>
      </c>
      <c r="G19" s="9" t="s">
        <v>147</v>
      </c>
      <c r="H19" s="9" t="s">
        <v>147</v>
      </c>
      <c r="I19" s="9" t="s">
        <v>148</v>
      </c>
      <c r="J19" s="9" t="s">
        <v>148</v>
      </c>
      <c r="K19" s="6">
        <f t="shared" si="7"/>
        <v>0</v>
      </c>
      <c r="L19" s="6">
        <f t="shared" si="0"/>
        <v>0</v>
      </c>
      <c r="M19" s="4">
        <f t="shared" si="1"/>
        <v>0</v>
      </c>
      <c r="N19" s="4">
        <f>450*4</f>
        <v>1800</v>
      </c>
      <c r="O19" s="4">
        <f t="shared" si="2"/>
        <v>1800</v>
      </c>
      <c r="P19" s="4">
        <f t="shared" si="3"/>
        <v>1</v>
      </c>
      <c r="Q19" s="6">
        <v>2</v>
      </c>
      <c r="R19" s="6"/>
      <c r="T19" s="24" t="s">
        <v>49</v>
      </c>
      <c r="U19">
        <v>2247</v>
      </c>
    </row>
    <row r="20" spans="1:21">
      <c r="A20" s="5" t="s">
        <v>22</v>
      </c>
      <c r="B20" s="5" t="s">
        <v>55</v>
      </c>
      <c r="C20" s="5" t="s">
        <v>56</v>
      </c>
      <c r="D20" s="9" t="s">
        <v>148</v>
      </c>
      <c r="E20" s="9" t="s">
        <v>148</v>
      </c>
      <c r="F20" s="9" t="s">
        <v>148</v>
      </c>
      <c r="G20" s="9" t="s">
        <v>148</v>
      </c>
      <c r="H20" s="9" t="s">
        <v>148</v>
      </c>
      <c r="I20" s="9" t="s">
        <v>148</v>
      </c>
      <c r="J20" s="9" t="s">
        <v>147</v>
      </c>
      <c r="K20" s="6">
        <f>SUM(D20:I20)</f>
        <v>0</v>
      </c>
      <c r="L20" s="6">
        <f t="shared" si="0"/>
        <v>0</v>
      </c>
      <c r="M20" s="4">
        <f t="shared" si="1"/>
        <v>0</v>
      </c>
      <c r="N20" s="4">
        <f>450*5</f>
        <v>2250</v>
      </c>
      <c r="O20" s="4">
        <f t="shared" si="2"/>
        <v>2250</v>
      </c>
      <c r="P20" s="4">
        <f t="shared" si="3"/>
        <v>1</v>
      </c>
      <c r="Q20" s="6">
        <v>1</v>
      </c>
      <c r="R20" s="6"/>
      <c r="T20" s="24" t="s">
        <v>51</v>
      </c>
      <c r="U20">
        <v>2245</v>
      </c>
    </row>
    <row r="21" spans="1:21">
      <c r="A21" s="5" t="s">
        <v>60</v>
      </c>
      <c r="B21" s="5" t="s">
        <v>59</v>
      </c>
      <c r="C21" s="5" t="s">
        <v>40</v>
      </c>
      <c r="D21" s="9" t="s">
        <v>147</v>
      </c>
      <c r="E21" s="9">
        <v>12</v>
      </c>
      <c r="F21" s="9" t="s">
        <v>148</v>
      </c>
      <c r="G21" s="9" t="s">
        <v>148</v>
      </c>
      <c r="H21" s="9" t="s">
        <v>148</v>
      </c>
      <c r="I21" s="9" t="s">
        <v>148</v>
      </c>
      <c r="J21" s="9" t="s">
        <v>147</v>
      </c>
      <c r="K21" s="6">
        <f>SUM(E21:I21)</f>
        <v>12</v>
      </c>
      <c r="L21" s="6">
        <f t="shared" si="0"/>
        <v>0</v>
      </c>
      <c r="M21" s="4">
        <f t="shared" si="1"/>
        <v>12</v>
      </c>
      <c r="N21" s="4">
        <f>450*5</f>
        <v>2250</v>
      </c>
      <c r="O21" s="4">
        <f t="shared" si="2"/>
        <v>2238</v>
      </c>
      <c r="P21" s="4">
        <f t="shared" si="3"/>
        <v>0.9946666666666667</v>
      </c>
      <c r="Q21" s="6"/>
      <c r="R21" s="6"/>
      <c r="T21" s="24" t="s">
        <v>53</v>
      </c>
      <c r="U21">
        <v>2236</v>
      </c>
    </row>
    <row r="22" spans="1:21">
      <c r="A22" s="5" t="s">
        <v>22</v>
      </c>
      <c r="B22" s="5" t="s">
        <v>62</v>
      </c>
      <c r="C22" s="5" t="s">
        <v>63</v>
      </c>
      <c r="D22" s="9" t="s">
        <v>148</v>
      </c>
      <c r="E22" s="9">
        <v>26</v>
      </c>
      <c r="F22" s="9">
        <v>13</v>
      </c>
      <c r="G22" s="9">
        <v>143</v>
      </c>
      <c r="H22" s="9">
        <v>11</v>
      </c>
      <c r="I22" s="9" t="s">
        <v>148</v>
      </c>
      <c r="J22" s="9" t="s">
        <v>147</v>
      </c>
      <c r="K22" s="6">
        <f>SUM(D22:I22)</f>
        <v>193</v>
      </c>
      <c r="L22" s="6">
        <f t="shared" si="0"/>
        <v>0</v>
      </c>
      <c r="M22" s="4">
        <f t="shared" si="1"/>
        <v>193</v>
      </c>
      <c r="N22" s="4">
        <f>450*5</f>
        <v>2250</v>
      </c>
      <c r="O22" s="4">
        <f t="shared" si="2"/>
        <v>2057</v>
      </c>
      <c r="P22" s="4">
        <f t="shared" si="3"/>
        <v>0.91422222222222227</v>
      </c>
      <c r="Q22" s="6"/>
      <c r="R22" s="6"/>
      <c r="T22" s="24" t="s">
        <v>34</v>
      </c>
      <c r="U22">
        <v>1800</v>
      </c>
    </row>
    <row r="23" spans="1:21">
      <c r="A23" s="5" t="s">
        <v>22</v>
      </c>
      <c r="B23" s="5" t="s">
        <v>64</v>
      </c>
      <c r="C23" s="5" t="s">
        <v>63</v>
      </c>
      <c r="D23" s="9" t="s">
        <v>147</v>
      </c>
      <c r="E23" s="9" t="s">
        <v>148</v>
      </c>
      <c r="F23" s="9" t="s">
        <v>148</v>
      </c>
      <c r="G23" s="9" t="s">
        <v>148</v>
      </c>
      <c r="H23" s="9" t="s">
        <v>148</v>
      </c>
      <c r="I23" s="9" t="s">
        <v>148</v>
      </c>
      <c r="J23" s="9" t="s">
        <v>147</v>
      </c>
      <c r="K23" s="6">
        <f>SUM(D23:I23)</f>
        <v>0</v>
      </c>
      <c r="L23" s="6">
        <f t="shared" si="0"/>
        <v>0</v>
      </c>
      <c r="M23" s="4">
        <f t="shared" si="1"/>
        <v>0</v>
      </c>
      <c r="N23" s="4">
        <f t="shared" ref="N23:N24" si="8">450*5</f>
        <v>2250</v>
      </c>
      <c r="O23" s="4">
        <f t="shared" si="2"/>
        <v>2250</v>
      </c>
      <c r="P23" s="4">
        <f t="shared" si="3"/>
        <v>1</v>
      </c>
      <c r="Q23" s="6"/>
      <c r="R23" s="6"/>
      <c r="T23" s="24" t="s">
        <v>65</v>
      </c>
      <c r="U23">
        <v>2250</v>
      </c>
    </row>
    <row r="24" spans="1:21">
      <c r="A24" s="5" t="s">
        <v>26</v>
      </c>
      <c r="B24" s="7" t="s">
        <v>65</v>
      </c>
      <c r="C24" s="34" t="s">
        <v>56</v>
      </c>
      <c r="D24" s="9" t="s">
        <v>147</v>
      </c>
      <c r="E24" s="9" t="s">
        <v>148</v>
      </c>
      <c r="F24" s="9" t="s">
        <v>148</v>
      </c>
      <c r="G24" s="9" t="s">
        <v>148</v>
      </c>
      <c r="H24" s="9" t="s">
        <v>148</v>
      </c>
      <c r="I24" s="9" t="s">
        <v>148</v>
      </c>
      <c r="J24" s="9" t="s">
        <v>147</v>
      </c>
      <c r="K24" s="6">
        <f>SUM(D24:J24)</f>
        <v>0</v>
      </c>
      <c r="L24" s="6">
        <f t="shared" si="0"/>
        <v>0</v>
      </c>
      <c r="M24" s="4">
        <f t="shared" si="1"/>
        <v>0</v>
      </c>
      <c r="N24" s="4">
        <f t="shared" si="8"/>
        <v>2250</v>
      </c>
      <c r="O24" s="4">
        <f t="shared" si="2"/>
        <v>2250</v>
      </c>
      <c r="P24" s="4">
        <f t="shared" si="3"/>
        <v>1</v>
      </c>
      <c r="Q24" s="6"/>
      <c r="R24" s="6"/>
      <c r="T24" s="24" t="s">
        <v>68</v>
      </c>
      <c r="U24">
        <v>2216</v>
      </c>
    </row>
    <row r="25" spans="1:21">
      <c r="A25" s="5" t="s">
        <v>22</v>
      </c>
      <c r="B25" s="5" t="s">
        <v>67</v>
      </c>
      <c r="C25" s="5" t="s">
        <v>30</v>
      </c>
      <c r="D25" s="9" t="s">
        <v>148</v>
      </c>
      <c r="E25" s="9" t="s">
        <v>148</v>
      </c>
      <c r="F25" s="9" t="s">
        <v>148</v>
      </c>
      <c r="G25" s="9" t="s">
        <v>148</v>
      </c>
      <c r="H25" s="9" t="s">
        <v>148</v>
      </c>
      <c r="I25" s="9" t="s">
        <v>148</v>
      </c>
      <c r="J25" s="9" t="s">
        <v>147</v>
      </c>
      <c r="K25" s="6">
        <f>SUM(D25:J25)</f>
        <v>0</v>
      </c>
      <c r="L25" s="6">
        <f t="shared" si="0"/>
        <v>0</v>
      </c>
      <c r="M25" s="4">
        <f t="shared" si="1"/>
        <v>0</v>
      </c>
      <c r="N25" s="4">
        <f>450*5</f>
        <v>2250</v>
      </c>
      <c r="O25" s="4">
        <f t="shared" si="2"/>
        <v>2250</v>
      </c>
      <c r="P25" s="4">
        <f t="shared" si="3"/>
        <v>1</v>
      </c>
      <c r="Q25" s="6"/>
      <c r="R25" s="6"/>
      <c r="T25" s="24" t="s">
        <v>71</v>
      </c>
      <c r="U25">
        <v>2250</v>
      </c>
    </row>
    <row r="26" spans="1:21">
      <c r="A26" s="5" t="s">
        <v>26</v>
      </c>
      <c r="B26" s="7" t="s">
        <v>68</v>
      </c>
      <c r="C26" s="34" t="s">
        <v>40</v>
      </c>
      <c r="D26" s="9" t="s">
        <v>147</v>
      </c>
      <c r="E26" s="9" t="s">
        <v>148</v>
      </c>
      <c r="F26" s="9" t="s">
        <v>148</v>
      </c>
      <c r="G26" s="9" t="s">
        <v>148</v>
      </c>
      <c r="H26" s="9">
        <v>34</v>
      </c>
      <c r="I26" s="9" t="s">
        <v>148</v>
      </c>
      <c r="J26" s="9" t="s">
        <v>147</v>
      </c>
      <c r="K26" s="6">
        <f>SUM(D26:J26)</f>
        <v>34</v>
      </c>
      <c r="L26" s="6">
        <f t="shared" si="0"/>
        <v>0</v>
      </c>
      <c r="M26" s="4">
        <f t="shared" si="1"/>
        <v>34</v>
      </c>
      <c r="N26" s="4">
        <f t="shared" ref="N26:N27" si="9">450*5</f>
        <v>2250</v>
      </c>
      <c r="O26" s="4">
        <f t="shared" si="2"/>
        <v>2216</v>
      </c>
      <c r="P26" s="4">
        <f t="shared" si="3"/>
        <v>0.98488888888888892</v>
      </c>
      <c r="Q26" s="6">
        <v>2</v>
      </c>
      <c r="R26" s="6"/>
      <c r="T26" s="24" t="s">
        <v>73</v>
      </c>
      <c r="U26">
        <v>2231</v>
      </c>
    </row>
    <row r="27" spans="1:21">
      <c r="A27" s="5" t="s">
        <v>22</v>
      </c>
      <c r="B27" s="5" t="s">
        <v>69</v>
      </c>
      <c r="C27" s="5" t="s">
        <v>30</v>
      </c>
      <c r="D27" s="9" t="s">
        <v>147</v>
      </c>
      <c r="E27" s="9">
        <v>450</v>
      </c>
      <c r="F27" s="9">
        <v>8</v>
      </c>
      <c r="G27" s="9" t="s">
        <v>148</v>
      </c>
      <c r="H27" s="9">
        <v>3</v>
      </c>
      <c r="I27" s="9" t="s">
        <v>148</v>
      </c>
      <c r="J27" s="9" t="s">
        <v>147</v>
      </c>
      <c r="K27" s="6">
        <f>F27+H27</f>
        <v>11</v>
      </c>
      <c r="L27" s="6">
        <f t="shared" si="0"/>
        <v>450</v>
      </c>
      <c r="M27" s="4">
        <f t="shared" si="1"/>
        <v>461</v>
      </c>
      <c r="N27" s="4">
        <f t="shared" si="9"/>
        <v>2250</v>
      </c>
      <c r="O27" s="4">
        <f t="shared" si="2"/>
        <v>1789</v>
      </c>
      <c r="P27" s="4">
        <f t="shared" si="3"/>
        <v>0.7951111111111111</v>
      </c>
      <c r="Q27" s="6"/>
      <c r="R27" s="6"/>
      <c r="T27" s="24" t="s">
        <v>75</v>
      </c>
      <c r="U27">
        <v>2247</v>
      </c>
    </row>
    <row r="28" spans="1:21">
      <c r="A28" s="5" t="s">
        <v>22</v>
      </c>
      <c r="B28" s="5" t="s">
        <v>70</v>
      </c>
      <c r="C28" s="5" t="s">
        <v>63</v>
      </c>
      <c r="D28" s="9" t="s">
        <v>148</v>
      </c>
      <c r="E28" s="9" t="s">
        <v>148</v>
      </c>
      <c r="F28" s="9" t="s">
        <v>148</v>
      </c>
      <c r="G28" s="9">
        <v>9</v>
      </c>
      <c r="H28" s="9" t="s">
        <v>148</v>
      </c>
      <c r="I28" s="9" t="s">
        <v>148</v>
      </c>
      <c r="J28" s="9" t="s">
        <v>147</v>
      </c>
      <c r="K28" s="6">
        <f>SUM(D28:I28)</f>
        <v>9</v>
      </c>
      <c r="L28" s="6">
        <f t="shared" si="0"/>
        <v>0</v>
      </c>
      <c r="M28" s="4">
        <f t="shared" si="1"/>
        <v>9</v>
      </c>
      <c r="N28" s="4">
        <f>450*5</f>
        <v>2250</v>
      </c>
      <c r="O28" s="4">
        <f t="shared" si="2"/>
        <v>2241</v>
      </c>
      <c r="P28" s="4">
        <f t="shared" si="3"/>
        <v>0.996</v>
      </c>
      <c r="Q28" s="6"/>
      <c r="R28" s="6"/>
      <c r="T28" s="24" t="s">
        <v>78</v>
      </c>
      <c r="U28">
        <v>2250</v>
      </c>
    </row>
    <row r="29" spans="1:21">
      <c r="A29" s="5" t="s">
        <v>26</v>
      </c>
      <c r="B29" s="7" t="s">
        <v>71</v>
      </c>
      <c r="C29" s="34" t="s">
        <v>25</v>
      </c>
      <c r="D29" s="9" t="s">
        <v>147</v>
      </c>
      <c r="E29" s="9" t="s">
        <v>148</v>
      </c>
      <c r="F29" s="9" t="s">
        <v>148</v>
      </c>
      <c r="G29" s="9" t="s">
        <v>148</v>
      </c>
      <c r="H29" s="9" t="s">
        <v>148</v>
      </c>
      <c r="I29" s="9" t="s">
        <v>148</v>
      </c>
      <c r="J29" s="9" t="s">
        <v>147</v>
      </c>
      <c r="K29" s="6">
        <f>SUM(D29:J29)</f>
        <v>0</v>
      </c>
      <c r="L29" s="6">
        <f t="shared" si="0"/>
        <v>0</v>
      </c>
      <c r="M29" s="4">
        <f t="shared" si="1"/>
        <v>0</v>
      </c>
      <c r="N29" s="4">
        <f>450*5</f>
        <v>2250</v>
      </c>
      <c r="O29" s="4">
        <f t="shared" si="2"/>
        <v>2250</v>
      </c>
      <c r="P29" s="4">
        <f t="shared" si="3"/>
        <v>1</v>
      </c>
      <c r="Q29" s="6"/>
      <c r="R29" s="6"/>
      <c r="T29" s="24" t="s">
        <v>80</v>
      </c>
      <c r="U29">
        <v>2250</v>
      </c>
    </row>
    <row r="30" spans="1:21">
      <c r="A30" s="5" t="s">
        <v>22</v>
      </c>
      <c r="B30" s="5" t="s">
        <v>72</v>
      </c>
      <c r="C30" s="5" t="s">
        <v>30</v>
      </c>
      <c r="D30" s="9" t="s">
        <v>148</v>
      </c>
      <c r="E30" s="9">
        <v>4</v>
      </c>
      <c r="F30" s="9" t="s">
        <v>148</v>
      </c>
      <c r="G30" s="9" t="s">
        <v>148</v>
      </c>
      <c r="H30" s="9">
        <v>5</v>
      </c>
      <c r="I30" s="9" t="s">
        <v>148</v>
      </c>
      <c r="J30" s="9" t="s">
        <v>147</v>
      </c>
      <c r="K30" s="6">
        <f>SUM(D30:J30)</f>
        <v>9</v>
      </c>
      <c r="L30" s="6">
        <f t="shared" si="0"/>
        <v>0</v>
      </c>
      <c r="M30" s="4">
        <f t="shared" si="1"/>
        <v>9</v>
      </c>
      <c r="N30" s="4">
        <f>450*5</f>
        <v>2250</v>
      </c>
      <c r="O30" s="4">
        <f t="shared" si="2"/>
        <v>2241</v>
      </c>
      <c r="P30" s="4">
        <f t="shared" si="3"/>
        <v>0.996</v>
      </c>
      <c r="Q30" s="6"/>
      <c r="R30" s="6"/>
      <c r="T30" s="24" t="s">
        <v>81</v>
      </c>
      <c r="U30">
        <v>2250</v>
      </c>
    </row>
    <row r="31" spans="1:21">
      <c r="A31" s="5" t="s">
        <v>26</v>
      </c>
      <c r="B31" s="7" t="s">
        <v>73</v>
      </c>
      <c r="C31" s="34" t="s">
        <v>25</v>
      </c>
      <c r="D31" s="9" t="s">
        <v>147</v>
      </c>
      <c r="E31" s="9">
        <v>6</v>
      </c>
      <c r="F31" s="9" t="s">
        <v>148</v>
      </c>
      <c r="G31" s="9" t="s">
        <v>148</v>
      </c>
      <c r="H31" s="9" t="s">
        <v>148</v>
      </c>
      <c r="I31" s="9">
        <v>13</v>
      </c>
      <c r="J31" s="9" t="s">
        <v>147</v>
      </c>
      <c r="K31" s="6">
        <f>SUM(D31:J31)</f>
        <v>19</v>
      </c>
      <c r="L31" s="6">
        <f t="shared" si="0"/>
        <v>0</v>
      </c>
      <c r="M31" s="4">
        <f t="shared" si="1"/>
        <v>19</v>
      </c>
      <c r="N31" s="4">
        <f t="shared" ref="N31:N32" si="10">450*5</f>
        <v>2250</v>
      </c>
      <c r="O31" s="4">
        <f t="shared" si="2"/>
        <v>2231</v>
      </c>
      <c r="P31" s="4">
        <f t="shared" si="3"/>
        <v>0.99155555555555552</v>
      </c>
      <c r="Q31" s="6"/>
      <c r="R31" s="6"/>
      <c r="T31" s="24" t="s">
        <v>86</v>
      </c>
      <c r="U31">
        <v>2250</v>
      </c>
    </row>
    <row r="32" spans="1:21">
      <c r="A32" s="5" t="s">
        <v>57</v>
      </c>
      <c r="B32" s="5" t="s">
        <v>58</v>
      </c>
      <c r="C32" s="5" t="s">
        <v>40</v>
      </c>
      <c r="D32" s="9" t="s">
        <v>147</v>
      </c>
      <c r="E32" s="9" t="s">
        <v>148</v>
      </c>
      <c r="F32" s="9" t="s">
        <v>148</v>
      </c>
      <c r="G32" s="9" t="s">
        <v>148</v>
      </c>
      <c r="H32" s="9" t="s">
        <v>148</v>
      </c>
      <c r="I32" s="9" t="s">
        <v>148</v>
      </c>
      <c r="J32" s="9" t="s">
        <v>147</v>
      </c>
      <c r="K32" s="6">
        <f>SUM(E32:I32)</f>
        <v>0</v>
      </c>
      <c r="L32" s="6">
        <f t="shared" si="0"/>
        <v>0</v>
      </c>
      <c r="M32" s="4">
        <f t="shared" si="1"/>
        <v>0</v>
      </c>
      <c r="N32" s="4">
        <f t="shared" si="10"/>
        <v>2250</v>
      </c>
      <c r="O32" s="4">
        <f t="shared" si="2"/>
        <v>2250</v>
      </c>
      <c r="P32" s="4">
        <f t="shared" si="3"/>
        <v>1</v>
      </c>
      <c r="Q32" s="6"/>
      <c r="R32" s="6"/>
      <c r="T32" s="24" t="s">
        <v>87</v>
      </c>
      <c r="U32">
        <v>2250</v>
      </c>
    </row>
    <row r="33" spans="1:21">
      <c r="A33" s="5" t="s">
        <v>37</v>
      </c>
      <c r="B33" s="5" t="s">
        <v>74</v>
      </c>
      <c r="C33" s="5" t="s">
        <v>40</v>
      </c>
      <c r="D33" s="9">
        <v>7</v>
      </c>
      <c r="E33" s="9">
        <v>5</v>
      </c>
      <c r="F33" s="9" t="s">
        <v>147</v>
      </c>
      <c r="G33" s="9" t="s">
        <v>147</v>
      </c>
      <c r="H33" s="9" t="s">
        <v>148</v>
      </c>
      <c r="I33" s="9">
        <v>13</v>
      </c>
      <c r="J33" s="9" t="s">
        <v>148</v>
      </c>
      <c r="K33" s="6">
        <f>SUM(D33:J33)</f>
        <v>25</v>
      </c>
      <c r="L33" s="6">
        <f t="shared" si="0"/>
        <v>0</v>
      </c>
      <c r="M33" s="4">
        <f t="shared" si="1"/>
        <v>25</v>
      </c>
      <c r="N33" s="4">
        <f>450*5</f>
        <v>2250</v>
      </c>
      <c r="O33" s="4">
        <f t="shared" si="2"/>
        <v>2225</v>
      </c>
      <c r="P33" s="4">
        <f t="shared" si="3"/>
        <v>0.98888888888888893</v>
      </c>
      <c r="Q33" s="6"/>
      <c r="R33" s="6"/>
      <c r="T33" s="24" t="s">
        <v>89</v>
      </c>
      <c r="U33">
        <v>2244</v>
      </c>
    </row>
    <row r="34" spans="1:21">
      <c r="A34" s="5" t="s">
        <v>26</v>
      </c>
      <c r="B34" s="7" t="s">
        <v>75</v>
      </c>
      <c r="C34" s="34" t="s">
        <v>40</v>
      </c>
      <c r="D34" s="9" t="s">
        <v>148</v>
      </c>
      <c r="E34" s="9" t="s">
        <v>148</v>
      </c>
      <c r="F34" s="9">
        <v>3</v>
      </c>
      <c r="G34" s="9" t="s">
        <v>147</v>
      </c>
      <c r="H34" s="9" t="s">
        <v>147</v>
      </c>
      <c r="I34" s="9" t="s">
        <v>148</v>
      </c>
      <c r="J34" s="9" t="s">
        <v>148</v>
      </c>
      <c r="K34" s="6">
        <f>SUM(D34:J34)</f>
        <v>3</v>
      </c>
      <c r="L34" s="6">
        <f t="shared" si="0"/>
        <v>0</v>
      </c>
      <c r="M34" s="4">
        <f t="shared" si="1"/>
        <v>3</v>
      </c>
      <c r="N34" s="4">
        <f t="shared" ref="N34:N35" si="11">450*5</f>
        <v>2250</v>
      </c>
      <c r="O34" s="4">
        <f t="shared" si="2"/>
        <v>2247</v>
      </c>
      <c r="P34" s="4">
        <f t="shared" si="3"/>
        <v>0.9986666666666667</v>
      </c>
      <c r="Q34" s="6">
        <v>1</v>
      </c>
      <c r="R34" s="6"/>
      <c r="T34" s="24" t="s">
        <v>93</v>
      </c>
      <c r="U34">
        <v>2250</v>
      </c>
    </row>
    <row r="35" spans="1:21">
      <c r="A35" s="5" t="s">
        <v>37</v>
      </c>
      <c r="B35" s="5" t="s">
        <v>76</v>
      </c>
      <c r="C35" s="5" t="s">
        <v>40</v>
      </c>
      <c r="D35" s="9" t="s">
        <v>148</v>
      </c>
      <c r="E35" s="9" t="s">
        <v>148</v>
      </c>
      <c r="F35" s="9" t="s">
        <v>148</v>
      </c>
      <c r="G35" s="9" t="s">
        <v>148</v>
      </c>
      <c r="H35" s="9">
        <v>7</v>
      </c>
      <c r="I35" s="9" t="s">
        <v>147</v>
      </c>
      <c r="J35" s="9" t="s">
        <v>147</v>
      </c>
      <c r="K35" s="6">
        <f>SUM(D35:J35)</f>
        <v>7</v>
      </c>
      <c r="L35" s="6">
        <f t="shared" si="0"/>
        <v>0</v>
      </c>
      <c r="M35" s="4">
        <f t="shared" si="1"/>
        <v>7</v>
      </c>
      <c r="N35" s="4">
        <f t="shared" si="11"/>
        <v>2250</v>
      </c>
      <c r="O35" s="4">
        <f t="shared" si="2"/>
        <v>2243</v>
      </c>
      <c r="P35" s="4">
        <f t="shared" si="3"/>
        <v>0.99688888888888894</v>
      </c>
      <c r="Q35" s="6"/>
      <c r="R35" s="6"/>
      <c r="T35" s="24" t="s">
        <v>95</v>
      </c>
      <c r="U35">
        <v>2250</v>
      </c>
    </row>
    <row r="36" spans="1:21">
      <c r="A36" s="5" t="s">
        <v>22</v>
      </c>
      <c r="B36" s="5" t="s">
        <v>77</v>
      </c>
      <c r="C36" s="5" t="s">
        <v>30</v>
      </c>
      <c r="D36" s="9" t="s">
        <v>147</v>
      </c>
      <c r="E36" s="9" t="s">
        <v>14</v>
      </c>
      <c r="F36" s="9" t="s">
        <v>148</v>
      </c>
      <c r="G36" s="9">
        <v>28</v>
      </c>
      <c r="H36" s="9" t="s">
        <v>148</v>
      </c>
      <c r="I36" s="9" t="s">
        <v>148</v>
      </c>
      <c r="J36" s="9" t="s">
        <v>147</v>
      </c>
      <c r="K36" s="6">
        <f>SUM(D36:J36)</f>
        <v>28</v>
      </c>
      <c r="L36" s="6">
        <f t="shared" si="0"/>
        <v>0</v>
      </c>
      <c r="M36" s="4">
        <f t="shared" si="1"/>
        <v>28</v>
      </c>
      <c r="N36" s="4">
        <f>450*5</f>
        <v>2250</v>
      </c>
      <c r="O36" s="4">
        <f t="shared" si="2"/>
        <v>2222</v>
      </c>
      <c r="P36" s="4">
        <f t="shared" si="3"/>
        <v>0.98755555555555552</v>
      </c>
      <c r="Q36" s="6"/>
      <c r="R36" s="6"/>
      <c r="T36" s="24" t="s">
        <v>97</v>
      </c>
      <c r="U36">
        <v>2243</v>
      </c>
    </row>
    <row r="37" spans="1:21">
      <c r="A37" s="5" t="s">
        <v>22</v>
      </c>
      <c r="B37" s="5" t="s">
        <v>61</v>
      </c>
      <c r="C37" s="5" t="s">
        <v>63</v>
      </c>
      <c r="D37" s="9" t="s">
        <v>148</v>
      </c>
      <c r="E37" s="9" t="s">
        <v>148</v>
      </c>
      <c r="F37" s="9" t="s">
        <v>148</v>
      </c>
      <c r="G37" s="9" t="s">
        <v>148</v>
      </c>
      <c r="H37" s="9" t="s">
        <v>148</v>
      </c>
      <c r="I37" s="9" t="s">
        <v>148</v>
      </c>
      <c r="J37" s="9" t="s">
        <v>147</v>
      </c>
      <c r="K37" s="6">
        <f>SUM(D37:I37)</f>
        <v>0</v>
      </c>
      <c r="L37" s="6">
        <f t="shared" si="0"/>
        <v>0</v>
      </c>
      <c r="M37" s="4">
        <f t="shared" si="1"/>
        <v>0</v>
      </c>
      <c r="N37" s="4">
        <f>450*5</f>
        <v>2250</v>
      </c>
      <c r="O37" s="4">
        <f t="shared" si="2"/>
        <v>2250</v>
      </c>
      <c r="P37" s="4">
        <f t="shared" si="3"/>
        <v>1</v>
      </c>
      <c r="Q37" s="6"/>
      <c r="R37" s="6"/>
      <c r="T37" s="24" t="s">
        <v>98</v>
      </c>
      <c r="U37">
        <v>2247</v>
      </c>
    </row>
    <row r="38" spans="1:21">
      <c r="A38" s="5" t="s">
        <v>26</v>
      </c>
      <c r="B38" s="7" t="s">
        <v>78</v>
      </c>
      <c r="C38" s="34" t="s">
        <v>79</v>
      </c>
      <c r="D38" s="9" t="s">
        <v>147</v>
      </c>
      <c r="E38" s="9" t="s">
        <v>148</v>
      </c>
      <c r="F38" s="9" t="s">
        <v>148</v>
      </c>
      <c r="G38" s="9" t="s">
        <v>148</v>
      </c>
      <c r="H38" s="9" t="s">
        <v>148</v>
      </c>
      <c r="I38" s="9" t="s">
        <v>148</v>
      </c>
      <c r="J38" s="9" t="s">
        <v>147</v>
      </c>
      <c r="K38" s="6">
        <f t="shared" ref="K38:K40" si="12">SUM(D38:J38)</f>
        <v>0</v>
      </c>
      <c r="L38" s="6">
        <f t="shared" si="0"/>
        <v>0</v>
      </c>
      <c r="M38" s="4">
        <f t="shared" si="1"/>
        <v>0</v>
      </c>
      <c r="N38" s="4">
        <f>450*5</f>
        <v>2250</v>
      </c>
      <c r="O38" s="4">
        <f t="shared" si="2"/>
        <v>2250</v>
      </c>
      <c r="P38" s="4">
        <f t="shared" si="3"/>
        <v>1</v>
      </c>
      <c r="Q38" s="6"/>
      <c r="R38" s="6"/>
      <c r="T38" s="24" t="s">
        <v>103</v>
      </c>
      <c r="U38">
        <v>2250</v>
      </c>
    </row>
    <row r="39" spans="1:21">
      <c r="A39" s="5" t="s">
        <v>26</v>
      </c>
      <c r="B39" s="7" t="s">
        <v>80</v>
      </c>
      <c r="C39" s="34" t="s">
        <v>40</v>
      </c>
      <c r="D39" s="9" t="s">
        <v>148</v>
      </c>
      <c r="E39" s="9" t="s">
        <v>148</v>
      </c>
      <c r="F39" s="9" t="s">
        <v>148</v>
      </c>
      <c r="G39" s="9" t="s">
        <v>147</v>
      </c>
      <c r="H39" s="9" t="s">
        <v>147</v>
      </c>
      <c r="I39" s="9" t="s">
        <v>148</v>
      </c>
      <c r="J39" s="9" t="s">
        <v>148</v>
      </c>
      <c r="K39" s="6">
        <f t="shared" si="12"/>
        <v>0</v>
      </c>
      <c r="L39" s="6">
        <f t="shared" si="0"/>
        <v>0</v>
      </c>
      <c r="M39" s="4">
        <f t="shared" si="1"/>
        <v>0</v>
      </c>
      <c r="N39" s="4">
        <f>450*5</f>
        <v>2250</v>
      </c>
      <c r="O39" s="4">
        <f t="shared" si="2"/>
        <v>2250</v>
      </c>
      <c r="P39" s="4">
        <f t="shared" si="3"/>
        <v>1</v>
      </c>
      <c r="Q39" s="6"/>
      <c r="R39" s="6"/>
      <c r="T39" s="24" t="s">
        <v>108</v>
      </c>
      <c r="U39">
        <v>2250</v>
      </c>
    </row>
    <row r="40" spans="1:21">
      <c r="A40" s="5" t="s">
        <v>26</v>
      </c>
      <c r="B40" s="7" t="s">
        <v>81</v>
      </c>
      <c r="C40" s="34" t="s">
        <v>33</v>
      </c>
      <c r="D40" s="9" t="s">
        <v>147</v>
      </c>
      <c r="E40" s="9" t="s">
        <v>148</v>
      </c>
      <c r="F40" s="9" t="s">
        <v>148</v>
      </c>
      <c r="G40" s="9" t="s">
        <v>148</v>
      </c>
      <c r="H40" s="9" t="s">
        <v>148</v>
      </c>
      <c r="I40" s="9" t="s">
        <v>148</v>
      </c>
      <c r="J40" s="9" t="s">
        <v>147</v>
      </c>
      <c r="K40" s="6">
        <f t="shared" si="12"/>
        <v>0</v>
      </c>
      <c r="L40" s="6">
        <f t="shared" si="0"/>
        <v>0</v>
      </c>
      <c r="M40" s="4">
        <f t="shared" si="1"/>
        <v>0</v>
      </c>
      <c r="N40" s="4">
        <f t="shared" ref="N40:N42" si="13">450*5</f>
        <v>2250</v>
      </c>
      <c r="O40" s="4">
        <f t="shared" si="2"/>
        <v>2250</v>
      </c>
      <c r="P40" s="4">
        <f t="shared" si="3"/>
        <v>1</v>
      </c>
      <c r="Q40" s="6"/>
      <c r="R40" s="6"/>
      <c r="T40" s="24" t="s">
        <v>109</v>
      </c>
      <c r="U40">
        <v>2250</v>
      </c>
    </row>
    <row r="41" spans="1:21">
      <c r="A41" s="5" t="s">
        <v>22</v>
      </c>
      <c r="B41" s="5" t="s">
        <v>82</v>
      </c>
      <c r="C41" s="5" t="s">
        <v>33</v>
      </c>
      <c r="D41" s="9" t="s">
        <v>147</v>
      </c>
      <c r="E41" s="9">
        <v>1</v>
      </c>
      <c r="F41" s="9">
        <v>12</v>
      </c>
      <c r="G41" s="9" t="s">
        <v>148</v>
      </c>
      <c r="H41" s="9" t="s">
        <v>148</v>
      </c>
      <c r="I41" s="9" t="s">
        <v>148</v>
      </c>
      <c r="J41" s="9" t="s">
        <v>147</v>
      </c>
      <c r="K41" s="6">
        <f>SUM(E41:I41)</f>
        <v>13</v>
      </c>
      <c r="L41" s="6">
        <f t="shared" si="0"/>
        <v>0</v>
      </c>
      <c r="M41" s="4">
        <f t="shared" si="1"/>
        <v>13</v>
      </c>
      <c r="N41" s="4">
        <f t="shared" si="13"/>
        <v>2250</v>
      </c>
      <c r="O41" s="4">
        <f t="shared" si="2"/>
        <v>2237</v>
      </c>
      <c r="P41" s="4">
        <f t="shared" si="3"/>
        <v>0.99422222222222223</v>
      </c>
      <c r="Q41" s="6"/>
      <c r="R41" s="6"/>
      <c r="T41" s="24" t="s">
        <v>113</v>
      </c>
      <c r="U41">
        <v>2250</v>
      </c>
    </row>
    <row r="42" spans="1:21">
      <c r="A42" s="5" t="s">
        <v>60</v>
      </c>
      <c r="B42" s="5" t="s">
        <v>84</v>
      </c>
      <c r="C42" s="5" t="s">
        <v>40</v>
      </c>
      <c r="D42" s="9" t="s">
        <v>147</v>
      </c>
      <c r="E42" s="9" t="s">
        <v>148</v>
      </c>
      <c r="F42" s="9" t="s">
        <v>148</v>
      </c>
      <c r="G42" s="9" t="s">
        <v>148</v>
      </c>
      <c r="H42" s="9">
        <v>48</v>
      </c>
      <c r="I42" s="9" t="s">
        <v>148</v>
      </c>
      <c r="J42" s="9" t="s">
        <v>147</v>
      </c>
      <c r="K42" s="6">
        <f>SUM(E42:I42)</f>
        <v>48</v>
      </c>
      <c r="L42" s="6">
        <f t="shared" si="0"/>
        <v>0</v>
      </c>
      <c r="M42" s="4">
        <f t="shared" si="1"/>
        <v>48</v>
      </c>
      <c r="N42" s="4">
        <f t="shared" si="13"/>
        <v>2250</v>
      </c>
      <c r="O42" s="4">
        <f t="shared" si="2"/>
        <v>2202</v>
      </c>
      <c r="P42" s="4">
        <f t="shared" si="3"/>
        <v>0.97866666666666668</v>
      </c>
      <c r="Q42" s="6"/>
      <c r="R42" s="6"/>
      <c r="T42" s="24" t="s">
        <v>119</v>
      </c>
      <c r="U42">
        <v>2250</v>
      </c>
    </row>
    <row r="43" spans="1:21">
      <c r="A43" s="5" t="s">
        <v>22</v>
      </c>
      <c r="B43" s="5" t="s">
        <v>85</v>
      </c>
      <c r="C43" s="5" t="s">
        <v>63</v>
      </c>
      <c r="D43" s="9" t="s">
        <v>148</v>
      </c>
      <c r="E43" s="9">
        <v>10</v>
      </c>
      <c r="F43" s="9" t="s">
        <v>148</v>
      </c>
      <c r="G43" s="9" t="s">
        <v>148</v>
      </c>
      <c r="H43" s="9">
        <v>10</v>
      </c>
      <c r="I43" s="9" t="s">
        <v>148</v>
      </c>
      <c r="J43" s="9" t="s">
        <v>147</v>
      </c>
      <c r="K43" s="6">
        <f>SUM(D43:I43)</f>
        <v>20</v>
      </c>
      <c r="L43" s="6">
        <f t="shared" si="0"/>
        <v>0</v>
      </c>
      <c r="M43" s="4">
        <f t="shared" si="1"/>
        <v>20</v>
      </c>
      <c r="N43" s="4">
        <f>450*5</f>
        <v>2250</v>
      </c>
      <c r="O43" s="4">
        <f t="shared" si="2"/>
        <v>2230</v>
      </c>
      <c r="P43" s="4">
        <f t="shared" si="3"/>
        <v>0.99111111111111116</v>
      </c>
      <c r="Q43" s="6"/>
      <c r="R43" s="6"/>
      <c r="T43" s="24" t="s">
        <v>123</v>
      </c>
      <c r="U43">
        <v>2250</v>
      </c>
    </row>
    <row r="44" spans="1:21">
      <c r="A44" s="5" t="s">
        <v>26</v>
      </c>
      <c r="B44" s="7" t="s">
        <v>86</v>
      </c>
      <c r="C44" s="34" t="s">
        <v>56</v>
      </c>
      <c r="D44" s="9" t="s">
        <v>147</v>
      </c>
      <c r="E44" s="9" t="s">
        <v>148</v>
      </c>
      <c r="F44" s="9" t="s">
        <v>148</v>
      </c>
      <c r="G44" s="9" t="s">
        <v>148</v>
      </c>
      <c r="H44" s="9" t="s">
        <v>148</v>
      </c>
      <c r="I44" s="9" t="s">
        <v>148</v>
      </c>
      <c r="J44" s="9" t="s">
        <v>147</v>
      </c>
      <c r="K44" s="6">
        <f t="shared" ref="K44:K45" si="14">SUM(D44:J44)</f>
        <v>0</v>
      </c>
      <c r="L44" s="6">
        <f t="shared" si="0"/>
        <v>0</v>
      </c>
      <c r="M44" s="4">
        <f t="shared" si="1"/>
        <v>0</v>
      </c>
      <c r="N44" s="4">
        <f t="shared" ref="N44:N45" si="15">450*5</f>
        <v>2250</v>
      </c>
      <c r="O44" s="4">
        <f t="shared" si="2"/>
        <v>2250</v>
      </c>
      <c r="P44" s="4">
        <f t="shared" si="3"/>
        <v>1</v>
      </c>
      <c r="Q44" s="6"/>
      <c r="R44" s="6"/>
      <c r="T44" s="24" t="s">
        <v>124</v>
      </c>
      <c r="U44">
        <v>2250</v>
      </c>
    </row>
    <row r="45" spans="1:21">
      <c r="A45" s="5" t="s">
        <v>26</v>
      </c>
      <c r="B45" s="7" t="s">
        <v>87</v>
      </c>
      <c r="C45" s="34" t="s">
        <v>33</v>
      </c>
      <c r="D45" s="9" t="s">
        <v>147</v>
      </c>
      <c r="E45" s="9" t="s">
        <v>148</v>
      </c>
      <c r="F45" s="9" t="s">
        <v>148</v>
      </c>
      <c r="G45" s="9" t="s">
        <v>148</v>
      </c>
      <c r="H45" s="9" t="s">
        <v>148</v>
      </c>
      <c r="I45" s="9" t="s">
        <v>148</v>
      </c>
      <c r="J45" s="9" t="s">
        <v>147</v>
      </c>
      <c r="K45" s="6">
        <f t="shared" si="14"/>
        <v>0</v>
      </c>
      <c r="L45" s="6">
        <f t="shared" si="0"/>
        <v>0</v>
      </c>
      <c r="M45" s="4">
        <f t="shared" si="1"/>
        <v>0</v>
      </c>
      <c r="N45" s="4">
        <f t="shared" si="15"/>
        <v>2250</v>
      </c>
      <c r="O45" s="4">
        <f t="shared" si="2"/>
        <v>2250</v>
      </c>
      <c r="P45" s="4">
        <f t="shared" si="3"/>
        <v>1</v>
      </c>
      <c r="Q45" s="6"/>
      <c r="R45" s="6"/>
      <c r="T45" s="24" t="s">
        <v>126</v>
      </c>
      <c r="U45">
        <v>2248</v>
      </c>
    </row>
    <row r="46" spans="1:21">
      <c r="A46" s="5" t="s">
        <v>22</v>
      </c>
      <c r="B46" s="5" t="s">
        <v>88</v>
      </c>
      <c r="C46" s="5" t="s">
        <v>25</v>
      </c>
      <c r="D46" s="9" t="s">
        <v>148</v>
      </c>
      <c r="E46" s="9" t="s">
        <v>148</v>
      </c>
      <c r="F46" s="9">
        <v>69</v>
      </c>
      <c r="G46" s="9" t="s">
        <v>148</v>
      </c>
      <c r="H46" s="9" t="s">
        <v>148</v>
      </c>
      <c r="I46" s="9" t="s">
        <v>148</v>
      </c>
      <c r="J46" s="9" t="s">
        <v>147</v>
      </c>
      <c r="K46" s="6">
        <f>SUM(D46:I46)</f>
        <v>69</v>
      </c>
      <c r="L46" s="6">
        <f t="shared" si="0"/>
        <v>0</v>
      </c>
      <c r="M46" s="4">
        <f t="shared" si="1"/>
        <v>69</v>
      </c>
      <c r="N46" s="4">
        <f>450*5</f>
        <v>2250</v>
      </c>
      <c r="O46" s="4">
        <f t="shared" si="2"/>
        <v>2181</v>
      </c>
      <c r="P46" s="4">
        <f t="shared" si="3"/>
        <v>0.96933333333333338</v>
      </c>
      <c r="Q46" s="6"/>
      <c r="R46" s="6"/>
      <c r="T46" s="24" t="s">
        <v>131</v>
      </c>
      <c r="U46">
        <v>1314</v>
      </c>
    </row>
    <row r="47" spans="1:21">
      <c r="A47" s="5" t="s">
        <v>26</v>
      </c>
      <c r="B47" s="7" t="s">
        <v>89</v>
      </c>
      <c r="C47" s="34" t="s">
        <v>40</v>
      </c>
      <c r="D47" s="9" t="s">
        <v>147</v>
      </c>
      <c r="E47" s="9">
        <v>6</v>
      </c>
      <c r="F47" s="9" t="s">
        <v>148</v>
      </c>
      <c r="G47" s="9" t="s">
        <v>148</v>
      </c>
      <c r="H47" s="9" t="s">
        <v>148</v>
      </c>
      <c r="I47" s="9" t="s">
        <v>148</v>
      </c>
      <c r="J47" s="9" t="s">
        <v>147</v>
      </c>
      <c r="K47" s="6">
        <f>SUM(D47:J47)</f>
        <v>6</v>
      </c>
      <c r="L47" s="6">
        <f t="shared" si="0"/>
        <v>0</v>
      </c>
      <c r="M47" s="4">
        <f t="shared" si="1"/>
        <v>6</v>
      </c>
      <c r="N47" s="4">
        <f>450*5</f>
        <v>2250</v>
      </c>
      <c r="O47" s="4">
        <f t="shared" si="2"/>
        <v>2244</v>
      </c>
      <c r="P47" s="4">
        <f t="shared" si="3"/>
        <v>0.99733333333333329</v>
      </c>
      <c r="Q47" s="6"/>
      <c r="R47" s="6"/>
      <c r="T47" s="24" t="s">
        <v>133</v>
      </c>
      <c r="U47">
        <v>2152</v>
      </c>
    </row>
    <row r="48" spans="1:21">
      <c r="A48" s="5" t="s">
        <v>37</v>
      </c>
      <c r="B48" s="5" t="s">
        <v>90</v>
      </c>
      <c r="C48" s="5" t="s">
        <v>40</v>
      </c>
      <c r="D48" s="9" t="s">
        <v>147</v>
      </c>
      <c r="E48" s="9" t="s">
        <v>147</v>
      </c>
      <c r="F48" s="9" t="s">
        <v>148</v>
      </c>
      <c r="G48" s="9" t="s">
        <v>148</v>
      </c>
      <c r="H48" s="9" t="s">
        <v>148</v>
      </c>
      <c r="I48" s="9" t="s">
        <v>148</v>
      </c>
      <c r="J48" s="9" t="s">
        <v>14</v>
      </c>
      <c r="K48" s="6">
        <f>SUM(D48:J48)</f>
        <v>0</v>
      </c>
      <c r="L48" s="6">
        <f t="shared" si="0"/>
        <v>0</v>
      </c>
      <c r="M48" s="4">
        <f t="shared" si="1"/>
        <v>0</v>
      </c>
      <c r="N48" s="4">
        <f>450*5</f>
        <v>2250</v>
      </c>
      <c r="O48" s="4">
        <f t="shared" si="2"/>
        <v>2250</v>
      </c>
      <c r="P48" s="4">
        <f t="shared" si="3"/>
        <v>1</v>
      </c>
      <c r="Q48" s="6"/>
      <c r="R48" s="6"/>
      <c r="T48" s="24" t="s">
        <v>27</v>
      </c>
      <c r="U48">
        <v>2250</v>
      </c>
    </row>
    <row r="49" spans="1:21">
      <c r="A49" s="5" t="s">
        <v>22</v>
      </c>
      <c r="B49" s="5" t="s">
        <v>91</v>
      </c>
      <c r="C49" s="5" t="s">
        <v>30</v>
      </c>
      <c r="D49" s="9" t="s">
        <v>148</v>
      </c>
      <c r="E49" s="9" t="s">
        <v>148</v>
      </c>
      <c r="F49" s="9" t="s">
        <v>148</v>
      </c>
      <c r="G49" s="9" t="s">
        <v>148</v>
      </c>
      <c r="H49" s="9" t="s">
        <v>148</v>
      </c>
      <c r="I49" s="9" t="s">
        <v>148</v>
      </c>
      <c r="J49" s="9" t="s">
        <v>147</v>
      </c>
      <c r="K49" s="6">
        <f>SUM(D49:J49)</f>
        <v>0</v>
      </c>
      <c r="L49" s="6">
        <f t="shared" si="0"/>
        <v>0</v>
      </c>
      <c r="M49" s="4">
        <f t="shared" si="1"/>
        <v>0</v>
      </c>
      <c r="N49" s="4">
        <f t="shared" ref="N49:N51" si="16">450*5</f>
        <v>2250</v>
      </c>
      <c r="O49" s="4">
        <f t="shared" si="2"/>
        <v>2250</v>
      </c>
      <c r="P49" s="4">
        <f t="shared" si="3"/>
        <v>1</v>
      </c>
      <c r="Q49" s="6"/>
      <c r="R49" s="6"/>
      <c r="T49" s="14" t="s">
        <v>149</v>
      </c>
      <c r="U49">
        <v>78451</v>
      </c>
    </row>
    <row r="50" spans="1:21">
      <c r="A50" s="5" t="s">
        <v>22</v>
      </c>
      <c r="B50" s="5" t="s">
        <v>150</v>
      </c>
      <c r="C50" s="5" t="s">
        <v>33</v>
      </c>
      <c r="D50" s="9" t="s">
        <v>148</v>
      </c>
      <c r="E50" s="9">
        <v>1</v>
      </c>
      <c r="F50" s="9" t="s">
        <v>148</v>
      </c>
      <c r="G50" s="9" t="s">
        <v>148</v>
      </c>
      <c r="H50" s="9" t="s">
        <v>148</v>
      </c>
      <c r="I50" s="9" t="s">
        <v>148</v>
      </c>
      <c r="J50" s="9" t="s">
        <v>147</v>
      </c>
      <c r="K50" s="6">
        <f>SUM(E50:I50)</f>
        <v>1</v>
      </c>
      <c r="L50" s="6">
        <f t="shared" si="0"/>
        <v>0</v>
      </c>
      <c r="M50" s="4">
        <f t="shared" si="1"/>
        <v>1</v>
      </c>
      <c r="N50" s="4">
        <f t="shared" si="16"/>
        <v>2250</v>
      </c>
      <c r="O50" s="4">
        <f t="shared" si="2"/>
        <v>2249</v>
      </c>
      <c r="P50" s="4">
        <f t="shared" si="3"/>
        <v>0.99955555555555553</v>
      </c>
      <c r="Q50" s="6"/>
      <c r="R50" s="6"/>
    </row>
    <row r="51" spans="1:21">
      <c r="A51" s="5" t="s">
        <v>22</v>
      </c>
      <c r="B51" s="5" t="s">
        <v>92</v>
      </c>
      <c r="C51" s="5" t="s">
        <v>63</v>
      </c>
      <c r="D51" s="9" t="s">
        <v>148</v>
      </c>
      <c r="E51" s="9" t="s">
        <v>148</v>
      </c>
      <c r="F51" s="9" t="s">
        <v>148</v>
      </c>
      <c r="G51" s="9" t="s">
        <v>148</v>
      </c>
      <c r="H51" s="9" t="s">
        <v>148</v>
      </c>
      <c r="I51" s="9" t="s">
        <v>148</v>
      </c>
      <c r="J51" s="9" t="s">
        <v>147</v>
      </c>
      <c r="K51" s="6">
        <f>SUM(D51:I51)</f>
        <v>0</v>
      </c>
      <c r="L51" s="6">
        <f t="shared" si="0"/>
        <v>0</v>
      </c>
      <c r="M51" s="4">
        <f t="shared" si="1"/>
        <v>0</v>
      </c>
      <c r="N51" s="4">
        <f t="shared" si="16"/>
        <v>2250</v>
      </c>
      <c r="O51" s="4">
        <f t="shared" si="2"/>
        <v>2250</v>
      </c>
      <c r="P51" s="4">
        <f t="shared" si="3"/>
        <v>1</v>
      </c>
      <c r="Q51" s="6"/>
      <c r="R51" s="6"/>
    </row>
    <row r="52" spans="1:21">
      <c r="A52" s="5" t="s">
        <v>26</v>
      </c>
      <c r="B52" s="7" t="s">
        <v>93</v>
      </c>
      <c r="C52" s="34" t="s">
        <v>56</v>
      </c>
      <c r="D52" s="9" t="s">
        <v>147</v>
      </c>
      <c r="E52" s="9" t="s">
        <v>148</v>
      </c>
      <c r="F52" s="9" t="s">
        <v>148</v>
      </c>
      <c r="G52" s="9" t="s">
        <v>148</v>
      </c>
      <c r="H52" s="9" t="s">
        <v>148</v>
      </c>
      <c r="I52" s="9" t="s">
        <v>148</v>
      </c>
      <c r="J52" s="9" t="s">
        <v>147</v>
      </c>
      <c r="K52" s="6">
        <f>SUM(D52:J52)</f>
        <v>0</v>
      </c>
      <c r="L52" s="6">
        <f t="shared" si="0"/>
        <v>0</v>
      </c>
      <c r="M52" s="4">
        <f t="shared" si="1"/>
        <v>0</v>
      </c>
      <c r="N52" s="4">
        <f t="shared" ref="N52:N54" si="17">450*5</f>
        <v>2250</v>
      </c>
      <c r="O52" s="4">
        <f t="shared" si="2"/>
        <v>2250</v>
      </c>
      <c r="P52" s="4">
        <f t="shared" si="3"/>
        <v>1</v>
      </c>
      <c r="Q52" s="6"/>
      <c r="R52" s="6"/>
    </row>
    <row r="53" spans="1:21">
      <c r="A53" s="5" t="s">
        <v>57</v>
      </c>
      <c r="B53" s="7" t="s">
        <v>94</v>
      </c>
      <c r="C53" s="5" t="s">
        <v>40</v>
      </c>
      <c r="D53" s="9" t="s">
        <v>147</v>
      </c>
      <c r="E53" s="9">
        <v>450</v>
      </c>
      <c r="F53" s="9" t="s">
        <v>148</v>
      </c>
      <c r="G53" s="9" t="s">
        <v>148</v>
      </c>
      <c r="H53" s="9" t="s">
        <v>148</v>
      </c>
      <c r="I53" s="9" t="s">
        <v>148</v>
      </c>
      <c r="J53" s="9" t="s">
        <v>147</v>
      </c>
      <c r="K53" s="6">
        <v>0</v>
      </c>
      <c r="L53" s="6">
        <f t="shared" si="0"/>
        <v>450</v>
      </c>
      <c r="M53" s="4">
        <f t="shared" si="1"/>
        <v>450</v>
      </c>
      <c r="N53" s="4">
        <f t="shared" si="17"/>
        <v>2250</v>
      </c>
      <c r="O53" s="4">
        <f t="shared" si="2"/>
        <v>1800</v>
      </c>
      <c r="P53" s="4">
        <f t="shared" si="3"/>
        <v>0.8</v>
      </c>
      <c r="Q53" s="6"/>
      <c r="R53" s="6"/>
    </row>
    <row r="54" spans="1:21">
      <c r="A54" s="5" t="s">
        <v>26</v>
      </c>
      <c r="B54" s="7" t="s">
        <v>95</v>
      </c>
      <c r="C54" s="34" t="s">
        <v>33</v>
      </c>
      <c r="D54" s="9" t="s">
        <v>147</v>
      </c>
      <c r="E54" s="9" t="s">
        <v>148</v>
      </c>
      <c r="F54" s="9" t="s">
        <v>148</v>
      </c>
      <c r="G54" s="9" t="s">
        <v>148</v>
      </c>
      <c r="H54" s="9" t="s">
        <v>148</v>
      </c>
      <c r="I54" s="9" t="s">
        <v>148</v>
      </c>
      <c r="J54" s="9" t="s">
        <v>147</v>
      </c>
      <c r="K54" s="6">
        <f>SUM(D54:J54)</f>
        <v>0</v>
      </c>
      <c r="L54" s="6">
        <f t="shared" si="0"/>
        <v>0</v>
      </c>
      <c r="M54" s="4">
        <f t="shared" si="1"/>
        <v>0</v>
      </c>
      <c r="N54" s="4">
        <f t="shared" si="17"/>
        <v>2250</v>
      </c>
      <c r="O54" s="4">
        <f t="shared" si="2"/>
        <v>2250</v>
      </c>
      <c r="P54" s="4">
        <f t="shared" si="3"/>
        <v>1</v>
      </c>
      <c r="Q54" s="6"/>
      <c r="R54" s="6"/>
    </row>
    <row r="55" spans="1:21">
      <c r="A55" s="5" t="s">
        <v>22</v>
      </c>
      <c r="B55" s="5" t="s">
        <v>23</v>
      </c>
      <c r="C55" s="5" t="s">
        <v>25</v>
      </c>
      <c r="D55" s="9" t="s">
        <v>148</v>
      </c>
      <c r="E55" s="9" t="s">
        <v>148</v>
      </c>
      <c r="F55" s="9" t="s">
        <v>148</v>
      </c>
      <c r="G55" s="9" t="s">
        <v>148</v>
      </c>
      <c r="H55" s="9" t="s">
        <v>148</v>
      </c>
      <c r="I55" s="9" t="s">
        <v>148</v>
      </c>
      <c r="J55" s="9" t="s">
        <v>147</v>
      </c>
      <c r="K55" s="6">
        <f>SUM(D55:I55)</f>
        <v>0</v>
      </c>
      <c r="L55" s="6">
        <f t="shared" si="0"/>
        <v>0</v>
      </c>
      <c r="M55" s="4">
        <f t="shared" si="1"/>
        <v>0</v>
      </c>
      <c r="N55" s="4">
        <f>450*5</f>
        <v>2250</v>
      </c>
      <c r="O55" s="4">
        <f t="shared" si="2"/>
        <v>2250</v>
      </c>
      <c r="P55" s="4">
        <f t="shared" si="3"/>
        <v>1</v>
      </c>
      <c r="Q55" s="6"/>
      <c r="R55" s="6"/>
    </row>
    <row r="56" spans="1:21">
      <c r="A56" s="5" t="s">
        <v>37</v>
      </c>
      <c r="B56" s="5" t="s">
        <v>96</v>
      </c>
      <c r="C56" s="5" t="s">
        <v>40</v>
      </c>
      <c r="D56" s="9" t="s">
        <v>147</v>
      </c>
      <c r="E56" s="9" t="s">
        <v>147</v>
      </c>
      <c r="F56" s="9" t="s">
        <v>148</v>
      </c>
      <c r="G56" s="9" t="s">
        <v>148</v>
      </c>
      <c r="H56" s="9" t="s">
        <v>148</v>
      </c>
      <c r="I56" s="9" t="s">
        <v>148</v>
      </c>
      <c r="J56" s="9" t="s">
        <v>148</v>
      </c>
      <c r="K56" s="6">
        <f>SUM(D56:J56)</f>
        <v>0</v>
      </c>
      <c r="L56" s="6">
        <f t="shared" si="0"/>
        <v>0</v>
      </c>
      <c r="M56" s="4">
        <f t="shared" si="1"/>
        <v>0</v>
      </c>
      <c r="N56" s="4">
        <f>450*5</f>
        <v>2250</v>
      </c>
      <c r="O56" s="4">
        <f t="shared" si="2"/>
        <v>2250</v>
      </c>
      <c r="P56" s="4">
        <f t="shared" si="3"/>
        <v>1</v>
      </c>
      <c r="Q56" s="6"/>
      <c r="R56" s="6"/>
    </row>
    <row r="57" spans="1:21">
      <c r="A57" s="5" t="s">
        <v>26</v>
      </c>
      <c r="B57" s="7" t="s">
        <v>97</v>
      </c>
      <c r="C57" s="34" t="s">
        <v>56</v>
      </c>
      <c r="D57" s="9" t="s">
        <v>147</v>
      </c>
      <c r="E57" s="9" t="s">
        <v>148</v>
      </c>
      <c r="F57" s="9">
        <v>7</v>
      </c>
      <c r="G57" s="9" t="s">
        <v>148</v>
      </c>
      <c r="H57" s="9" t="s">
        <v>148</v>
      </c>
      <c r="I57" s="9" t="s">
        <v>148</v>
      </c>
      <c r="J57" s="9" t="s">
        <v>147</v>
      </c>
      <c r="K57" s="6">
        <f>SUM(D57:J57)</f>
        <v>7</v>
      </c>
      <c r="L57" s="6">
        <f t="shared" si="0"/>
        <v>0</v>
      </c>
      <c r="M57" s="4">
        <f t="shared" si="1"/>
        <v>7</v>
      </c>
      <c r="N57" s="4">
        <f>450*5</f>
        <v>2250</v>
      </c>
      <c r="O57" s="4">
        <f t="shared" si="2"/>
        <v>2243</v>
      </c>
      <c r="P57" s="4">
        <f t="shared" si="3"/>
        <v>0.99688888888888894</v>
      </c>
      <c r="Q57" s="6"/>
      <c r="R57" s="6"/>
    </row>
    <row r="58" spans="1:21">
      <c r="A58" s="5" t="s">
        <v>37</v>
      </c>
      <c r="B58" s="5" t="s">
        <v>38</v>
      </c>
      <c r="C58" s="5" t="s">
        <v>40</v>
      </c>
      <c r="D58" s="9" t="s">
        <v>147</v>
      </c>
      <c r="E58" s="9" t="s">
        <v>147</v>
      </c>
      <c r="F58" s="9" t="s">
        <v>148</v>
      </c>
      <c r="G58" s="9" t="s">
        <v>148</v>
      </c>
      <c r="H58" s="9" t="s">
        <v>148</v>
      </c>
      <c r="I58" s="9" t="s">
        <v>148</v>
      </c>
      <c r="J58" s="9" t="s">
        <v>148</v>
      </c>
      <c r="K58" s="6">
        <f>SUM(D58:J58)</f>
        <v>0</v>
      </c>
      <c r="L58" s="6">
        <f t="shared" si="0"/>
        <v>0</v>
      </c>
      <c r="M58" s="4">
        <f t="shared" si="1"/>
        <v>0</v>
      </c>
      <c r="N58" s="4">
        <f>450*5</f>
        <v>2250</v>
      </c>
      <c r="O58" s="4">
        <f t="shared" si="2"/>
        <v>2250</v>
      </c>
      <c r="P58" s="4">
        <f t="shared" si="3"/>
        <v>1</v>
      </c>
      <c r="Q58" s="6"/>
      <c r="R58" s="6"/>
    </row>
    <row r="59" spans="1:21">
      <c r="A59" s="5" t="s">
        <v>26</v>
      </c>
      <c r="B59" s="7" t="s">
        <v>98</v>
      </c>
      <c r="C59" s="34" t="s">
        <v>30</v>
      </c>
      <c r="D59" s="9" t="s">
        <v>147</v>
      </c>
      <c r="E59" s="9" t="s">
        <v>148</v>
      </c>
      <c r="F59" s="9" t="s">
        <v>148</v>
      </c>
      <c r="G59" s="9">
        <v>3</v>
      </c>
      <c r="H59" s="9" t="s">
        <v>148</v>
      </c>
      <c r="I59" s="9" t="s">
        <v>148</v>
      </c>
      <c r="J59" s="9" t="s">
        <v>147</v>
      </c>
      <c r="K59" s="6">
        <f>SUM(D59:J59)</f>
        <v>3</v>
      </c>
      <c r="L59" s="6">
        <f t="shared" si="0"/>
        <v>0</v>
      </c>
      <c r="M59" s="4">
        <f t="shared" si="1"/>
        <v>3</v>
      </c>
      <c r="N59" s="4">
        <f>450*5</f>
        <v>2250</v>
      </c>
      <c r="O59" s="4">
        <f t="shared" si="2"/>
        <v>2247</v>
      </c>
      <c r="P59" s="4">
        <f t="shared" si="3"/>
        <v>0.9986666666666667</v>
      </c>
      <c r="Q59" s="6"/>
      <c r="R59" s="6"/>
    </row>
    <row r="60" spans="1:21">
      <c r="A60" s="5" t="s">
        <v>22</v>
      </c>
      <c r="B60" s="5" t="s">
        <v>99</v>
      </c>
      <c r="C60" s="5" t="s">
        <v>63</v>
      </c>
      <c r="D60" s="9" t="s">
        <v>148</v>
      </c>
      <c r="E60" s="9">
        <v>11</v>
      </c>
      <c r="F60" s="9" t="s">
        <v>148</v>
      </c>
      <c r="G60" s="9" t="s">
        <v>148</v>
      </c>
      <c r="H60" s="9" t="s">
        <v>148</v>
      </c>
      <c r="I60" s="9" t="s">
        <v>148</v>
      </c>
      <c r="J60" s="9" t="s">
        <v>147</v>
      </c>
      <c r="K60" s="6">
        <f t="shared" ref="K60:K61" si="18">SUM(D60:I60)</f>
        <v>11</v>
      </c>
      <c r="L60" s="6">
        <f t="shared" si="0"/>
        <v>0</v>
      </c>
      <c r="M60" s="4">
        <f t="shared" si="1"/>
        <v>11</v>
      </c>
      <c r="N60" s="4">
        <f t="shared" ref="N60:N61" si="19">450*5</f>
        <v>2250</v>
      </c>
      <c r="O60" s="4">
        <f t="shared" si="2"/>
        <v>2239</v>
      </c>
      <c r="P60" s="4">
        <f t="shared" si="3"/>
        <v>0.99511111111111106</v>
      </c>
      <c r="Q60" s="6"/>
      <c r="R60" s="6"/>
    </row>
    <row r="61" spans="1:21">
      <c r="A61" s="5" t="s">
        <v>22</v>
      </c>
      <c r="B61" s="32" t="s">
        <v>100</v>
      </c>
      <c r="C61" s="35" t="s">
        <v>63</v>
      </c>
      <c r="D61" s="9" t="s">
        <v>148</v>
      </c>
      <c r="E61" s="9" t="s">
        <v>148</v>
      </c>
      <c r="F61" s="9" t="s">
        <v>148</v>
      </c>
      <c r="G61" s="9" t="s">
        <v>148</v>
      </c>
      <c r="H61" s="9" t="s">
        <v>148</v>
      </c>
      <c r="I61" s="9" t="s">
        <v>148</v>
      </c>
      <c r="J61" s="9" t="s">
        <v>147</v>
      </c>
      <c r="K61" s="6">
        <f t="shared" si="18"/>
        <v>0</v>
      </c>
      <c r="L61" s="6">
        <f t="shared" si="0"/>
        <v>0</v>
      </c>
      <c r="M61" s="4">
        <f t="shared" si="1"/>
        <v>0</v>
      </c>
      <c r="N61" s="4">
        <f t="shared" si="19"/>
        <v>2250</v>
      </c>
      <c r="O61" s="4">
        <f t="shared" si="2"/>
        <v>2250</v>
      </c>
      <c r="P61" s="4">
        <f t="shared" si="3"/>
        <v>1</v>
      </c>
      <c r="Q61" s="6"/>
      <c r="R61" s="6"/>
    </row>
    <row r="62" spans="1:21">
      <c r="A62" s="5" t="s">
        <v>57</v>
      </c>
      <c r="B62" s="10" t="s">
        <v>101</v>
      </c>
      <c r="C62" s="35" t="s">
        <v>40</v>
      </c>
      <c r="D62" s="9" t="s">
        <v>147</v>
      </c>
      <c r="E62" s="9" t="s">
        <v>148</v>
      </c>
      <c r="F62" s="9" t="s">
        <v>148</v>
      </c>
      <c r="G62" s="9" t="s">
        <v>148</v>
      </c>
      <c r="H62" s="9" t="s">
        <v>148</v>
      </c>
      <c r="I62" s="9" t="s">
        <v>148</v>
      </c>
      <c r="J62" s="9" t="s">
        <v>147</v>
      </c>
      <c r="K62" s="6">
        <v>0</v>
      </c>
      <c r="L62" s="6">
        <f t="shared" si="0"/>
        <v>0</v>
      </c>
      <c r="M62" s="4">
        <f t="shared" si="1"/>
        <v>0</v>
      </c>
      <c r="N62" s="4">
        <f>450*5</f>
        <v>2250</v>
      </c>
      <c r="O62" s="4">
        <f t="shared" si="2"/>
        <v>2250</v>
      </c>
      <c r="P62" s="4">
        <f t="shared" si="3"/>
        <v>1</v>
      </c>
      <c r="Q62" s="6"/>
      <c r="R62" s="6"/>
    </row>
    <row r="63" spans="1:21">
      <c r="A63" s="5" t="s">
        <v>22</v>
      </c>
      <c r="B63" s="32" t="s">
        <v>102</v>
      </c>
      <c r="C63" s="35" t="s">
        <v>33</v>
      </c>
      <c r="D63" s="9" t="s">
        <v>148</v>
      </c>
      <c r="E63" s="9" t="s">
        <v>148</v>
      </c>
      <c r="F63" s="9" t="s">
        <v>148</v>
      </c>
      <c r="G63" s="9" t="s">
        <v>148</v>
      </c>
      <c r="H63" s="9" t="s">
        <v>148</v>
      </c>
      <c r="I63" s="9" t="s">
        <v>148</v>
      </c>
      <c r="J63" s="9" t="s">
        <v>147</v>
      </c>
      <c r="K63" s="6">
        <f t="shared" ref="K63:K64" si="20">SUM(E63:I63)</f>
        <v>0</v>
      </c>
      <c r="L63" s="6">
        <f t="shared" si="0"/>
        <v>0</v>
      </c>
      <c r="M63" s="4">
        <f t="shared" si="1"/>
        <v>0</v>
      </c>
      <c r="N63" s="4">
        <f t="shared" ref="N63:N68" si="21">450*5</f>
        <v>2250</v>
      </c>
      <c r="O63" s="4">
        <f t="shared" si="2"/>
        <v>2250</v>
      </c>
      <c r="P63" s="4">
        <f t="shared" si="3"/>
        <v>1</v>
      </c>
      <c r="Q63" s="6"/>
      <c r="R63" s="6"/>
    </row>
    <row r="64" spans="1:21">
      <c r="A64" s="5" t="s">
        <v>22</v>
      </c>
      <c r="B64" s="32" t="s">
        <v>31</v>
      </c>
      <c r="C64" s="35" t="s">
        <v>33</v>
      </c>
      <c r="D64" s="9" t="s">
        <v>148</v>
      </c>
      <c r="E64" s="9" t="s">
        <v>148</v>
      </c>
      <c r="F64" s="9">
        <v>2</v>
      </c>
      <c r="G64" s="9">
        <v>10</v>
      </c>
      <c r="H64" s="9" t="s">
        <v>148</v>
      </c>
      <c r="I64" s="9" t="s">
        <v>148</v>
      </c>
      <c r="J64" s="9" t="s">
        <v>147</v>
      </c>
      <c r="K64" s="6">
        <f t="shared" si="20"/>
        <v>12</v>
      </c>
      <c r="L64" s="6">
        <f t="shared" si="0"/>
        <v>0</v>
      </c>
      <c r="M64" s="4">
        <f t="shared" si="1"/>
        <v>12</v>
      </c>
      <c r="N64" s="4">
        <f t="shared" si="21"/>
        <v>2250</v>
      </c>
      <c r="O64" s="4">
        <f t="shared" si="2"/>
        <v>2238</v>
      </c>
      <c r="P64" s="4">
        <f t="shared" si="3"/>
        <v>0.9946666666666667</v>
      </c>
      <c r="Q64" s="6"/>
      <c r="R64" s="6"/>
    </row>
    <row r="65" spans="1:18">
      <c r="A65" s="5" t="s">
        <v>26</v>
      </c>
      <c r="B65" s="10" t="s">
        <v>103</v>
      </c>
      <c r="C65" s="11" t="s">
        <v>40</v>
      </c>
      <c r="D65" s="9" t="s">
        <v>148</v>
      </c>
      <c r="E65" s="9" t="s">
        <v>148</v>
      </c>
      <c r="F65" s="9" t="s">
        <v>148</v>
      </c>
      <c r="G65" s="9" t="s">
        <v>147</v>
      </c>
      <c r="H65" s="9" t="s">
        <v>147</v>
      </c>
      <c r="I65" s="9" t="s">
        <v>148</v>
      </c>
      <c r="J65" s="9" t="s">
        <v>148</v>
      </c>
      <c r="K65" s="6">
        <f>SUM(D65:J65)</f>
        <v>0</v>
      </c>
      <c r="L65" s="6">
        <f t="shared" si="0"/>
        <v>0</v>
      </c>
      <c r="M65" s="4">
        <f t="shared" ref="M65:M97" si="22">SUM(K65:L65)</f>
        <v>0</v>
      </c>
      <c r="N65" s="4">
        <f t="shared" si="21"/>
        <v>2250</v>
      </c>
      <c r="O65" s="4">
        <f t="shared" ref="O65:O97" si="23">N65-M65</f>
        <v>2250</v>
      </c>
      <c r="P65" s="4">
        <f t="shared" ref="P65:P97" si="24">O65/N65*100%</f>
        <v>1</v>
      </c>
      <c r="Q65" s="6"/>
      <c r="R65" s="6"/>
    </row>
    <row r="66" spans="1:18">
      <c r="A66" s="5" t="s">
        <v>22</v>
      </c>
      <c r="B66" s="32" t="s">
        <v>104</v>
      </c>
      <c r="C66" s="35" t="s">
        <v>25</v>
      </c>
      <c r="D66" s="9" t="s">
        <v>148</v>
      </c>
      <c r="E66" s="9">
        <v>12</v>
      </c>
      <c r="F66" s="9" t="s">
        <v>148</v>
      </c>
      <c r="G66" s="9">
        <v>13</v>
      </c>
      <c r="H66" s="9">
        <v>3</v>
      </c>
      <c r="I66" s="9">
        <v>19</v>
      </c>
      <c r="J66" s="9" t="s">
        <v>147</v>
      </c>
      <c r="K66" s="6">
        <f>SUM(D66:I66)</f>
        <v>47</v>
      </c>
      <c r="L66" s="6">
        <f t="shared" si="0"/>
        <v>0</v>
      </c>
      <c r="M66" s="4">
        <f t="shared" si="22"/>
        <v>47</v>
      </c>
      <c r="N66" s="4">
        <f t="shared" si="21"/>
        <v>2250</v>
      </c>
      <c r="O66" s="4">
        <f t="shared" si="23"/>
        <v>2203</v>
      </c>
      <c r="P66" s="4">
        <f t="shared" si="24"/>
        <v>0.97911111111111115</v>
      </c>
      <c r="Q66" s="6"/>
      <c r="R66" s="6"/>
    </row>
    <row r="67" spans="1:18">
      <c r="A67" s="5" t="s">
        <v>22</v>
      </c>
      <c r="B67" s="32" t="s">
        <v>105</v>
      </c>
      <c r="C67" s="35" t="s">
        <v>56</v>
      </c>
      <c r="D67" s="9" t="s">
        <v>148</v>
      </c>
      <c r="E67" s="9" t="s">
        <v>148</v>
      </c>
      <c r="F67" s="9" t="s">
        <v>148</v>
      </c>
      <c r="G67" s="9" t="s">
        <v>148</v>
      </c>
      <c r="H67" s="9">
        <v>270</v>
      </c>
      <c r="I67" s="9" t="s">
        <v>148</v>
      </c>
      <c r="J67" s="9" t="s">
        <v>147</v>
      </c>
      <c r="K67" s="6">
        <f>SUM(D67:J67)</f>
        <v>270</v>
      </c>
      <c r="L67" s="6">
        <f t="shared" ref="L67:L97" si="25">SUMIF(D67:J67,"450")</f>
        <v>0</v>
      </c>
      <c r="M67" s="4">
        <f t="shared" si="22"/>
        <v>270</v>
      </c>
      <c r="N67" s="4">
        <f t="shared" si="21"/>
        <v>2250</v>
      </c>
      <c r="O67" s="4">
        <f t="shared" si="23"/>
        <v>1980</v>
      </c>
      <c r="P67" s="4">
        <f t="shared" si="24"/>
        <v>0.88</v>
      </c>
      <c r="Q67" s="6"/>
      <c r="R67" s="6"/>
    </row>
    <row r="68" spans="1:18">
      <c r="A68" s="5" t="s">
        <v>22</v>
      </c>
      <c r="B68" s="32" t="s">
        <v>106</v>
      </c>
      <c r="C68" s="35" t="s">
        <v>30</v>
      </c>
      <c r="D68" s="9" t="s">
        <v>148</v>
      </c>
      <c r="E68" s="9" t="s">
        <v>148</v>
      </c>
      <c r="F68" s="9" t="s">
        <v>148</v>
      </c>
      <c r="G68" s="9" t="s">
        <v>148</v>
      </c>
      <c r="H68" s="9" t="s">
        <v>148</v>
      </c>
      <c r="I68" s="9" t="s">
        <v>148</v>
      </c>
      <c r="J68" s="9" t="s">
        <v>147</v>
      </c>
      <c r="K68" s="6">
        <f>SUM(D68:J68)</f>
        <v>0</v>
      </c>
      <c r="L68" s="6">
        <f t="shared" si="25"/>
        <v>0</v>
      </c>
      <c r="M68" s="4">
        <f t="shared" si="22"/>
        <v>0</v>
      </c>
      <c r="N68" s="4">
        <f t="shared" si="21"/>
        <v>2250</v>
      </c>
      <c r="O68" s="4">
        <f t="shared" si="23"/>
        <v>2250</v>
      </c>
      <c r="P68" s="4">
        <f t="shared" si="24"/>
        <v>1</v>
      </c>
      <c r="Q68" s="6"/>
      <c r="R68" s="6"/>
    </row>
    <row r="69" spans="1:18">
      <c r="A69" s="5" t="s">
        <v>57</v>
      </c>
      <c r="B69" s="10" t="s">
        <v>107</v>
      </c>
      <c r="C69" s="35" t="s">
        <v>40</v>
      </c>
      <c r="D69" s="9" t="s">
        <v>147</v>
      </c>
      <c r="E69" s="9" t="s">
        <v>148</v>
      </c>
      <c r="F69" s="9">
        <v>19</v>
      </c>
      <c r="G69" s="9" t="s">
        <v>148</v>
      </c>
      <c r="H69" s="9" t="s">
        <v>148</v>
      </c>
      <c r="I69" s="9" t="s">
        <v>148</v>
      </c>
      <c r="J69" s="9" t="s">
        <v>147</v>
      </c>
      <c r="K69" s="6">
        <v>0</v>
      </c>
      <c r="L69" s="6">
        <f t="shared" si="25"/>
        <v>0</v>
      </c>
      <c r="M69" s="4">
        <f t="shared" si="22"/>
        <v>0</v>
      </c>
      <c r="N69" s="4">
        <f t="shared" ref="N69:N74" si="26">450*5</f>
        <v>2250</v>
      </c>
      <c r="O69" s="4">
        <f t="shared" si="23"/>
        <v>2250</v>
      </c>
      <c r="P69" s="4">
        <f t="shared" si="24"/>
        <v>1</v>
      </c>
      <c r="Q69" s="6"/>
      <c r="R69" s="6"/>
    </row>
    <row r="70" spans="1:18">
      <c r="A70" s="5" t="s">
        <v>26</v>
      </c>
      <c r="B70" s="10" t="s">
        <v>108</v>
      </c>
      <c r="C70" s="11" t="s">
        <v>30</v>
      </c>
      <c r="D70" s="9" t="s">
        <v>147</v>
      </c>
      <c r="E70" s="9" t="s">
        <v>148</v>
      </c>
      <c r="F70" s="9" t="s">
        <v>148</v>
      </c>
      <c r="G70" s="9" t="s">
        <v>148</v>
      </c>
      <c r="H70" s="9" t="s">
        <v>148</v>
      </c>
      <c r="I70" s="9" t="s">
        <v>148</v>
      </c>
      <c r="J70" s="9" t="s">
        <v>147</v>
      </c>
      <c r="K70" s="6">
        <f t="shared" ref="K70:K71" si="27">SUM(D70:J70)</f>
        <v>0</v>
      </c>
      <c r="L70" s="6">
        <f t="shared" si="25"/>
        <v>0</v>
      </c>
      <c r="M70" s="4">
        <f t="shared" si="22"/>
        <v>0</v>
      </c>
      <c r="N70" s="4">
        <f t="shared" si="26"/>
        <v>2250</v>
      </c>
      <c r="O70" s="4">
        <f t="shared" si="23"/>
        <v>2250</v>
      </c>
      <c r="P70" s="4">
        <f t="shared" si="24"/>
        <v>1</v>
      </c>
      <c r="Q70" s="6"/>
      <c r="R70" s="6"/>
    </row>
    <row r="71" spans="1:18">
      <c r="A71" s="5" t="s">
        <v>26</v>
      </c>
      <c r="B71" s="10" t="s">
        <v>109</v>
      </c>
      <c r="C71" s="11" t="s">
        <v>36</v>
      </c>
      <c r="D71" s="9" t="s">
        <v>147</v>
      </c>
      <c r="E71" s="9" t="s">
        <v>148</v>
      </c>
      <c r="F71" s="9" t="s">
        <v>148</v>
      </c>
      <c r="G71" s="9" t="s">
        <v>148</v>
      </c>
      <c r="H71" s="9" t="s">
        <v>148</v>
      </c>
      <c r="I71" s="9" t="s">
        <v>148</v>
      </c>
      <c r="J71" s="9" t="s">
        <v>147</v>
      </c>
      <c r="K71" s="6">
        <f t="shared" si="27"/>
        <v>0</v>
      </c>
      <c r="L71" s="6">
        <f t="shared" si="25"/>
        <v>0</v>
      </c>
      <c r="M71" s="4">
        <f t="shared" si="22"/>
        <v>0</v>
      </c>
      <c r="N71" s="4">
        <f t="shared" si="26"/>
        <v>2250</v>
      </c>
      <c r="O71" s="4">
        <f t="shared" si="23"/>
        <v>2250</v>
      </c>
      <c r="P71" s="4">
        <f t="shared" si="24"/>
        <v>1</v>
      </c>
      <c r="Q71" s="6"/>
      <c r="R71" s="6"/>
    </row>
    <row r="72" spans="1:18">
      <c r="A72" s="5" t="s">
        <v>111</v>
      </c>
      <c r="B72" s="10" t="s">
        <v>110</v>
      </c>
      <c r="C72" s="35" t="s">
        <v>40</v>
      </c>
      <c r="D72" s="9" t="s">
        <v>147</v>
      </c>
      <c r="E72" s="9" t="s">
        <v>148</v>
      </c>
      <c r="F72" s="9" t="s">
        <v>148</v>
      </c>
      <c r="G72" s="9" t="s">
        <v>148</v>
      </c>
      <c r="H72" s="9" t="s">
        <v>148</v>
      </c>
      <c r="I72" s="9" t="s">
        <v>148</v>
      </c>
      <c r="J72" s="9" t="s">
        <v>147</v>
      </c>
      <c r="K72" s="6">
        <f>SUM(E72:I72)</f>
        <v>0</v>
      </c>
      <c r="L72" s="6">
        <f t="shared" si="25"/>
        <v>0</v>
      </c>
      <c r="M72" s="4">
        <f t="shared" si="22"/>
        <v>0</v>
      </c>
      <c r="N72" s="4">
        <f t="shared" si="26"/>
        <v>2250</v>
      </c>
      <c r="O72" s="4">
        <f t="shared" si="23"/>
        <v>2250</v>
      </c>
      <c r="P72" s="4">
        <f t="shared" si="24"/>
        <v>1</v>
      </c>
      <c r="Q72" s="6"/>
      <c r="R72" s="6"/>
    </row>
    <row r="73" spans="1:18">
      <c r="A73" s="5" t="s">
        <v>22</v>
      </c>
      <c r="B73" s="32" t="s">
        <v>112</v>
      </c>
      <c r="C73" s="35" t="s">
        <v>25</v>
      </c>
      <c r="D73" s="9" t="s">
        <v>148</v>
      </c>
      <c r="E73" s="9">
        <v>14</v>
      </c>
      <c r="F73" s="9">
        <v>18</v>
      </c>
      <c r="G73" s="9">
        <v>1</v>
      </c>
      <c r="H73" s="9">
        <v>3</v>
      </c>
      <c r="I73" s="9" t="s">
        <v>148</v>
      </c>
      <c r="J73" s="9" t="s">
        <v>147</v>
      </c>
      <c r="K73" s="6">
        <f>SUM(D73:I73)</f>
        <v>36</v>
      </c>
      <c r="L73" s="6">
        <f t="shared" si="25"/>
        <v>0</v>
      </c>
      <c r="M73" s="4">
        <f t="shared" si="22"/>
        <v>36</v>
      </c>
      <c r="N73" s="4">
        <f t="shared" si="26"/>
        <v>2250</v>
      </c>
      <c r="O73" s="4">
        <f t="shared" si="23"/>
        <v>2214</v>
      </c>
      <c r="P73" s="4">
        <f t="shared" si="24"/>
        <v>0.98399999999999999</v>
      </c>
      <c r="Q73" s="6"/>
      <c r="R73" s="6"/>
    </row>
    <row r="74" spans="1:18">
      <c r="A74" s="5" t="s">
        <v>26</v>
      </c>
      <c r="B74" s="10" t="s">
        <v>113</v>
      </c>
      <c r="C74" s="11" t="s">
        <v>40</v>
      </c>
      <c r="D74" s="9" t="s">
        <v>148</v>
      </c>
      <c r="E74" s="9" t="s">
        <v>148</v>
      </c>
      <c r="F74" s="9" t="s">
        <v>147</v>
      </c>
      <c r="G74" s="9" t="s">
        <v>147</v>
      </c>
      <c r="H74" s="9" t="s">
        <v>148</v>
      </c>
      <c r="I74" s="9" t="s">
        <v>148</v>
      </c>
      <c r="J74" s="9" t="s">
        <v>148</v>
      </c>
      <c r="K74" s="6">
        <f>SUM(D74:J74)</f>
        <v>0</v>
      </c>
      <c r="L74" s="6">
        <f t="shared" si="25"/>
        <v>0</v>
      </c>
      <c r="M74" s="4">
        <f t="shared" si="22"/>
        <v>0</v>
      </c>
      <c r="N74" s="4">
        <f t="shared" si="26"/>
        <v>2250</v>
      </c>
      <c r="O74" s="4">
        <f t="shared" si="23"/>
        <v>2250</v>
      </c>
      <c r="P74" s="4">
        <f t="shared" si="24"/>
        <v>1</v>
      </c>
      <c r="Q74" s="6">
        <v>1</v>
      </c>
      <c r="R74" s="6"/>
    </row>
    <row r="75" spans="1:18">
      <c r="A75" s="5" t="s">
        <v>37</v>
      </c>
      <c r="B75" s="32" t="s">
        <v>114</v>
      </c>
      <c r="C75" s="35" t="s">
        <v>40</v>
      </c>
      <c r="D75" s="9" t="s">
        <v>147</v>
      </c>
      <c r="E75" s="9" t="s">
        <v>147</v>
      </c>
      <c r="F75" s="9">
        <v>270</v>
      </c>
      <c r="G75" s="9">
        <v>10</v>
      </c>
      <c r="H75" s="9">
        <v>17</v>
      </c>
      <c r="I75" s="9" t="s">
        <v>148</v>
      </c>
      <c r="J75" s="9" t="s">
        <v>148</v>
      </c>
      <c r="K75" s="6">
        <f>SUM(D75:J75)</f>
        <v>297</v>
      </c>
      <c r="L75" s="6">
        <f t="shared" si="25"/>
        <v>0</v>
      </c>
      <c r="M75" s="4">
        <f t="shared" si="22"/>
        <v>297</v>
      </c>
      <c r="N75" s="4">
        <f>450*5</f>
        <v>2250</v>
      </c>
      <c r="O75" s="4">
        <f t="shared" si="23"/>
        <v>1953</v>
      </c>
      <c r="P75" s="4">
        <f t="shared" si="24"/>
        <v>0.86799999999999999</v>
      </c>
      <c r="Q75" s="6"/>
      <c r="R75" s="6"/>
    </row>
    <row r="76" spans="1:18">
      <c r="A76" s="5" t="s">
        <v>22</v>
      </c>
      <c r="B76" s="32" t="s">
        <v>66</v>
      </c>
      <c r="C76" s="35" t="s">
        <v>30</v>
      </c>
      <c r="D76" s="9" t="s">
        <v>148</v>
      </c>
      <c r="E76" s="9" t="s">
        <v>148</v>
      </c>
      <c r="F76" s="9" t="s">
        <v>148</v>
      </c>
      <c r="G76" s="9">
        <v>5</v>
      </c>
      <c r="H76" s="9" t="s">
        <v>148</v>
      </c>
      <c r="I76" s="9" t="s">
        <v>148</v>
      </c>
      <c r="J76" s="9" t="s">
        <v>147</v>
      </c>
      <c r="K76" s="6">
        <f>SUM(D76:J76)</f>
        <v>5</v>
      </c>
      <c r="L76" s="6">
        <f t="shared" si="25"/>
        <v>0</v>
      </c>
      <c r="M76" s="4">
        <f t="shared" si="22"/>
        <v>5</v>
      </c>
      <c r="N76" s="4">
        <f>450*5</f>
        <v>2250</v>
      </c>
      <c r="O76" s="4">
        <f t="shared" si="23"/>
        <v>2245</v>
      </c>
      <c r="P76" s="4">
        <f t="shared" si="24"/>
        <v>0.99777777777777776</v>
      </c>
      <c r="Q76" s="6"/>
      <c r="R76" s="6"/>
    </row>
    <row r="77" spans="1:18">
      <c r="A77" s="5" t="s">
        <v>22</v>
      </c>
      <c r="B77" s="32" t="s">
        <v>115</v>
      </c>
      <c r="C77" s="35" t="s">
        <v>33</v>
      </c>
      <c r="D77" s="9" t="s">
        <v>147</v>
      </c>
      <c r="E77" s="9" t="s">
        <v>148</v>
      </c>
      <c r="F77" s="9" t="s">
        <v>148</v>
      </c>
      <c r="G77" s="9" t="s">
        <v>148</v>
      </c>
      <c r="H77" s="9">
        <v>11</v>
      </c>
      <c r="I77" s="9" t="s">
        <v>148</v>
      </c>
      <c r="J77" s="9" t="s">
        <v>147</v>
      </c>
      <c r="K77" s="6">
        <f>SUM(E77:I77)</f>
        <v>11</v>
      </c>
      <c r="L77" s="6">
        <f t="shared" si="25"/>
        <v>0</v>
      </c>
      <c r="M77" s="4">
        <f t="shared" si="22"/>
        <v>11</v>
      </c>
      <c r="N77" s="4">
        <f t="shared" ref="N77:N79" si="28">450*5</f>
        <v>2250</v>
      </c>
      <c r="O77" s="4">
        <f t="shared" si="23"/>
        <v>2239</v>
      </c>
      <c r="P77" s="4">
        <f t="shared" si="24"/>
        <v>0.99511111111111106</v>
      </c>
      <c r="Q77" s="6"/>
      <c r="R77" s="6"/>
    </row>
    <row r="78" spans="1:18">
      <c r="A78" s="5" t="s">
        <v>22</v>
      </c>
      <c r="B78" s="32" t="s">
        <v>116</v>
      </c>
      <c r="C78" s="35" t="s">
        <v>63</v>
      </c>
      <c r="D78" s="9" t="s">
        <v>147</v>
      </c>
      <c r="E78" s="9" t="s">
        <v>148</v>
      </c>
      <c r="F78" s="9">
        <v>11</v>
      </c>
      <c r="G78" s="9" t="s">
        <v>148</v>
      </c>
      <c r="H78" s="9">
        <v>7</v>
      </c>
      <c r="I78" s="9" t="s">
        <v>148</v>
      </c>
      <c r="J78" s="9" t="s">
        <v>147</v>
      </c>
      <c r="K78" s="6">
        <f>SUM(D78:I78)</f>
        <v>18</v>
      </c>
      <c r="L78" s="6">
        <f t="shared" si="25"/>
        <v>0</v>
      </c>
      <c r="M78" s="4">
        <f t="shared" si="22"/>
        <v>18</v>
      </c>
      <c r="N78" s="4">
        <f t="shared" si="28"/>
        <v>2250</v>
      </c>
      <c r="O78" s="4">
        <f t="shared" si="23"/>
        <v>2232</v>
      </c>
      <c r="P78" s="4">
        <f t="shared" si="24"/>
        <v>0.99199999999999999</v>
      </c>
      <c r="Q78" s="6"/>
      <c r="R78" s="6"/>
    </row>
    <row r="79" spans="1:18">
      <c r="A79" s="5" t="s">
        <v>22</v>
      </c>
      <c r="B79" s="32" t="s">
        <v>117</v>
      </c>
      <c r="C79" s="35" t="s">
        <v>30</v>
      </c>
      <c r="D79" s="9" t="s">
        <v>147</v>
      </c>
      <c r="E79" s="9" t="s">
        <v>148</v>
      </c>
      <c r="F79" s="9" t="s">
        <v>148</v>
      </c>
      <c r="G79" s="9" t="s">
        <v>148</v>
      </c>
      <c r="H79" s="9" t="s">
        <v>148</v>
      </c>
      <c r="I79" s="9" t="s">
        <v>148</v>
      </c>
      <c r="J79" s="9" t="s">
        <v>147</v>
      </c>
      <c r="K79" s="6">
        <f>SUM(D79:J79)</f>
        <v>0</v>
      </c>
      <c r="L79" s="6">
        <f t="shared" si="25"/>
        <v>0</v>
      </c>
      <c r="M79" s="4">
        <f t="shared" si="22"/>
        <v>0</v>
      </c>
      <c r="N79" s="4">
        <f t="shared" si="28"/>
        <v>2250</v>
      </c>
      <c r="O79" s="4">
        <f t="shared" si="23"/>
        <v>2250</v>
      </c>
      <c r="P79" s="4">
        <f t="shared" si="24"/>
        <v>1</v>
      </c>
      <c r="Q79" s="6"/>
      <c r="R79" s="6"/>
    </row>
    <row r="80" spans="1:18">
      <c r="A80" s="5" t="s">
        <v>37</v>
      </c>
      <c r="B80" s="32" t="s">
        <v>118</v>
      </c>
      <c r="C80" s="35" t="s">
        <v>40</v>
      </c>
      <c r="D80" s="9" t="s">
        <v>147</v>
      </c>
      <c r="E80" s="9" t="s">
        <v>148</v>
      </c>
      <c r="F80" s="9" t="s">
        <v>148</v>
      </c>
      <c r="G80" s="9" t="s">
        <v>148</v>
      </c>
      <c r="H80" s="9">
        <v>5</v>
      </c>
      <c r="I80" s="9">
        <v>298</v>
      </c>
      <c r="J80" s="9" t="s">
        <v>148</v>
      </c>
      <c r="K80" s="6">
        <f>SUM(D80:J80)</f>
        <v>303</v>
      </c>
      <c r="L80" s="6">
        <f t="shared" si="25"/>
        <v>0</v>
      </c>
      <c r="M80" s="4">
        <f t="shared" si="22"/>
        <v>303</v>
      </c>
      <c r="N80" s="4">
        <f>450*5</f>
        <v>2250</v>
      </c>
      <c r="O80" s="4">
        <f t="shared" si="23"/>
        <v>1947</v>
      </c>
      <c r="P80" s="4">
        <f t="shared" si="24"/>
        <v>0.86533333333333329</v>
      </c>
      <c r="Q80" s="6"/>
      <c r="R80" s="6"/>
    </row>
    <row r="81" spans="1:18">
      <c r="A81" s="5" t="s">
        <v>26</v>
      </c>
      <c r="B81" s="10" t="s">
        <v>119</v>
      </c>
      <c r="C81" s="11" t="s">
        <v>25</v>
      </c>
      <c r="D81" s="9" t="s">
        <v>148</v>
      </c>
      <c r="E81" s="9" t="s">
        <v>148</v>
      </c>
      <c r="F81" s="9" t="s">
        <v>148</v>
      </c>
      <c r="G81" s="9" t="s">
        <v>147</v>
      </c>
      <c r="H81" s="9" t="s">
        <v>147</v>
      </c>
      <c r="I81" s="9" t="s">
        <v>148</v>
      </c>
      <c r="J81" s="9" t="s">
        <v>148</v>
      </c>
      <c r="K81" s="6">
        <f>SUM(D81:J81)</f>
        <v>0</v>
      </c>
      <c r="L81" s="6">
        <f t="shared" si="25"/>
        <v>0</v>
      </c>
      <c r="M81" s="4">
        <f t="shared" si="22"/>
        <v>0</v>
      </c>
      <c r="N81" s="4">
        <f t="shared" ref="N81:N82" si="29">450*5</f>
        <v>2250</v>
      </c>
      <c r="O81" s="4">
        <f t="shared" si="23"/>
        <v>2250</v>
      </c>
      <c r="P81" s="4">
        <f t="shared" si="24"/>
        <v>1</v>
      </c>
      <c r="Q81" s="6"/>
      <c r="R81" s="6"/>
    </row>
    <row r="82" spans="1:18">
      <c r="A82" s="5" t="s">
        <v>22</v>
      </c>
      <c r="B82" s="32" t="s">
        <v>120</v>
      </c>
      <c r="C82" s="35" t="s">
        <v>30</v>
      </c>
      <c r="D82" s="9" t="s">
        <v>148</v>
      </c>
      <c r="E82" s="9">
        <v>9</v>
      </c>
      <c r="F82" s="9" t="s">
        <v>148</v>
      </c>
      <c r="G82" s="9">
        <v>28</v>
      </c>
      <c r="H82" s="9" t="s">
        <v>148</v>
      </c>
      <c r="I82" s="9" t="s">
        <v>148</v>
      </c>
      <c r="J82" s="9" t="s">
        <v>147</v>
      </c>
      <c r="K82" s="4">
        <f>SUM(D82:J82)</f>
        <v>37</v>
      </c>
      <c r="L82" s="6">
        <f t="shared" si="25"/>
        <v>0</v>
      </c>
      <c r="M82" s="4">
        <f t="shared" si="22"/>
        <v>37</v>
      </c>
      <c r="N82" s="4">
        <f t="shared" si="29"/>
        <v>2250</v>
      </c>
      <c r="O82" s="4">
        <f t="shared" si="23"/>
        <v>2213</v>
      </c>
      <c r="P82" s="4">
        <f t="shared" si="24"/>
        <v>0.98355555555555552</v>
      </c>
      <c r="Q82" s="6"/>
      <c r="R82" s="6"/>
    </row>
    <row r="83" spans="1:18">
      <c r="A83" s="5" t="s">
        <v>22</v>
      </c>
      <c r="B83" s="32" t="s">
        <v>121</v>
      </c>
      <c r="C83" s="35" t="s">
        <v>63</v>
      </c>
      <c r="D83" s="9" t="s">
        <v>147</v>
      </c>
      <c r="E83" s="9" t="s">
        <v>151</v>
      </c>
      <c r="F83" s="9" t="s">
        <v>151</v>
      </c>
      <c r="G83" s="9" t="s">
        <v>151</v>
      </c>
      <c r="H83" s="9" t="s">
        <v>151</v>
      </c>
      <c r="I83" s="9" t="s">
        <v>151</v>
      </c>
      <c r="J83" s="9" t="s">
        <v>147</v>
      </c>
      <c r="K83" s="6">
        <f>SUM(D83:I83)</f>
        <v>0</v>
      </c>
      <c r="L83" s="6">
        <f t="shared" si="25"/>
        <v>0</v>
      </c>
      <c r="M83" s="4">
        <f t="shared" si="22"/>
        <v>0</v>
      </c>
      <c r="N83" s="4">
        <f>450*5</f>
        <v>2250</v>
      </c>
      <c r="O83" s="4">
        <f t="shared" si="23"/>
        <v>2250</v>
      </c>
      <c r="P83" s="4">
        <f t="shared" si="24"/>
        <v>1</v>
      </c>
      <c r="Q83" s="6"/>
      <c r="R83" s="6"/>
    </row>
    <row r="84" spans="1:18">
      <c r="A84" s="5" t="s">
        <v>22</v>
      </c>
      <c r="B84" s="32" t="s">
        <v>122</v>
      </c>
      <c r="C84" s="35" t="s">
        <v>30</v>
      </c>
      <c r="D84" s="9" t="s">
        <v>148</v>
      </c>
      <c r="E84" s="9" t="s">
        <v>148</v>
      </c>
      <c r="F84" s="9" t="s">
        <v>148</v>
      </c>
      <c r="G84" s="9" t="s">
        <v>148</v>
      </c>
      <c r="H84" s="9" t="s">
        <v>148</v>
      </c>
      <c r="I84" s="9" t="s">
        <v>148</v>
      </c>
      <c r="J84" s="9" t="s">
        <v>147</v>
      </c>
      <c r="K84" s="6">
        <v>0</v>
      </c>
      <c r="L84" s="6">
        <f t="shared" si="25"/>
        <v>0</v>
      </c>
      <c r="M84" s="4">
        <f t="shared" si="22"/>
        <v>0</v>
      </c>
      <c r="N84" s="4">
        <f>450*5</f>
        <v>2250</v>
      </c>
      <c r="O84" s="4">
        <f t="shared" si="23"/>
        <v>2250</v>
      </c>
      <c r="P84" s="4">
        <f t="shared" si="24"/>
        <v>1</v>
      </c>
      <c r="Q84" s="6"/>
      <c r="R84" s="6"/>
    </row>
    <row r="85" spans="1:18">
      <c r="A85" s="5" t="s">
        <v>26</v>
      </c>
      <c r="B85" s="10" t="s">
        <v>123</v>
      </c>
      <c r="C85" s="11" t="s">
        <v>40</v>
      </c>
      <c r="D85" s="9" t="s">
        <v>147</v>
      </c>
      <c r="E85" s="9" t="s">
        <v>148</v>
      </c>
      <c r="F85" s="9" t="s">
        <v>148</v>
      </c>
      <c r="G85" s="9" t="s">
        <v>148</v>
      </c>
      <c r="H85" s="9" t="s">
        <v>148</v>
      </c>
      <c r="I85" s="9" t="s">
        <v>148</v>
      </c>
      <c r="J85" s="9" t="s">
        <v>147</v>
      </c>
      <c r="K85" s="6">
        <f t="shared" ref="K85:K86" si="30">SUM(D85:J85)</f>
        <v>0</v>
      </c>
      <c r="L85" s="6">
        <f t="shared" si="25"/>
        <v>0</v>
      </c>
      <c r="M85" s="4">
        <f t="shared" si="22"/>
        <v>0</v>
      </c>
      <c r="N85" s="4">
        <f t="shared" ref="N85:N88" si="31">450*5</f>
        <v>2250</v>
      </c>
      <c r="O85" s="4">
        <f t="shared" si="23"/>
        <v>2250</v>
      </c>
      <c r="P85" s="4">
        <f t="shared" si="24"/>
        <v>1</v>
      </c>
      <c r="Q85" s="6"/>
      <c r="R85" s="6"/>
    </row>
    <row r="86" spans="1:18">
      <c r="A86" s="5" t="s">
        <v>26</v>
      </c>
      <c r="B86" s="10" t="s">
        <v>124</v>
      </c>
      <c r="C86" s="11" t="s">
        <v>36</v>
      </c>
      <c r="D86" s="9" t="s">
        <v>147</v>
      </c>
      <c r="E86" s="9" t="s">
        <v>148</v>
      </c>
      <c r="F86" s="9" t="s">
        <v>148</v>
      </c>
      <c r="G86" s="9" t="s">
        <v>148</v>
      </c>
      <c r="H86" s="9" t="s">
        <v>148</v>
      </c>
      <c r="I86" s="9" t="s">
        <v>148</v>
      </c>
      <c r="J86" s="9" t="s">
        <v>147</v>
      </c>
      <c r="K86" s="6">
        <f t="shared" si="30"/>
        <v>0</v>
      </c>
      <c r="L86" s="6">
        <f t="shared" si="25"/>
        <v>0</v>
      </c>
      <c r="M86" s="4">
        <f t="shared" si="22"/>
        <v>0</v>
      </c>
      <c r="N86" s="4">
        <f t="shared" si="31"/>
        <v>2250</v>
      </c>
      <c r="O86" s="4">
        <f t="shared" si="23"/>
        <v>2250</v>
      </c>
      <c r="P86" s="4">
        <f t="shared" si="24"/>
        <v>1</v>
      </c>
      <c r="Q86" s="6"/>
      <c r="R86" s="6"/>
    </row>
    <row r="87" spans="1:18">
      <c r="A87" s="5" t="s">
        <v>22</v>
      </c>
      <c r="B87" s="32" t="s">
        <v>125</v>
      </c>
      <c r="C87" s="35" t="s">
        <v>25</v>
      </c>
      <c r="D87" s="9" t="s">
        <v>147</v>
      </c>
      <c r="E87" s="9" t="s">
        <v>148</v>
      </c>
      <c r="F87" s="9">
        <v>450</v>
      </c>
      <c r="G87" s="9" t="s">
        <v>148</v>
      </c>
      <c r="H87" s="9">
        <v>1</v>
      </c>
      <c r="I87" s="9" t="s">
        <v>148</v>
      </c>
      <c r="J87" s="9" t="s">
        <v>147</v>
      </c>
      <c r="K87" s="6">
        <f>H87</f>
        <v>1</v>
      </c>
      <c r="L87" s="6">
        <f t="shared" si="25"/>
        <v>450</v>
      </c>
      <c r="M87" s="4">
        <f t="shared" si="22"/>
        <v>451</v>
      </c>
      <c r="N87" s="4">
        <f t="shared" si="31"/>
        <v>2250</v>
      </c>
      <c r="O87" s="4">
        <f t="shared" si="23"/>
        <v>1799</v>
      </c>
      <c r="P87" s="4">
        <f t="shared" si="24"/>
        <v>0.79955555555555557</v>
      </c>
      <c r="Q87" s="6"/>
      <c r="R87" s="6"/>
    </row>
    <row r="88" spans="1:18">
      <c r="A88" s="5" t="s">
        <v>26</v>
      </c>
      <c r="B88" s="10" t="s">
        <v>126</v>
      </c>
      <c r="C88" s="11" t="s">
        <v>30</v>
      </c>
      <c r="D88" s="9" t="s">
        <v>147</v>
      </c>
      <c r="E88" s="9">
        <v>2</v>
      </c>
      <c r="F88" s="9" t="s">
        <v>148</v>
      </c>
      <c r="G88" s="9" t="s">
        <v>148</v>
      </c>
      <c r="H88" s="9" t="s">
        <v>148</v>
      </c>
      <c r="I88" s="9" t="s">
        <v>148</v>
      </c>
      <c r="J88" s="9" t="s">
        <v>147</v>
      </c>
      <c r="K88" s="6">
        <f>SUM(D88:J88)</f>
        <v>2</v>
      </c>
      <c r="L88" s="6">
        <f t="shared" si="25"/>
        <v>0</v>
      </c>
      <c r="M88" s="4">
        <f t="shared" si="22"/>
        <v>2</v>
      </c>
      <c r="N88" s="4">
        <f t="shared" si="31"/>
        <v>2250</v>
      </c>
      <c r="O88" s="4">
        <f t="shared" si="23"/>
        <v>2248</v>
      </c>
      <c r="P88" s="4">
        <f t="shared" si="24"/>
        <v>0.99911111111111106</v>
      </c>
      <c r="Q88" s="6"/>
      <c r="R88" s="6"/>
    </row>
    <row r="89" spans="1:18">
      <c r="A89" s="5" t="s">
        <v>22</v>
      </c>
      <c r="B89" s="32" t="s">
        <v>127</v>
      </c>
      <c r="C89" s="35" t="s">
        <v>33</v>
      </c>
      <c r="D89" s="9" t="s">
        <v>148</v>
      </c>
      <c r="E89" s="9" t="s">
        <v>148</v>
      </c>
      <c r="F89" s="9" t="s">
        <v>148</v>
      </c>
      <c r="G89" s="9" t="s">
        <v>14</v>
      </c>
      <c r="H89" s="9" t="s">
        <v>148</v>
      </c>
      <c r="I89" s="9" t="s">
        <v>148</v>
      </c>
      <c r="J89" s="9" t="s">
        <v>147</v>
      </c>
      <c r="K89" s="6">
        <f t="shared" ref="K89:K90" si="32">SUM(E89:I89)</f>
        <v>0</v>
      </c>
      <c r="L89" s="6">
        <f t="shared" si="25"/>
        <v>0</v>
      </c>
      <c r="M89" s="4">
        <f t="shared" si="22"/>
        <v>0</v>
      </c>
      <c r="N89" s="4">
        <f>450*4</f>
        <v>1800</v>
      </c>
      <c r="O89" s="4">
        <f t="shared" si="23"/>
        <v>1800</v>
      </c>
      <c r="P89" s="4">
        <f t="shared" si="24"/>
        <v>1</v>
      </c>
      <c r="Q89" s="6"/>
      <c r="R89" s="6">
        <v>1</v>
      </c>
    </row>
    <row r="90" spans="1:18">
      <c r="A90" s="5" t="s">
        <v>22</v>
      </c>
      <c r="B90" s="32" t="s">
        <v>128</v>
      </c>
      <c r="C90" s="35" t="s">
        <v>33</v>
      </c>
      <c r="D90" s="9" t="s">
        <v>147</v>
      </c>
      <c r="E90" s="9" t="s">
        <v>148</v>
      </c>
      <c r="F90" s="9" t="s">
        <v>148</v>
      </c>
      <c r="G90" s="9" t="s">
        <v>148</v>
      </c>
      <c r="H90" s="9" t="s">
        <v>148</v>
      </c>
      <c r="I90" s="9">
        <v>3</v>
      </c>
      <c r="J90" s="9" t="s">
        <v>147</v>
      </c>
      <c r="K90" s="6">
        <f t="shared" si="32"/>
        <v>3</v>
      </c>
      <c r="L90" s="6">
        <f t="shared" si="25"/>
        <v>0</v>
      </c>
      <c r="M90" s="4">
        <f t="shared" si="22"/>
        <v>3</v>
      </c>
      <c r="N90" s="4">
        <f>450*5</f>
        <v>2250</v>
      </c>
      <c r="O90" s="4">
        <f t="shared" si="23"/>
        <v>2247</v>
      </c>
      <c r="P90" s="4">
        <f t="shared" si="24"/>
        <v>0.9986666666666667</v>
      </c>
      <c r="Q90" s="6"/>
      <c r="R90" s="6"/>
    </row>
    <row r="91" spans="1:18">
      <c r="A91" s="5" t="s">
        <v>22</v>
      </c>
      <c r="B91" s="32" t="s">
        <v>129</v>
      </c>
      <c r="C91" s="35" t="s">
        <v>56</v>
      </c>
      <c r="D91" s="9" t="s">
        <v>148</v>
      </c>
      <c r="E91" s="9" t="s">
        <v>148</v>
      </c>
      <c r="F91" s="9" t="s">
        <v>148</v>
      </c>
      <c r="G91" s="9" t="s">
        <v>148</v>
      </c>
      <c r="H91" s="9">
        <v>3</v>
      </c>
      <c r="I91" s="9" t="s">
        <v>148</v>
      </c>
      <c r="J91" s="9" t="s">
        <v>147</v>
      </c>
      <c r="K91" s="4">
        <f>SUM(D91:J91)</f>
        <v>3</v>
      </c>
      <c r="L91" s="6">
        <f t="shared" si="25"/>
        <v>0</v>
      </c>
      <c r="M91" s="4">
        <f t="shared" si="22"/>
        <v>3</v>
      </c>
      <c r="N91" s="4">
        <f>450*5</f>
        <v>2250</v>
      </c>
      <c r="O91" s="4">
        <f t="shared" si="23"/>
        <v>2247</v>
      </c>
      <c r="P91" s="4">
        <f t="shared" si="24"/>
        <v>0.9986666666666667</v>
      </c>
      <c r="Q91" s="6"/>
      <c r="R91" s="6"/>
    </row>
    <row r="92" spans="1:18">
      <c r="A92" s="5" t="s">
        <v>22</v>
      </c>
      <c r="B92" s="32" t="s">
        <v>130</v>
      </c>
      <c r="C92" s="35" t="s">
        <v>33</v>
      </c>
      <c r="D92" s="9" t="s">
        <v>147</v>
      </c>
      <c r="E92" s="9" t="s">
        <v>148</v>
      </c>
      <c r="F92" s="9" t="s">
        <v>148</v>
      </c>
      <c r="G92" s="9" t="s">
        <v>148</v>
      </c>
      <c r="H92" s="9">
        <v>18</v>
      </c>
      <c r="I92" s="9" t="s">
        <v>148</v>
      </c>
      <c r="J92" s="9" t="s">
        <v>147</v>
      </c>
      <c r="K92" s="6">
        <f>SUM(E92:I92)</f>
        <v>18</v>
      </c>
      <c r="L92" s="6">
        <f t="shared" si="25"/>
        <v>0</v>
      </c>
      <c r="M92" s="4">
        <f t="shared" si="22"/>
        <v>18</v>
      </c>
      <c r="N92" s="4">
        <f t="shared" ref="N92:N93" si="33">450*5</f>
        <v>2250</v>
      </c>
      <c r="O92" s="4">
        <f t="shared" si="23"/>
        <v>2232</v>
      </c>
      <c r="P92" s="4">
        <f t="shared" si="24"/>
        <v>0.99199999999999999</v>
      </c>
      <c r="Q92" s="6"/>
      <c r="R92" s="6"/>
    </row>
    <row r="93" spans="1:18">
      <c r="A93" s="5" t="s">
        <v>26</v>
      </c>
      <c r="B93" s="10" t="s">
        <v>131</v>
      </c>
      <c r="C93" s="11" t="s">
        <v>33</v>
      </c>
      <c r="D93" s="9" t="s">
        <v>147</v>
      </c>
      <c r="E93" s="9">
        <v>450</v>
      </c>
      <c r="F93" s="9">
        <v>15</v>
      </c>
      <c r="G93" s="9">
        <v>7</v>
      </c>
      <c r="H93" s="9">
        <v>14</v>
      </c>
      <c r="I93" s="9" t="s">
        <v>148</v>
      </c>
      <c r="J93" s="9" t="s">
        <v>147</v>
      </c>
      <c r="K93" s="6">
        <f>SUM(D93:J93)</f>
        <v>486</v>
      </c>
      <c r="L93" s="6">
        <f t="shared" si="25"/>
        <v>450</v>
      </c>
      <c r="M93" s="4">
        <f t="shared" si="22"/>
        <v>936</v>
      </c>
      <c r="N93" s="4">
        <f t="shared" si="33"/>
        <v>2250</v>
      </c>
      <c r="O93" s="4">
        <f t="shared" si="23"/>
        <v>1314</v>
      </c>
      <c r="P93" s="4">
        <f t="shared" si="24"/>
        <v>0.58399999999999996</v>
      </c>
      <c r="Q93" s="6"/>
      <c r="R93" s="6"/>
    </row>
    <row r="94" spans="1:18">
      <c r="A94" s="5" t="s">
        <v>22</v>
      </c>
      <c r="B94" s="32" t="s">
        <v>132</v>
      </c>
      <c r="C94" s="35" t="s">
        <v>56</v>
      </c>
      <c r="D94" s="9" t="s">
        <v>148</v>
      </c>
      <c r="E94" s="9" t="s">
        <v>148</v>
      </c>
      <c r="F94" s="9" t="s">
        <v>148</v>
      </c>
      <c r="G94" s="9" t="s">
        <v>148</v>
      </c>
      <c r="H94" s="9" t="s">
        <v>148</v>
      </c>
      <c r="I94" s="9" t="s">
        <v>148</v>
      </c>
      <c r="J94" s="9" t="s">
        <v>147</v>
      </c>
      <c r="K94" s="4">
        <f>SUM(D94:J94)</f>
        <v>0</v>
      </c>
      <c r="L94" s="6">
        <f t="shared" si="25"/>
        <v>0</v>
      </c>
      <c r="M94" s="4">
        <f t="shared" si="22"/>
        <v>0</v>
      </c>
      <c r="N94" s="4">
        <f>450*5</f>
        <v>2250</v>
      </c>
      <c r="O94" s="4">
        <f t="shared" si="23"/>
        <v>2250</v>
      </c>
      <c r="P94" s="4">
        <f t="shared" si="24"/>
        <v>1</v>
      </c>
      <c r="Q94" s="6"/>
      <c r="R94" s="6"/>
    </row>
    <row r="95" spans="1:18">
      <c r="A95" s="5" t="s">
        <v>26</v>
      </c>
      <c r="B95" s="10" t="s">
        <v>133</v>
      </c>
      <c r="C95" s="11" t="s">
        <v>40</v>
      </c>
      <c r="D95" s="9" t="s">
        <v>147</v>
      </c>
      <c r="E95" s="9">
        <v>35</v>
      </c>
      <c r="F95" s="9">
        <v>11</v>
      </c>
      <c r="G95" s="9">
        <v>8</v>
      </c>
      <c r="H95" s="9">
        <v>44</v>
      </c>
      <c r="I95" s="9" t="s">
        <v>148</v>
      </c>
      <c r="J95" s="9" t="s">
        <v>147</v>
      </c>
      <c r="K95" s="6">
        <f t="shared" ref="K95:K96" si="34">SUM(D95:J95)</f>
        <v>98</v>
      </c>
      <c r="L95" s="6">
        <f t="shared" si="25"/>
        <v>0</v>
      </c>
      <c r="M95" s="4">
        <f t="shared" si="22"/>
        <v>98</v>
      </c>
      <c r="N95" s="4">
        <f t="shared" ref="N95:N97" si="35">450*5</f>
        <v>2250</v>
      </c>
      <c r="O95" s="4">
        <f t="shared" si="23"/>
        <v>2152</v>
      </c>
      <c r="P95" s="4">
        <f t="shared" si="24"/>
        <v>0.95644444444444443</v>
      </c>
      <c r="Q95" s="6"/>
      <c r="R95" s="6"/>
    </row>
    <row r="96" spans="1:18">
      <c r="A96" s="12" t="s">
        <v>26</v>
      </c>
      <c r="B96" s="33" t="s">
        <v>27</v>
      </c>
      <c r="C96" s="36" t="s">
        <v>40</v>
      </c>
      <c r="D96" s="9" t="s">
        <v>147</v>
      </c>
      <c r="E96" s="9" t="s">
        <v>152</v>
      </c>
      <c r="F96" s="9" t="s">
        <v>148</v>
      </c>
      <c r="G96" s="9" t="s">
        <v>148</v>
      </c>
      <c r="H96" s="9" t="s">
        <v>148</v>
      </c>
      <c r="I96" s="9" t="s">
        <v>148</v>
      </c>
      <c r="J96" s="9" t="s">
        <v>147</v>
      </c>
      <c r="K96" s="6">
        <f t="shared" si="34"/>
        <v>0</v>
      </c>
      <c r="L96" s="6">
        <f t="shared" si="25"/>
        <v>0</v>
      </c>
      <c r="M96" s="4">
        <f t="shared" si="22"/>
        <v>0</v>
      </c>
      <c r="N96" s="4">
        <f t="shared" si="35"/>
        <v>2250</v>
      </c>
      <c r="O96" s="4">
        <f t="shared" si="23"/>
        <v>2250</v>
      </c>
      <c r="P96" s="4">
        <f t="shared" si="24"/>
        <v>1</v>
      </c>
      <c r="Q96" s="6"/>
      <c r="R96" s="6"/>
    </row>
    <row r="97" spans="1:18">
      <c r="A97" s="5" t="s">
        <v>22</v>
      </c>
      <c r="B97" s="5" t="s">
        <v>134</v>
      </c>
      <c r="C97" s="5" t="s">
        <v>56</v>
      </c>
      <c r="D97" s="9" t="s">
        <v>147</v>
      </c>
      <c r="E97" s="9" t="s">
        <v>148</v>
      </c>
      <c r="F97" s="9">
        <v>4</v>
      </c>
      <c r="G97" s="9" t="s">
        <v>148</v>
      </c>
      <c r="H97" s="9" t="s">
        <v>148</v>
      </c>
      <c r="I97" s="9" t="s">
        <v>148</v>
      </c>
      <c r="J97" s="9" t="s">
        <v>147</v>
      </c>
      <c r="K97" s="4">
        <f>SUM(D97:J97)</f>
        <v>4</v>
      </c>
      <c r="L97" s="6">
        <f t="shared" si="25"/>
        <v>0</v>
      </c>
      <c r="M97" s="4">
        <f t="shared" si="22"/>
        <v>4</v>
      </c>
      <c r="N97" s="4">
        <f t="shared" si="35"/>
        <v>2250</v>
      </c>
      <c r="O97" s="4">
        <f t="shared" si="23"/>
        <v>2246</v>
      </c>
      <c r="P97" s="4">
        <f t="shared" si="24"/>
        <v>0.99822222222222223</v>
      </c>
      <c r="Q97" s="6"/>
      <c r="R97" s="6"/>
    </row>
    <row r="98" spans="1:18">
      <c r="K98" s="6">
        <f>SUM(K2:K97)</f>
        <v>2362</v>
      </c>
      <c r="L98" s="6">
        <f t="shared" ref="L98:M98" si="36">SUM(L2:L97)</f>
        <v>3150</v>
      </c>
      <c r="M98" s="6">
        <f t="shared" si="36"/>
        <v>5512</v>
      </c>
      <c r="N98" s="6">
        <f t="shared" ref="N98" si="37">SUM(N2:N97)</f>
        <v>215100</v>
      </c>
      <c r="O98" s="6">
        <f t="shared" ref="O98" si="38">SUM(O2:O97)</f>
        <v>209588</v>
      </c>
      <c r="P98" s="6">
        <f>AVERAGE(P2:P97)</f>
        <v>0.97448148148148139</v>
      </c>
    </row>
    <row r="99" spans="1:18">
      <c r="P99" s="29"/>
    </row>
    <row r="100" spans="1:18">
      <c r="K100">
        <f>K98/N98*100%</f>
        <v>1.098093909809391E-2</v>
      </c>
      <c r="L100">
        <f>L98/N98*100%</f>
        <v>1.4644351464435146E-2</v>
      </c>
      <c r="M100">
        <f>M98/N98*100%</f>
        <v>2.5625290562529057E-2</v>
      </c>
    </row>
  </sheetData>
  <autoFilter ref="A1:U98" xr:uid="{3145F48F-C161-484B-B9BC-932EC5FC9BE3}"/>
  <phoneticPr fontId="9" type="noConversion"/>
  <conditionalFormatting sqref="D96">
    <cfRule type="containsText" dxfId="11801" priority="1" operator="containsText" text="LWOP UA">
      <formula>NOT(ISERROR(SEARCH("LWOP UA",D96)))</formula>
    </cfRule>
    <cfRule type="containsText" dxfId="11800" priority="2" operator="containsText" text="P">
      <formula>NOT(ISERROR(SEARCH("P",D96)))</formula>
    </cfRule>
    <cfRule type="containsText" dxfId="11799" priority="3" operator="containsText" text="TFO">
      <formula>NOT(ISERROR(SEARCH("TFO",D96)))</formula>
    </cfRule>
    <cfRule type="containsText" dxfId="11798" priority="4" operator="containsText" text="AA">
      <formula>NOT(ISERROR(SEARCH("AA",D96)))</formula>
    </cfRule>
    <cfRule type="containsText" dxfId="11797" priority="5" operator="containsText" text="RESIGNED">
      <formula>NOT(ISERROR(SEARCH("RESIGNED",D96)))</formula>
    </cfRule>
    <cfRule type="containsText" dxfId="11796" priority="6" operator="containsText" text="P">
      <formula>NOT(ISERROR(SEARCH("P",D96)))</formula>
    </cfRule>
    <cfRule type="containsText" dxfId="11795" priority="7" operator="containsText" text="TARDY">
      <formula>NOT(ISERROR(SEARCH("TARDY",D96)))</formula>
    </cfRule>
    <cfRule type="containsText" dxfId="11794" priority="8" operator="containsText" text="REST DAY">
      <formula>NOT(ISERROR(SEARCH("REST DAY",D96)))</formula>
    </cfRule>
    <cfRule type="containsText" dxfId="11793" priority="9" operator="containsText" text="UA">
      <formula>NOT(ISERROR(SEARCH("UA",D96)))</formula>
    </cfRule>
    <cfRule type="containsText" dxfId="11792" priority="10" operator="containsText" text="LWOP UA">
      <formula>NOT(ISERROR(SEARCH("LWOP UA",D96)))</formula>
    </cfRule>
  </conditionalFormatting>
  <conditionalFormatting sqref="D96:E96 H96:J96 D97:J97">
    <cfRule type="containsText" dxfId="11791" priority="36" operator="containsText" text="P">
      <formula>NOT(ISERROR(SEARCH("P",D96)))</formula>
    </cfRule>
    <cfRule type="containsText" dxfId="11790" priority="37" operator="containsText" text="TFO">
      <formula>NOT(ISERROR(SEARCH("TFO",D96)))</formula>
    </cfRule>
    <cfRule type="containsText" dxfId="11789" priority="38" operator="containsText" text="AA">
      <formula>NOT(ISERROR(SEARCH("AA",D96)))</formula>
    </cfRule>
    <cfRule type="containsText" dxfId="11788" priority="39" operator="containsText" text="RESIGNED">
      <formula>NOT(ISERROR(SEARCH("RESIGNED",D96)))</formula>
    </cfRule>
    <cfRule type="containsText" dxfId="11787" priority="40" operator="containsText" text="P">
      <formula>NOT(ISERROR(SEARCH("P",D96)))</formula>
    </cfRule>
    <cfRule type="containsText" dxfId="11786" priority="41" operator="containsText" text="TARDY">
      <formula>NOT(ISERROR(SEARCH("TARDY",D96)))</formula>
    </cfRule>
    <cfRule type="containsText" dxfId="11785" priority="42" operator="containsText" text="REST DAY">
      <formula>NOT(ISERROR(SEARCH("REST DAY",D96)))</formula>
    </cfRule>
    <cfRule type="containsText" dxfId="11784" priority="43" operator="containsText" text="UA">
      <formula>NOT(ISERROR(SEARCH("UA",D96)))</formula>
    </cfRule>
    <cfRule type="containsText" dxfId="11783" priority="44" operator="containsText" text="LWOP UA">
      <formula>NOT(ISERROR(SEARCH("LWOP UA",D96)))</formula>
    </cfRule>
  </conditionalFormatting>
  <conditionalFormatting sqref="D2:J95 J97">
    <cfRule type="containsText" dxfId="11782" priority="47" operator="containsText" text="TFO">
      <formula>NOT(ISERROR(SEARCH("TFO",D2)))</formula>
    </cfRule>
    <cfRule type="containsText" dxfId="11781" priority="48" operator="containsText" text="AA">
      <formula>NOT(ISERROR(SEARCH("AA",D2)))</formula>
    </cfRule>
    <cfRule type="containsText" dxfId="11780" priority="49" operator="containsText" text="RESIGNED">
      <formula>NOT(ISERROR(SEARCH("RESIGNED",D2)))</formula>
    </cfRule>
    <cfRule type="containsText" dxfId="11779" priority="50" operator="containsText" text="P">
      <formula>NOT(ISERROR(SEARCH("P",D2)))</formula>
    </cfRule>
    <cfRule type="containsText" dxfId="11778" priority="51" operator="containsText" text="TARDY">
      <formula>NOT(ISERROR(SEARCH("TARDY",D2)))</formula>
    </cfRule>
    <cfRule type="containsText" dxfId="11777" priority="52" operator="containsText" text="REST DAY">
      <formula>NOT(ISERROR(SEARCH("REST DAY",D2)))</formula>
    </cfRule>
    <cfRule type="containsText" dxfId="11776" priority="53" operator="containsText" text="UA">
      <formula>NOT(ISERROR(SEARCH("UA",D2)))</formula>
    </cfRule>
    <cfRule type="containsText" dxfId="11775" priority="54" operator="containsText" text="LWOP UA">
      <formula>NOT(ISERROR(SEARCH("LWOP UA",D2)))</formula>
    </cfRule>
  </conditionalFormatting>
  <conditionalFormatting sqref="D2:J97">
    <cfRule type="containsText" dxfId="11774" priority="11" operator="containsText" text="VL">
      <formula>NOT(ISERROR(SEARCH("VL",D2)))</formula>
    </cfRule>
    <cfRule type="containsText" dxfId="11773" priority="12" operator="containsText" text="RD">
      <formula>NOT(ISERROR(SEARCH("RD",D2)))</formula>
    </cfRule>
    <cfRule type="containsText" dxfId="11772" priority="13" operator="containsText" text="540">
      <formula>NOT(ISERROR(SEARCH("540",D2)))</formula>
    </cfRule>
    <cfRule type="cellIs" dxfId="11771" priority="14" operator="between">
      <formula>1</formula>
      <formula>400</formula>
    </cfRule>
    <cfRule type="containsText" dxfId="11770" priority="34" operator="containsText" text="LWOP UA">
      <formula>NOT(ISERROR(SEARCH("LWOP UA",D2)))</formula>
    </cfRule>
  </conditionalFormatting>
  <conditionalFormatting sqref="F96:G96">
    <cfRule type="containsText" dxfId="11769" priority="25" operator="containsText" text="LWOP UA">
      <formula>NOT(ISERROR(SEARCH("LWOP UA",F96)))</formula>
    </cfRule>
    <cfRule type="containsText" dxfId="11768" priority="26" operator="containsText" text="P">
      <formula>NOT(ISERROR(SEARCH("P",F96)))</formula>
    </cfRule>
    <cfRule type="containsText" dxfId="11767" priority="27" operator="containsText" text="TFO">
      <formula>NOT(ISERROR(SEARCH("TFO",F96)))</formula>
    </cfRule>
    <cfRule type="containsText" dxfId="11766" priority="28" operator="containsText" text="AA">
      <formula>NOT(ISERROR(SEARCH("AA",F96)))</formula>
    </cfRule>
    <cfRule type="containsText" dxfId="11765" priority="29" operator="containsText" text="RESIGNED">
      <formula>NOT(ISERROR(SEARCH("RESIGNED",F96)))</formula>
    </cfRule>
    <cfRule type="containsText" dxfId="11764" priority="30" operator="containsText" text="P">
      <formula>NOT(ISERROR(SEARCH("P",F96)))</formula>
    </cfRule>
    <cfRule type="containsText" dxfId="11763" priority="31" operator="containsText" text="TARDY">
      <formula>NOT(ISERROR(SEARCH("TARDY",F96)))</formula>
    </cfRule>
    <cfRule type="containsText" dxfId="11762" priority="32" operator="containsText" text="REST DAY">
      <formula>NOT(ISERROR(SEARCH("REST DAY",F96)))</formula>
    </cfRule>
    <cfRule type="containsText" dxfId="11761" priority="33" operator="containsText" text="UA">
      <formula>NOT(ISERROR(SEARCH("UA",F96)))</formula>
    </cfRule>
  </conditionalFormatting>
  <conditionalFormatting sqref="J97 D2:J95">
    <cfRule type="containsText" dxfId="11760" priority="46" operator="containsText" text="P">
      <formula>NOT(ISERROR(SEARCH("P",D2)))</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6BE8C-A2D6-4E0E-A92E-A764C7C8D809}">
  <dimension ref="A3:M36"/>
  <sheetViews>
    <sheetView topLeftCell="A22" workbookViewId="0">
      <selection activeCell="E3" sqref="E3"/>
    </sheetView>
  </sheetViews>
  <sheetFormatPr defaultRowHeight="15"/>
  <cols>
    <col min="1" max="1" width="13.140625" bestFit="1" customWidth="1"/>
    <col min="2" max="2" width="13.28515625" bestFit="1" customWidth="1"/>
    <col min="3" max="4" width="16.140625" bestFit="1" customWidth="1"/>
    <col min="5" max="5" width="13.140625" bestFit="1" customWidth="1"/>
    <col min="6" max="6" width="8.28515625" bestFit="1" customWidth="1"/>
    <col min="7" max="8" width="5" bestFit="1" customWidth="1"/>
    <col min="9" max="9" width="20.140625" bestFit="1" customWidth="1"/>
    <col min="10" max="10" width="13.28515625" bestFit="1" customWidth="1"/>
    <col min="11" max="12" width="16.140625" bestFit="1" customWidth="1"/>
    <col min="13" max="13" width="22.42578125" bestFit="1" customWidth="1"/>
    <col min="14" max="21" width="5" bestFit="1" customWidth="1"/>
    <col min="22" max="81" width="6" bestFit="1" customWidth="1"/>
    <col min="82" max="82" width="7.28515625" bestFit="1" customWidth="1"/>
    <col min="83" max="90" width="11.28515625" bestFit="1" customWidth="1"/>
    <col min="91" max="91" width="14.42578125" bestFit="1" customWidth="1"/>
    <col min="92" max="92" width="9.140625" bestFit="1" customWidth="1"/>
    <col min="93" max="93" width="12.140625" bestFit="1" customWidth="1"/>
    <col min="94" max="94" width="11.28515625" bestFit="1" customWidth="1"/>
    <col min="95" max="96" width="3" bestFit="1" customWidth="1"/>
    <col min="97" max="104" width="4" bestFit="1" customWidth="1"/>
    <col min="105" max="105" width="7.28515625" bestFit="1" customWidth="1"/>
    <col min="106" max="106" width="10.85546875" bestFit="1" customWidth="1"/>
    <col min="107" max="107" width="14.42578125" bestFit="1" customWidth="1"/>
    <col min="109" max="110" width="12.140625" bestFit="1" customWidth="1"/>
    <col min="111" max="111" width="11.28515625" bestFit="1" customWidth="1"/>
  </cols>
  <sheetData>
    <row r="3" spans="1:12">
      <c r="A3" s="13" t="s">
        <v>142</v>
      </c>
      <c r="B3" t="s">
        <v>145</v>
      </c>
      <c r="C3" t="s">
        <v>143</v>
      </c>
      <c r="D3" t="s">
        <v>144</v>
      </c>
      <c r="I3" s="13" t="s">
        <v>142</v>
      </c>
      <c r="J3" t="s">
        <v>145</v>
      </c>
      <c r="K3" t="s">
        <v>143</v>
      </c>
      <c r="L3" t="s">
        <v>144</v>
      </c>
    </row>
    <row r="4" spans="1:12">
      <c r="A4" s="14" t="s">
        <v>22</v>
      </c>
      <c r="B4">
        <v>480600</v>
      </c>
      <c r="C4">
        <v>4451</v>
      </c>
      <c r="D4">
        <v>35640</v>
      </c>
      <c r="I4" s="14" t="s">
        <v>22</v>
      </c>
      <c r="J4">
        <v>427140</v>
      </c>
      <c r="K4">
        <v>3915</v>
      </c>
      <c r="L4">
        <v>31320</v>
      </c>
    </row>
    <row r="5" spans="1:12">
      <c r="A5" s="14" t="s">
        <v>37</v>
      </c>
      <c r="B5">
        <v>118260</v>
      </c>
      <c r="C5">
        <v>1304</v>
      </c>
      <c r="D5">
        <v>4320</v>
      </c>
      <c r="I5" s="24" t="s">
        <v>55</v>
      </c>
      <c r="J5">
        <v>45900</v>
      </c>
      <c r="K5">
        <v>397</v>
      </c>
      <c r="L5">
        <v>2700</v>
      </c>
    </row>
    <row r="6" spans="1:12">
      <c r="A6" s="14" t="s">
        <v>57</v>
      </c>
      <c r="B6">
        <v>78300</v>
      </c>
      <c r="C6">
        <v>105</v>
      </c>
      <c r="D6">
        <v>3780</v>
      </c>
      <c r="I6" s="24" t="s">
        <v>61</v>
      </c>
      <c r="J6">
        <v>103140</v>
      </c>
      <c r="K6">
        <v>521</v>
      </c>
      <c r="L6">
        <v>8640</v>
      </c>
    </row>
    <row r="7" spans="1:12">
      <c r="A7" s="14" t="s">
        <v>26</v>
      </c>
      <c r="B7">
        <v>443880</v>
      </c>
      <c r="C7">
        <v>2903</v>
      </c>
      <c r="D7">
        <v>31320</v>
      </c>
      <c r="I7" s="24" t="s">
        <v>23</v>
      </c>
      <c r="J7">
        <v>78300</v>
      </c>
      <c r="K7">
        <v>820</v>
      </c>
      <c r="L7">
        <v>5940</v>
      </c>
    </row>
    <row r="8" spans="1:12">
      <c r="A8" s="14" t="s">
        <v>153</v>
      </c>
      <c r="I8" s="24" t="s">
        <v>31</v>
      </c>
      <c r="J8">
        <v>93420</v>
      </c>
      <c r="K8">
        <v>1092</v>
      </c>
      <c r="L8">
        <v>9180</v>
      </c>
    </row>
    <row r="9" spans="1:12">
      <c r="A9" s="14" t="s">
        <v>149</v>
      </c>
      <c r="B9">
        <v>1121040</v>
      </c>
      <c r="C9">
        <v>8763</v>
      </c>
      <c r="D9">
        <v>75060</v>
      </c>
      <c r="I9" s="24" t="s">
        <v>66</v>
      </c>
      <c r="J9">
        <v>106380</v>
      </c>
      <c r="K9">
        <v>1085</v>
      </c>
      <c r="L9">
        <v>4860</v>
      </c>
    </row>
    <row r="10" spans="1:12">
      <c r="I10" s="14" t="s">
        <v>37</v>
      </c>
      <c r="J10">
        <v>105840</v>
      </c>
      <c r="K10">
        <v>1304</v>
      </c>
      <c r="L10">
        <v>4320</v>
      </c>
    </row>
    <row r="11" spans="1:12">
      <c r="A11" s="27" t="s">
        <v>142</v>
      </c>
      <c r="B11" s="27" t="s">
        <v>145</v>
      </c>
      <c r="C11" s="27" t="s">
        <v>143</v>
      </c>
      <c r="D11" s="27" t="s">
        <v>154</v>
      </c>
      <c r="E11" s="27" t="s">
        <v>144</v>
      </c>
      <c r="F11" s="27" t="s">
        <v>154</v>
      </c>
      <c r="I11" s="24" t="s">
        <v>38</v>
      </c>
      <c r="J11">
        <v>105840</v>
      </c>
      <c r="K11">
        <v>1304</v>
      </c>
      <c r="L11">
        <v>4320</v>
      </c>
    </row>
    <row r="12" spans="1:12">
      <c r="A12" s="27" t="s">
        <v>22</v>
      </c>
      <c r="B12" s="27">
        <v>427140</v>
      </c>
      <c r="C12" s="27">
        <v>3915</v>
      </c>
      <c r="D12" s="28">
        <f>C12/B12</f>
        <v>9.165613147914033E-3</v>
      </c>
      <c r="E12" s="27">
        <v>31320</v>
      </c>
      <c r="F12" s="29">
        <f>E12/B12</f>
        <v>7.3324905183312264E-2</v>
      </c>
      <c r="I12" s="14" t="s">
        <v>57</v>
      </c>
      <c r="J12">
        <v>66960</v>
      </c>
      <c r="K12">
        <v>96</v>
      </c>
      <c r="L12">
        <v>3240</v>
      </c>
    </row>
    <row r="13" spans="1:12">
      <c r="A13" s="27" t="s">
        <v>37</v>
      </c>
      <c r="B13" s="27">
        <v>105840</v>
      </c>
      <c r="C13" s="27">
        <v>1304</v>
      </c>
      <c r="D13" s="28">
        <f t="shared" ref="D13:D16" si="0">C13/B13</f>
        <v>1.2320483749055177E-2</v>
      </c>
      <c r="E13" s="27">
        <v>3780</v>
      </c>
      <c r="F13" s="29">
        <f t="shared" ref="F13:F16" si="1">E13/B13</f>
        <v>3.5714285714285712E-2</v>
      </c>
      <c r="I13" s="24" t="s">
        <v>58</v>
      </c>
      <c r="J13">
        <v>66960</v>
      </c>
      <c r="K13">
        <v>96</v>
      </c>
      <c r="L13">
        <v>3240</v>
      </c>
    </row>
    <row r="14" spans="1:12">
      <c r="A14" s="27" t="s">
        <v>57</v>
      </c>
      <c r="B14" s="27">
        <v>66960</v>
      </c>
      <c r="C14" s="27">
        <v>96</v>
      </c>
      <c r="D14" s="28">
        <f t="shared" si="0"/>
        <v>1.4336917562724014E-3</v>
      </c>
      <c r="E14" s="27">
        <v>3240</v>
      </c>
      <c r="F14" s="29">
        <f t="shared" si="1"/>
        <v>4.8387096774193547E-2</v>
      </c>
      <c r="I14" s="14" t="s">
        <v>26</v>
      </c>
      <c r="J14">
        <v>421200</v>
      </c>
      <c r="K14">
        <v>2896</v>
      </c>
      <c r="L14">
        <v>30780</v>
      </c>
    </row>
    <row r="15" spans="1:12">
      <c r="A15" s="27" t="s">
        <v>26</v>
      </c>
      <c r="B15" s="27">
        <v>421200</v>
      </c>
      <c r="C15" s="27">
        <v>2896</v>
      </c>
      <c r="D15" s="28">
        <f t="shared" si="0"/>
        <v>6.8755935422602091E-3</v>
      </c>
      <c r="E15" s="27">
        <v>30780</v>
      </c>
      <c r="F15" s="29">
        <f t="shared" si="1"/>
        <v>7.3076923076923081E-2</v>
      </c>
      <c r="I15" s="24" t="s">
        <v>34</v>
      </c>
      <c r="J15">
        <v>199260</v>
      </c>
      <c r="K15">
        <v>905</v>
      </c>
      <c r="L15">
        <v>14040</v>
      </c>
    </row>
    <row r="16" spans="1:12">
      <c r="A16" s="27" t="s">
        <v>149</v>
      </c>
      <c r="B16" s="27">
        <v>1021140</v>
      </c>
      <c r="C16" s="27">
        <v>8211</v>
      </c>
      <c r="D16" s="28">
        <f t="shared" si="0"/>
        <v>8.0410129854868086E-3</v>
      </c>
      <c r="E16" s="27">
        <v>69120</v>
      </c>
      <c r="F16" s="29">
        <f t="shared" si="1"/>
        <v>6.7689053410893707E-2</v>
      </c>
      <c r="I16" s="24" t="s">
        <v>27</v>
      </c>
      <c r="J16">
        <v>221940</v>
      </c>
      <c r="K16">
        <v>1991</v>
      </c>
      <c r="L16">
        <v>16740</v>
      </c>
    </row>
    <row r="17" spans="1:13">
      <c r="I17" s="14" t="s">
        <v>149</v>
      </c>
      <c r="J17">
        <v>1021140</v>
      </c>
      <c r="K17">
        <v>8211</v>
      </c>
      <c r="L17">
        <v>69660</v>
      </c>
    </row>
    <row r="19" spans="1:13">
      <c r="D19" s="27"/>
      <c r="F19" s="27"/>
    </row>
    <row r="20" spans="1:13">
      <c r="A20" s="13" t="s">
        <v>142</v>
      </c>
      <c r="B20" t="s">
        <v>155</v>
      </c>
      <c r="C20" t="s">
        <v>156</v>
      </c>
      <c r="D20" t="s">
        <v>157</v>
      </c>
      <c r="E20" t="s">
        <v>158</v>
      </c>
      <c r="F20" s="28"/>
      <c r="I20" s="30" t="s">
        <v>159</v>
      </c>
      <c r="J20" s="30" t="s">
        <v>160</v>
      </c>
      <c r="K20" s="30" t="s">
        <v>161</v>
      </c>
      <c r="L20" s="30" t="s">
        <v>162</v>
      </c>
      <c r="M20" s="30" t="s">
        <v>163</v>
      </c>
    </row>
    <row r="21" spans="1:13">
      <c r="A21" s="14" t="s">
        <v>22</v>
      </c>
      <c r="B21">
        <v>25</v>
      </c>
      <c r="C21">
        <v>31</v>
      </c>
      <c r="D21">
        <v>13</v>
      </c>
      <c r="E21">
        <v>12</v>
      </c>
      <c r="F21" s="28"/>
      <c r="I21" s="31" t="s">
        <v>22</v>
      </c>
      <c r="J21" s="31">
        <v>25</v>
      </c>
      <c r="K21" s="31">
        <v>31</v>
      </c>
      <c r="L21" s="31">
        <v>13</v>
      </c>
      <c r="M21" s="31">
        <v>12</v>
      </c>
    </row>
    <row r="22" spans="1:13">
      <c r="A22" s="24" t="s">
        <v>55</v>
      </c>
      <c r="B22">
        <v>5</v>
      </c>
      <c r="D22">
        <v>2</v>
      </c>
      <c r="E22">
        <v>1</v>
      </c>
      <c r="F22" s="28"/>
      <c r="I22" s="16" t="s">
        <v>55</v>
      </c>
      <c r="J22" s="16">
        <v>5</v>
      </c>
      <c r="K22" s="16"/>
      <c r="L22" s="16">
        <v>2</v>
      </c>
      <c r="M22" s="16">
        <v>1</v>
      </c>
    </row>
    <row r="23" spans="1:13">
      <c r="A23" s="24" t="s">
        <v>61</v>
      </c>
      <c r="B23">
        <v>10</v>
      </c>
      <c r="C23">
        <v>6</v>
      </c>
      <c r="D23">
        <v>5</v>
      </c>
      <c r="E23">
        <v>2</v>
      </c>
      <c r="F23" s="28"/>
      <c r="I23" s="16" t="s">
        <v>61</v>
      </c>
      <c r="J23" s="16">
        <v>10</v>
      </c>
      <c r="K23" s="16">
        <v>6</v>
      </c>
      <c r="L23" s="16">
        <v>5</v>
      </c>
      <c r="M23" s="16">
        <v>2</v>
      </c>
    </row>
    <row r="24" spans="1:13">
      <c r="A24" s="24" t="s">
        <v>23</v>
      </c>
      <c r="B24">
        <v>4</v>
      </c>
      <c r="C24">
        <v>7</v>
      </c>
      <c r="D24">
        <v>3</v>
      </c>
      <c r="E24">
        <v>4</v>
      </c>
      <c r="F24" s="28"/>
      <c r="I24" s="16" t="s">
        <v>23</v>
      </c>
      <c r="J24" s="16">
        <v>4</v>
      </c>
      <c r="K24" s="16">
        <v>7</v>
      </c>
      <c r="L24" s="16">
        <v>3</v>
      </c>
      <c r="M24" s="16">
        <v>4</v>
      </c>
    </row>
    <row r="25" spans="1:13">
      <c r="A25" s="24" t="s">
        <v>31</v>
      </c>
      <c r="B25">
        <v>5</v>
      </c>
      <c r="C25">
        <v>11</v>
      </c>
      <c r="E25">
        <v>3</v>
      </c>
      <c r="F25" s="28"/>
      <c r="I25" s="16" t="s">
        <v>31</v>
      </c>
      <c r="J25" s="16">
        <v>5</v>
      </c>
      <c r="K25" s="16">
        <v>11</v>
      </c>
      <c r="L25" s="16"/>
      <c r="M25" s="16">
        <v>3</v>
      </c>
    </row>
    <row r="26" spans="1:13">
      <c r="A26" s="24" t="s">
        <v>66</v>
      </c>
      <c r="B26">
        <v>1</v>
      </c>
      <c r="C26">
        <v>7</v>
      </c>
      <c r="D26">
        <v>3</v>
      </c>
      <c r="E26">
        <v>2</v>
      </c>
      <c r="F26" s="28"/>
      <c r="I26" s="16" t="s">
        <v>66</v>
      </c>
      <c r="J26" s="16">
        <v>1</v>
      </c>
      <c r="K26" s="16">
        <v>7</v>
      </c>
      <c r="L26" s="16">
        <v>3</v>
      </c>
      <c r="M26" s="16">
        <v>2</v>
      </c>
    </row>
    <row r="27" spans="1:13">
      <c r="A27" s="14" t="s">
        <v>37</v>
      </c>
      <c r="B27">
        <v>6</v>
      </c>
      <c r="C27">
        <v>2</v>
      </c>
      <c r="E27">
        <v>2</v>
      </c>
      <c r="F27" s="28"/>
      <c r="I27" s="31" t="s">
        <v>37</v>
      </c>
      <c r="J27" s="31">
        <v>6</v>
      </c>
      <c r="K27" s="31">
        <v>2</v>
      </c>
      <c r="L27" s="31"/>
      <c r="M27" s="31">
        <v>2</v>
      </c>
    </row>
    <row r="28" spans="1:13">
      <c r="A28" s="24" t="s">
        <v>38</v>
      </c>
      <c r="B28">
        <v>6</v>
      </c>
      <c r="C28">
        <v>2</v>
      </c>
      <c r="E28">
        <v>2</v>
      </c>
      <c r="F28" s="28"/>
      <c r="I28" s="16" t="s">
        <v>38</v>
      </c>
      <c r="J28" s="16">
        <v>6</v>
      </c>
      <c r="K28" s="16">
        <v>2</v>
      </c>
      <c r="L28" s="16"/>
      <c r="M28" s="16">
        <v>2</v>
      </c>
    </row>
    <row r="29" spans="1:13">
      <c r="A29" s="14" t="s">
        <v>57</v>
      </c>
      <c r="B29">
        <v>4</v>
      </c>
      <c r="C29">
        <v>2</v>
      </c>
      <c r="D29">
        <v>5</v>
      </c>
      <c r="E29">
        <v>3</v>
      </c>
      <c r="F29" s="28"/>
      <c r="I29" s="31" t="s">
        <v>164</v>
      </c>
      <c r="J29" s="31">
        <v>4</v>
      </c>
      <c r="K29" s="31">
        <v>2</v>
      </c>
      <c r="L29" s="31">
        <v>5</v>
      </c>
      <c r="M29" s="31">
        <v>3</v>
      </c>
    </row>
    <row r="30" spans="1:13">
      <c r="A30" s="24" t="s">
        <v>58</v>
      </c>
      <c r="B30">
        <v>4</v>
      </c>
      <c r="C30">
        <v>2</v>
      </c>
      <c r="D30">
        <v>5</v>
      </c>
      <c r="E30">
        <v>3</v>
      </c>
      <c r="F30" s="28"/>
      <c r="I30" s="16" t="s">
        <v>58</v>
      </c>
      <c r="J30" s="16">
        <v>4</v>
      </c>
      <c r="K30" s="16">
        <v>2</v>
      </c>
      <c r="L30" s="16">
        <v>5</v>
      </c>
      <c r="M30" s="16">
        <v>3</v>
      </c>
    </row>
    <row r="31" spans="1:13">
      <c r="A31" s="14" t="s">
        <v>26</v>
      </c>
      <c r="B31">
        <v>37</v>
      </c>
      <c r="C31">
        <v>20</v>
      </c>
      <c r="D31">
        <v>7</v>
      </c>
      <c r="E31">
        <v>5</v>
      </c>
      <c r="F31" s="28"/>
      <c r="I31" s="31" t="s">
        <v>26</v>
      </c>
      <c r="J31" s="31">
        <v>37</v>
      </c>
      <c r="K31" s="31">
        <v>20</v>
      </c>
      <c r="L31" s="31">
        <v>7</v>
      </c>
      <c r="M31" s="31">
        <v>5</v>
      </c>
    </row>
    <row r="32" spans="1:13">
      <c r="A32" s="24" t="s">
        <v>34</v>
      </c>
      <c r="B32">
        <v>25</v>
      </c>
      <c r="C32">
        <v>1</v>
      </c>
      <c r="D32">
        <v>3</v>
      </c>
      <c r="F32" s="28"/>
      <c r="I32" s="16" t="s">
        <v>34</v>
      </c>
      <c r="J32" s="16">
        <v>25</v>
      </c>
      <c r="K32" s="16">
        <v>1</v>
      </c>
      <c r="L32" s="16">
        <v>3</v>
      </c>
      <c r="M32" s="16"/>
    </row>
    <row r="33" spans="1:13">
      <c r="A33" s="24" t="s">
        <v>27</v>
      </c>
      <c r="B33">
        <v>12</v>
      </c>
      <c r="C33">
        <v>19</v>
      </c>
      <c r="D33">
        <v>4</v>
      </c>
      <c r="E33">
        <v>5</v>
      </c>
      <c r="F33" s="28"/>
      <c r="I33" s="16" t="s">
        <v>27</v>
      </c>
      <c r="J33" s="16">
        <v>12</v>
      </c>
      <c r="K33" s="16">
        <v>19</v>
      </c>
      <c r="L33" s="16">
        <v>4</v>
      </c>
      <c r="M33" s="16">
        <v>5</v>
      </c>
    </row>
    <row r="34" spans="1:13">
      <c r="A34" s="14" t="s">
        <v>149</v>
      </c>
      <c r="B34">
        <v>72</v>
      </c>
      <c r="C34">
        <v>55</v>
      </c>
      <c r="D34">
        <v>25</v>
      </c>
      <c r="E34">
        <v>22</v>
      </c>
      <c r="I34" s="31" t="s">
        <v>149</v>
      </c>
      <c r="J34" s="31">
        <v>72</v>
      </c>
      <c r="K34" s="31">
        <v>55</v>
      </c>
      <c r="L34" s="31">
        <v>25</v>
      </c>
      <c r="M34" s="31">
        <v>22</v>
      </c>
    </row>
    <row r="35" spans="1:13">
      <c r="D35" s="28"/>
    </row>
    <row r="36" spans="1:13">
      <c r="D36" s="2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28A67E-48BC-4B1B-9C5C-CD48B91BB489}">
  <dimension ref="A2:Q52"/>
  <sheetViews>
    <sheetView showGridLines="0" topLeftCell="A7" workbookViewId="0">
      <selection activeCell="K9" sqref="K9"/>
    </sheetView>
  </sheetViews>
  <sheetFormatPr defaultRowHeight="15"/>
  <cols>
    <col min="1" max="1" width="21.7109375" style="15" bestFit="1" customWidth="1"/>
    <col min="2" max="2" width="18.5703125" style="15" bestFit="1" customWidth="1"/>
    <col min="3" max="3" width="12" style="15" bestFit="1" customWidth="1"/>
    <col min="4" max="4" width="11.28515625" style="15" bestFit="1" customWidth="1"/>
    <col min="5" max="5" width="14.7109375" style="15" bestFit="1" customWidth="1"/>
    <col min="6" max="6" width="16" style="15" bestFit="1" customWidth="1"/>
    <col min="7" max="7" width="11.28515625" style="15" bestFit="1" customWidth="1"/>
    <col min="8" max="8" width="14.7109375" bestFit="1" customWidth="1"/>
    <col min="9" max="9" width="16" bestFit="1" customWidth="1"/>
    <col min="10" max="10" width="29.7109375" bestFit="1" customWidth="1"/>
    <col min="11" max="11" width="21.7109375" bestFit="1" customWidth="1"/>
    <col min="13" max="13" width="26" bestFit="1" customWidth="1"/>
    <col min="14" max="14" width="21.7109375" bestFit="1" customWidth="1"/>
    <col min="16" max="16" width="33.5703125" bestFit="1" customWidth="1"/>
    <col min="17" max="17" width="21.7109375" bestFit="1" customWidth="1"/>
  </cols>
  <sheetData>
    <row r="2" spans="1:17">
      <c r="J2" s="22" t="s">
        <v>142</v>
      </c>
      <c r="K2" s="23" t="s">
        <v>165</v>
      </c>
      <c r="M2" s="22" t="s">
        <v>142</v>
      </c>
      <c r="N2" s="23" t="s">
        <v>165</v>
      </c>
      <c r="P2" s="22" t="s">
        <v>142</v>
      </c>
      <c r="Q2" s="23" t="s">
        <v>165</v>
      </c>
    </row>
    <row r="3" spans="1:17">
      <c r="A3" s="22" t="s">
        <v>142</v>
      </c>
      <c r="B3" s="23" t="s">
        <v>165</v>
      </c>
      <c r="J3" s="15" t="s">
        <v>22</v>
      </c>
      <c r="K3" s="23">
        <v>0.91663602163845814</v>
      </c>
      <c r="M3" s="15" t="s">
        <v>37</v>
      </c>
      <c r="N3" s="23">
        <v>0.95240923730054161</v>
      </c>
      <c r="P3" s="15" t="s">
        <v>26</v>
      </c>
      <c r="Q3" s="23">
        <v>0.92307878281562483</v>
      </c>
    </row>
    <row r="4" spans="1:17">
      <c r="A4" s="15" t="s">
        <v>22</v>
      </c>
      <c r="B4" s="23">
        <v>0.91663602163845814</v>
      </c>
      <c r="J4" s="25" t="s">
        <v>55</v>
      </c>
      <c r="K4" s="23">
        <v>0.93316678691678701</v>
      </c>
      <c r="M4" s="25" t="s">
        <v>38</v>
      </c>
      <c r="N4" s="23">
        <v>0.94712137477837954</v>
      </c>
      <c r="P4" s="25" t="s">
        <v>34</v>
      </c>
      <c r="Q4" s="23">
        <v>0.92495614407379123</v>
      </c>
    </row>
    <row r="5" spans="1:17">
      <c r="A5" s="15" t="s">
        <v>37</v>
      </c>
      <c r="B5" s="23">
        <v>0.95240923730054161</v>
      </c>
      <c r="J5" s="26" t="s">
        <v>105</v>
      </c>
      <c r="K5" s="23">
        <v>0.97878787878787876</v>
      </c>
      <c r="M5" s="26" t="s">
        <v>39</v>
      </c>
      <c r="N5" s="23">
        <v>0.90968013468013464</v>
      </c>
      <c r="P5" s="26" t="s">
        <v>35</v>
      </c>
      <c r="Q5" s="23">
        <v>0.99739057239057238</v>
      </c>
    </row>
    <row r="6" spans="1:17">
      <c r="A6" s="15" t="s">
        <v>57</v>
      </c>
      <c r="B6" s="23">
        <v>0.94771587156925496</v>
      </c>
      <c r="J6" s="26" t="s">
        <v>129</v>
      </c>
      <c r="K6" s="23">
        <v>0.89983164983164987</v>
      </c>
      <c r="M6" s="26" t="s">
        <v>44</v>
      </c>
      <c r="N6" s="23">
        <v>0.99932659932659929</v>
      </c>
      <c r="P6" s="26" t="s">
        <v>46</v>
      </c>
      <c r="Q6" s="23">
        <v>0.9</v>
      </c>
    </row>
    <row r="7" spans="1:17">
      <c r="A7" s="15" t="s">
        <v>26</v>
      </c>
      <c r="B7" s="23">
        <v>0.92307878281562483</v>
      </c>
      <c r="J7" s="26" t="s">
        <v>132</v>
      </c>
      <c r="K7" s="23">
        <v>0.99981481481481482</v>
      </c>
      <c r="M7" s="26" t="s">
        <v>52</v>
      </c>
      <c r="N7" s="23">
        <v>0.99576719576719575</v>
      </c>
      <c r="P7" s="26" t="s">
        <v>65</v>
      </c>
      <c r="Q7" s="23">
        <v>0.99991582491582487</v>
      </c>
    </row>
    <row r="8" spans="1:17">
      <c r="A8" s="15" t="s">
        <v>149</v>
      </c>
      <c r="B8" s="23">
        <v>0.92509082608040394</v>
      </c>
      <c r="J8" s="26" t="s">
        <v>134</v>
      </c>
      <c r="K8" s="23">
        <v>0.85423280423280423</v>
      </c>
      <c r="M8" s="26" t="s">
        <v>74</v>
      </c>
      <c r="N8" s="23">
        <v>0.97354497354497349</v>
      </c>
      <c r="P8" s="26" t="s">
        <v>80</v>
      </c>
      <c r="Q8" s="23">
        <v>0.95238095238095233</v>
      </c>
    </row>
    <row r="9" spans="1:17">
      <c r="J9" s="25" t="s">
        <v>61</v>
      </c>
      <c r="K9" s="23">
        <v>0.91008312103991129</v>
      </c>
      <c r="M9" s="26" t="s">
        <v>76</v>
      </c>
      <c r="N9" s="23">
        <v>0.9732804232804233</v>
      </c>
      <c r="P9" s="26" t="s">
        <v>81</v>
      </c>
      <c r="Q9" s="23">
        <v>1</v>
      </c>
    </row>
    <row r="10" spans="1:17">
      <c r="J10" s="26" t="s">
        <v>62</v>
      </c>
      <c r="K10" s="23">
        <v>0.84368686868686871</v>
      </c>
      <c r="M10" s="26" t="s">
        <v>90</v>
      </c>
      <c r="N10" s="23">
        <v>0.9977455716586151</v>
      </c>
      <c r="P10" s="26" t="s">
        <v>83</v>
      </c>
      <c r="Q10" s="23">
        <v>0.85488215488215491</v>
      </c>
    </row>
    <row r="11" spans="1:17">
      <c r="A11" s="22" t="s">
        <v>165</v>
      </c>
      <c r="B11" s="22" t="s">
        <v>166</v>
      </c>
      <c r="J11" s="26" t="s">
        <v>64</v>
      </c>
      <c r="K11" s="23">
        <v>0.94806397306397305</v>
      </c>
      <c r="M11" s="26" t="s">
        <v>96</v>
      </c>
      <c r="N11" s="23">
        <v>0.95454545454545459</v>
      </c>
      <c r="P11" s="26" t="s">
        <v>89</v>
      </c>
      <c r="Q11" s="23">
        <v>0.99048821548821553</v>
      </c>
    </row>
    <row r="12" spans="1:17">
      <c r="A12" s="22" t="s">
        <v>142</v>
      </c>
      <c r="B12" s="15" t="s">
        <v>55</v>
      </c>
      <c r="C12" s="15" t="s">
        <v>61</v>
      </c>
      <c r="D12" s="15" t="s">
        <v>23</v>
      </c>
      <c r="E12" s="15" t="s">
        <v>31</v>
      </c>
      <c r="F12" s="15" t="s">
        <v>66</v>
      </c>
      <c r="G12" s="15" t="s">
        <v>149</v>
      </c>
      <c r="J12" s="26" t="s">
        <v>70</v>
      </c>
      <c r="K12" s="23">
        <v>0.99781144781144782</v>
      </c>
      <c r="M12" s="26" t="s">
        <v>114</v>
      </c>
      <c r="N12" s="23">
        <v>0.72382154882154881</v>
      </c>
      <c r="P12" s="26" t="s">
        <v>93</v>
      </c>
      <c r="Q12" s="23">
        <v>1</v>
      </c>
    </row>
    <row r="13" spans="1:17">
      <c r="A13" s="15" t="s">
        <v>22</v>
      </c>
      <c r="B13" s="23">
        <v>0.93316678691678678</v>
      </c>
      <c r="C13" s="23">
        <v>0.91008312103991118</v>
      </c>
      <c r="D13" s="23">
        <v>0.91690077767771994</v>
      </c>
      <c r="E13" s="23">
        <v>0.89024170274170278</v>
      </c>
      <c r="F13" s="23">
        <v>0.94305399675770041</v>
      </c>
      <c r="G13" s="23">
        <v>0.91759838577090025</v>
      </c>
      <c r="J13" s="26" t="s">
        <v>85</v>
      </c>
      <c r="K13" s="23">
        <v>0.99461279461279462</v>
      </c>
      <c r="M13" s="26" t="s">
        <v>118</v>
      </c>
      <c r="N13" s="23">
        <v>0.99638047138047137</v>
      </c>
      <c r="P13" s="26" t="s">
        <v>95</v>
      </c>
      <c r="Q13" s="23">
        <v>0.5</v>
      </c>
    </row>
    <row r="14" spans="1:17">
      <c r="A14" s="15" t="s">
        <v>149</v>
      </c>
      <c r="B14" s="23">
        <v>0.93316678691678678</v>
      </c>
      <c r="C14" s="23">
        <v>0.91008312103991118</v>
      </c>
      <c r="D14" s="23">
        <v>0.91690077767771994</v>
      </c>
      <c r="E14" s="23">
        <v>0.89024170274170278</v>
      </c>
      <c r="F14" s="23">
        <v>0.94305399675770041</v>
      </c>
      <c r="G14" s="23">
        <v>0.91759838577090025</v>
      </c>
      <c r="J14" s="26" t="s">
        <v>92</v>
      </c>
      <c r="K14" s="23">
        <v>0.80952380952380953</v>
      </c>
      <c r="M14" s="25" t="s">
        <v>54</v>
      </c>
      <c r="N14" s="23">
        <v>1</v>
      </c>
      <c r="P14" s="26" t="s">
        <v>97</v>
      </c>
      <c r="Q14" s="23">
        <v>0.99671717171717167</v>
      </c>
    </row>
    <row r="15" spans="1:17">
      <c r="J15" s="26" t="s">
        <v>99</v>
      </c>
      <c r="K15" s="23">
        <v>0.90816498316498318</v>
      </c>
      <c r="M15" s="26" t="s">
        <v>38</v>
      </c>
      <c r="N15" s="23">
        <v>1</v>
      </c>
      <c r="P15" s="26" t="s">
        <v>98</v>
      </c>
      <c r="Q15" s="23">
        <v>0.9034511784511785</v>
      </c>
    </row>
    <row r="16" spans="1:17">
      <c r="A16" s="22" t="s">
        <v>165</v>
      </c>
      <c r="B16" s="22" t="s">
        <v>166</v>
      </c>
      <c r="J16" s="26" t="s">
        <v>100</v>
      </c>
      <c r="K16" s="23">
        <v>0.93816872427983544</v>
      </c>
      <c r="M16" s="15" t="s">
        <v>149</v>
      </c>
      <c r="N16" s="23">
        <v>0.95240923730054161</v>
      </c>
      <c r="P16" s="26" t="s">
        <v>103</v>
      </c>
      <c r="Q16" s="23">
        <v>0.96186868686868687</v>
      </c>
    </row>
    <row r="17" spans="1:17">
      <c r="A17" s="22" t="s">
        <v>142</v>
      </c>
      <c r="B17" s="15" t="s">
        <v>58</v>
      </c>
      <c r="C17" s="15" t="s">
        <v>38</v>
      </c>
      <c r="D17" s="15" t="s">
        <v>149</v>
      </c>
      <c r="J17" s="26" t="s">
        <v>116</v>
      </c>
      <c r="K17" s="23">
        <v>0.95117845117845112</v>
      </c>
      <c r="P17" s="26" t="s">
        <v>108</v>
      </c>
      <c r="Q17" s="23">
        <v>1</v>
      </c>
    </row>
    <row r="18" spans="1:17">
      <c r="A18" s="15" t="s">
        <v>37</v>
      </c>
      <c r="B18" s="23"/>
      <c r="C18" s="23">
        <v>0.94712137477837943</v>
      </c>
      <c r="D18" s="23">
        <v>0.94712137477837943</v>
      </c>
      <c r="J18" s="26" t="s">
        <v>121</v>
      </c>
      <c r="K18" s="23">
        <v>0.79953703703703705</v>
      </c>
      <c r="M18" s="22" t="s">
        <v>142</v>
      </c>
      <c r="N18" s="23" t="s">
        <v>165</v>
      </c>
      <c r="P18" s="26" t="s">
        <v>119</v>
      </c>
      <c r="Q18" s="23">
        <v>1</v>
      </c>
    </row>
    <row r="19" spans="1:17">
      <c r="A19" s="15" t="s">
        <v>57</v>
      </c>
      <c r="B19" s="23">
        <v>0.94707063323291407</v>
      </c>
      <c r="C19" s="23"/>
      <c r="D19" s="23">
        <v>0.94707063323291407</v>
      </c>
      <c r="J19" s="25" t="s">
        <v>23</v>
      </c>
      <c r="K19" s="23">
        <v>0.91690077767771994</v>
      </c>
      <c r="M19" s="15" t="s">
        <v>57</v>
      </c>
      <c r="N19" s="23">
        <v>0.94771587156925519</v>
      </c>
      <c r="P19" s="26" t="s">
        <v>123</v>
      </c>
      <c r="Q19" s="23">
        <v>0.99831649831649827</v>
      </c>
    </row>
    <row r="20" spans="1:17">
      <c r="A20" s="15" t="s">
        <v>149</v>
      </c>
      <c r="B20" s="23">
        <v>0.94707063323291407</v>
      </c>
      <c r="C20" s="23">
        <v>0.94712137477837943</v>
      </c>
      <c r="D20" s="23">
        <v>0.94710107816019329</v>
      </c>
      <c r="J20" s="26" t="s">
        <v>24</v>
      </c>
      <c r="K20" s="23">
        <v>0.85</v>
      </c>
      <c r="M20" s="25" t="s">
        <v>58</v>
      </c>
      <c r="N20" s="23">
        <v>0.94707063323291407</v>
      </c>
      <c r="P20" s="26" t="s">
        <v>124</v>
      </c>
      <c r="Q20" s="23">
        <v>0.8571428571428571</v>
      </c>
    </row>
    <row r="21" spans="1:17">
      <c r="J21" s="26" t="s">
        <v>42</v>
      </c>
      <c r="K21" s="23">
        <v>0.99638447971781308</v>
      </c>
      <c r="M21" s="26" t="s">
        <v>59</v>
      </c>
      <c r="N21" s="23">
        <v>0.99865319865319868</v>
      </c>
      <c r="P21" s="26" t="s">
        <v>126</v>
      </c>
      <c r="Q21" s="23">
        <v>0.8117003367003367</v>
      </c>
    </row>
    <row r="22" spans="1:17">
      <c r="A22" s="22" t="s">
        <v>165</v>
      </c>
      <c r="B22" s="22" t="s">
        <v>166</v>
      </c>
      <c r="J22" s="26" t="s">
        <v>43</v>
      </c>
      <c r="K22" s="23">
        <v>0.94736842105263153</v>
      </c>
      <c r="M22" s="26" t="s">
        <v>84</v>
      </c>
      <c r="N22" s="23">
        <v>0.95454545454545459</v>
      </c>
      <c r="P22" s="25" t="s">
        <v>54</v>
      </c>
      <c r="Q22" s="23">
        <v>0.97470538720538724</v>
      </c>
    </row>
    <row r="23" spans="1:17">
      <c r="A23" s="22" t="s">
        <v>142</v>
      </c>
      <c r="B23" s="15" t="s">
        <v>34</v>
      </c>
      <c r="C23" s="15" t="s">
        <v>27</v>
      </c>
      <c r="D23" s="15" t="s">
        <v>149</v>
      </c>
      <c r="J23" s="26" t="s">
        <v>88</v>
      </c>
      <c r="K23" s="23">
        <v>0.94107744107744107</v>
      </c>
      <c r="M23" s="26" t="s">
        <v>94</v>
      </c>
      <c r="N23" s="23">
        <v>0.99657407407407406</v>
      </c>
      <c r="P23" s="26" t="s">
        <v>34</v>
      </c>
      <c r="Q23" s="23">
        <v>0.95</v>
      </c>
    </row>
    <row r="24" spans="1:17">
      <c r="A24" s="15" t="s">
        <v>26</v>
      </c>
      <c r="B24" s="23">
        <v>0.92495614407379112</v>
      </c>
      <c r="C24" s="23">
        <v>0.91596465912255398</v>
      </c>
      <c r="D24" s="23">
        <v>0.92021063812730475</v>
      </c>
      <c r="J24" s="26" t="s">
        <v>104</v>
      </c>
      <c r="K24" s="23">
        <v>0.7688552188552189</v>
      </c>
      <c r="M24" s="26" t="s">
        <v>101</v>
      </c>
      <c r="N24" s="23">
        <v>1</v>
      </c>
      <c r="P24" s="26" t="s">
        <v>27</v>
      </c>
      <c r="Q24" s="23">
        <v>0.99941077441077442</v>
      </c>
    </row>
    <row r="25" spans="1:17">
      <c r="A25" s="15" t="s">
        <v>149</v>
      </c>
      <c r="B25" s="23">
        <v>0.92495614407379112</v>
      </c>
      <c r="C25" s="23">
        <v>0.91596465912255398</v>
      </c>
      <c r="D25" s="23">
        <v>0.92021063812730475</v>
      </c>
      <c r="J25" s="26" t="s">
        <v>112</v>
      </c>
      <c r="K25" s="23">
        <v>0.99629629629629635</v>
      </c>
      <c r="M25" s="26" t="s">
        <v>107</v>
      </c>
      <c r="N25" s="23">
        <v>0.73265107212475633</v>
      </c>
      <c r="P25" s="25" t="s">
        <v>27</v>
      </c>
      <c r="Q25" s="23">
        <v>0.91596465912255398</v>
      </c>
    </row>
    <row r="26" spans="1:17">
      <c r="J26" s="26" t="s">
        <v>125</v>
      </c>
      <c r="K26" s="23">
        <v>0.91832358674463943</v>
      </c>
      <c r="M26" s="26" t="s">
        <v>110</v>
      </c>
      <c r="N26" s="23">
        <v>1</v>
      </c>
      <c r="P26" s="26" t="s">
        <v>28</v>
      </c>
      <c r="Q26" s="23">
        <v>0.93249158249158248</v>
      </c>
    </row>
    <row r="27" spans="1:17">
      <c r="J27" s="25" t="s">
        <v>31</v>
      </c>
      <c r="K27" s="23">
        <v>0.89024170274170278</v>
      </c>
      <c r="M27" s="25" t="s">
        <v>54</v>
      </c>
      <c r="N27" s="23">
        <v>0.95158730158730154</v>
      </c>
      <c r="P27" s="26" t="s">
        <v>29</v>
      </c>
      <c r="Q27" s="23">
        <v>0.92306397306397303</v>
      </c>
    </row>
    <row r="28" spans="1:17">
      <c r="J28" s="26" t="s">
        <v>32</v>
      </c>
      <c r="K28" s="23">
        <v>0.81548821548821548</v>
      </c>
      <c r="M28" s="26" t="s">
        <v>58</v>
      </c>
      <c r="N28" s="23">
        <v>0.95158730158730154</v>
      </c>
      <c r="P28" s="26" t="s">
        <v>45</v>
      </c>
      <c r="Q28" s="23">
        <v>0.86363636363636365</v>
      </c>
    </row>
    <row r="29" spans="1:17">
      <c r="J29" s="26" t="s">
        <v>41</v>
      </c>
      <c r="K29" s="23">
        <v>0.80714285714285716</v>
      </c>
      <c r="M29" s="15" t="s">
        <v>149</v>
      </c>
      <c r="N29" s="23">
        <v>0.94771587156925519</v>
      </c>
      <c r="P29" s="26" t="s">
        <v>47</v>
      </c>
      <c r="Q29" s="23">
        <v>0.95084175084175082</v>
      </c>
    </row>
    <row r="30" spans="1:17">
      <c r="J30" s="26" t="s">
        <v>82</v>
      </c>
      <c r="K30" s="23">
        <v>0.95917508417508412</v>
      </c>
      <c r="P30" s="26" t="s">
        <v>48</v>
      </c>
      <c r="Q30" s="23">
        <v>0.90476190476190477</v>
      </c>
    </row>
    <row r="31" spans="1:17">
      <c r="J31" s="26" t="s">
        <v>102</v>
      </c>
      <c r="K31" s="23">
        <v>0.89074074074074072</v>
      </c>
      <c r="P31" s="26" t="s">
        <v>49</v>
      </c>
      <c r="Q31" s="23">
        <v>0.95067340067340067</v>
      </c>
    </row>
    <row r="32" spans="1:17">
      <c r="J32" s="26" t="s">
        <v>115</v>
      </c>
      <c r="K32" s="23">
        <v>0.94964726631393304</v>
      </c>
      <c r="P32" s="26" t="s">
        <v>51</v>
      </c>
      <c r="Q32" s="23">
        <v>0.90664983164983159</v>
      </c>
    </row>
    <row r="33" spans="10:17">
      <c r="J33" s="26" t="s">
        <v>127</v>
      </c>
      <c r="K33" s="23">
        <v>0.94797178130511461</v>
      </c>
      <c r="P33" s="26" t="s">
        <v>53</v>
      </c>
      <c r="Q33" s="23">
        <v>0.88203703703703706</v>
      </c>
    </row>
    <row r="34" spans="10:17">
      <c r="J34" s="26" t="s">
        <v>128</v>
      </c>
      <c r="K34" s="23">
        <v>0.86052188552188558</v>
      </c>
      <c r="P34" s="26" t="s">
        <v>68</v>
      </c>
      <c r="Q34" s="23">
        <v>0.94611111111111112</v>
      </c>
    </row>
    <row r="35" spans="10:17">
      <c r="J35" s="26" t="s">
        <v>130</v>
      </c>
      <c r="K35" s="23">
        <v>0.89124579124579129</v>
      </c>
      <c r="P35" s="26" t="s">
        <v>71</v>
      </c>
      <c r="Q35" s="23">
        <v>0.86363636363636365</v>
      </c>
    </row>
    <row r="36" spans="10:17">
      <c r="J36" s="25" t="s">
        <v>66</v>
      </c>
      <c r="K36" s="23">
        <v>0.94305399675770041</v>
      </c>
      <c r="P36" s="26" t="s">
        <v>73</v>
      </c>
      <c r="Q36" s="23">
        <v>0.90311447811447809</v>
      </c>
    </row>
    <row r="37" spans="10:17">
      <c r="J37" s="26" t="s">
        <v>67</v>
      </c>
      <c r="K37" s="23">
        <v>0.99671717171717167</v>
      </c>
      <c r="P37" s="26" t="s">
        <v>75</v>
      </c>
      <c r="Q37" s="23">
        <v>0.99920634920634921</v>
      </c>
    </row>
    <row r="38" spans="10:17">
      <c r="J38" s="26" t="s">
        <v>69</v>
      </c>
      <c r="K38" s="23">
        <v>0.73395061728395061</v>
      </c>
      <c r="P38" s="26" t="s">
        <v>78</v>
      </c>
      <c r="Q38" s="23">
        <v>0.95446127946127945</v>
      </c>
    </row>
    <row r="39" spans="10:17">
      <c r="J39" s="26" t="s">
        <v>72</v>
      </c>
      <c r="K39" s="23">
        <v>0.95260942760942757</v>
      </c>
      <c r="P39" s="26" t="s">
        <v>86</v>
      </c>
      <c r="Q39" s="23">
        <v>0.95454545454545459</v>
      </c>
    </row>
    <row r="40" spans="10:17">
      <c r="J40" s="26" t="s">
        <v>77</v>
      </c>
      <c r="K40" s="23">
        <v>0.9418350168350168</v>
      </c>
      <c r="P40" s="26" t="s">
        <v>87</v>
      </c>
      <c r="Q40" s="23">
        <v>0.93695286195286198</v>
      </c>
    </row>
    <row r="41" spans="10:17">
      <c r="J41" s="26" t="s">
        <v>91</v>
      </c>
      <c r="K41" s="23">
        <v>0.99991582491582487</v>
      </c>
      <c r="P41" s="26" t="s">
        <v>109</v>
      </c>
      <c r="Q41" s="23">
        <v>0.9542929292929293</v>
      </c>
    </row>
    <row r="42" spans="10:17">
      <c r="J42" s="26" t="s">
        <v>106</v>
      </c>
      <c r="K42" s="23">
        <v>0.97693602693602699</v>
      </c>
      <c r="P42" s="26" t="s">
        <v>113</v>
      </c>
      <c r="Q42" s="23">
        <v>1</v>
      </c>
    </row>
    <row r="43" spans="10:17">
      <c r="J43" s="26" t="s">
        <v>117</v>
      </c>
      <c r="K43" s="23">
        <v>0.95294612794612799</v>
      </c>
      <c r="P43" s="26" t="s">
        <v>131</v>
      </c>
      <c r="Q43" s="23">
        <v>0.85311447811447816</v>
      </c>
    </row>
    <row r="44" spans="10:17">
      <c r="J44" s="26" t="s">
        <v>120</v>
      </c>
      <c r="K44" s="23">
        <v>0.93257575757575761</v>
      </c>
      <c r="P44" s="26" t="s">
        <v>133</v>
      </c>
      <c r="Q44" s="23">
        <v>0.72373737373737379</v>
      </c>
    </row>
    <row r="45" spans="10:17">
      <c r="J45" s="26" t="s">
        <v>122</v>
      </c>
      <c r="K45" s="23">
        <v>1</v>
      </c>
      <c r="P45" s="15" t="s">
        <v>149</v>
      </c>
      <c r="Q45" s="23">
        <v>0.92307878281562483</v>
      </c>
    </row>
    <row r="46" spans="10:17">
      <c r="J46" s="25" t="s">
        <v>54</v>
      </c>
      <c r="K46" s="23">
        <v>0.90951452705838665</v>
      </c>
    </row>
    <row r="47" spans="10:17">
      <c r="J47" s="26" t="s">
        <v>55</v>
      </c>
      <c r="K47" s="23">
        <v>0.85389863547758282</v>
      </c>
    </row>
    <row r="48" spans="10:17">
      <c r="J48" s="26" t="s">
        <v>61</v>
      </c>
      <c r="K48" s="23">
        <v>0.94590643274853803</v>
      </c>
    </row>
    <row r="49" spans="10:11">
      <c r="J49" s="26" t="s">
        <v>23</v>
      </c>
      <c r="K49" s="23">
        <v>0.94600389863547762</v>
      </c>
    </row>
    <row r="50" spans="10:11">
      <c r="J50" s="26" t="s">
        <v>31</v>
      </c>
      <c r="K50" s="23">
        <v>0.99867724867724872</v>
      </c>
    </row>
    <row r="51" spans="10:11">
      <c r="J51" s="26" t="s">
        <v>66</v>
      </c>
      <c r="K51" s="23">
        <v>0.80308641975308637</v>
      </c>
    </row>
    <row r="52" spans="10:11">
      <c r="J52" s="15" t="s">
        <v>149</v>
      </c>
      <c r="K52" s="23">
        <v>0.91663602163845814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EEDBE-352B-4853-9FBA-70621922D331}">
  <dimension ref="A1:AA103"/>
  <sheetViews>
    <sheetView topLeftCell="D1" workbookViewId="0">
      <pane ySplit="1" topLeftCell="A80" activePane="bottomLeft" state="frozen"/>
      <selection pane="bottomLeft" activeCell="T85" sqref="T85"/>
      <selection activeCell="C1" sqref="C1"/>
    </sheetView>
  </sheetViews>
  <sheetFormatPr defaultRowHeight="15"/>
  <cols>
    <col min="1" max="1" width="9.140625" style="6"/>
    <col min="2" max="2" width="21.42578125" style="6" bestFit="1" customWidth="1"/>
    <col min="3" max="3" width="12" style="6" bestFit="1" customWidth="1"/>
    <col min="4" max="13" width="9.85546875" style="6" bestFit="1" customWidth="1"/>
    <col min="18" max="19" width="10" bestFit="1" customWidth="1"/>
    <col min="23" max="23" width="13.140625" bestFit="1" customWidth="1"/>
    <col min="24" max="24" width="16.140625" bestFit="1" customWidth="1"/>
    <col min="25" max="25" width="16.140625" style="6" bestFit="1" customWidth="1"/>
    <col min="26" max="26" width="17.7109375" style="6" bestFit="1" customWidth="1"/>
    <col min="27" max="27" width="13.28515625" style="6" bestFit="1" customWidth="1"/>
    <col min="28" max="16384" width="9.140625" style="6"/>
  </cols>
  <sheetData>
    <row r="1" spans="1:27">
      <c r="A1" s="1" t="s">
        <v>0</v>
      </c>
      <c r="B1" s="1" t="s">
        <v>2</v>
      </c>
      <c r="C1" s="1" t="s">
        <v>3</v>
      </c>
      <c r="D1" s="8" t="s">
        <v>167</v>
      </c>
      <c r="E1" s="8" t="s">
        <v>168</v>
      </c>
      <c r="F1" s="8" t="s">
        <v>169</v>
      </c>
      <c r="G1" s="8" t="s">
        <v>170</v>
      </c>
      <c r="H1" s="8" t="s">
        <v>171</v>
      </c>
      <c r="I1" s="8" t="s">
        <v>172</v>
      </c>
      <c r="J1" s="8" t="s">
        <v>173</v>
      </c>
      <c r="K1" s="8" t="s">
        <v>167</v>
      </c>
      <c r="L1" s="8" t="s">
        <v>168</v>
      </c>
      <c r="M1" s="8" t="s">
        <v>169</v>
      </c>
      <c r="N1" s="1" t="s">
        <v>4</v>
      </c>
      <c r="O1" s="1" t="s">
        <v>5</v>
      </c>
      <c r="P1" s="1" t="s">
        <v>6</v>
      </c>
      <c r="Q1" s="1" t="s">
        <v>7</v>
      </c>
      <c r="R1" s="1" t="s">
        <v>8</v>
      </c>
      <c r="S1" s="1" t="s">
        <v>9</v>
      </c>
      <c r="T1" s="2" t="s">
        <v>12</v>
      </c>
      <c r="U1" s="2" t="s">
        <v>14</v>
      </c>
      <c r="V1" s="6"/>
      <c r="W1" s="13" t="s">
        <v>142</v>
      </c>
      <c r="X1" t="s">
        <v>143</v>
      </c>
      <c r="Y1" t="s">
        <v>144</v>
      </c>
      <c r="Z1" t="s">
        <v>146</v>
      </c>
      <c r="AA1" t="s">
        <v>145</v>
      </c>
    </row>
    <row r="2" spans="1:27" s="4" customFormat="1">
      <c r="A2" s="5" t="s">
        <v>22</v>
      </c>
      <c r="B2" s="5" t="s">
        <v>24</v>
      </c>
      <c r="C2" s="5" t="s">
        <v>25</v>
      </c>
      <c r="D2" s="9">
        <v>30</v>
      </c>
      <c r="E2" s="9">
        <v>97</v>
      </c>
      <c r="F2" s="9" t="s">
        <v>147</v>
      </c>
      <c r="G2" s="9" t="s">
        <v>147</v>
      </c>
      <c r="H2" s="9" t="s">
        <v>148</v>
      </c>
      <c r="I2" s="9" t="s">
        <v>148</v>
      </c>
      <c r="J2" s="9" t="s">
        <v>148</v>
      </c>
      <c r="K2" s="9">
        <v>47</v>
      </c>
      <c r="L2" s="9" t="s">
        <v>148</v>
      </c>
      <c r="M2" s="9" t="s">
        <v>147</v>
      </c>
      <c r="N2" s="4">
        <f>SUM(D2,E2,K2)</f>
        <v>174</v>
      </c>
      <c r="P2" s="4">
        <f>SUM(N2:O2)</f>
        <v>174</v>
      </c>
      <c r="Q2" s="4">
        <f>450*7</f>
        <v>3150</v>
      </c>
      <c r="R2" s="4">
        <f>Q2-P2</f>
        <v>2976</v>
      </c>
      <c r="S2" s="4">
        <f>R2/Q2*100%</f>
        <v>0.9447619047619048</v>
      </c>
      <c r="W2" s="14" t="s">
        <v>111</v>
      </c>
      <c r="X2">
        <v>0</v>
      </c>
      <c r="Y2">
        <v>0</v>
      </c>
      <c r="Z2">
        <v>3150</v>
      </c>
      <c r="AA2">
        <v>3150</v>
      </c>
    </row>
    <row r="3" spans="1:27">
      <c r="A3" s="5" t="s">
        <v>26</v>
      </c>
      <c r="B3" s="7" t="s">
        <v>28</v>
      </c>
      <c r="C3" s="34" t="s">
        <v>25</v>
      </c>
      <c r="D3" s="9">
        <v>12</v>
      </c>
      <c r="E3" s="9" t="s">
        <v>148</v>
      </c>
      <c r="F3" s="9" t="s">
        <v>148</v>
      </c>
      <c r="G3" s="9" t="s">
        <v>148</v>
      </c>
      <c r="H3" s="9">
        <v>450</v>
      </c>
      <c r="I3" s="9" t="s">
        <v>147</v>
      </c>
      <c r="J3" s="9" t="s">
        <v>147</v>
      </c>
      <c r="K3" s="9">
        <v>40</v>
      </c>
      <c r="L3" s="9">
        <v>30</v>
      </c>
      <c r="M3" s="9" t="s">
        <v>148</v>
      </c>
      <c r="N3" s="6">
        <f>SUM(D3,K3,L3)</f>
        <v>82</v>
      </c>
      <c r="O3" s="6">
        <f t="shared" ref="O3:O4" si="0">SUMIF(D3:M3,"540")</f>
        <v>0</v>
      </c>
      <c r="P3" s="4">
        <f t="shared" ref="P3:P66" si="1">SUM(N3:O3)</f>
        <v>82</v>
      </c>
      <c r="Q3" s="4">
        <f>450*8</f>
        <v>3600</v>
      </c>
      <c r="R3" s="4">
        <f t="shared" ref="R3:R66" si="2">Q3-P3</f>
        <v>3518</v>
      </c>
      <c r="S3" s="4">
        <f t="shared" ref="S3:S66" si="3">R3/Q3*100%</f>
        <v>0.97722222222222221</v>
      </c>
      <c r="T3" s="6"/>
      <c r="U3" s="6"/>
      <c r="V3" s="6"/>
      <c r="W3" s="14" t="s">
        <v>22</v>
      </c>
      <c r="X3">
        <v>2073</v>
      </c>
      <c r="Y3">
        <v>0</v>
      </c>
      <c r="Z3">
        <v>132027</v>
      </c>
      <c r="AA3">
        <v>134100</v>
      </c>
    </row>
    <row r="4" spans="1:27">
      <c r="A4" s="5" t="s">
        <v>26</v>
      </c>
      <c r="B4" s="7" t="s">
        <v>29</v>
      </c>
      <c r="C4" s="34" t="s">
        <v>30</v>
      </c>
      <c r="D4" s="9" t="s">
        <v>174</v>
      </c>
      <c r="E4" s="9">
        <v>127</v>
      </c>
      <c r="F4" s="9" t="s">
        <v>147</v>
      </c>
      <c r="G4" s="9" t="s">
        <v>147</v>
      </c>
      <c r="H4" s="9">
        <v>450</v>
      </c>
      <c r="I4" s="9" t="s">
        <v>147</v>
      </c>
      <c r="J4" s="9" t="s">
        <v>147</v>
      </c>
      <c r="K4" s="9">
        <v>14</v>
      </c>
      <c r="L4" s="9">
        <v>4</v>
      </c>
      <c r="M4" s="9">
        <v>82</v>
      </c>
      <c r="N4" s="6">
        <f>SUM(E4,K4,L4,)</f>
        <v>145</v>
      </c>
      <c r="O4" s="6">
        <f t="shared" si="0"/>
        <v>0</v>
      </c>
      <c r="P4" s="4">
        <f t="shared" si="1"/>
        <v>145</v>
      </c>
      <c r="Q4" s="4">
        <f>450*6</f>
        <v>2700</v>
      </c>
      <c r="R4" s="4">
        <f t="shared" si="2"/>
        <v>2555</v>
      </c>
      <c r="S4" s="4">
        <f t="shared" si="3"/>
        <v>0.9462962962962963</v>
      </c>
      <c r="T4" s="6"/>
      <c r="U4" s="6"/>
      <c r="V4" s="6"/>
      <c r="W4" s="14" t="s">
        <v>37</v>
      </c>
      <c r="X4">
        <v>82</v>
      </c>
      <c r="Y4">
        <v>0</v>
      </c>
      <c r="Z4">
        <v>31418</v>
      </c>
      <c r="AA4">
        <v>31500</v>
      </c>
    </row>
    <row r="5" spans="1:27">
      <c r="A5" s="5" t="s">
        <v>22</v>
      </c>
      <c r="B5" s="5" t="s">
        <v>32</v>
      </c>
      <c r="C5" s="5" t="s">
        <v>33</v>
      </c>
      <c r="D5" s="9" t="s">
        <v>148</v>
      </c>
      <c r="E5" s="9">
        <v>15</v>
      </c>
      <c r="F5" s="9" t="s">
        <v>147</v>
      </c>
      <c r="G5" s="9" t="s">
        <v>147</v>
      </c>
      <c r="H5" s="9" t="s">
        <v>148</v>
      </c>
      <c r="I5" s="9" t="s">
        <v>148</v>
      </c>
      <c r="J5" s="9" t="s">
        <v>148</v>
      </c>
      <c r="K5" s="9" t="s">
        <v>148</v>
      </c>
      <c r="L5" s="9">
        <v>450</v>
      </c>
      <c r="M5" s="9" t="s">
        <v>147</v>
      </c>
      <c r="N5" s="6">
        <f>E5</f>
        <v>15</v>
      </c>
      <c r="O5" s="6">
        <f>SUMIF(D5:M5,"540")</f>
        <v>0</v>
      </c>
      <c r="P5" s="4">
        <f t="shared" si="1"/>
        <v>15</v>
      </c>
      <c r="Q5" s="4">
        <f>450*7</f>
        <v>3150</v>
      </c>
      <c r="R5" s="4">
        <f t="shared" si="2"/>
        <v>3135</v>
      </c>
      <c r="S5" s="4">
        <f t="shared" si="3"/>
        <v>0.99523809523809526</v>
      </c>
      <c r="T5" s="6"/>
      <c r="U5" s="6"/>
      <c r="V5" s="6"/>
      <c r="W5" s="14" t="s">
        <v>57</v>
      </c>
      <c r="X5">
        <v>36</v>
      </c>
      <c r="Y5">
        <v>0</v>
      </c>
      <c r="Z5">
        <v>12114</v>
      </c>
      <c r="AA5">
        <v>12150</v>
      </c>
    </row>
    <row r="6" spans="1:27">
      <c r="A6" s="5" t="s">
        <v>26</v>
      </c>
      <c r="B6" s="7" t="s">
        <v>35</v>
      </c>
      <c r="C6" s="34" t="s">
        <v>36</v>
      </c>
      <c r="D6" s="9" t="s">
        <v>148</v>
      </c>
      <c r="E6" s="9" t="s">
        <v>148</v>
      </c>
      <c r="F6" s="9" t="s">
        <v>147</v>
      </c>
      <c r="G6" s="9" t="s">
        <v>147</v>
      </c>
      <c r="H6" s="9" t="s">
        <v>148</v>
      </c>
      <c r="I6" s="9">
        <v>4</v>
      </c>
      <c r="J6" s="9" t="s">
        <v>148</v>
      </c>
      <c r="K6" s="9" t="s">
        <v>148</v>
      </c>
      <c r="L6" s="9">
        <v>2</v>
      </c>
      <c r="M6" s="9" t="s">
        <v>147</v>
      </c>
      <c r="N6" s="6">
        <f>SUM(I6,L6)</f>
        <v>6</v>
      </c>
      <c r="O6" s="6"/>
      <c r="P6" s="4">
        <f t="shared" si="1"/>
        <v>6</v>
      </c>
      <c r="Q6" s="4">
        <f>450*7</f>
        <v>3150</v>
      </c>
      <c r="R6" s="4">
        <f t="shared" si="2"/>
        <v>3144</v>
      </c>
      <c r="S6" s="4">
        <f t="shared" si="3"/>
        <v>0.99809523809523815</v>
      </c>
      <c r="T6" s="6"/>
      <c r="U6" s="6"/>
      <c r="V6" s="6"/>
      <c r="W6" s="14" t="s">
        <v>60</v>
      </c>
      <c r="X6">
        <v>0</v>
      </c>
      <c r="Y6">
        <v>0</v>
      </c>
      <c r="Z6">
        <v>6300</v>
      </c>
      <c r="AA6">
        <v>6300</v>
      </c>
    </row>
    <row r="7" spans="1:27">
      <c r="A7" s="5" t="s">
        <v>37</v>
      </c>
      <c r="B7" s="5" t="s">
        <v>39</v>
      </c>
      <c r="C7" s="5" t="s">
        <v>40</v>
      </c>
      <c r="D7" s="9" t="s">
        <v>147</v>
      </c>
      <c r="E7" s="9" t="s">
        <v>147</v>
      </c>
      <c r="F7" s="9" t="s">
        <v>148</v>
      </c>
      <c r="G7" s="9">
        <v>47</v>
      </c>
      <c r="H7" s="9" t="s">
        <v>148</v>
      </c>
      <c r="I7" s="9" t="s">
        <v>148</v>
      </c>
      <c r="J7" s="9" t="s">
        <v>148</v>
      </c>
      <c r="K7" s="9" t="s">
        <v>147</v>
      </c>
      <c r="L7" s="9" t="s">
        <v>147</v>
      </c>
      <c r="M7" s="9" t="s">
        <v>148</v>
      </c>
      <c r="N7" s="6">
        <f>SUM(D7:M7)</f>
        <v>47</v>
      </c>
      <c r="O7" s="6">
        <f t="shared" ref="O7" si="4">SUMIF(D7:M7,"540")</f>
        <v>0</v>
      </c>
      <c r="P7" s="4">
        <f t="shared" si="1"/>
        <v>47</v>
      </c>
      <c r="Q7" s="4">
        <f>450*6</f>
        <v>2700</v>
      </c>
      <c r="R7" s="4">
        <f t="shared" si="2"/>
        <v>2653</v>
      </c>
      <c r="S7" s="4">
        <f t="shared" si="3"/>
        <v>0.98259259259259257</v>
      </c>
      <c r="T7" s="6"/>
      <c r="U7" s="6"/>
      <c r="V7" s="6"/>
      <c r="W7" s="14" t="s">
        <v>26</v>
      </c>
      <c r="X7">
        <v>1012</v>
      </c>
      <c r="Y7">
        <v>0</v>
      </c>
      <c r="Z7">
        <v>119138</v>
      </c>
      <c r="AA7">
        <v>120150</v>
      </c>
    </row>
    <row r="8" spans="1:27">
      <c r="A8" s="5" t="s">
        <v>22</v>
      </c>
      <c r="B8" s="5" t="s">
        <v>41</v>
      </c>
      <c r="C8" s="5" t="s">
        <v>33</v>
      </c>
      <c r="D8" s="9" t="s">
        <v>148</v>
      </c>
      <c r="E8" s="9">
        <v>450</v>
      </c>
      <c r="F8" s="9" t="s">
        <v>147</v>
      </c>
      <c r="G8" s="9" t="s">
        <v>147</v>
      </c>
      <c r="H8" s="9" t="s">
        <v>148</v>
      </c>
      <c r="I8" s="9" t="s">
        <v>148</v>
      </c>
      <c r="J8" s="9" t="s">
        <v>148</v>
      </c>
      <c r="K8" s="9" t="s">
        <v>148</v>
      </c>
      <c r="L8" s="9" t="s">
        <v>148</v>
      </c>
      <c r="M8" s="9" t="s">
        <v>147</v>
      </c>
      <c r="N8" s="6">
        <v>0</v>
      </c>
      <c r="O8" s="6">
        <f>SUMIF(D8:M8,"540")</f>
        <v>0</v>
      </c>
      <c r="P8" s="4">
        <f t="shared" si="1"/>
        <v>0</v>
      </c>
      <c r="Q8" s="4">
        <f>450*7</f>
        <v>3150</v>
      </c>
      <c r="R8" s="4">
        <f t="shared" si="2"/>
        <v>3150</v>
      </c>
      <c r="S8" s="4">
        <f t="shared" si="3"/>
        <v>1</v>
      </c>
      <c r="T8" s="6"/>
      <c r="U8" s="6"/>
      <c r="V8" s="6"/>
      <c r="W8" s="14" t="s">
        <v>149</v>
      </c>
      <c r="X8">
        <v>3203</v>
      </c>
      <c r="Y8">
        <v>0</v>
      </c>
      <c r="Z8">
        <v>304147</v>
      </c>
      <c r="AA8">
        <v>307350</v>
      </c>
    </row>
    <row r="9" spans="1:27">
      <c r="A9" s="5" t="s">
        <v>22</v>
      </c>
      <c r="B9" s="5" t="s">
        <v>42</v>
      </c>
      <c r="C9" s="5" t="s">
        <v>25</v>
      </c>
      <c r="D9" s="9" t="s">
        <v>148</v>
      </c>
      <c r="E9" s="9" t="s">
        <v>148</v>
      </c>
      <c r="F9" s="9" t="s">
        <v>147</v>
      </c>
      <c r="G9" s="9" t="s">
        <v>147</v>
      </c>
      <c r="H9" s="9" t="s">
        <v>148</v>
      </c>
      <c r="I9" s="9" t="s">
        <v>148</v>
      </c>
      <c r="J9" s="9" t="s">
        <v>148</v>
      </c>
      <c r="K9" s="9">
        <v>10</v>
      </c>
      <c r="L9" s="9" t="s">
        <v>148</v>
      </c>
      <c r="M9" s="9" t="s">
        <v>147</v>
      </c>
      <c r="N9" s="6">
        <f>K9</f>
        <v>10</v>
      </c>
      <c r="O9" s="6"/>
      <c r="P9" s="4">
        <f t="shared" si="1"/>
        <v>10</v>
      </c>
      <c r="Q9" s="4">
        <f>450*7</f>
        <v>3150</v>
      </c>
      <c r="R9" s="4">
        <f t="shared" si="2"/>
        <v>3140</v>
      </c>
      <c r="S9" s="4">
        <f t="shared" si="3"/>
        <v>0.99682539682539684</v>
      </c>
      <c r="T9" s="6"/>
      <c r="U9" s="6"/>
      <c r="V9" s="6"/>
      <c r="Y9"/>
      <c r="Z9"/>
      <c r="AA9"/>
    </row>
    <row r="10" spans="1:27">
      <c r="A10" s="5" t="s">
        <v>22</v>
      </c>
      <c r="B10" s="5" t="s">
        <v>43</v>
      </c>
      <c r="C10" s="5" t="s">
        <v>25</v>
      </c>
      <c r="D10" s="9" t="s">
        <v>148</v>
      </c>
      <c r="E10" s="9" t="s">
        <v>148</v>
      </c>
      <c r="F10" s="9" t="s">
        <v>147</v>
      </c>
      <c r="G10" s="9" t="s">
        <v>147</v>
      </c>
      <c r="H10" s="9" t="s">
        <v>148</v>
      </c>
      <c r="I10" s="9" t="s">
        <v>148</v>
      </c>
      <c r="J10" s="9" t="s">
        <v>148</v>
      </c>
      <c r="K10" s="9" t="s">
        <v>148</v>
      </c>
      <c r="L10" s="9" t="s">
        <v>148</v>
      </c>
      <c r="M10" s="9" t="s">
        <v>147</v>
      </c>
      <c r="N10" s="6">
        <v>0</v>
      </c>
      <c r="O10" s="6">
        <f t="shared" ref="O10:O13" si="5">SUMIF(D10:M10,"540")</f>
        <v>0</v>
      </c>
      <c r="P10" s="4">
        <f t="shared" si="1"/>
        <v>0</v>
      </c>
      <c r="Q10" s="4">
        <f>450*7</f>
        <v>3150</v>
      </c>
      <c r="R10" s="4">
        <f t="shared" si="2"/>
        <v>3150</v>
      </c>
      <c r="S10" s="4">
        <f t="shared" si="3"/>
        <v>1</v>
      </c>
      <c r="T10" s="6"/>
      <c r="U10" s="6"/>
      <c r="V10" s="6"/>
      <c r="Y10"/>
    </row>
    <row r="11" spans="1:27">
      <c r="A11" s="5" t="s">
        <v>37</v>
      </c>
      <c r="B11" s="5" t="s">
        <v>44</v>
      </c>
      <c r="C11" s="5" t="s">
        <v>40</v>
      </c>
      <c r="D11" s="9" t="s">
        <v>147</v>
      </c>
      <c r="E11" s="9" t="s">
        <v>147</v>
      </c>
      <c r="F11" s="9" t="s">
        <v>148</v>
      </c>
      <c r="G11" s="9" t="s">
        <v>148</v>
      </c>
      <c r="H11" s="9" t="s">
        <v>148</v>
      </c>
      <c r="I11" s="9" t="s">
        <v>148</v>
      </c>
      <c r="J11" s="9" t="s">
        <v>148</v>
      </c>
      <c r="K11" s="9" t="s">
        <v>147</v>
      </c>
      <c r="L11" s="9" t="s">
        <v>147</v>
      </c>
      <c r="M11" s="9" t="s">
        <v>148</v>
      </c>
      <c r="N11" s="6">
        <v>0</v>
      </c>
      <c r="O11" s="6">
        <f t="shared" si="5"/>
        <v>0</v>
      </c>
      <c r="P11" s="4">
        <f t="shared" si="1"/>
        <v>0</v>
      </c>
      <c r="Q11" s="6">
        <f>450*6</f>
        <v>2700</v>
      </c>
      <c r="R11" s="4">
        <f t="shared" si="2"/>
        <v>2700</v>
      </c>
      <c r="S11" s="4">
        <f t="shared" si="3"/>
        <v>1</v>
      </c>
      <c r="T11" s="6"/>
      <c r="U11" s="6"/>
      <c r="V11" s="6"/>
      <c r="Y11"/>
    </row>
    <row r="12" spans="1:27">
      <c r="A12" s="5" t="s">
        <v>26</v>
      </c>
      <c r="B12" s="7" t="s">
        <v>45</v>
      </c>
      <c r="C12" s="34" t="s">
        <v>30</v>
      </c>
      <c r="D12" s="9" t="s">
        <v>147</v>
      </c>
      <c r="E12" s="9" t="s">
        <v>148</v>
      </c>
      <c r="F12" s="9" t="s">
        <v>148</v>
      </c>
      <c r="G12" s="9" t="s">
        <v>148</v>
      </c>
      <c r="H12" s="9" t="s">
        <v>148</v>
      </c>
      <c r="I12" s="9">
        <v>450</v>
      </c>
      <c r="J12" s="9" t="s">
        <v>147</v>
      </c>
      <c r="K12" s="9" t="s">
        <v>147</v>
      </c>
      <c r="L12" s="9">
        <v>450</v>
      </c>
      <c r="M12" s="9" t="s">
        <v>148</v>
      </c>
      <c r="N12" s="6">
        <v>0</v>
      </c>
      <c r="O12" s="6">
        <f t="shared" si="5"/>
        <v>0</v>
      </c>
      <c r="P12" s="4">
        <f t="shared" si="1"/>
        <v>0</v>
      </c>
      <c r="Q12" s="6">
        <f>450*7</f>
        <v>3150</v>
      </c>
      <c r="R12" s="4">
        <f t="shared" si="2"/>
        <v>3150</v>
      </c>
      <c r="S12" s="4">
        <f t="shared" si="3"/>
        <v>1</v>
      </c>
      <c r="T12" s="6"/>
      <c r="U12" s="6"/>
      <c r="V12" s="6"/>
      <c r="Y12"/>
    </row>
    <row r="13" spans="1:27">
      <c r="A13" s="5" t="s">
        <v>26</v>
      </c>
      <c r="B13" s="7" t="s">
        <v>46</v>
      </c>
      <c r="C13" s="34" t="s">
        <v>33</v>
      </c>
      <c r="D13" s="9" t="s">
        <v>148</v>
      </c>
      <c r="E13" s="9" t="s">
        <v>148</v>
      </c>
      <c r="F13" s="9" t="s">
        <v>147</v>
      </c>
      <c r="G13" s="9" t="s">
        <v>147</v>
      </c>
      <c r="H13" s="9" t="s">
        <v>148</v>
      </c>
      <c r="I13" s="9" t="s">
        <v>148</v>
      </c>
      <c r="J13" s="9" t="s">
        <v>148</v>
      </c>
      <c r="K13" s="9" t="s">
        <v>148</v>
      </c>
      <c r="L13" s="9" t="s">
        <v>147</v>
      </c>
      <c r="M13" s="9" t="s">
        <v>147</v>
      </c>
      <c r="N13" s="6">
        <v>0</v>
      </c>
      <c r="O13" s="6">
        <f t="shared" si="5"/>
        <v>0</v>
      </c>
      <c r="P13" s="4">
        <f t="shared" si="1"/>
        <v>0</v>
      </c>
      <c r="Q13" s="4">
        <f>450*7</f>
        <v>3150</v>
      </c>
      <c r="R13" s="4">
        <f t="shared" si="2"/>
        <v>3150</v>
      </c>
      <c r="S13" s="4">
        <f t="shared" si="3"/>
        <v>1</v>
      </c>
      <c r="T13" s="6"/>
      <c r="U13" s="6"/>
      <c r="V13" s="6"/>
      <c r="Y13"/>
    </row>
    <row r="14" spans="1:27">
      <c r="A14" s="5" t="s">
        <v>26</v>
      </c>
      <c r="B14" s="7" t="s">
        <v>47</v>
      </c>
      <c r="C14" s="34" t="s">
        <v>33</v>
      </c>
      <c r="D14" s="9" t="s">
        <v>148</v>
      </c>
      <c r="E14" s="9" t="s">
        <v>148</v>
      </c>
      <c r="F14" s="9" t="s">
        <v>147</v>
      </c>
      <c r="G14" s="9" t="s">
        <v>147</v>
      </c>
      <c r="H14" s="9" t="s">
        <v>147</v>
      </c>
      <c r="I14" s="9" t="s">
        <v>148</v>
      </c>
      <c r="J14" s="9" t="s">
        <v>148</v>
      </c>
      <c r="K14" s="9">
        <v>5</v>
      </c>
      <c r="L14" s="9" t="s">
        <v>148</v>
      </c>
      <c r="M14" s="9" t="s">
        <v>147</v>
      </c>
      <c r="N14" s="6">
        <f>K14</f>
        <v>5</v>
      </c>
      <c r="O14" s="6"/>
      <c r="P14" s="4">
        <f t="shared" si="1"/>
        <v>5</v>
      </c>
      <c r="Q14" s="4">
        <f>450*7</f>
        <v>3150</v>
      </c>
      <c r="R14" s="4">
        <f t="shared" si="2"/>
        <v>3145</v>
      </c>
      <c r="S14" s="4">
        <f t="shared" si="3"/>
        <v>0.99841269841269842</v>
      </c>
      <c r="T14" s="6"/>
      <c r="U14" s="6"/>
      <c r="V14" s="6"/>
      <c r="Y14"/>
    </row>
    <row r="15" spans="1:27">
      <c r="A15" s="5" t="s">
        <v>26</v>
      </c>
      <c r="B15" s="7" t="s">
        <v>48</v>
      </c>
      <c r="C15" s="34" t="s">
        <v>33</v>
      </c>
      <c r="D15" s="9" t="s">
        <v>148</v>
      </c>
      <c r="E15" s="9" t="s">
        <v>148</v>
      </c>
      <c r="F15" s="9" t="s">
        <v>147</v>
      </c>
      <c r="G15" s="9" t="s">
        <v>147</v>
      </c>
      <c r="H15" s="9" t="s">
        <v>148</v>
      </c>
      <c r="I15" s="9" t="s">
        <v>148</v>
      </c>
      <c r="J15" s="9" t="s">
        <v>148</v>
      </c>
      <c r="K15" s="9" t="s">
        <v>148</v>
      </c>
      <c r="L15" s="9" t="s">
        <v>14</v>
      </c>
      <c r="M15" s="9" t="s">
        <v>147</v>
      </c>
      <c r="N15" s="6">
        <v>0</v>
      </c>
      <c r="O15" s="6">
        <f>SUMIF(D15:M15,"540")</f>
        <v>0</v>
      </c>
      <c r="P15" s="4">
        <f t="shared" si="1"/>
        <v>0</v>
      </c>
      <c r="Q15" s="4">
        <f>450*6</f>
        <v>2700</v>
      </c>
      <c r="R15" s="4">
        <f t="shared" si="2"/>
        <v>2700</v>
      </c>
      <c r="S15" s="4">
        <f t="shared" si="3"/>
        <v>1</v>
      </c>
      <c r="T15" s="6"/>
      <c r="U15" s="6">
        <v>1</v>
      </c>
      <c r="V15" s="6"/>
      <c r="Y15"/>
    </row>
    <row r="16" spans="1:27">
      <c r="A16" s="5" t="s">
        <v>26</v>
      </c>
      <c r="B16" s="7" t="s">
        <v>49</v>
      </c>
      <c r="C16" s="34" t="s">
        <v>50</v>
      </c>
      <c r="D16" s="9" t="s">
        <v>148</v>
      </c>
      <c r="E16" s="9" t="s">
        <v>148</v>
      </c>
      <c r="F16" s="9" t="s">
        <v>147</v>
      </c>
      <c r="G16" s="9" t="s">
        <v>147</v>
      </c>
      <c r="H16" s="9" t="s">
        <v>148</v>
      </c>
      <c r="I16" s="9">
        <v>6</v>
      </c>
      <c r="J16" s="9" t="s">
        <v>148</v>
      </c>
      <c r="K16" s="9" t="s">
        <v>148</v>
      </c>
      <c r="L16" s="9" t="s">
        <v>148</v>
      </c>
      <c r="M16" s="9" t="s">
        <v>147</v>
      </c>
      <c r="N16" s="6">
        <f>I16</f>
        <v>6</v>
      </c>
      <c r="O16" s="6"/>
      <c r="P16" s="4">
        <f t="shared" si="1"/>
        <v>6</v>
      </c>
      <c r="Q16" s="4">
        <f>450*7</f>
        <v>3150</v>
      </c>
      <c r="R16" s="4">
        <f t="shared" si="2"/>
        <v>3144</v>
      </c>
      <c r="S16" s="4">
        <f t="shared" si="3"/>
        <v>0.99809523809523815</v>
      </c>
      <c r="T16" s="6"/>
      <c r="U16" s="6"/>
      <c r="V16" s="6"/>
      <c r="Y16"/>
    </row>
    <row r="17" spans="1:25">
      <c r="A17" s="5" t="s">
        <v>26</v>
      </c>
      <c r="B17" s="7" t="s">
        <v>51</v>
      </c>
      <c r="C17" s="34" t="s">
        <v>25</v>
      </c>
      <c r="D17" s="9" t="s">
        <v>148</v>
      </c>
      <c r="E17" s="9">
        <v>10</v>
      </c>
      <c r="F17" s="9" t="s">
        <v>148</v>
      </c>
      <c r="G17" s="9" t="s">
        <v>148</v>
      </c>
      <c r="H17" s="9" t="s">
        <v>148</v>
      </c>
      <c r="I17" s="9" t="s">
        <v>148</v>
      </c>
      <c r="J17" s="9" t="s">
        <v>148</v>
      </c>
      <c r="K17" s="9" t="s">
        <v>148</v>
      </c>
      <c r="L17" s="9" t="s">
        <v>147</v>
      </c>
      <c r="M17" s="9" t="s">
        <v>147</v>
      </c>
      <c r="N17" s="6">
        <f>SUM(D17:M17)</f>
        <v>10</v>
      </c>
      <c r="O17" s="6">
        <f t="shared" ref="O17:O18" si="6">SUMIF(D17:M17,"540")</f>
        <v>0</v>
      </c>
      <c r="P17" s="4">
        <f t="shared" si="1"/>
        <v>10</v>
      </c>
      <c r="Q17" s="6">
        <f>450*8</f>
        <v>3600</v>
      </c>
      <c r="R17" s="4">
        <f t="shared" si="2"/>
        <v>3590</v>
      </c>
      <c r="S17" s="4">
        <f t="shared" si="3"/>
        <v>0.99722222222222223</v>
      </c>
      <c r="T17" s="6"/>
      <c r="U17" s="6"/>
      <c r="V17" s="6"/>
      <c r="Y17"/>
    </row>
    <row r="18" spans="1:25">
      <c r="A18" s="5" t="s">
        <v>37</v>
      </c>
      <c r="B18" s="5" t="s">
        <v>52</v>
      </c>
      <c r="C18" s="5" t="s">
        <v>40</v>
      </c>
      <c r="D18" s="9" t="s">
        <v>147</v>
      </c>
      <c r="E18" s="9" t="s">
        <v>148</v>
      </c>
      <c r="F18" s="9" t="s">
        <v>148</v>
      </c>
      <c r="G18" s="9" t="s">
        <v>148</v>
      </c>
      <c r="H18" s="9" t="s">
        <v>148</v>
      </c>
      <c r="I18" s="9" t="s">
        <v>148</v>
      </c>
      <c r="J18" s="9" t="s">
        <v>147</v>
      </c>
      <c r="K18" s="9" t="s">
        <v>147</v>
      </c>
      <c r="L18" s="9">
        <v>11</v>
      </c>
      <c r="M18" s="9" t="s">
        <v>148</v>
      </c>
      <c r="N18" s="6">
        <f>SUM(D18:M18)</f>
        <v>11</v>
      </c>
      <c r="O18" s="6">
        <f t="shared" si="6"/>
        <v>0</v>
      </c>
      <c r="P18" s="4">
        <f t="shared" si="1"/>
        <v>11</v>
      </c>
      <c r="Q18" s="6">
        <f>450*7</f>
        <v>3150</v>
      </c>
      <c r="R18" s="4">
        <f t="shared" si="2"/>
        <v>3139</v>
      </c>
      <c r="S18" s="4">
        <f t="shared" si="3"/>
        <v>0.99650793650793645</v>
      </c>
      <c r="T18" s="6"/>
      <c r="U18" s="6"/>
      <c r="V18" s="6"/>
      <c r="Y18"/>
    </row>
    <row r="19" spans="1:25" ht="11.25">
      <c r="A19" s="5" t="s">
        <v>26</v>
      </c>
      <c r="B19" s="7" t="s">
        <v>53</v>
      </c>
      <c r="C19" s="34" t="s">
        <v>25</v>
      </c>
      <c r="D19" s="9" t="s">
        <v>148</v>
      </c>
      <c r="E19" s="9">
        <v>28</v>
      </c>
      <c r="F19" s="9" t="s">
        <v>147</v>
      </c>
      <c r="G19" s="9" t="s">
        <v>147</v>
      </c>
      <c r="H19" s="9">
        <v>450</v>
      </c>
      <c r="I19" s="9">
        <v>8</v>
      </c>
      <c r="J19" s="9">
        <v>4</v>
      </c>
      <c r="K19" s="9">
        <v>2</v>
      </c>
      <c r="L19" s="9">
        <v>450</v>
      </c>
      <c r="M19" s="9" t="s">
        <v>147</v>
      </c>
      <c r="N19" s="6">
        <f>SUM(E19,I19:K20)</f>
        <v>42</v>
      </c>
      <c r="O19" s="6">
        <f>SUMIF(D19:M19,"540")</f>
        <v>0</v>
      </c>
      <c r="P19" s="4">
        <f t="shared" si="1"/>
        <v>42</v>
      </c>
      <c r="Q19" s="4">
        <f>450*7</f>
        <v>3150</v>
      </c>
      <c r="R19" s="4">
        <f t="shared" si="2"/>
        <v>3108</v>
      </c>
      <c r="S19" s="4">
        <f t="shared" si="3"/>
        <v>0.98666666666666669</v>
      </c>
      <c r="T19" s="6"/>
      <c r="U19" s="6"/>
      <c r="V19" s="6"/>
      <c r="W19" s="6"/>
      <c r="X19" s="6"/>
    </row>
    <row r="20" spans="1:25" ht="11.25">
      <c r="A20" s="5" t="s">
        <v>26</v>
      </c>
      <c r="B20" s="5" t="s">
        <v>34</v>
      </c>
      <c r="C20" s="5" t="s">
        <v>40</v>
      </c>
      <c r="D20" s="9" t="s">
        <v>148</v>
      </c>
      <c r="E20" s="9" t="s">
        <v>12</v>
      </c>
      <c r="F20" s="9" t="s">
        <v>12</v>
      </c>
      <c r="G20" s="9" t="s">
        <v>147</v>
      </c>
      <c r="H20" s="9" t="s">
        <v>147</v>
      </c>
      <c r="I20" s="9" t="s">
        <v>148</v>
      </c>
      <c r="J20" s="9" t="s">
        <v>148</v>
      </c>
      <c r="K20" s="9" t="s">
        <v>148</v>
      </c>
      <c r="L20" s="9" t="s">
        <v>148</v>
      </c>
      <c r="M20" s="9" t="s">
        <v>147</v>
      </c>
      <c r="N20" s="6">
        <v>0</v>
      </c>
      <c r="O20" s="6">
        <f>SUMIF(D20:M20,"540")</f>
        <v>0</v>
      </c>
      <c r="P20" s="4">
        <f t="shared" si="1"/>
        <v>0</v>
      </c>
      <c r="Q20" s="6">
        <f>450*5</f>
        <v>2250</v>
      </c>
      <c r="R20" s="4">
        <f t="shared" si="2"/>
        <v>2250</v>
      </c>
      <c r="S20" s="4">
        <f t="shared" si="3"/>
        <v>1</v>
      </c>
      <c r="T20" s="6">
        <v>2</v>
      </c>
      <c r="U20" s="6"/>
      <c r="V20" s="6"/>
      <c r="W20" s="6"/>
      <c r="X20" s="6"/>
    </row>
    <row r="21" spans="1:25" ht="11.25">
      <c r="A21" s="5" t="s">
        <v>22</v>
      </c>
      <c r="B21" s="5" t="s">
        <v>55</v>
      </c>
      <c r="C21" s="5" t="s">
        <v>56</v>
      </c>
      <c r="D21" s="9" t="s">
        <v>148</v>
      </c>
      <c r="E21" s="9">
        <v>328</v>
      </c>
      <c r="F21" s="9" t="s">
        <v>147</v>
      </c>
      <c r="G21" s="9" t="s">
        <v>147</v>
      </c>
      <c r="H21" s="9" t="s">
        <v>12</v>
      </c>
      <c r="I21" s="9" t="s">
        <v>148</v>
      </c>
      <c r="J21" s="9" t="s">
        <v>148</v>
      </c>
      <c r="K21" s="9" t="s">
        <v>148</v>
      </c>
      <c r="L21" s="9">
        <v>30</v>
      </c>
      <c r="M21" s="9" t="s">
        <v>147</v>
      </c>
      <c r="N21" s="6">
        <f>SUM(E21,L21)</f>
        <v>358</v>
      </c>
      <c r="O21" s="6"/>
      <c r="P21" s="4">
        <f t="shared" si="1"/>
        <v>358</v>
      </c>
      <c r="Q21" s="4">
        <f>450*6</f>
        <v>2700</v>
      </c>
      <c r="R21" s="4">
        <f t="shared" si="2"/>
        <v>2342</v>
      </c>
      <c r="S21" s="4">
        <f t="shared" si="3"/>
        <v>0.8674074074074074</v>
      </c>
      <c r="T21" s="6">
        <v>1</v>
      </c>
      <c r="U21" s="6"/>
      <c r="V21" s="6"/>
      <c r="W21" s="6"/>
      <c r="X21" s="6"/>
    </row>
    <row r="22" spans="1:25" ht="11.25">
      <c r="A22" s="5" t="s">
        <v>60</v>
      </c>
      <c r="B22" s="5" t="s">
        <v>59</v>
      </c>
      <c r="C22" s="5" t="s">
        <v>40</v>
      </c>
      <c r="D22" s="9" t="s">
        <v>148</v>
      </c>
      <c r="E22" s="9" t="s">
        <v>148</v>
      </c>
      <c r="F22" s="9" t="s">
        <v>147</v>
      </c>
      <c r="G22" s="9" t="s">
        <v>147</v>
      </c>
      <c r="H22" s="9" t="s">
        <v>148</v>
      </c>
      <c r="I22" s="9" t="s">
        <v>148</v>
      </c>
      <c r="J22" s="9" t="s">
        <v>148</v>
      </c>
      <c r="K22" s="9" t="s">
        <v>148</v>
      </c>
      <c r="L22" s="9" t="s">
        <v>148</v>
      </c>
      <c r="M22" s="9" t="s">
        <v>147</v>
      </c>
      <c r="N22" s="6">
        <v>0</v>
      </c>
      <c r="O22" s="6">
        <f>SUMIF(D22:M22,"540")</f>
        <v>0</v>
      </c>
      <c r="P22" s="4">
        <f t="shared" si="1"/>
        <v>0</v>
      </c>
      <c r="Q22" s="4">
        <f>450*7</f>
        <v>3150</v>
      </c>
      <c r="R22" s="4">
        <f t="shared" si="2"/>
        <v>3150</v>
      </c>
      <c r="S22" s="4">
        <f t="shared" si="3"/>
        <v>1</v>
      </c>
      <c r="T22" s="6"/>
      <c r="U22" s="6"/>
      <c r="V22" s="6"/>
      <c r="W22" s="6"/>
      <c r="X22" s="6"/>
    </row>
    <row r="23" spans="1:25" ht="11.25">
      <c r="A23" s="5" t="s">
        <v>22</v>
      </c>
      <c r="B23" s="5" t="s">
        <v>62</v>
      </c>
      <c r="C23" s="5" t="s">
        <v>63</v>
      </c>
      <c r="D23" s="9">
        <v>450</v>
      </c>
      <c r="E23" s="9">
        <v>19</v>
      </c>
      <c r="F23" s="9" t="s">
        <v>147</v>
      </c>
      <c r="G23" s="9" t="s">
        <v>147</v>
      </c>
      <c r="H23" s="9" t="s">
        <v>148</v>
      </c>
      <c r="I23" s="9">
        <v>450</v>
      </c>
      <c r="J23" s="9" t="s">
        <v>148</v>
      </c>
      <c r="K23" s="9">
        <v>9</v>
      </c>
      <c r="L23" s="9">
        <v>27</v>
      </c>
      <c r="M23" s="9" t="s">
        <v>147</v>
      </c>
      <c r="N23" s="6">
        <f>SUM(E23,K23,L23)</f>
        <v>55</v>
      </c>
      <c r="O23" s="6">
        <f>SUMIF(D23:M23,"540")</f>
        <v>0</v>
      </c>
      <c r="P23" s="4">
        <f t="shared" si="1"/>
        <v>55</v>
      </c>
      <c r="Q23" s="4">
        <f>450*7</f>
        <v>3150</v>
      </c>
      <c r="R23" s="4">
        <f t="shared" si="2"/>
        <v>3095</v>
      </c>
      <c r="S23" s="4">
        <f t="shared" si="3"/>
        <v>0.98253968253968249</v>
      </c>
      <c r="T23" s="6"/>
      <c r="U23" s="6"/>
      <c r="V23" s="6"/>
      <c r="W23" s="6"/>
      <c r="X23" s="6"/>
    </row>
    <row r="24" spans="1:25" ht="11.25">
      <c r="A24" s="5" t="s">
        <v>22</v>
      </c>
      <c r="B24" s="5" t="s">
        <v>64</v>
      </c>
      <c r="C24" s="5" t="s">
        <v>63</v>
      </c>
      <c r="D24" s="9">
        <v>6</v>
      </c>
      <c r="E24" s="9">
        <v>19</v>
      </c>
      <c r="F24" s="9" t="s">
        <v>147</v>
      </c>
      <c r="G24" s="9" t="s">
        <v>147</v>
      </c>
      <c r="H24" s="9">
        <v>450</v>
      </c>
      <c r="I24" s="9">
        <v>9</v>
      </c>
      <c r="J24" s="9" t="s">
        <v>148</v>
      </c>
      <c r="K24" s="9" t="s">
        <v>148</v>
      </c>
      <c r="L24" s="9">
        <v>2</v>
      </c>
      <c r="M24" s="9" t="s">
        <v>147</v>
      </c>
      <c r="N24" s="6">
        <f>SUM(D24,E24,I24,L24)</f>
        <v>36</v>
      </c>
      <c r="O24" s="6">
        <f>SUMIF(D24:M24,"540")</f>
        <v>0</v>
      </c>
      <c r="P24" s="4">
        <f t="shared" si="1"/>
        <v>36</v>
      </c>
      <c r="Q24" s="4">
        <f>450*7</f>
        <v>3150</v>
      </c>
      <c r="R24" s="4">
        <f t="shared" si="2"/>
        <v>3114</v>
      </c>
      <c r="S24" s="4">
        <f t="shared" si="3"/>
        <v>0.98857142857142855</v>
      </c>
      <c r="T24" s="6"/>
      <c r="U24" s="6"/>
      <c r="V24" s="6"/>
      <c r="W24" s="6"/>
      <c r="X24" s="6"/>
    </row>
    <row r="25" spans="1:25" ht="11.25">
      <c r="A25" s="5" t="s">
        <v>26</v>
      </c>
      <c r="B25" s="7" t="s">
        <v>65</v>
      </c>
      <c r="C25" s="34" t="s">
        <v>56</v>
      </c>
      <c r="D25" s="9" t="s">
        <v>147</v>
      </c>
      <c r="E25" s="9" t="s">
        <v>148</v>
      </c>
      <c r="F25" s="9" t="s">
        <v>148</v>
      </c>
      <c r="G25" s="9" t="s">
        <v>148</v>
      </c>
      <c r="H25" s="9" t="s">
        <v>148</v>
      </c>
      <c r="I25" s="9" t="s">
        <v>147</v>
      </c>
      <c r="J25" s="9" t="s">
        <v>148</v>
      </c>
      <c r="K25" s="9" t="s">
        <v>148</v>
      </c>
      <c r="L25" s="9" t="s">
        <v>148</v>
      </c>
      <c r="M25" s="9" t="s">
        <v>148</v>
      </c>
      <c r="N25" s="6">
        <v>0</v>
      </c>
      <c r="O25" s="6">
        <f>SUMIF(D25:M25,"540")</f>
        <v>0</v>
      </c>
      <c r="P25" s="4">
        <f t="shared" si="1"/>
        <v>0</v>
      </c>
      <c r="Q25" s="6">
        <f>450*8</f>
        <v>3600</v>
      </c>
      <c r="R25" s="4">
        <f t="shared" si="2"/>
        <v>3600</v>
      </c>
      <c r="S25" s="4">
        <f t="shared" si="3"/>
        <v>1</v>
      </c>
      <c r="T25" s="6"/>
      <c r="U25" s="6"/>
      <c r="V25" s="6"/>
      <c r="W25" s="6"/>
      <c r="X25" s="6"/>
    </row>
    <row r="26" spans="1:25" ht="11.25">
      <c r="A26" s="5" t="s">
        <v>22</v>
      </c>
      <c r="B26" s="5" t="s">
        <v>67</v>
      </c>
      <c r="C26" s="5" t="s">
        <v>30</v>
      </c>
      <c r="D26" s="9" t="s">
        <v>148</v>
      </c>
      <c r="E26" s="9">
        <v>1</v>
      </c>
      <c r="F26" s="9" t="s">
        <v>147</v>
      </c>
      <c r="G26" s="9" t="s">
        <v>147</v>
      </c>
      <c r="H26" s="9" t="s">
        <v>148</v>
      </c>
      <c r="I26" s="9" t="s">
        <v>148</v>
      </c>
      <c r="J26" s="9" t="s">
        <v>148</v>
      </c>
      <c r="K26" s="9" t="s">
        <v>148</v>
      </c>
      <c r="L26" s="9">
        <v>35</v>
      </c>
      <c r="M26" s="9" t="s">
        <v>147</v>
      </c>
      <c r="N26" s="6">
        <f>SUM(E26,L26)</f>
        <v>36</v>
      </c>
      <c r="O26" s="6">
        <f t="shared" ref="O26:O35" si="7">SUMIF(D26:M26,"540")</f>
        <v>0</v>
      </c>
      <c r="P26" s="4">
        <f t="shared" si="1"/>
        <v>36</v>
      </c>
      <c r="Q26" s="4">
        <f>450*7</f>
        <v>3150</v>
      </c>
      <c r="R26" s="4">
        <f t="shared" si="2"/>
        <v>3114</v>
      </c>
      <c r="S26" s="4">
        <f t="shared" si="3"/>
        <v>0.98857142857142855</v>
      </c>
      <c r="T26" s="6"/>
      <c r="U26" s="6"/>
      <c r="V26" s="6"/>
      <c r="W26" s="6"/>
      <c r="X26" s="6"/>
    </row>
    <row r="27" spans="1:25" ht="11.25">
      <c r="A27" s="5" t="s">
        <v>26</v>
      </c>
      <c r="B27" s="7" t="s">
        <v>68</v>
      </c>
      <c r="C27" s="34" t="s">
        <v>40</v>
      </c>
      <c r="D27" s="9" t="s">
        <v>148</v>
      </c>
      <c r="E27" s="9" t="s">
        <v>12</v>
      </c>
      <c r="F27" s="9" t="s">
        <v>147</v>
      </c>
      <c r="G27" s="9" t="s">
        <v>147</v>
      </c>
      <c r="H27" s="9" t="s">
        <v>12</v>
      </c>
      <c r="I27" s="9">
        <v>40</v>
      </c>
      <c r="J27" s="9" t="s">
        <v>148</v>
      </c>
      <c r="K27" s="9" t="s">
        <v>148</v>
      </c>
      <c r="L27" s="9" t="s">
        <v>148</v>
      </c>
      <c r="M27" s="9" t="s">
        <v>147</v>
      </c>
      <c r="N27" s="6">
        <f>SUM(I27)</f>
        <v>40</v>
      </c>
      <c r="O27" s="6">
        <f t="shared" si="7"/>
        <v>0</v>
      </c>
      <c r="P27" s="4">
        <f t="shared" si="1"/>
        <v>40</v>
      </c>
      <c r="Q27" s="4">
        <f>450*5</f>
        <v>2250</v>
      </c>
      <c r="R27" s="4">
        <f t="shared" si="2"/>
        <v>2210</v>
      </c>
      <c r="S27" s="4">
        <f t="shared" si="3"/>
        <v>0.98222222222222222</v>
      </c>
      <c r="T27" s="6">
        <v>2</v>
      </c>
      <c r="U27" s="6"/>
      <c r="V27" s="6"/>
      <c r="W27" s="6"/>
      <c r="X27" s="6"/>
    </row>
    <row r="28" spans="1:25" ht="11.25">
      <c r="A28" s="5" t="s">
        <v>22</v>
      </c>
      <c r="B28" s="5" t="s">
        <v>69</v>
      </c>
      <c r="C28" s="5" t="s">
        <v>30</v>
      </c>
      <c r="D28" s="9" t="s">
        <v>148</v>
      </c>
      <c r="E28" s="9">
        <v>299</v>
      </c>
      <c r="F28" s="9" t="s">
        <v>147</v>
      </c>
      <c r="G28" s="9" t="s">
        <v>147</v>
      </c>
      <c r="H28" s="9" t="s">
        <v>148</v>
      </c>
      <c r="I28" s="9">
        <v>17</v>
      </c>
      <c r="J28" s="9">
        <v>1</v>
      </c>
      <c r="K28" s="9">
        <v>450</v>
      </c>
      <c r="L28" s="9">
        <v>450</v>
      </c>
      <c r="M28" s="9" t="s">
        <v>147</v>
      </c>
      <c r="N28" s="6">
        <f>SUM(E28,I28,J28)</f>
        <v>317</v>
      </c>
      <c r="O28" s="6">
        <f t="shared" si="7"/>
        <v>0</v>
      </c>
      <c r="P28" s="4">
        <f t="shared" si="1"/>
        <v>317</v>
      </c>
      <c r="Q28" s="4">
        <f t="shared" ref="Q28:Q34" si="8">450*7</f>
        <v>3150</v>
      </c>
      <c r="R28" s="4">
        <f t="shared" si="2"/>
        <v>2833</v>
      </c>
      <c r="S28" s="4">
        <f t="shared" si="3"/>
        <v>0.89936507936507937</v>
      </c>
      <c r="T28" s="6"/>
      <c r="U28" s="6"/>
      <c r="V28" s="6"/>
      <c r="W28" s="6"/>
      <c r="X28" s="6"/>
    </row>
    <row r="29" spans="1:25" ht="11.25">
      <c r="A29" s="5" t="s">
        <v>22</v>
      </c>
      <c r="B29" s="5" t="s">
        <v>70</v>
      </c>
      <c r="C29" s="5" t="s">
        <v>63</v>
      </c>
      <c r="D29" s="9" t="s">
        <v>148</v>
      </c>
      <c r="E29" s="9">
        <v>12</v>
      </c>
      <c r="F29" s="9" t="s">
        <v>147</v>
      </c>
      <c r="G29" s="9" t="s">
        <v>147</v>
      </c>
      <c r="H29" s="9" t="s">
        <v>148</v>
      </c>
      <c r="I29" s="9" t="s">
        <v>148</v>
      </c>
      <c r="J29" s="9" t="s">
        <v>148</v>
      </c>
      <c r="K29" s="9" t="s">
        <v>148</v>
      </c>
      <c r="L29" s="9" t="s">
        <v>148</v>
      </c>
      <c r="M29" s="9" t="s">
        <v>147</v>
      </c>
      <c r="N29" s="6">
        <f>E29</f>
        <v>12</v>
      </c>
      <c r="O29" s="6">
        <f t="shared" si="7"/>
        <v>0</v>
      </c>
      <c r="P29" s="4">
        <f t="shared" si="1"/>
        <v>12</v>
      </c>
      <c r="Q29" s="4">
        <f t="shared" si="8"/>
        <v>3150</v>
      </c>
      <c r="R29" s="4">
        <f t="shared" si="2"/>
        <v>3138</v>
      </c>
      <c r="S29" s="4">
        <f t="shared" si="3"/>
        <v>0.99619047619047618</v>
      </c>
      <c r="T29" s="6"/>
      <c r="U29" s="6"/>
      <c r="V29" s="6"/>
      <c r="W29" s="6"/>
      <c r="X29" s="6"/>
    </row>
    <row r="30" spans="1:25" ht="11.25">
      <c r="A30" s="5" t="s">
        <v>26</v>
      </c>
      <c r="B30" s="7" t="s">
        <v>71</v>
      </c>
      <c r="C30" s="34" t="s">
        <v>25</v>
      </c>
      <c r="D30" s="9" t="s">
        <v>148</v>
      </c>
      <c r="E30" s="9" t="s">
        <v>148</v>
      </c>
      <c r="F30" s="9" t="s">
        <v>147</v>
      </c>
      <c r="G30" s="9" t="s">
        <v>147</v>
      </c>
      <c r="H30" s="9" t="s">
        <v>148</v>
      </c>
      <c r="I30" s="9" t="s">
        <v>148</v>
      </c>
      <c r="J30" s="9" t="s">
        <v>148</v>
      </c>
      <c r="K30" s="9" t="s">
        <v>148</v>
      </c>
      <c r="L30" s="9" t="s">
        <v>148</v>
      </c>
      <c r="M30" s="9" t="s">
        <v>147</v>
      </c>
      <c r="N30" s="6">
        <v>0</v>
      </c>
      <c r="O30" s="6">
        <f>SUMIF(D30:M30,"540")</f>
        <v>0</v>
      </c>
      <c r="P30" s="4">
        <f t="shared" si="1"/>
        <v>0</v>
      </c>
      <c r="Q30" s="4">
        <f t="shared" si="8"/>
        <v>3150</v>
      </c>
      <c r="R30" s="4">
        <f t="shared" si="2"/>
        <v>3150</v>
      </c>
      <c r="S30" s="4">
        <f t="shared" si="3"/>
        <v>1</v>
      </c>
      <c r="T30" s="6"/>
      <c r="U30" s="6"/>
      <c r="V30" s="6"/>
      <c r="W30" s="6"/>
      <c r="X30" s="6"/>
    </row>
    <row r="31" spans="1:25" ht="11.25">
      <c r="A31" s="5" t="s">
        <v>22</v>
      </c>
      <c r="B31" s="5" t="s">
        <v>72</v>
      </c>
      <c r="C31" s="5" t="s">
        <v>30</v>
      </c>
      <c r="D31" s="9">
        <v>8</v>
      </c>
      <c r="E31" s="9" t="s">
        <v>148</v>
      </c>
      <c r="F31" s="9" t="s">
        <v>147</v>
      </c>
      <c r="G31" s="9" t="s">
        <v>147</v>
      </c>
      <c r="H31" s="9" t="s">
        <v>148</v>
      </c>
      <c r="I31" s="9" t="s">
        <v>148</v>
      </c>
      <c r="J31" s="9" t="s">
        <v>148</v>
      </c>
      <c r="K31" s="9" t="s">
        <v>148</v>
      </c>
      <c r="L31" s="9" t="s">
        <v>148</v>
      </c>
      <c r="M31" s="9" t="s">
        <v>147</v>
      </c>
      <c r="N31" s="6">
        <f>D31</f>
        <v>8</v>
      </c>
      <c r="O31" s="6">
        <f t="shared" si="7"/>
        <v>0</v>
      </c>
      <c r="P31" s="4">
        <f t="shared" si="1"/>
        <v>8</v>
      </c>
      <c r="Q31" s="4">
        <f t="shared" si="8"/>
        <v>3150</v>
      </c>
      <c r="R31" s="4">
        <f t="shared" si="2"/>
        <v>3142</v>
      </c>
      <c r="S31" s="4">
        <f t="shared" si="3"/>
        <v>0.99746031746031749</v>
      </c>
      <c r="T31" s="6"/>
      <c r="U31" s="6"/>
      <c r="V31" s="6"/>
      <c r="W31" s="6"/>
      <c r="X31" s="6"/>
    </row>
    <row r="32" spans="1:25" ht="11.25">
      <c r="A32" s="5" t="s">
        <v>26</v>
      </c>
      <c r="B32" s="7" t="s">
        <v>73</v>
      </c>
      <c r="C32" s="34" t="s">
        <v>25</v>
      </c>
      <c r="D32" s="9" t="s">
        <v>148</v>
      </c>
      <c r="E32" s="9" t="s">
        <v>148</v>
      </c>
      <c r="F32" s="9" t="s">
        <v>147</v>
      </c>
      <c r="G32" s="9" t="s">
        <v>147</v>
      </c>
      <c r="H32" s="9">
        <v>450</v>
      </c>
      <c r="I32" s="9" t="s">
        <v>148</v>
      </c>
      <c r="J32" s="9" t="s">
        <v>148</v>
      </c>
      <c r="K32" s="9">
        <v>4</v>
      </c>
      <c r="L32" s="9">
        <v>12</v>
      </c>
      <c r="M32" s="9" t="s">
        <v>147</v>
      </c>
      <c r="N32" s="6">
        <f>SUM(K32,L32)</f>
        <v>16</v>
      </c>
      <c r="O32" s="6">
        <f t="shared" si="7"/>
        <v>0</v>
      </c>
      <c r="P32" s="4">
        <f t="shared" si="1"/>
        <v>16</v>
      </c>
      <c r="Q32" s="4">
        <f t="shared" si="8"/>
        <v>3150</v>
      </c>
      <c r="R32" s="4">
        <f t="shared" si="2"/>
        <v>3134</v>
      </c>
      <c r="S32" s="4">
        <f t="shared" si="3"/>
        <v>0.99492063492063487</v>
      </c>
      <c r="T32" s="6"/>
      <c r="U32" s="6"/>
      <c r="V32" s="6"/>
      <c r="W32" s="6"/>
      <c r="X32" s="6"/>
    </row>
    <row r="33" spans="1:24" ht="11.25">
      <c r="A33" s="5" t="s">
        <v>57</v>
      </c>
      <c r="B33" s="5" t="s">
        <v>58</v>
      </c>
      <c r="C33" s="5" t="s">
        <v>40</v>
      </c>
      <c r="D33" s="9" t="s">
        <v>148</v>
      </c>
      <c r="E33" s="9" t="s">
        <v>148</v>
      </c>
      <c r="F33" s="9" t="s">
        <v>147</v>
      </c>
      <c r="G33" s="9" t="s">
        <v>147</v>
      </c>
      <c r="H33" s="9" t="s">
        <v>148</v>
      </c>
      <c r="I33" s="9" t="s">
        <v>148</v>
      </c>
      <c r="J33" s="9" t="s">
        <v>148</v>
      </c>
      <c r="K33" s="9" t="s">
        <v>148</v>
      </c>
      <c r="L33" s="9" t="s">
        <v>148</v>
      </c>
      <c r="M33" s="9" t="s">
        <v>147</v>
      </c>
      <c r="N33" s="6">
        <v>0</v>
      </c>
      <c r="O33" s="6">
        <f t="shared" si="7"/>
        <v>0</v>
      </c>
      <c r="P33" s="4">
        <f t="shared" si="1"/>
        <v>0</v>
      </c>
      <c r="Q33" s="4">
        <f t="shared" si="8"/>
        <v>3150</v>
      </c>
      <c r="R33" s="4">
        <f t="shared" si="2"/>
        <v>3150</v>
      </c>
      <c r="S33" s="4">
        <f t="shared" si="3"/>
        <v>1</v>
      </c>
      <c r="T33" s="6"/>
      <c r="U33" s="6"/>
      <c r="V33" s="6"/>
      <c r="W33" s="6"/>
      <c r="X33" s="6"/>
    </row>
    <row r="34" spans="1:24" ht="11.25">
      <c r="A34" s="5" t="s">
        <v>37</v>
      </c>
      <c r="B34" s="5" t="s">
        <v>74</v>
      </c>
      <c r="C34" s="5" t="s">
        <v>40</v>
      </c>
      <c r="D34" s="9" t="s">
        <v>148</v>
      </c>
      <c r="E34" s="9" t="s">
        <v>148</v>
      </c>
      <c r="F34" s="9" t="s">
        <v>147</v>
      </c>
      <c r="G34" s="9" t="s">
        <v>147</v>
      </c>
      <c r="H34" s="9" t="s">
        <v>148</v>
      </c>
      <c r="I34" s="9" t="s">
        <v>148</v>
      </c>
      <c r="J34" s="9" t="s">
        <v>148</v>
      </c>
      <c r="K34" s="9" t="s">
        <v>148</v>
      </c>
      <c r="L34" s="9" t="s">
        <v>148</v>
      </c>
      <c r="M34" s="9" t="s">
        <v>147</v>
      </c>
      <c r="N34" s="6">
        <v>0</v>
      </c>
      <c r="O34" s="6">
        <f t="shared" si="7"/>
        <v>0</v>
      </c>
      <c r="P34" s="4">
        <f t="shared" si="1"/>
        <v>0</v>
      </c>
      <c r="Q34" s="4">
        <f t="shared" si="8"/>
        <v>3150</v>
      </c>
      <c r="R34" s="4">
        <f t="shared" si="2"/>
        <v>3150</v>
      </c>
      <c r="S34" s="4">
        <f t="shared" si="3"/>
        <v>1</v>
      </c>
      <c r="T34" s="6"/>
      <c r="U34" s="6"/>
      <c r="V34" s="6"/>
      <c r="W34" s="6"/>
      <c r="X34" s="6"/>
    </row>
    <row r="35" spans="1:24" ht="11.25">
      <c r="A35" s="5" t="s">
        <v>26</v>
      </c>
      <c r="B35" s="7" t="s">
        <v>75</v>
      </c>
      <c r="C35" s="34" t="s">
        <v>40</v>
      </c>
      <c r="D35" s="9" t="s">
        <v>147</v>
      </c>
      <c r="E35" s="9" t="s">
        <v>148</v>
      </c>
      <c r="F35" s="9" t="s">
        <v>12</v>
      </c>
      <c r="G35" s="9" t="s">
        <v>148</v>
      </c>
      <c r="H35" s="9" t="s">
        <v>148</v>
      </c>
      <c r="I35" s="9" t="s">
        <v>148</v>
      </c>
      <c r="J35" s="9" t="s">
        <v>147</v>
      </c>
      <c r="K35" s="9" t="s">
        <v>147</v>
      </c>
      <c r="L35" s="9" t="s">
        <v>148</v>
      </c>
      <c r="M35" s="9" t="s">
        <v>148</v>
      </c>
      <c r="N35" s="6">
        <v>0</v>
      </c>
      <c r="O35" s="6">
        <f t="shared" si="7"/>
        <v>0</v>
      </c>
      <c r="P35" s="4">
        <f t="shared" si="1"/>
        <v>0</v>
      </c>
      <c r="Q35" s="6">
        <f>450*6</f>
        <v>2700</v>
      </c>
      <c r="R35" s="4">
        <f t="shared" si="2"/>
        <v>2700</v>
      </c>
      <c r="S35" s="4">
        <f t="shared" si="3"/>
        <v>1</v>
      </c>
      <c r="T35" s="6">
        <v>1</v>
      </c>
      <c r="U35" s="6"/>
      <c r="V35" s="6"/>
      <c r="W35" s="6"/>
      <c r="X35" s="6"/>
    </row>
    <row r="36" spans="1:24" ht="11.25">
      <c r="A36" s="5" t="s">
        <v>37</v>
      </c>
      <c r="B36" s="5" t="s">
        <v>76</v>
      </c>
      <c r="C36" s="5" t="s">
        <v>40</v>
      </c>
      <c r="D36" s="9" t="s">
        <v>148</v>
      </c>
      <c r="E36" s="9" t="s">
        <v>148</v>
      </c>
      <c r="F36" s="9" t="s">
        <v>147</v>
      </c>
      <c r="G36" s="9" t="s">
        <v>147</v>
      </c>
      <c r="H36" s="9" t="s">
        <v>148</v>
      </c>
      <c r="I36" s="9" t="s">
        <v>148</v>
      </c>
      <c r="J36" s="9">
        <v>13</v>
      </c>
      <c r="K36" s="9" t="s">
        <v>148</v>
      </c>
      <c r="L36" s="9">
        <v>5</v>
      </c>
      <c r="M36" s="9" t="s">
        <v>147</v>
      </c>
      <c r="N36" s="6">
        <f>SUM(J36:L36)</f>
        <v>18</v>
      </c>
      <c r="O36" s="6">
        <f t="shared" ref="O36:O41" si="9">SUMIF(D36:M36,"540")</f>
        <v>0</v>
      </c>
      <c r="P36" s="4">
        <f t="shared" si="1"/>
        <v>18</v>
      </c>
      <c r="Q36" s="4">
        <f>450*7</f>
        <v>3150</v>
      </c>
      <c r="R36" s="4">
        <f t="shared" si="2"/>
        <v>3132</v>
      </c>
      <c r="S36" s="4">
        <f t="shared" si="3"/>
        <v>0.99428571428571433</v>
      </c>
      <c r="T36" s="6"/>
      <c r="U36" s="6"/>
      <c r="V36" s="6"/>
      <c r="W36" s="6"/>
      <c r="X36" s="6"/>
    </row>
    <row r="37" spans="1:24" ht="11.25">
      <c r="A37" s="5" t="s">
        <v>22</v>
      </c>
      <c r="B37" s="5" t="s">
        <v>77</v>
      </c>
      <c r="C37" s="5" t="s">
        <v>30</v>
      </c>
      <c r="D37" s="9" t="s">
        <v>148</v>
      </c>
      <c r="E37" s="9" t="s">
        <v>148</v>
      </c>
      <c r="F37" s="9" t="s">
        <v>147</v>
      </c>
      <c r="G37" s="9" t="s">
        <v>147</v>
      </c>
      <c r="H37" s="9" t="s">
        <v>148</v>
      </c>
      <c r="I37" s="9" t="s">
        <v>148</v>
      </c>
      <c r="J37" s="9" t="s">
        <v>148</v>
      </c>
      <c r="K37" s="9" t="s">
        <v>148</v>
      </c>
      <c r="L37" s="9" t="s">
        <v>148</v>
      </c>
      <c r="M37" s="9" t="s">
        <v>147</v>
      </c>
      <c r="N37" s="6">
        <v>0</v>
      </c>
      <c r="O37" s="6">
        <f t="shared" si="9"/>
        <v>0</v>
      </c>
      <c r="P37" s="4">
        <f t="shared" si="1"/>
        <v>0</v>
      </c>
      <c r="Q37" s="4">
        <f>450*7</f>
        <v>3150</v>
      </c>
      <c r="R37" s="4">
        <f t="shared" si="2"/>
        <v>3150</v>
      </c>
      <c r="S37" s="4">
        <f t="shared" si="3"/>
        <v>1</v>
      </c>
      <c r="T37" s="6"/>
      <c r="U37" s="6"/>
      <c r="V37" s="6"/>
      <c r="W37" s="6"/>
      <c r="X37" s="6"/>
    </row>
    <row r="38" spans="1:24" ht="11.25">
      <c r="A38" s="5" t="s">
        <v>22</v>
      </c>
      <c r="B38" s="5" t="s">
        <v>61</v>
      </c>
      <c r="C38" s="5" t="s">
        <v>63</v>
      </c>
      <c r="D38" s="9" t="s">
        <v>148</v>
      </c>
      <c r="E38" s="9" t="s">
        <v>148</v>
      </c>
      <c r="F38" s="9" t="s">
        <v>147</v>
      </c>
      <c r="G38" s="9" t="s">
        <v>147</v>
      </c>
      <c r="H38" s="9">
        <v>450</v>
      </c>
      <c r="I38" s="9" t="s">
        <v>148</v>
      </c>
      <c r="J38" s="9" t="s">
        <v>148</v>
      </c>
      <c r="K38" s="9" t="s">
        <v>148</v>
      </c>
      <c r="L38" s="9" t="s">
        <v>148</v>
      </c>
      <c r="M38" s="9" t="s">
        <v>147</v>
      </c>
      <c r="N38" s="6">
        <v>0</v>
      </c>
      <c r="O38" s="6">
        <f t="shared" si="9"/>
        <v>0</v>
      </c>
      <c r="P38" s="4">
        <f t="shared" si="1"/>
        <v>0</v>
      </c>
      <c r="Q38" s="4">
        <f>450*7</f>
        <v>3150</v>
      </c>
      <c r="R38" s="4">
        <f t="shared" si="2"/>
        <v>3150</v>
      </c>
      <c r="S38" s="4">
        <f t="shared" si="3"/>
        <v>1</v>
      </c>
      <c r="T38" s="6"/>
      <c r="U38" s="6"/>
      <c r="V38" s="6"/>
      <c r="W38" s="6"/>
      <c r="X38" s="6"/>
    </row>
    <row r="39" spans="1:24" ht="11.25">
      <c r="A39" s="5" t="s">
        <v>26</v>
      </c>
      <c r="B39" s="7" t="s">
        <v>78</v>
      </c>
      <c r="C39" s="34" t="s">
        <v>79</v>
      </c>
      <c r="D39" s="9" t="s">
        <v>148</v>
      </c>
      <c r="E39" s="9" t="s">
        <v>148</v>
      </c>
      <c r="F39" s="9" t="s">
        <v>147</v>
      </c>
      <c r="G39" s="9" t="s">
        <v>147</v>
      </c>
      <c r="H39" s="9" t="s">
        <v>148</v>
      </c>
      <c r="I39" s="9" t="s">
        <v>148</v>
      </c>
      <c r="J39" s="9" t="s">
        <v>148</v>
      </c>
      <c r="K39" s="9" t="s">
        <v>148</v>
      </c>
      <c r="L39" s="9" t="s">
        <v>148</v>
      </c>
      <c r="M39" s="9" t="s">
        <v>147</v>
      </c>
      <c r="N39" s="6">
        <v>0</v>
      </c>
      <c r="O39" s="6">
        <f t="shared" si="9"/>
        <v>0</v>
      </c>
      <c r="P39" s="4">
        <f t="shared" si="1"/>
        <v>0</v>
      </c>
      <c r="Q39" s="4">
        <f>450*7</f>
        <v>3150</v>
      </c>
      <c r="R39" s="4">
        <f t="shared" si="2"/>
        <v>3150</v>
      </c>
      <c r="S39" s="4">
        <f t="shared" si="3"/>
        <v>1</v>
      </c>
      <c r="T39" s="6"/>
      <c r="U39" s="6"/>
      <c r="V39" s="6"/>
      <c r="W39" s="6"/>
      <c r="X39" s="6"/>
    </row>
    <row r="40" spans="1:24" ht="11.25">
      <c r="A40" s="5" t="s">
        <v>26</v>
      </c>
      <c r="B40" s="7" t="s">
        <v>80</v>
      </c>
      <c r="C40" s="34" t="s">
        <v>40</v>
      </c>
      <c r="D40" s="9" t="s">
        <v>148</v>
      </c>
      <c r="E40" s="9" t="s">
        <v>148</v>
      </c>
      <c r="F40" s="9" t="s">
        <v>148</v>
      </c>
      <c r="G40" s="9" t="s">
        <v>148</v>
      </c>
      <c r="H40" s="9" t="s">
        <v>148</v>
      </c>
      <c r="I40" s="9" t="s">
        <v>147</v>
      </c>
      <c r="J40" s="9" t="s">
        <v>147</v>
      </c>
      <c r="K40" s="9" t="s">
        <v>148</v>
      </c>
      <c r="L40" s="9" t="s">
        <v>148</v>
      </c>
      <c r="M40" s="9" t="s">
        <v>148</v>
      </c>
      <c r="N40" s="6">
        <v>0</v>
      </c>
      <c r="O40" s="6">
        <f t="shared" si="9"/>
        <v>0</v>
      </c>
      <c r="P40" s="4">
        <f t="shared" si="1"/>
        <v>0</v>
      </c>
      <c r="Q40" s="6">
        <f>450*8</f>
        <v>3600</v>
      </c>
      <c r="R40" s="4">
        <f t="shared" si="2"/>
        <v>3600</v>
      </c>
      <c r="S40" s="4">
        <f t="shared" si="3"/>
        <v>1</v>
      </c>
      <c r="T40" s="6"/>
      <c r="U40" s="6"/>
      <c r="V40" s="6"/>
      <c r="W40" s="6"/>
      <c r="X40" s="6"/>
    </row>
    <row r="41" spans="1:24" ht="11.25">
      <c r="A41" s="5" t="s">
        <v>26</v>
      </c>
      <c r="B41" s="7" t="s">
        <v>81</v>
      </c>
      <c r="C41" s="34" t="s">
        <v>33</v>
      </c>
      <c r="D41" s="9" t="s">
        <v>148</v>
      </c>
      <c r="E41" s="9" t="s">
        <v>148</v>
      </c>
      <c r="F41" s="9" t="s">
        <v>147</v>
      </c>
      <c r="G41" s="9" t="s">
        <v>147</v>
      </c>
      <c r="H41" s="9" t="s">
        <v>148</v>
      </c>
      <c r="I41" s="9" t="s">
        <v>148</v>
      </c>
      <c r="J41" s="9" t="s">
        <v>148</v>
      </c>
      <c r="K41" s="9" t="s">
        <v>148</v>
      </c>
      <c r="L41" s="9" t="s">
        <v>148</v>
      </c>
      <c r="M41" s="9" t="s">
        <v>147</v>
      </c>
      <c r="N41" s="6">
        <v>0</v>
      </c>
      <c r="O41" s="6">
        <f t="shared" si="9"/>
        <v>0</v>
      </c>
      <c r="P41" s="4">
        <f t="shared" si="1"/>
        <v>0</v>
      </c>
      <c r="Q41" s="4">
        <f>450*7</f>
        <v>3150</v>
      </c>
      <c r="R41" s="4">
        <f t="shared" si="2"/>
        <v>3150</v>
      </c>
      <c r="S41" s="4">
        <f t="shared" si="3"/>
        <v>1</v>
      </c>
      <c r="T41" s="6"/>
      <c r="U41" s="6"/>
      <c r="V41" s="6"/>
      <c r="W41" s="6"/>
      <c r="X41" s="6"/>
    </row>
    <row r="42" spans="1:24" ht="11.25">
      <c r="A42" s="5" t="s">
        <v>22</v>
      </c>
      <c r="B42" s="5" t="s">
        <v>82</v>
      </c>
      <c r="C42" s="5" t="s">
        <v>33</v>
      </c>
      <c r="D42" s="9" t="s">
        <v>148</v>
      </c>
      <c r="E42" s="9">
        <v>111</v>
      </c>
      <c r="F42" s="9" t="s">
        <v>147</v>
      </c>
      <c r="G42" s="9" t="s">
        <v>147</v>
      </c>
      <c r="H42" s="9" t="s">
        <v>148</v>
      </c>
      <c r="I42" s="9" t="s">
        <v>148</v>
      </c>
      <c r="J42" s="9" t="s">
        <v>148</v>
      </c>
      <c r="K42" s="9" t="s">
        <v>148</v>
      </c>
      <c r="L42" s="9" t="s">
        <v>148</v>
      </c>
      <c r="M42" s="9" t="s">
        <v>147</v>
      </c>
      <c r="N42" s="6">
        <f>E42</f>
        <v>111</v>
      </c>
      <c r="O42" s="6">
        <f t="shared" ref="O42:O44" si="10">SUMIF(D42:M42,"540")</f>
        <v>0</v>
      </c>
      <c r="P42" s="4">
        <f t="shared" si="1"/>
        <v>111</v>
      </c>
      <c r="Q42" s="4">
        <f>450*7</f>
        <v>3150</v>
      </c>
      <c r="R42" s="4">
        <f t="shared" si="2"/>
        <v>3039</v>
      </c>
      <c r="S42" s="4">
        <f t="shared" si="3"/>
        <v>0.96476190476190471</v>
      </c>
      <c r="T42" s="6"/>
      <c r="U42" s="6"/>
      <c r="V42" s="6"/>
      <c r="W42" s="6"/>
      <c r="X42" s="6"/>
    </row>
    <row r="43" spans="1:24" ht="11.25">
      <c r="A43" s="5" t="s">
        <v>26</v>
      </c>
      <c r="B43" s="7" t="s">
        <v>83</v>
      </c>
      <c r="C43" s="34" t="s">
        <v>40</v>
      </c>
      <c r="D43" s="9" t="s">
        <v>148</v>
      </c>
      <c r="E43" s="9">
        <v>6</v>
      </c>
      <c r="F43" s="9" t="s">
        <v>148</v>
      </c>
      <c r="G43" s="9" t="s">
        <v>148</v>
      </c>
      <c r="H43" s="9" t="s">
        <v>148</v>
      </c>
      <c r="I43" s="9" t="s">
        <v>147</v>
      </c>
      <c r="J43" s="9" t="s">
        <v>147</v>
      </c>
      <c r="K43" s="9">
        <v>450</v>
      </c>
      <c r="L43" s="9" t="s">
        <v>148</v>
      </c>
      <c r="M43" s="9">
        <v>17</v>
      </c>
      <c r="N43" s="6">
        <f>E43+M43</f>
        <v>23</v>
      </c>
      <c r="O43" s="6">
        <f t="shared" si="10"/>
        <v>0</v>
      </c>
      <c r="P43" s="4">
        <f t="shared" si="1"/>
        <v>23</v>
      </c>
      <c r="Q43" s="6">
        <f>450*8</f>
        <v>3600</v>
      </c>
      <c r="R43" s="4">
        <f t="shared" si="2"/>
        <v>3577</v>
      </c>
      <c r="S43" s="4">
        <f t="shared" si="3"/>
        <v>0.99361111111111111</v>
      </c>
      <c r="T43" s="6"/>
      <c r="U43" s="6"/>
      <c r="V43" s="6"/>
      <c r="W43" s="6"/>
      <c r="X43" s="6"/>
    </row>
    <row r="44" spans="1:24" ht="11.25">
      <c r="A44" s="5" t="s">
        <v>60</v>
      </c>
      <c r="B44" s="5" t="s">
        <v>84</v>
      </c>
      <c r="C44" s="5" t="s">
        <v>40</v>
      </c>
      <c r="D44" s="9" t="s">
        <v>148</v>
      </c>
      <c r="E44" s="9" t="s">
        <v>148</v>
      </c>
      <c r="F44" s="9" t="s">
        <v>147</v>
      </c>
      <c r="G44" s="9" t="s">
        <v>147</v>
      </c>
      <c r="H44" s="9" t="s">
        <v>148</v>
      </c>
      <c r="I44" s="9" t="s">
        <v>148</v>
      </c>
      <c r="J44" s="9" t="s">
        <v>148</v>
      </c>
      <c r="K44" s="9" t="s">
        <v>148</v>
      </c>
      <c r="L44" s="9" t="s">
        <v>148</v>
      </c>
      <c r="M44" s="9" t="s">
        <v>147</v>
      </c>
      <c r="N44" s="6">
        <v>0</v>
      </c>
      <c r="O44" s="6">
        <f t="shared" si="10"/>
        <v>0</v>
      </c>
      <c r="P44" s="4">
        <f t="shared" si="1"/>
        <v>0</v>
      </c>
      <c r="Q44" s="4">
        <f>450*7</f>
        <v>3150</v>
      </c>
      <c r="R44" s="4">
        <f t="shared" si="2"/>
        <v>3150</v>
      </c>
      <c r="S44" s="4">
        <f t="shared" si="3"/>
        <v>1</v>
      </c>
      <c r="T44" s="6"/>
      <c r="U44" s="6"/>
      <c r="V44" s="6"/>
      <c r="W44" s="6"/>
      <c r="X44" s="6"/>
    </row>
    <row r="45" spans="1:24" ht="11.25">
      <c r="A45" s="5" t="s">
        <v>22</v>
      </c>
      <c r="B45" s="5" t="s">
        <v>85</v>
      </c>
      <c r="C45" s="5" t="s">
        <v>63</v>
      </c>
      <c r="D45" s="9" t="s">
        <v>148</v>
      </c>
      <c r="E45" s="9" t="s">
        <v>148</v>
      </c>
      <c r="F45" s="9" t="s">
        <v>147</v>
      </c>
      <c r="G45" s="9" t="s">
        <v>147</v>
      </c>
      <c r="H45" s="9" t="s">
        <v>148</v>
      </c>
      <c r="I45" s="9">
        <v>26</v>
      </c>
      <c r="J45" s="9" t="s">
        <v>148</v>
      </c>
      <c r="K45" s="9" t="s">
        <v>148</v>
      </c>
      <c r="L45" s="9" t="s">
        <v>148</v>
      </c>
      <c r="M45" s="9" t="s">
        <v>147</v>
      </c>
      <c r="N45" s="6">
        <f>I45</f>
        <v>26</v>
      </c>
      <c r="O45" s="6">
        <f t="shared" ref="O45:O48" si="11">SUMIF(D45:M45,"540")</f>
        <v>0</v>
      </c>
      <c r="P45" s="4">
        <f t="shared" si="1"/>
        <v>26</v>
      </c>
      <c r="Q45" s="4">
        <f>450*7</f>
        <v>3150</v>
      </c>
      <c r="R45" s="4">
        <f t="shared" si="2"/>
        <v>3124</v>
      </c>
      <c r="S45" s="4">
        <f t="shared" si="3"/>
        <v>0.99174603174603171</v>
      </c>
      <c r="T45" s="6"/>
      <c r="U45" s="6"/>
      <c r="V45" s="6"/>
      <c r="W45" s="6"/>
      <c r="X45" s="6"/>
    </row>
    <row r="46" spans="1:24" ht="11.25">
      <c r="A46" s="5" t="s">
        <v>26</v>
      </c>
      <c r="B46" s="7" t="s">
        <v>86</v>
      </c>
      <c r="C46" s="34" t="s">
        <v>56</v>
      </c>
      <c r="D46" s="9" t="s">
        <v>148</v>
      </c>
      <c r="E46" s="9" t="s">
        <v>148</v>
      </c>
      <c r="F46" s="9" t="s">
        <v>147</v>
      </c>
      <c r="G46" s="9" t="s">
        <v>147</v>
      </c>
      <c r="H46" s="9" t="s">
        <v>148</v>
      </c>
      <c r="I46" s="9" t="s">
        <v>148</v>
      </c>
      <c r="J46" s="9" t="s">
        <v>148</v>
      </c>
      <c r="K46" s="9" t="s">
        <v>148</v>
      </c>
      <c r="L46" s="9" t="s">
        <v>148</v>
      </c>
      <c r="M46" s="9" t="s">
        <v>147</v>
      </c>
      <c r="N46" s="6">
        <v>0</v>
      </c>
      <c r="O46" s="6">
        <f>SUMIF(D46:M46,"540")</f>
        <v>0</v>
      </c>
      <c r="P46" s="4">
        <f t="shared" si="1"/>
        <v>0</v>
      </c>
      <c r="Q46" s="4">
        <f>450*7</f>
        <v>3150</v>
      </c>
      <c r="R46" s="4">
        <f t="shared" si="2"/>
        <v>3150</v>
      </c>
      <c r="S46" s="4">
        <f t="shared" si="3"/>
        <v>1</v>
      </c>
      <c r="T46" s="6"/>
      <c r="U46" s="6"/>
      <c r="V46" s="6"/>
      <c r="W46" s="6"/>
      <c r="X46" s="6"/>
    </row>
    <row r="47" spans="1:24" ht="11.25">
      <c r="A47" s="5" t="s">
        <v>26</v>
      </c>
      <c r="B47" s="7" t="s">
        <v>87</v>
      </c>
      <c r="C47" s="34" t="s">
        <v>33</v>
      </c>
      <c r="D47" s="9" t="s">
        <v>148</v>
      </c>
      <c r="E47" s="9">
        <v>7</v>
      </c>
      <c r="F47" s="9" t="s">
        <v>147</v>
      </c>
      <c r="G47" s="9" t="s">
        <v>147</v>
      </c>
      <c r="H47" s="9" t="s">
        <v>148</v>
      </c>
      <c r="I47" s="9">
        <v>33</v>
      </c>
      <c r="J47" s="9" t="s">
        <v>148</v>
      </c>
      <c r="K47" s="9">
        <v>109</v>
      </c>
      <c r="L47" s="9">
        <v>92</v>
      </c>
      <c r="M47" s="9" t="s">
        <v>147</v>
      </c>
      <c r="N47" s="6">
        <f>SUM(D47:L47)</f>
        <v>241</v>
      </c>
      <c r="O47" s="6">
        <f t="shared" si="11"/>
        <v>0</v>
      </c>
      <c r="P47" s="4">
        <f t="shared" si="1"/>
        <v>241</v>
      </c>
      <c r="Q47" s="4">
        <f>450*7</f>
        <v>3150</v>
      </c>
      <c r="R47" s="4">
        <f t="shared" si="2"/>
        <v>2909</v>
      </c>
      <c r="S47" s="4">
        <f t="shared" si="3"/>
        <v>0.92349206349206348</v>
      </c>
      <c r="T47" s="6"/>
      <c r="U47" s="6"/>
      <c r="V47" s="6"/>
      <c r="W47" s="6"/>
      <c r="X47" s="6"/>
    </row>
    <row r="48" spans="1:24" ht="11.25">
      <c r="A48" s="5" t="s">
        <v>22</v>
      </c>
      <c r="B48" s="5" t="s">
        <v>88</v>
      </c>
      <c r="C48" s="5" t="s">
        <v>25</v>
      </c>
      <c r="D48" s="9" t="s">
        <v>148</v>
      </c>
      <c r="E48" s="9">
        <v>80</v>
      </c>
      <c r="F48" s="9" t="s">
        <v>147</v>
      </c>
      <c r="G48" s="9" t="s">
        <v>147</v>
      </c>
      <c r="H48" s="9" t="s">
        <v>148</v>
      </c>
      <c r="I48" s="9" t="s">
        <v>148</v>
      </c>
      <c r="J48" s="9" t="s">
        <v>148</v>
      </c>
      <c r="K48" s="9">
        <v>50</v>
      </c>
      <c r="L48" s="9" t="s">
        <v>148</v>
      </c>
      <c r="M48" s="9" t="s">
        <v>147</v>
      </c>
      <c r="N48" s="6">
        <f>SUM(D48:L48)</f>
        <v>130</v>
      </c>
      <c r="O48" s="6">
        <f t="shared" si="11"/>
        <v>0</v>
      </c>
      <c r="P48" s="4">
        <f t="shared" si="1"/>
        <v>130</v>
      </c>
      <c r="Q48" s="4">
        <f>450*7</f>
        <v>3150</v>
      </c>
      <c r="R48" s="4">
        <f t="shared" si="2"/>
        <v>3020</v>
      </c>
      <c r="S48" s="4">
        <f t="shared" si="3"/>
        <v>0.95873015873015877</v>
      </c>
      <c r="T48" s="6"/>
      <c r="U48" s="6"/>
      <c r="V48" s="6"/>
      <c r="W48" s="6"/>
      <c r="X48" s="6"/>
    </row>
    <row r="49" spans="1:24" ht="11.25">
      <c r="A49" s="5" t="s">
        <v>26</v>
      </c>
      <c r="B49" s="7" t="s">
        <v>89</v>
      </c>
      <c r="C49" s="34" t="s">
        <v>40</v>
      </c>
      <c r="D49" s="9" t="s">
        <v>148</v>
      </c>
      <c r="E49" s="9" t="s">
        <v>148</v>
      </c>
      <c r="F49" s="9">
        <v>2</v>
      </c>
      <c r="G49" s="9" t="s">
        <v>147</v>
      </c>
      <c r="H49" s="9" t="s">
        <v>147</v>
      </c>
      <c r="I49" s="9">
        <v>60</v>
      </c>
      <c r="J49" s="9" t="s">
        <v>148</v>
      </c>
      <c r="K49" s="9" t="s">
        <v>148</v>
      </c>
      <c r="L49" s="9">
        <v>4</v>
      </c>
      <c r="M49" s="9" t="s">
        <v>147</v>
      </c>
      <c r="N49" s="4">
        <f>SUM(D49:L49)</f>
        <v>66</v>
      </c>
      <c r="O49" s="6"/>
      <c r="P49" s="4">
        <f t="shared" si="1"/>
        <v>66</v>
      </c>
      <c r="Q49" s="6">
        <f>450*8</f>
        <v>3600</v>
      </c>
      <c r="R49" s="4">
        <f t="shared" si="2"/>
        <v>3534</v>
      </c>
      <c r="S49" s="4">
        <f t="shared" si="3"/>
        <v>0.98166666666666669</v>
      </c>
      <c r="T49" s="6"/>
      <c r="U49" s="6"/>
      <c r="V49" s="6"/>
      <c r="W49" s="6"/>
      <c r="X49" s="6"/>
    </row>
    <row r="50" spans="1:24" ht="11.25">
      <c r="A50" s="5" t="s">
        <v>37</v>
      </c>
      <c r="B50" s="5" t="s">
        <v>90</v>
      </c>
      <c r="C50" s="5" t="s">
        <v>40</v>
      </c>
      <c r="D50" s="9" t="s">
        <v>148</v>
      </c>
      <c r="E50" s="9" t="s">
        <v>148</v>
      </c>
      <c r="F50" s="9" t="s">
        <v>148</v>
      </c>
      <c r="G50" s="9" t="s">
        <v>148</v>
      </c>
      <c r="H50" s="9" t="s">
        <v>148</v>
      </c>
      <c r="I50" s="9" t="s">
        <v>147</v>
      </c>
      <c r="J50" s="9" t="s">
        <v>147</v>
      </c>
      <c r="K50" s="9" t="s">
        <v>148</v>
      </c>
      <c r="L50" s="9" t="s">
        <v>148</v>
      </c>
      <c r="M50" s="9" t="s">
        <v>148</v>
      </c>
      <c r="N50" s="6">
        <v>0</v>
      </c>
      <c r="O50" s="6">
        <f t="shared" ref="O50:O54" si="12">SUMIF(D50:M50,"540")</f>
        <v>0</v>
      </c>
      <c r="P50" s="4">
        <f t="shared" si="1"/>
        <v>0</v>
      </c>
      <c r="Q50" s="6">
        <f>450*8</f>
        <v>3600</v>
      </c>
      <c r="R50" s="4">
        <f t="shared" si="2"/>
        <v>3600</v>
      </c>
      <c r="S50" s="4">
        <f t="shared" si="3"/>
        <v>1</v>
      </c>
      <c r="T50" s="6"/>
      <c r="U50" s="6"/>
      <c r="V50" s="6"/>
      <c r="W50" s="6"/>
      <c r="X50" s="6"/>
    </row>
    <row r="51" spans="1:24" ht="11.25">
      <c r="A51" s="5" t="s">
        <v>22</v>
      </c>
      <c r="B51" s="5" t="s">
        <v>91</v>
      </c>
      <c r="C51" s="5" t="s">
        <v>30</v>
      </c>
      <c r="D51" s="9" t="s">
        <v>148</v>
      </c>
      <c r="E51" s="9" t="s">
        <v>148</v>
      </c>
      <c r="F51" s="9" t="s">
        <v>147</v>
      </c>
      <c r="G51" s="9" t="s">
        <v>147</v>
      </c>
      <c r="H51" s="9" t="s">
        <v>148</v>
      </c>
      <c r="I51" s="9" t="s">
        <v>148</v>
      </c>
      <c r="J51" s="9" t="s">
        <v>148</v>
      </c>
      <c r="K51" s="9" t="s">
        <v>148</v>
      </c>
      <c r="L51" s="9" t="s">
        <v>148</v>
      </c>
      <c r="M51" s="9" t="s">
        <v>147</v>
      </c>
      <c r="N51" s="6">
        <v>0</v>
      </c>
      <c r="O51" s="6">
        <f t="shared" si="12"/>
        <v>0</v>
      </c>
      <c r="P51" s="4">
        <f t="shared" si="1"/>
        <v>0</v>
      </c>
      <c r="Q51" s="4">
        <f>450*7</f>
        <v>3150</v>
      </c>
      <c r="R51" s="4">
        <f t="shared" si="2"/>
        <v>3150</v>
      </c>
      <c r="S51" s="4">
        <f t="shared" si="3"/>
        <v>1</v>
      </c>
      <c r="T51" s="6"/>
      <c r="U51" s="6"/>
      <c r="V51" s="6"/>
      <c r="W51" s="6"/>
      <c r="X51" s="6"/>
    </row>
    <row r="52" spans="1:24" ht="11.25">
      <c r="A52" s="5" t="s">
        <v>22</v>
      </c>
      <c r="B52" s="5" t="s">
        <v>150</v>
      </c>
      <c r="C52" s="5" t="s">
        <v>33</v>
      </c>
      <c r="D52" s="9" t="s">
        <v>148</v>
      </c>
      <c r="E52" s="9" t="s">
        <v>148</v>
      </c>
      <c r="F52" s="9" t="s">
        <v>147</v>
      </c>
      <c r="G52" s="9" t="s">
        <v>147</v>
      </c>
      <c r="H52" s="9" t="s">
        <v>148</v>
      </c>
      <c r="I52" s="9" t="s">
        <v>148</v>
      </c>
      <c r="J52" s="9" t="s">
        <v>148</v>
      </c>
      <c r="K52" s="9" t="s">
        <v>148</v>
      </c>
      <c r="L52" s="9" t="s">
        <v>148</v>
      </c>
      <c r="M52" s="9" t="s">
        <v>147</v>
      </c>
      <c r="N52" s="6">
        <v>0</v>
      </c>
      <c r="O52" s="6">
        <f t="shared" si="12"/>
        <v>0</v>
      </c>
      <c r="P52" s="4">
        <f t="shared" si="1"/>
        <v>0</v>
      </c>
      <c r="Q52" s="4">
        <f>450*7</f>
        <v>3150</v>
      </c>
      <c r="R52" s="4">
        <f t="shared" si="2"/>
        <v>3150</v>
      </c>
      <c r="S52" s="4">
        <f t="shared" si="3"/>
        <v>1</v>
      </c>
      <c r="T52" s="6"/>
      <c r="U52" s="6"/>
      <c r="V52" s="6"/>
      <c r="W52" s="6"/>
      <c r="X52" s="6"/>
    </row>
    <row r="53" spans="1:24" ht="11.25">
      <c r="A53" s="5" t="s">
        <v>22</v>
      </c>
      <c r="B53" s="5" t="s">
        <v>92</v>
      </c>
      <c r="C53" s="5" t="s">
        <v>63</v>
      </c>
      <c r="D53" s="9" t="s">
        <v>148</v>
      </c>
      <c r="E53" s="9" t="s">
        <v>148</v>
      </c>
      <c r="F53" s="9" t="s">
        <v>147</v>
      </c>
      <c r="G53" s="9" t="s">
        <v>147</v>
      </c>
      <c r="H53" s="9" t="s">
        <v>148</v>
      </c>
      <c r="I53" s="9" t="s">
        <v>148</v>
      </c>
      <c r="J53" s="9" t="s">
        <v>148</v>
      </c>
      <c r="K53" s="9" t="s">
        <v>148</v>
      </c>
      <c r="L53" s="9" t="s">
        <v>148</v>
      </c>
      <c r="M53" s="9" t="s">
        <v>147</v>
      </c>
      <c r="N53" s="6">
        <v>0</v>
      </c>
      <c r="O53" s="6">
        <f t="shared" si="12"/>
        <v>0</v>
      </c>
      <c r="P53" s="4">
        <f t="shared" si="1"/>
        <v>0</v>
      </c>
      <c r="Q53" s="4">
        <f>450*7</f>
        <v>3150</v>
      </c>
      <c r="R53" s="4">
        <f t="shared" si="2"/>
        <v>3150</v>
      </c>
      <c r="S53" s="4">
        <f t="shared" si="3"/>
        <v>1</v>
      </c>
      <c r="T53" s="6"/>
      <c r="U53" s="6"/>
      <c r="V53" s="6"/>
      <c r="W53" s="6"/>
      <c r="X53" s="6"/>
    </row>
    <row r="54" spans="1:24" ht="11.25">
      <c r="A54" s="5" t="s">
        <v>26</v>
      </c>
      <c r="B54" s="7" t="s">
        <v>93</v>
      </c>
      <c r="C54" s="34" t="s">
        <v>56</v>
      </c>
      <c r="D54" s="9" t="s">
        <v>148</v>
      </c>
      <c r="E54" s="9" t="s">
        <v>148</v>
      </c>
      <c r="F54" s="9" t="s">
        <v>148</v>
      </c>
      <c r="G54" s="9" t="s">
        <v>148</v>
      </c>
      <c r="H54" s="9" t="s">
        <v>147</v>
      </c>
      <c r="I54" s="9" t="s">
        <v>148</v>
      </c>
      <c r="J54" s="9" t="s">
        <v>148</v>
      </c>
      <c r="K54" s="9" t="s">
        <v>148</v>
      </c>
      <c r="L54" s="9" t="s">
        <v>148</v>
      </c>
      <c r="M54" s="9" t="s">
        <v>147</v>
      </c>
      <c r="N54" s="6">
        <v>0</v>
      </c>
      <c r="O54" s="6">
        <f t="shared" si="12"/>
        <v>0</v>
      </c>
      <c r="P54" s="4">
        <f t="shared" si="1"/>
        <v>0</v>
      </c>
      <c r="Q54" s="6">
        <f>450*8</f>
        <v>3600</v>
      </c>
      <c r="R54" s="4">
        <f t="shared" si="2"/>
        <v>3600</v>
      </c>
      <c r="S54" s="4">
        <f t="shared" si="3"/>
        <v>1</v>
      </c>
      <c r="T54" s="6"/>
      <c r="U54" s="6"/>
      <c r="V54" s="6"/>
      <c r="W54" s="6"/>
      <c r="X54" s="6"/>
    </row>
    <row r="55" spans="1:24" ht="11.25">
      <c r="A55" s="5" t="s">
        <v>57</v>
      </c>
      <c r="B55" s="7" t="s">
        <v>94</v>
      </c>
      <c r="C55" s="5" t="s">
        <v>40</v>
      </c>
      <c r="D55" s="9" t="s">
        <v>148</v>
      </c>
      <c r="E55" s="9" t="s">
        <v>148</v>
      </c>
      <c r="F55" s="9" t="s">
        <v>147</v>
      </c>
      <c r="G55" s="9" t="s">
        <v>147</v>
      </c>
      <c r="H55" s="9" t="s">
        <v>148</v>
      </c>
      <c r="I55" s="9" t="s">
        <v>148</v>
      </c>
      <c r="J55" s="9">
        <v>1</v>
      </c>
      <c r="K55" s="9" t="s">
        <v>148</v>
      </c>
      <c r="L55" s="9" t="s">
        <v>148</v>
      </c>
      <c r="M55" s="9" t="s">
        <v>147</v>
      </c>
      <c r="N55" s="6">
        <f>J55</f>
        <v>1</v>
      </c>
      <c r="O55" s="6">
        <f>SUMIF(D55:M55,"540")</f>
        <v>0</v>
      </c>
      <c r="P55" s="4">
        <f t="shared" si="1"/>
        <v>1</v>
      </c>
      <c r="Q55" s="4">
        <f>450*7</f>
        <v>3150</v>
      </c>
      <c r="R55" s="4">
        <f t="shared" si="2"/>
        <v>3149</v>
      </c>
      <c r="S55" s="4">
        <f t="shared" si="3"/>
        <v>0.99968253968253973</v>
      </c>
      <c r="T55" s="6"/>
      <c r="U55" s="6"/>
      <c r="V55" s="6"/>
      <c r="W55" s="6"/>
      <c r="X55" s="6"/>
    </row>
    <row r="56" spans="1:24" ht="11.25">
      <c r="A56" s="5" t="s">
        <v>26</v>
      </c>
      <c r="B56" s="7" t="s">
        <v>95</v>
      </c>
      <c r="C56" s="34" t="s">
        <v>33</v>
      </c>
      <c r="D56" s="9" t="s">
        <v>148</v>
      </c>
      <c r="E56" s="9" t="s">
        <v>147</v>
      </c>
      <c r="F56" s="9" t="s">
        <v>147</v>
      </c>
      <c r="G56" s="9" t="s">
        <v>148</v>
      </c>
      <c r="H56" s="9" t="s">
        <v>148</v>
      </c>
      <c r="I56" s="9">
        <v>450</v>
      </c>
      <c r="J56" s="9" t="s">
        <v>148</v>
      </c>
      <c r="K56" s="9">
        <v>450</v>
      </c>
      <c r="L56" s="9" t="s">
        <v>148</v>
      </c>
      <c r="M56" s="9">
        <v>450</v>
      </c>
      <c r="N56" s="6">
        <v>0</v>
      </c>
      <c r="O56" s="6">
        <f t="shared" ref="O56:O58" si="13">SUMIF(D56:M56,"540")</f>
        <v>0</v>
      </c>
      <c r="P56" s="4">
        <f t="shared" si="1"/>
        <v>0</v>
      </c>
      <c r="Q56" s="6">
        <f>450*8</f>
        <v>3600</v>
      </c>
      <c r="R56" s="4">
        <f t="shared" si="2"/>
        <v>3600</v>
      </c>
      <c r="S56" s="4">
        <f t="shared" si="3"/>
        <v>1</v>
      </c>
      <c r="T56" s="6"/>
      <c r="U56" s="6"/>
      <c r="V56" s="6"/>
      <c r="W56" s="6"/>
      <c r="X56" s="6"/>
    </row>
    <row r="57" spans="1:24" ht="11.25">
      <c r="A57" s="5" t="s">
        <v>22</v>
      </c>
      <c r="B57" s="5" t="s">
        <v>23</v>
      </c>
      <c r="C57" s="5" t="s">
        <v>25</v>
      </c>
      <c r="D57" s="9" t="s">
        <v>148</v>
      </c>
      <c r="E57" s="9" t="s">
        <v>148</v>
      </c>
      <c r="F57" s="9" t="s">
        <v>147</v>
      </c>
      <c r="G57" s="9" t="s">
        <v>147</v>
      </c>
      <c r="H57" s="9">
        <v>450</v>
      </c>
      <c r="I57" s="9" t="s">
        <v>148</v>
      </c>
      <c r="J57" s="9" t="s">
        <v>148</v>
      </c>
      <c r="K57" s="9" t="s">
        <v>148</v>
      </c>
      <c r="L57" s="9" t="s">
        <v>148</v>
      </c>
      <c r="M57" s="9" t="s">
        <v>147</v>
      </c>
      <c r="N57" s="6">
        <v>0</v>
      </c>
      <c r="O57" s="6">
        <f t="shared" si="13"/>
        <v>0</v>
      </c>
      <c r="P57" s="4">
        <f t="shared" si="1"/>
        <v>0</v>
      </c>
      <c r="Q57" s="4">
        <f>450*7</f>
        <v>3150</v>
      </c>
      <c r="R57" s="4">
        <f t="shared" si="2"/>
        <v>3150</v>
      </c>
      <c r="S57" s="4">
        <f t="shared" si="3"/>
        <v>1</v>
      </c>
      <c r="T57" s="6"/>
      <c r="U57" s="6"/>
      <c r="V57" s="6"/>
      <c r="W57" s="6"/>
      <c r="X57" s="6"/>
    </row>
    <row r="58" spans="1:24" ht="11.25">
      <c r="A58" s="5" t="s">
        <v>37</v>
      </c>
      <c r="B58" s="5" t="s">
        <v>96</v>
      </c>
      <c r="C58" s="5" t="s">
        <v>40</v>
      </c>
      <c r="D58" s="9" t="s">
        <v>148</v>
      </c>
      <c r="E58" s="9" t="s">
        <v>148</v>
      </c>
      <c r="F58" s="9" t="s">
        <v>147</v>
      </c>
      <c r="G58" s="9" t="s">
        <v>147</v>
      </c>
      <c r="H58" s="9" t="s">
        <v>148</v>
      </c>
      <c r="I58" s="9" t="s">
        <v>148</v>
      </c>
      <c r="J58" s="9" t="s">
        <v>148</v>
      </c>
      <c r="K58" s="9" t="s">
        <v>148</v>
      </c>
      <c r="L58" s="9" t="s">
        <v>148</v>
      </c>
      <c r="M58" s="9" t="s">
        <v>147</v>
      </c>
      <c r="N58" s="6">
        <v>0</v>
      </c>
      <c r="O58" s="6">
        <f t="shared" si="13"/>
        <v>0</v>
      </c>
      <c r="P58" s="4">
        <f t="shared" si="1"/>
        <v>0</v>
      </c>
      <c r="Q58" s="4">
        <f>450*7</f>
        <v>3150</v>
      </c>
      <c r="R58" s="4">
        <f t="shared" si="2"/>
        <v>3150</v>
      </c>
      <c r="S58" s="4">
        <f t="shared" si="3"/>
        <v>1</v>
      </c>
      <c r="T58" s="6"/>
      <c r="U58" s="6"/>
      <c r="V58" s="6"/>
      <c r="W58" s="6"/>
      <c r="X58" s="6"/>
    </row>
    <row r="59" spans="1:24" ht="11.25">
      <c r="A59" s="5" t="s">
        <v>26</v>
      </c>
      <c r="B59" s="7" t="s">
        <v>97</v>
      </c>
      <c r="C59" s="34" t="s">
        <v>56</v>
      </c>
      <c r="D59" s="9" t="s">
        <v>148</v>
      </c>
      <c r="E59" s="9" t="s">
        <v>148</v>
      </c>
      <c r="F59" s="9" t="s">
        <v>147</v>
      </c>
      <c r="G59" s="9" t="s">
        <v>147</v>
      </c>
      <c r="H59" s="9" t="s">
        <v>148</v>
      </c>
      <c r="I59" s="9" t="s">
        <v>148</v>
      </c>
      <c r="J59" s="9">
        <v>5</v>
      </c>
      <c r="K59" s="9" t="s">
        <v>148</v>
      </c>
      <c r="L59" s="9" t="s">
        <v>148</v>
      </c>
      <c r="M59" s="9" t="s">
        <v>147</v>
      </c>
      <c r="N59" s="4">
        <f>SUM(D59:L59)</f>
        <v>5</v>
      </c>
      <c r="O59" s="6">
        <f t="shared" ref="O59" si="14">SUMIF(D59:M59,"540")</f>
        <v>0</v>
      </c>
      <c r="P59" s="4">
        <f t="shared" si="1"/>
        <v>5</v>
      </c>
      <c r="Q59" s="4">
        <f>450*7</f>
        <v>3150</v>
      </c>
      <c r="R59" s="4">
        <f t="shared" si="2"/>
        <v>3145</v>
      </c>
      <c r="S59" s="4">
        <f t="shared" si="3"/>
        <v>0.99841269841269842</v>
      </c>
      <c r="T59" s="6"/>
      <c r="U59" s="6"/>
      <c r="V59" s="6"/>
      <c r="W59" s="6"/>
      <c r="X59" s="6"/>
    </row>
    <row r="60" spans="1:24" ht="11.25">
      <c r="A60" s="5" t="s">
        <v>37</v>
      </c>
      <c r="B60" s="5" t="s">
        <v>38</v>
      </c>
      <c r="C60" s="5" t="s">
        <v>40</v>
      </c>
      <c r="D60" s="9" t="s">
        <v>148</v>
      </c>
      <c r="E60" s="9" t="s">
        <v>148</v>
      </c>
      <c r="F60" s="9" t="s">
        <v>148</v>
      </c>
      <c r="G60" s="9" t="s">
        <v>147</v>
      </c>
      <c r="H60" s="9" t="s">
        <v>147</v>
      </c>
      <c r="I60" s="9" t="s">
        <v>148</v>
      </c>
      <c r="J60" s="9" t="s">
        <v>148</v>
      </c>
      <c r="K60" s="9" t="s">
        <v>148</v>
      </c>
      <c r="L60" s="9" t="s">
        <v>148</v>
      </c>
      <c r="M60" s="9" t="s">
        <v>148</v>
      </c>
      <c r="N60" s="6">
        <v>0</v>
      </c>
      <c r="O60" s="6">
        <f>SUMIF(D60:M60,"540")</f>
        <v>0</v>
      </c>
      <c r="P60" s="4">
        <f t="shared" si="1"/>
        <v>0</v>
      </c>
      <c r="Q60" s="6">
        <f>450*8</f>
        <v>3600</v>
      </c>
      <c r="R60" s="4">
        <f t="shared" si="2"/>
        <v>3600</v>
      </c>
      <c r="S60" s="4">
        <f t="shared" si="3"/>
        <v>1</v>
      </c>
      <c r="T60" s="6"/>
      <c r="U60" s="6"/>
      <c r="V60" s="6"/>
      <c r="W60" s="6"/>
      <c r="X60" s="6"/>
    </row>
    <row r="61" spans="1:24" ht="11.25">
      <c r="A61" s="5" t="s">
        <v>26</v>
      </c>
      <c r="B61" s="7" t="s">
        <v>98</v>
      </c>
      <c r="C61" s="34" t="s">
        <v>30</v>
      </c>
      <c r="D61" s="9" t="s">
        <v>148</v>
      </c>
      <c r="E61" s="9" t="s">
        <v>148</v>
      </c>
      <c r="F61" s="9" t="s">
        <v>147</v>
      </c>
      <c r="G61" s="9" t="s">
        <v>147</v>
      </c>
      <c r="H61" s="9">
        <v>450</v>
      </c>
      <c r="I61" s="9" t="s">
        <v>148</v>
      </c>
      <c r="J61" s="9">
        <v>3</v>
      </c>
      <c r="K61" s="9" t="s">
        <v>148</v>
      </c>
      <c r="L61" s="9">
        <v>450</v>
      </c>
      <c r="M61" s="9" t="s">
        <v>147</v>
      </c>
      <c r="N61" s="6">
        <f>J61</f>
        <v>3</v>
      </c>
      <c r="O61" s="6">
        <f t="shared" ref="O61:O67" si="15">SUMIF(D61:M61,"540")</f>
        <v>0</v>
      </c>
      <c r="P61" s="4">
        <f t="shared" si="1"/>
        <v>3</v>
      </c>
      <c r="Q61" s="4">
        <f t="shared" ref="Q61:Q66" si="16">450*7</f>
        <v>3150</v>
      </c>
      <c r="R61" s="4">
        <f t="shared" si="2"/>
        <v>3147</v>
      </c>
      <c r="S61" s="4">
        <f t="shared" si="3"/>
        <v>0.99904761904761907</v>
      </c>
      <c r="T61" s="6"/>
      <c r="U61" s="6"/>
      <c r="V61" s="6"/>
      <c r="W61" s="6"/>
      <c r="X61" s="6"/>
    </row>
    <row r="62" spans="1:24" ht="11.25">
      <c r="A62" s="5" t="s">
        <v>22</v>
      </c>
      <c r="B62" s="5" t="s">
        <v>99</v>
      </c>
      <c r="C62" s="5" t="s">
        <v>63</v>
      </c>
      <c r="D62" s="9" t="s">
        <v>148</v>
      </c>
      <c r="E62" s="9">
        <v>4</v>
      </c>
      <c r="F62" s="9" t="s">
        <v>147</v>
      </c>
      <c r="G62" s="9" t="s">
        <v>147</v>
      </c>
      <c r="H62" s="9" t="s">
        <v>148</v>
      </c>
      <c r="I62" s="9">
        <v>450</v>
      </c>
      <c r="J62" s="9" t="s">
        <v>148</v>
      </c>
      <c r="K62" s="9" t="s">
        <v>148</v>
      </c>
      <c r="L62" s="9" t="s">
        <v>148</v>
      </c>
      <c r="M62" s="9" t="s">
        <v>147</v>
      </c>
      <c r="N62" s="6">
        <f>E62</f>
        <v>4</v>
      </c>
      <c r="O62" s="6">
        <f t="shared" si="15"/>
        <v>0</v>
      </c>
      <c r="P62" s="4">
        <f t="shared" si="1"/>
        <v>4</v>
      </c>
      <c r="Q62" s="4">
        <f t="shared" si="16"/>
        <v>3150</v>
      </c>
      <c r="R62" s="4">
        <f t="shared" si="2"/>
        <v>3146</v>
      </c>
      <c r="S62" s="4">
        <f t="shared" si="3"/>
        <v>0.99873015873015869</v>
      </c>
      <c r="T62" s="6"/>
      <c r="U62" s="6"/>
      <c r="V62" s="6"/>
      <c r="W62" s="6"/>
      <c r="X62" s="6"/>
    </row>
    <row r="63" spans="1:24" ht="11.25">
      <c r="A63" s="5" t="s">
        <v>22</v>
      </c>
      <c r="B63" s="32" t="s">
        <v>100</v>
      </c>
      <c r="C63" s="35" t="s">
        <v>63</v>
      </c>
      <c r="D63" s="9" t="s">
        <v>148</v>
      </c>
      <c r="E63" s="9" t="s">
        <v>148</v>
      </c>
      <c r="F63" s="9" t="s">
        <v>147</v>
      </c>
      <c r="G63" s="9" t="s">
        <v>147</v>
      </c>
      <c r="H63" s="9" t="s">
        <v>148</v>
      </c>
      <c r="I63" s="9">
        <v>49</v>
      </c>
      <c r="J63" s="9" t="s">
        <v>148</v>
      </c>
      <c r="K63" s="9" t="s">
        <v>148</v>
      </c>
      <c r="L63" s="9">
        <v>5</v>
      </c>
      <c r="M63" s="9" t="s">
        <v>147</v>
      </c>
      <c r="N63" s="6">
        <f>SUM(D63:L63)</f>
        <v>54</v>
      </c>
      <c r="O63" s="6">
        <f t="shared" si="15"/>
        <v>0</v>
      </c>
      <c r="P63" s="4">
        <f t="shared" si="1"/>
        <v>54</v>
      </c>
      <c r="Q63" s="4">
        <f t="shared" si="16"/>
        <v>3150</v>
      </c>
      <c r="R63" s="4">
        <f t="shared" si="2"/>
        <v>3096</v>
      </c>
      <c r="S63" s="4">
        <f t="shared" si="3"/>
        <v>0.98285714285714287</v>
      </c>
      <c r="T63" s="6"/>
      <c r="U63" s="6"/>
      <c r="V63" s="6"/>
      <c r="W63" s="6"/>
      <c r="X63" s="6"/>
    </row>
    <row r="64" spans="1:24" ht="11.25">
      <c r="A64" s="5" t="s">
        <v>57</v>
      </c>
      <c r="B64" s="10" t="s">
        <v>101</v>
      </c>
      <c r="C64" s="35" t="s">
        <v>40</v>
      </c>
      <c r="D64" s="9" t="s">
        <v>148</v>
      </c>
      <c r="E64" s="9" t="s">
        <v>148</v>
      </c>
      <c r="F64" s="9" t="s">
        <v>147</v>
      </c>
      <c r="G64" s="9" t="s">
        <v>147</v>
      </c>
      <c r="H64" s="9" t="s">
        <v>148</v>
      </c>
      <c r="I64" s="9" t="s">
        <v>148</v>
      </c>
      <c r="J64" s="9" t="s">
        <v>148</v>
      </c>
      <c r="K64" s="9" t="s">
        <v>148</v>
      </c>
      <c r="L64" s="9" t="s">
        <v>148</v>
      </c>
      <c r="M64" s="9" t="s">
        <v>147</v>
      </c>
      <c r="N64" s="6">
        <v>0</v>
      </c>
      <c r="O64" s="6">
        <f t="shared" si="15"/>
        <v>0</v>
      </c>
      <c r="P64" s="4">
        <f t="shared" si="1"/>
        <v>0</v>
      </c>
      <c r="Q64" s="4">
        <f t="shared" si="16"/>
        <v>3150</v>
      </c>
      <c r="R64" s="4">
        <f t="shared" si="2"/>
        <v>3150</v>
      </c>
      <c r="S64" s="4">
        <f t="shared" si="3"/>
        <v>1</v>
      </c>
      <c r="T64" s="6"/>
      <c r="U64" s="6"/>
      <c r="V64" s="6"/>
      <c r="W64" s="6"/>
      <c r="X64" s="6"/>
    </row>
    <row r="65" spans="1:24" ht="11.25">
      <c r="A65" s="5" t="s">
        <v>22</v>
      </c>
      <c r="B65" s="32" t="s">
        <v>102</v>
      </c>
      <c r="C65" s="35" t="s">
        <v>33</v>
      </c>
      <c r="D65" s="9" t="s">
        <v>148</v>
      </c>
      <c r="E65" s="9" t="s">
        <v>148</v>
      </c>
      <c r="F65" s="9" t="s">
        <v>147</v>
      </c>
      <c r="G65" s="9" t="s">
        <v>147</v>
      </c>
      <c r="H65" s="9" t="s">
        <v>148</v>
      </c>
      <c r="I65" s="9" t="s">
        <v>148</v>
      </c>
      <c r="J65" s="9" t="s">
        <v>148</v>
      </c>
      <c r="K65" s="9">
        <v>450</v>
      </c>
      <c r="L65" s="9">
        <v>450</v>
      </c>
      <c r="M65" s="9" t="s">
        <v>147</v>
      </c>
      <c r="N65" s="6">
        <v>0</v>
      </c>
      <c r="O65" s="6">
        <f t="shared" si="15"/>
        <v>0</v>
      </c>
      <c r="P65" s="4">
        <f t="shared" si="1"/>
        <v>0</v>
      </c>
      <c r="Q65" s="4">
        <f t="shared" si="16"/>
        <v>3150</v>
      </c>
      <c r="R65" s="4">
        <f t="shared" si="2"/>
        <v>3150</v>
      </c>
      <c r="S65" s="4">
        <f t="shared" si="3"/>
        <v>1</v>
      </c>
      <c r="T65" s="6"/>
      <c r="U65" s="6"/>
      <c r="V65" s="6"/>
      <c r="W65" s="6"/>
      <c r="X65" s="6"/>
    </row>
    <row r="66" spans="1:24" ht="11.25">
      <c r="A66" s="5" t="s">
        <v>22</v>
      </c>
      <c r="B66" s="32" t="s">
        <v>31</v>
      </c>
      <c r="C66" s="35" t="s">
        <v>33</v>
      </c>
      <c r="D66" s="9" t="s">
        <v>175</v>
      </c>
      <c r="E66" s="9" t="s">
        <v>148</v>
      </c>
      <c r="F66" s="9" t="s">
        <v>147</v>
      </c>
      <c r="G66" s="9" t="s">
        <v>147</v>
      </c>
      <c r="H66" s="9" t="s">
        <v>148</v>
      </c>
      <c r="I66" s="9" t="s">
        <v>148</v>
      </c>
      <c r="J66" s="9" t="s">
        <v>148</v>
      </c>
      <c r="K66" s="9" t="s">
        <v>148</v>
      </c>
      <c r="L66" s="9" t="s">
        <v>148</v>
      </c>
      <c r="M66" s="9" t="s">
        <v>147</v>
      </c>
      <c r="N66" s="6">
        <v>0</v>
      </c>
      <c r="O66" s="6">
        <f t="shared" si="15"/>
        <v>0</v>
      </c>
      <c r="P66" s="4">
        <f t="shared" si="1"/>
        <v>0</v>
      </c>
      <c r="Q66" s="4">
        <f t="shared" si="16"/>
        <v>3150</v>
      </c>
      <c r="R66" s="4">
        <f t="shared" si="2"/>
        <v>3150</v>
      </c>
      <c r="S66" s="4">
        <f t="shared" si="3"/>
        <v>1</v>
      </c>
      <c r="T66" s="6"/>
      <c r="U66" s="6"/>
      <c r="V66" s="6"/>
      <c r="W66" s="6"/>
      <c r="X66" s="6"/>
    </row>
    <row r="67" spans="1:24" ht="11.25">
      <c r="A67" s="5" t="s">
        <v>26</v>
      </c>
      <c r="B67" s="10" t="s">
        <v>103</v>
      </c>
      <c r="C67" s="11" t="s">
        <v>40</v>
      </c>
      <c r="D67" s="9" t="s">
        <v>148</v>
      </c>
      <c r="E67" s="9" t="s">
        <v>148</v>
      </c>
      <c r="F67" s="9" t="s">
        <v>147</v>
      </c>
      <c r="G67" s="9" t="s">
        <v>147</v>
      </c>
      <c r="H67" s="9" t="s">
        <v>148</v>
      </c>
      <c r="I67" s="9" t="s">
        <v>148</v>
      </c>
      <c r="J67" s="9" t="s">
        <v>147</v>
      </c>
      <c r="K67" s="9" t="s">
        <v>147</v>
      </c>
      <c r="L67" s="9">
        <v>38</v>
      </c>
      <c r="M67" s="9" t="s">
        <v>148</v>
      </c>
      <c r="N67" s="6">
        <f>SUM(D67:M67)</f>
        <v>38</v>
      </c>
      <c r="O67" s="6">
        <f t="shared" si="15"/>
        <v>0</v>
      </c>
      <c r="P67" s="4">
        <f t="shared" ref="P67:P99" si="17">SUM(N67:O67)</f>
        <v>38</v>
      </c>
      <c r="Q67" s="6">
        <f>450*6</f>
        <v>2700</v>
      </c>
      <c r="R67" s="4">
        <f t="shared" ref="R67:R99" si="18">Q67-P67</f>
        <v>2662</v>
      </c>
      <c r="S67" s="4">
        <f t="shared" ref="S67:S99" si="19">R67/Q67*100%</f>
        <v>0.98592592592592587</v>
      </c>
      <c r="T67" s="6"/>
      <c r="U67" s="6"/>
      <c r="V67" s="6"/>
      <c r="W67" s="6"/>
      <c r="X67" s="6"/>
    </row>
    <row r="68" spans="1:24" ht="11.25">
      <c r="A68" s="5" t="s">
        <v>22</v>
      </c>
      <c r="B68" s="32" t="s">
        <v>104</v>
      </c>
      <c r="C68" s="35" t="s">
        <v>25</v>
      </c>
      <c r="D68" s="9" t="s">
        <v>148</v>
      </c>
      <c r="E68" s="9">
        <v>450</v>
      </c>
      <c r="F68" s="9" t="s">
        <v>147</v>
      </c>
      <c r="G68" s="9" t="s">
        <v>147</v>
      </c>
      <c r="H68" s="9" t="s">
        <v>148</v>
      </c>
      <c r="I68" s="9">
        <v>19</v>
      </c>
      <c r="J68" s="9" t="s">
        <v>148</v>
      </c>
      <c r="K68" s="9" t="s">
        <v>148</v>
      </c>
      <c r="L68" s="9" t="s">
        <v>148</v>
      </c>
      <c r="M68" s="9" t="s">
        <v>147</v>
      </c>
      <c r="N68" s="6">
        <f>I68</f>
        <v>19</v>
      </c>
      <c r="O68" s="6">
        <f t="shared" ref="O68:O77" si="20">SUMIF(D68:M68,"540")</f>
        <v>0</v>
      </c>
      <c r="P68" s="4">
        <f t="shared" si="17"/>
        <v>19</v>
      </c>
      <c r="Q68" s="4">
        <f>450*7</f>
        <v>3150</v>
      </c>
      <c r="R68" s="4">
        <f t="shared" si="18"/>
        <v>3131</v>
      </c>
      <c r="S68" s="4">
        <f t="shared" si="19"/>
        <v>0.99396825396825395</v>
      </c>
      <c r="T68" s="6"/>
      <c r="U68" s="6"/>
      <c r="V68" s="6"/>
      <c r="W68" s="6"/>
      <c r="X68" s="6"/>
    </row>
    <row r="69" spans="1:24" ht="11.25">
      <c r="A69" s="5" t="s">
        <v>22</v>
      </c>
      <c r="B69" s="32" t="s">
        <v>105</v>
      </c>
      <c r="C69" s="35" t="s">
        <v>56</v>
      </c>
      <c r="D69" s="9" t="s">
        <v>148</v>
      </c>
      <c r="E69" s="9">
        <v>13</v>
      </c>
      <c r="F69" s="9" t="s">
        <v>147</v>
      </c>
      <c r="G69" s="9" t="s">
        <v>147</v>
      </c>
      <c r="H69" s="9" t="s">
        <v>148</v>
      </c>
      <c r="I69" s="9" t="s">
        <v>148</v>
      </c>
      <c r="J69" s="9" t="s">
        <v>148</v>
      </c>
      <c r="K69" s="9" t="s">
        <v>148</v>
      </c>
      <c r="L69" s="9">
        <v>228</v>
      </c>
      <c r="M69" s="9" t="s">
        <v>147</v>
      </c>
      <c r="N69" s="6">
        <f>SUM(D69:L69)</f>
        <v>241</v>
      </c>
      <c r="O69" s="6">
        <f t="shared" si="20"/>
        <v>0</v>
      </c>
      <c r="P69" s="4">
        <f t="shared" si="17"/>
        <v>241</v>
      </c>
      <c r="Q69" s="4">
        <f>450*7</f>
        <v>3150</v>
      </c>
      <c r="R69" s="4">
        <f t="shared" si="18"/>
        <v>2909</v>
      </c>
      <c r="S69" s="4">
        <f t="shared" si="19"/>
        <v>0.92349206349206348</v>
      </c>
      <c r="T69" s="6"/>
      <c r="U69" s="6"/>
      <c r="V69" s="6"/>
      <c r="W69" s="6"/>
      <c r="X69" s="6"/>
    </row>
    <row r="70" spans="1:24" ht="11.25">
      <c r="A70" s="5" t="s">
        <v>22</v>
      </c>
      <c r="B70" s="32" t="s">
        <v>106</v>
      </c>
      <c r="C70" s="35" t="s">
        <v>30</v>
      </c>
      <c r="D70" s="9" t="s">
        <v>148</v>
      </c>
      <c r="E70" s="9" t="s">
        <v>148</v>
      </c>
      <c r="F70" s="9" t="s">
        <v>147</v>
      </c>
      <c r="G70" s="9" t="s">
        <v>147</v>
      </c>
      <c r="H70" s="9" t="s">
        <v>148</v>
      </c>
      <c r="I70" s="9" t="s">
        <v>148</v>
      </c>
      <c r="J70" s="9" t="s">
        <v>148</v>
      </c>
      <c r="K70" s="9" t="s">
        <v>148</v>
      </c>
      <c r="L70" s="9">
        <v>4</v>
      </c>
      <c r="M70" s="9" t="s">
        <v>147</v>
      </c>
      <c r="N70" s="6">
        <f>L70</f>
        <v>4</v>
      </c>
      <c r="O70" s="6">
        <f t="shared" si="20"/>
        <v>0</v>
      </c>
      <c r="P70" s="4">
        <f t="shared" si="17"/>
        <v>4</v>
      </c>
      <c r="Q70" s="4">
        <f>450*7</f>
        <v>3150</v>
      </c>
      <c r="R70" s="4">
        <f t="shared" si="18"/>
        <v>3146</v>
      </c>
      <c r="S70" s="4">
        <f t="shared" si="19"/>
        <v>0.99873015873015869</v>
      </c>
      <c r="T70" s="6"/>
      <c r="U70" s="6"/>
      <c r="V70" s="6"/>
      <c r="W70" s="6"/>
      <c r="X70" s="6"/>
    </row>
    <row r="71" spans="1:24" ht="11.25">
      <c r="A71" s="5" t="s">
        <v>57</v>
      </c>
      <c r="B71" s="10" t="s">
        <v>107</v>
      </c>
      <c r="C71" s="35" t="s">
        <v>40</v>
      </c>
      <c r="D71" s="9" t="s">
        <v>148</v>
      </c>
      <c r="E71" s="9">
        <v>17</v>
      </c>
      <c r="F71" s="9" t="s">
        <v>147</v>
      </c>
      <c r="G71" s="9" t="s">
        <v>147</v>
      </c>
      <c r="H71" s="9" t="s">
        <v>148</v>
      </c>
      <c r="I71" s="9">
        <v>450</v>
      </c>
      <c r="J71" s="9" t="s">
        <v>148</v>
      </c>
      <c r="K71" s="9">
        <v>18</v>
      </c>
      <c r="L71" s="9" t="s">
        <v>14</v>
      </c>
      <c r="M71" s="9" t="s">
        <v>147</v>
      </c>
      <c r="N71" s="6">
        <f>SUM(E71,K71)</f>
        <v>35</v>
      </c>
      <c r="O71" s="6">
        <f t="shared" si="20"/>
        <v>0</v>
      </c>
      <c r="P71" s="4">
        <f t="shared" si="17"/>
        <v>35</v>
      </c>
      <c r="Q71" s="4">
        <f>450*6</f>
        <v>2700</v>
      </c>
      <c r="R71" s="4">
        <f t="shared" si="18"/>
        <v>2665</v>
      </c>
      <c r="S71" s="4">
        <f t="shared" si="19"/>
        <v>0.98703703703703705</v>
      </c>
      <c r="T71" s="6"/>
      <c r="U71" s="6">
        <v>1</v>
      </c>
      <c r="V71" s="6"/>
      <c r="W71" s="6"/>
      <c r="X71" s="6"/>
    </row>
    <row r="72" spans="1:24" ht="11.25">
      <c r="A72" s="5" t="s">
        <v>26</v>
      </c>
      <c r="B72" s="10" t="s">
        <v>108</v>
      </c>
      <c r="C72" s="11" t="s">
        <v>30</v>
      </c>
      <c r="D72" s="9" t="s">
        <v>148</v>
      </c>
      <c r="E72" s="9" t="s">
        <v>148</v>
      </c>
      <c r="F72" s="9" t="s">
        <v>147</v>
      </c>
      <c r="G72" s="9" t="s">
        <v>147</v>
      </c>
      <c r="H72" s="9" t="s">
        <v>148</v>
      </c>
      <c r="I72" s="9" t="s">
        <v>148</v>
      </c>
      <c r="J72" s="9" t="s">
        <v>148</v>
      </c>
      <c r="K72" s="9" t="s">
        <v>148</v>
      </c>
      <c r="L72" s="9" t="s">
        <v>148</v>
      </c>
      <c r="M72" s="9" t="s">
        <v>147</v>
      </c>
      <c r="N72" s="6">
        <v>0</v>
      </c>
      <c r="O72" s="6">
        <f>SUMIF(D72:M72,"540")</f>
        <v>0</v>
      </c>
      <c r="P72" s="4">
        <f t="shared" si="17"/>
        <v>0</v>
      </c>
      <c r="Q72" s="4">
        <f t="shared" ref="Q72:Q78" si="21">450*7</f>
        <v>3150</v>
      </c>
      <c r="R72" s="4">
        <f t="shared" si="18"/>
        <v>3150</v>
      </c>
      <c r="S72" s="4">
        <f t="shared" si="19"/>
        <v>1</v>
      </c>
      <c r="T72" s="6"/>
      <c r="U72" s="6"/>
      <c r="V72" s="6"/>
      <c r="W72" s="6"/>
      <c r="X72" s="6"/>
    </row>
    <row r="73" spans="1:24" ht="11.25">
      <c r="A73" s="5" t="s">
        <v>26</v>
      </c>
      <c r="B73" s="10" t="s">
        <v>109</v>
      </c>
      <c r="C73" s="11" t="s">
        <v>36</v>
      </c>
      <c r="D73" s="9" t="s">
        <v>148</v>
      </c>
      <c r="E73" s="9" t="s">
        <v>148</v>
      </c>
      <c r="F73" s="9" t="s">
        <v>147</v>
      </c>
      <c r="G73" s="9" t="s">
        <v>147</v>
      </c>
      <c r="H73" s="9" t="s">
        <v>148</v>
      </c>
      <c r="I73" s="9">
        <v>3</v>
      </c>
      <c r="J73" s="9" t="s">
        <v>148</v>
      </c>
      <c r="K73" s="9" t="s">
        <v>148</v>
      </c>
      <c r="L73" s="9" t="s">
        <v>148</v>
      </c>
      <c r="M73" s="9" t="s">
        <v>147</v>
      </c>
      <c r="N73" s="6">
        <f>I73</f>
        <v>3</v>
      </c>
      <c r="O73" s="6">
        <f t="shared" si="20"/>
        <v>0</v>
      </c>
      <c r="P73" s="4">
        <f t="shared" si="17"/>
        <v>3</v>
      </c>
      <c r="Q73" s="4">
        <f t="shared" si="21"/>
        <v>3150</v>
      </c>
      <c r="R73" s="4">
        <f t="shared" si="18"/>
        <v>3147</v>
      </c>
      <c r="S73" s="4">
        <f t="shared" si="19"/>
        <v>0.99904761904761907</v>
      </c>
      <c r="T73" s="6"/>
      <c r="U73" s="6"/>
      <c r="V73" s="6"/>
      <c r="W73" s="6"/>
      <c r="X73" s="6"/>
    </row>
    <row r="74" spans="1:24" ht="11.25">
      <c r="A74" s="5" t="s">
        <v>111</v>
      </c>
      <c r="B74" s="10" t="s">
        <v>110</v>
      </c>
      <c r="C74" s="35" t="s">
        <v>40</v>
      </c>
      <c r="D74" s="9" t="s">
        <v>148</v>
      </c>
      <c r="E74" s="9" t="s">
        <v>148</v>
      </c>
      <c r="F74" s="9" t="s">
        <v>147</v>
      </c>
      <c r="G74" s="9" t="s">
        <v>147</v>
      </c>
      <c r="H74" s="9" t="s">
        <v>148</v>
      </c>
      <c r="I74" s="9" t="s">
        <v>148</v>
      </c>
      <c r="J74" s="9" t="s">
        <v>148</v>
      </c>
      <c r="K74" s="9" t="s">
        <v>148</v>
      </c>
      <c r="L74" s="9" t="s">
        <v>148</v>
      </c>
      <c r="M74" s="9" t="s">
        <v>147</v>
      </c>
      <c r="N74" s="6">
        <v>0</v>
      </c>
      <c r="O74" s="6">
        <f>SUMIF(D74:M74,"540")</f>
        <v>0</v>
      </c>
      <c r="P74" s="4">
        <f t="shared" si="17"/>
        <v>0</v>
      </c>
      <c r="Q74" s="4">
        <f t="shared" si="21"/>
        <v>3150</v>
      </c>
      <c r="R74" s="4">
        <f t="shared" si="18"/>
        <v>3150</v>
      </c>
      <c r="S74" s="4">
        <f t="shared" si="19"/>
        <v>1</v>
      </c>
      <c r="T74" s="6"/>
      <c r="U74" s="6"/>
      <c r="V74" s="6"/>
      <c r="W74" s="6"/>
      <c r="X74" s="6"/>
    </row>
    <row r="75" spans="1:24" ht="11.25">
      <c r="A75" s="5" t="s">
        <v>22</v>
      </c>
      <c r="B75" s="32" t="s">
        <v>112</v>
      </c>
      <c r="C75" s="35" t="s">
        <v>25</v>
      </c>
      <c r="D75" s="9" t="s">
        <v>148</v>
      </c>
      <c r="E75" s="9">
        <v>22</v>
      </c>
      <c r="F75" s="9" t="s">
        <v>147</v>
      </c>
      <c r="G75" s="9" t="s">
        <v>147</v>
      </c>
      <c r="H75" s="9" t="s">
        <v>148</v>
      </c>
      <c r="I75" s="9" t="s">
        <v>148</v>
      </c>
      <c r="J75" s="9">
        <v>12</v>
      </c>
      <c r="K75" s="9" t="s">
        <v>148</v>
      </c>
      <c r="L75" s="9" t="s">
        <v>148</v>
      </c>
      <c r="M75" s="9" t="s">
        <v>147</v>
      </c>
      <c r="N75" s="6">
        <f>SUM(D75:L75)</f>
        <v>34</v>
      </c>
      <c r="O75" s="6">
        <f t="shared" si="20"/>
        <v>0</v>
      </c>
      <c r="P75" s="4">
        <f t="shared" si="17"/>
        <v>34</v>
      </c>
      <c r="Q75" s="4">
        <f t="shared" si="21"/>
        <v>3150</v>
      </c>
      <c r="R75" s="4">
        <f t="shared" si="18"/>
        <v>3116</v>
      </c>
      <c r="S75" s="4">
        <f t="shared" si="19"/>
        <v>0.9892063492063492</v>
      </c>
      <c r="T75" s="6"/>
      <c r="U75" s="6"/>
      <c r="V75" s="6"/>
      <c r="W75" s="6"/>
      <c r="X75" s="6"/>
    </row>
    <row r="76" spans="1:24" ht="11.25">
      <c r="A76" s="5" t="s">
        <v>26</v>
      </c>
      <c r="B76" s="10" t="s">
        <v>113</v>
      </c>
      <c r="C76" s="11" t="s">
        <v>40</v>
      </c>
      <c r="D76" s="9" t="s">
        <v>148</v>
      </c>
      <c r="E76" s="9" t="s">
        <v>148</v>
      </c>
      <c r="F76" s="9" t="s">
        <v>148</v>
      </c>
      <c r="G76" s="9" t="s">
        <v>12</v>
      </c>
      <c r="H76" s="9" t="s">
        <v>148</v>
      </c>
      <c r="I76" s="9" t="s">
        <v>147</v>
      </c>
      <c r="J76" s="9" t="s">
        <v>147</v>
      </c>
      <c r="K76" s="9" t="s">
        <v>148</v>
      </c>
      <c r="L76" s="9" t="s">
        <v>148</v>
      </c>
      <c r="M76" s="9" t="s">
        <v>148</v>
      </c>
      <c r="N76" s="6">
        <v>0</v>
      </c>
      <c r="O76" s="6">
        <f t="shared" si="20"/>
        <v>0</v>
      </c>
      <c r="P76" s="4">
        <f t="shared" si="17"/>
        <v>0</v>
      </c>
      <c r="Q76" s="6">
        <f t="shared" si="21"/>
        <v>3150</v>
      </c>
      <c r="R76" s="4">
        <f t="shared" si="18"/>
        <v>3150</v>
      </c>
      <c r="S76" s="4">
        <f t="shared" si="19"/>
        <v>1</v>
      </c>
      <c r="T76" s="6">
        <v>1</v>
      </c>
      <c r="U76" s="6"/>
      <c r="V76" s="6"/>
      <c r="W76" s="6"/>
      <c r="X76" s="6"/>
    </row>
    <row r="77" spans="1:24" ht="11.25">
      <c r="A77" s="5" t="s">
        <v>37</v>
      </c>
      <c r="B77" s="32" t="s">
        <v>114</v>
      </c>
      <c r="C77" s="35" t="s">
        <v>40</v>
      </c>
      <c r="D77" s="9">
        <v>450</v>
      </c>
      <c r="E77" s="9">
        <v>450</v>
      </c>
      <c r="F77" s="9" t="s">
        <v>147</v>
      </c>
      <c r="G77" s="9" t="s">
        <v>147</v>
      </c>
      <c r="H77" s="9" t="s">
        <v>148</v>
      </c>
      <c r="I77" s="9">
        <v>450</v>
      </c>
      <c r="J77" s="9">
        <v>450</v>
      </c>
      <c r="K77" s="9">
        <v>450</v>
      </c>
      <c r="L77" s="9" t="s">
        <v>148</v>
      </c>
      <c r="M77" s="9" t="s">
        <v>147</v>
      </c>
      <c r="N77" s="6">
        <v>0</v>
      </c>
      <c r="O77" s="6">
        <f t="shared" si="20"/>
        <v>0</v>
      </c>
      <c r="P77" s="4">
        <f t="shared" si="17"/>
        <v>0</v>
      </c>
      <c r="Q77" s="4">
        <f t="shared" si="21"/>
        <v>3150</v>
      </c>
      <c r="R77" s="4">
        <f t="shared" si="18"/>
        <v>3150</v>
      </c>
      <c r="S77" s="4">
        <f t="shared" si="19"/>
        <v>1</v>
      </c>
      <c r="T77" s="6"/>
      <c r="U77" s="6"/>
      <c r="V77" s="6"/>
      <c r="W77" s="6"/>
      <c r="X77" s="6"/>
    </row>
    <row r="78" spans="1:24" ht="11.25">
      <c r="A78" s="5" t="s">
        <v>22</v>
      </c>
      <c r="B78" s="32" t="s">
        <v>66</v>
      </c>
      <c r="C78" s="35" t="s">
        <v>30</v>
      </c>
      <c r="D78" s="9" t="s">
        <v>174</v>
      </c>
      <c r="E78" s="9">
        <v>12</v>
      </c>
      <c r="F78" s="9" t="s">
        <v>147</v>
      </c>
      <c r="G78" s="9" t="s">
        <v>147</v>
      </c>
      <c r="H78" s="9" t="s">
        <v>148</v>
      </c>
      <c r="I78" s="9">
        <v>9</v>
      </c>
      <c r="J78" s="9" t="s">
        <v>148</v>
      </c>
      <c r="K78" s="9" t="s">
        <v>148</v>
      </c>
      <c r="L78" s="9" t="s">
        <v>148</v>
      </c>
      <c r="M78" s="9" t="s">
        <v>147</v>
      </c>
      <c r="N78" s="6">
        <f>SUM(E78,I78)</f>
        <v>21</v>
      </c>
      <c r="O78" s="6">
        <f t="shared" ref="O78:O82" si="22">SUMIF(D78:M78,"540")</f>
        <v>0</v>
      </c>
      <c r="P78" s="4">
        <f t="shared" si="17"/>
        <v>21</v>
      </c>
      <c r="Q78" s="4">
        <f t="shared" si="21"/>
        <v>3150</v>
      </c>
      <c r="R78" s="4">
        <f t="shared" si="18"/>
        <v>3129</v>
      </c>
      <c r="S78" s="4">
        <f t="shared" si="19"/>
        <v>0.99333333333333329</v>
      </c>
      <c r="T78" s="6"/>
      <c r="U78" s="6"/>
      <c r="V78" s="6"/>
      <c r="W78" s="6"/>
      <c r="X78" s="6"/>
    </row>
    <row r="79" spans="1:24" ht="11.25">
      <c r="A79" s="5" t="s">
        <v>22</v>
      </c>
      <c r="B79" s="32" t="s">
        <v>115</v>
      </c>
      <c r="C79" s="35" t="s">
        <v>33</v>
      </c>
      <c r="D79" s="9" t="s">
        <v>148</v>
      </c>
      <c r="E79" s="9">
        <v>24</v>
      </c>
      <c r="F79" s="9" t="s">
        <v>147</v>
      </c>
      <c r="G79" s="9" t="s">
        <v>147</v>
      </c>
      <c r="H79" s="9" t="s">
        <v>148</v>
      </c>
      <c r="I79" s="9" t="s">
        <v>148</v>
      </c>
      <c r="J79" s="9" t="s">
        <v>148</v>
      </c>
      <c r="K79" s="9" t="s">
        <v>148</v>
      </c>
      <c r="L79" s="9" t="s">
        <v>14</v>
      </c>
      <c r="M79" s="9" t="s">
        <v>147</v>
      </c>
      <c r="N79" s="4">
        <f>SUM(D79:L79)</f>
        <v>24</v>
      </c>
      <c r="O79" s="6">
        <f t="shared" si="22"/>
        <v>0</v>
      </c>
      <c r="P79" s="4">
        <f t="shared" si="17"/>
        <v>24</v>
      </c>
      <c r="Q79" s="4">
        <f>450*6</f>
        <v>2700</v>
      </c>
      <c r="R79" s="4">
        <f t="shared" si="18"/>
        <v>2676</v>
      </c>
      <c r="S79" s="4">
        <f t="shared" si="19"/>
        <v>0.99111111111111116</v>
      </c>
      <c r="T79" s="6"/>
      <c r="U79" s="6">
        <v>1</v>
      </c>
      <c r="V79" s="6"/>
      <c r="W79" s="6"/>
      <c r="X79" s="6"/>
    </row>
    <row r="80" spans="1:24" ht="11.25">
      <c r="A80" s="5" t="s">
        <v>22</v>
      </c>
      <c r="B80" s="32" t="s">
        <v>116</v>
      </c>
      <c r="C80" s="35" t="s">
        <v>63</v>
      </c>
      <c r="D80" s="9" t="s">
        <v>148</v>
      </c>
      <c r="E80" s="9">
        <v>13</v>
      </c>
      <c r="F80" s="9" t="s">
        <v>147</v>
      </c>
      <c r="G80" s="9" t="s">
        <v>147</v>
      </c>
      <c r="H80" s="9" t="s">
        <v>148</v>
      </c>
      <c r="I80" s="9" t="s">
        <v>148</v>
      </c>
      <c r="J80" s="9" t="s">
        <v>148</v>
      </c>
      <c r="K80" s="9" t="s">
        <v>148</v>
      </c>
      <c r="L80" s="9" t="s">
        <v>148</v>
      </c>
      <c r="M80" s="9" t="s">
        <v>147</v>
      </c>
      <c r="N80" s="4">
        <f>SUM(D80:L80)</f>
        <v>13</v>
      </c>
      <c r="O80" s="6">
        <f t="shared" si="22"/>
        <v>0</v>
      </c>
      <c r="P80" s="4">
        <f t="shared" si="17"/>
        <v>13</v>
      </c>
      <c r="Q80" s="4">
        <f>450*7</f>
        <v>3150</v>
      </c>
      <c r="R80" s="4">
        <f t="shared" si="18"/>
        <v>3137</v>
      </c>
      <c r="S80" s="4">
        <f t="shared" si="19"/>
        <v>0.99587301587301591</v>
      </c>
      <c r="T80" s="6"/>
      <c r="U80" s="6"/>
      <c r="V80" s="6"/>
      <c r="W80" s="6"/>
      <c r="X80" s="6"/>
    </row>
    <row r="81" spans="1:24" ht="11.25">
      <c r="A81" s="5" t="s">
        <v>22</v>
      </c>
      <c r="B81" s="32" t="s">
        <v>117</v>
      </c>
      <c r="C81" s="35" t="s">
        <v>30</v>
      </c>
      <c r="D81" s="9" t="s">
        <v>148</v>
      </c>
      <c r="E81" s="9" t="s">
        <v>148</v>
      </c>
      <c r="F81" s="9" t="s">
        <v>147</v>
      </c>
      <c r="G81" s="9" t="s">
        <v>147</v>
      </c>
      <c r="H81" s="9" t="s">
        <v>148</v>
      </c>
      <c r="I81" s="9">
        <v>6</v>
      </c>
      <c r="J81" s="9" t="s">
        <v>148</v>
      </c>
      <c r="K81" s="9">
        <v>13</v>
      </c>
      <c r="L81" s="9" t="s">
        <v>148</v>
      </c>
      <c r="M81" s="9" t="s">
        <v>147</v>
      </c>
      <c r="N81" s="4">
        <f>SUM(D81:L81)</f>
        <v>19</v>
      </c>
      <c r="O81" s="6">
        <f t="shared" si="22"/>
        <v>0</v>
      </c>
      <c r="P81" s="4">
        <f t="shared" si="17"/>
        <v>19</v>
      </c>
      <c r="Q81" s="4">
        <f>450*7</f>
        <v>3150</v>
      </c>
      <c r="R81" s="4">
        <f t="shared" si="18"/>
        <v>3131</v>
      </c>
      <c r="S81" s="4">
        <f t="shared" si="19"/>
        <v>0.99396825396825395</v>
      </c>
      <c r="T81" s="6"/>
      <c r="U81" s="6"/>
      <c r="V81" s="6"/>
      <c r="W81" s="6"/>
      <c r="X81" s="6"/>
    </row>
    <row r="82" spans="1:24" ht="11.25">
      <c r="A82" s="5" t="s">
        <v>37</v>
      </c>
      <c r="B82" s="32" t="s">
        <v>118</v>
      </c>
      <c r="C82" s="35" t="s">
        <v>40</v>
      </c>
      <c r="D82" s="9" t="s">
        <v>148</v>
      </c>
      <c r="E82" s="9" t="s">
        <v>148</v>
      </c>
      <c r="F82" s="9" t="s">
        <v>147</v>
      </c>
      <c r="G82" s="9" t="s">
        <v>147</v>
      </c>
      <c r="H82" s="9" t="s">
        <v>148</v>
      </c>
      <c r="I82" s="9">
        <v>6</v>
      </c>
      <c r="J82" s="9" t="s">
        <v>148</v>
      </c>
      <c r="K82" s="9" t="s">
        <v>148</v>
      </c>
      <c r="L82" s="9" t="s">
        <v>148</v>
      </c>
      <c r="M82" s="9" t="s">
        <v>147</v>
      </c>
      <c r="N82" s="4">
        <f>SUM(D82:L82)</f>
        <v>6</v>
      </c>
      <c r="O82" s="6">
        <f t="shared" si="22"/>
        <v>0</v>
      </c>
      <c r="P82" s="4">
        <f t="shared" si="17"/>
        <v>6</v>
      </c>
      <c r="Q82" s="4">
        <f>450*7</f>
        <v>3150</v>
      </c>
      <c r="R82" s="4">
        <f t="shared" si="18"/>
        <v>3144</v>
      </c>
      <c r="S82" s="4">
        <f t="shared" si="19"/>
        <v>0.99809523809523815</v>
      </c>
      <c r="T82" s="6"/>
      <c r="U82" s="6"/>
      <c r="V82" s="6"/>
      <c r="W82" s="6"/>
      <c r="X82" s="6"/>
    </row>
    <row r="83" spans="1:24" ht="11.25">
      <c r="A83" s="5" t="s">
        <v>26</v>
      </c>
      <c r="B83" s="10" t="s">
        <v>119</v>
      </c>
      <c r="C83" s="11" t="s">
        <v>25</v>
      </c>
      <c r="D83" s="9" t="s">
        <v>148</v>
      </c>
      <c r="E83" s="9" t="s">
        <v>148</v>
      </c>
      <c r="F83" s="9" t="s">
        <v>148</v>
      </c>
      <c r="G83" s="9" t="s">
        <v>147</v>
      </c>
      <c r="H83" s="9" t="s">
        <v>147</v>
      </c>
      <c r="I83" s="9" t="s">
        <v>148</v>
      </c>
      <c r="J83" s="9" t="s">
        <v>148</v>
      </c>
      <c r="K83" s="9" t="s">
        <v>148</v>
      </c>
      <c r="L83" s="9" t="s">
        <v>148</v>
      </c>
      <c r="M83" s="9" t="s">
        <v>148</v>
      </c>
      <c r="N83" s="6">
        <v>0</v>
      </c>
      <c r="O83" s="6">
        <f>SUMIF(D83:M83,"540")</f>
        <v>0</v>
      </c>
      <c r="P83" s="4">
        <f t="shared" si="17"/>
        <v>0</v>
      </c>
      <c r="Q83" s="6">
        <f>450*8</f>
        <v>3600</v>
      </c>
      <c r="R83" s="4">
        <f t="shared" si="18"/>
        <v>3600</v>
      </c>
      <c r="S83" s="4">
        <f t="shared" si="19"/>
        <v>1</v>
      </c>
      <c r="T83" s="6"/>
      <c r="U83" s="6"/>
      <c r="V83" s="6"/>
      <c r="W83" s="6"/>
      <c r="X83" s="6"/>
    </row>
    <row r="84" spans="1:24" ht="11.25">
      <c r="A84" s="5" t="s">
        <v>22</v>
      </c>
      <c r="B84" s="32" t="s">
        <v>120</v>
      </c>
      <c r="C84" s="35" t="s">
        <v>30</v>
      </c>
      <c r="D84" s="9" t="s">
        <v>148</v>
      </c>
      <c r="E84" s="9" t="s">
        <v>148</v>
      </c>
      <c r="F84" s="9" t="s">
        <v>147</v>
      </c>
      <c r="G84" s="9" t="s">
        <v>147</v>
      </c>
      <c r="H84" s="9" t="s">
        <v>148</v>
      </c>
      <c r="I84" s="9" t="s">
        <v>148</v>
      </c>
      <c r="J84" s="9" t="s">
        <v>148</v>
      </c>
      <c r="K84" s="9" t="s">
        <v>148</v>
      </c>
      <c r="L84" s="9">
        <v>13</v>
      </c>
      <c r="M84" s="9" t="s">
        <v>147</v>
      </c>
      <c r="N84" s="4">
        <f>SUM(D84:L84)</f>
        <v>13</v>
      </c>
      <c r="O84" s="6">
        <f t="shared" ref="O84:O99" si="23">SUMIF(D84:M84,"540")</f>
        <v>0</v>
      </c>
      <c r="P84" s="4">
        <f t="shared" si="17"/>
        <v>13</v>
      </c>
      <c r="Q84" s="4">
        <f t="shared" ref="Q84:Q98" si="24">450*7</f>
        <v>3150</v>
      </c>
      <c r="R84" s="4">
        <f t="shared" si="18"/>
        <v>3137</v>
      </c>
      <c r="S84" s="4">
        <f t="shared" si="19"/>
        <v>0.99587301587301591</v>
      </c>
      <c r="T84" s="6"/>
      <c r="U84" s="6"/>
      <c r="V84" s="6"/>
      <c r="W84" s="6"/>
      <c r="X84" s="6"/>
    </row>
    <row r="85" spans="1:24" ht="11.25">
      <c r="A85" s="5" t="s">
        <v>22</v>
      </c>
      <c r="B85" s="32" t="s">
        <v>121</v>
      </c>
      <c r="C85" s="35" t="s">
        <v>63</v>
      </c>
      <c r="D85" s="9" t="s">
        <v>148</v>
      </c>
      <c r="E85" s="9" t="s">
        <v>148</v>
      </c>
      <c r="F85" s="9" t="s">
        <v>147</v>
      </c>
      <c r="G85" s="9" t="s">
        <v>147</v>
      </c>
      <c r="H85" s="9" t="s">
        <v>148</v>
      </c>
      <c r="I85" s="9" t="s">
        <v>148</v>
      </c>
      <c r="J85" s="9" t="s">
        <v>148</v>
      </c>
      <c r="K85" s="9" t="s">
        <v>148</v>
      </c>
      <c r="L85" s="9">
        <v>450</v>
      </c>
      <c r="M85" s="9" t="s">
        <v>147</v>
      </c>
      <c r="N85" s="6">
        <v>0</v>
      </c>
      <c r="O85" s="6">
        <f t="shared" si="23"/>
        <v>0</v>
      </c>
      <c r="P85" s="4">
        <f t="shared" si="17"/>
        <v>0</v>
      </c>
      <c r="Q85" s="4">
        <f t="shared" si="24"/>
        <v>3150</v>
      </c>
      <c r="R85" s="4">
        <f t="shared" si="18"/>
        <v>3150</v>
      </c>
      <c r="S85" s="4">
        <f t="shared" si="19"/>
        <v>1</v>
      </c>
      <c r="T85" s="6" t="s">
        <v>176</v>
      </c>
      <c r="U85" s="6"/>
      <c r="V85" s="6"/>
      <c r="W85" s="6"/>
      <c r="X85" s="6"/>
    </row>
    <row r="86" spans="1:24" ht="11.25">
      <c r="A86" s="5" t="s">
        <v>22</v>
      </c>
      <c r="B86" s="32" t="s">
        <v>122</v>
      </c>
      <c r="C86" s="35" t="s">
        <v>30</v>
      </c>
      <c r="D86" s="9" t="s">
        <v>148</v>
      </c>
      <c r="E86" s="9" t="s">
        <v>148</v>
      </c>
      <c r="F86" s="9" t="s">
        <v>147</v>
      </c>
      <c r="G86" s="9" t="s">
        <v>147</v>
      </c>
      <c r="H86" s="9" t="s">
        <v>148</v>
      </c>
      <c r="I86" s="9" t="s">
        <v>148</v>
      </c>
      <c r="J86" s="9" t="s">
        <v>148</v>
      </c>
      <c r="K86" s="9" t="s">
        <v>148</v>
      </c>
      <c r="L86" s="9" t="s">
        <v>148</v>
      </c>
      <c r="M86" s="9" t="s">
        <v>147</v>
      </c>
      <c r="N86" s="6">
        <v>0</v>
      </c>
      <c r="O86" s="6">
        <f t="shared" si="23"/>
        <v>0</v>
      </c>
      <c r="P86" s="4">
        <f t="shared" si="17"/>
        <v>0</v>
      </c>
      <c r="Q86" s="4">
        <f t="shared" si="24"/>
        <v>3150</v>
      </c>
      <c r="R86" s="4">
        <f t="shared" si="18"/>
        <v>3150</v>
      </c>
      <c r="S86" s="4">
        <f t="shared" si="19"/>
        <v>1</v>
      </c>
      <c r="T86" s="6"/>
      <c r="U86" s="6"/>
      <c r="V86" s="6"/>
      <c r="W86" s="6"/>
      <c r="X86" s="6"/>
    </row>
    <row r="87" spans="1:24" ht="11.25">
      <c r="A87" s="5" t="s">
        <v>26</v>
      </c>
      <c r="B87" s="10" t="s">
        <v>123</v>
      </c>
      <c r="C87" s="11" t="s">
        <v>40</v>
      </c>
      <c r="D87" s="9" t="s">
        <v>148</v>
      </c>
      <c r="E87" s="9" t="s">
        <v>148</v>
      </c>
      <c r="F87" s="9" t="s">
        <v>147</v>
      </c>
      <c r="G87" s="9" t="s">
        <v>147</v>
      </c>
      <c r="H87" s="9" t="s">
        <v>148</v>
      </c>
      <c r="I87" s="9" t="s">
        <v>148</v>
      </c>
      <c r="J87" s="9" t="s">
        <v>148</v>
      </c>
      <c r="K87" s="9" t="s">
        <v>148</v>
      </c>
      <c r="L87" s="9" t="s">
        <v>148</v>
      </c>
      <c r="M87" s="9" t="s">
        <v>147</v>
      </c>
      <c r="N87" s="6">
        <v>0</v>
      </c>
      <c r="O87" s="6">
        <f t="shared" si="23"/>
        <v>0</v>
      </c>
      <c r="P87" s="4">
        <f t="shared" si="17"/>
        <v>0</v>
      </c>
      <c r="Q87" s="4">
        <f t="shared" si="24"/>
        <v>3150</v>
      </c>
      <c r="R87" s="4">
        <f t="shared" si="18"/>
        <v>3150</v>
      </c>
      <c r="S87" s="4">
        <f t="shared" si="19"/>
        <v>1</v>
      </c>
      <c r="T87" s="6"/>
      <c r="U87" s="6"/>
      <c r="V87" s="6"/>
      <c r="W87" s="6"/>
      <c r="X87" s="6"/>
    </row>
    <row r="88" spans="1:24" ht="11.25">
      <c r="A88" s="5" t="s">
        <v>26</v>
      </c>
      <c r="B88" s="10" t="s">
        <v>124</v>
      </c>
      <c r="C88" s="11" t="s">
        <v>36</v>
      </c>
      <c r="D88" s="9" t="s">
        <v>148</v>
      </c>
      <c r="E88" s="9" t="s">
        <v>148</v>
      </c>
      <c r="F88" s="9" t="s">
        <v>147</v>
      </c>
      <c r="G88" s="9" t="s">
        <v>147</v>
      </c>
      <c r="H88" s="9" t="s">
        <v>148</v>
      </c>
      <c r="I88" s="9" t="s">
        <v>148</v>
      </c>
      <c r="J88" s="9">
        <v>450</v>
      </c>
      <c r="K88" s="9" t="s">
        <v>148</v>
      </c>
      <c r="L88" s="9" t="s">
        <v>148</v>
      </c>
      <c r="M88" s="9" t="s">
        <v>147</v>
      </c>
      <c r="N88" s="6">
        <v>0</v>
      </c>
      <c r="O88" s="6">
        <f t="shared" si="23"/>
        <v>0</v>
      </c>
      <c r="P88" s="4">
        <f t="shared" si="17"/>
        <v>0</v>
      </c>
      <c r="Q88" s="4">
        <f t="shared" si="24"/>
        <v>3150</v>
      </c>
      <c r="R88" s="4">
        <f t="shared" si="18"/>
        <v>3150</v>
      </c>
      <c r="S88" s="4">
        <f t="shared" si="19"/>
        <v>1</v>
      </c>
      <c r="T88" s="6"/>
      <c r="U88" s="6"/>
      <c r="V88" s="6"/>
      <c r="W88" s="6"/>
      <c r="X88" s="6"/>
    </row>
    <row r="89" spans="1:24" ht="11.25">
      <c r="A89" s="5" t="s">
        <v>22</v>
      </c>
      <c r="B89" s="32" t="s">
        <v>125</v>
      </c>
      <c r="C89" s="35" t="s">
        <v>25</v>
      </c>
      <c r="D89" s="9" t="s">
        <v>148</v>
      </c>
      <c r="E89" s="9">
        <v>2</v>
      </c>
      <c r="F89" s="9" t="s">
        <v>147</v>
      </c>
      <c r="G89" s="9" t="s">
        <v>147</v>
      </c>
      <c r="H89" s="9" t="s">
        <v>148</v>
      </c>
      <c r="I89" s="9" t="s">
        <v>148</v>
      </c>
      <c r="J89" s="9" t="s">
        <v>148</v>
      </c>
      <c r="K89" s="9" t="s">
        <v>148</v>
      </c>
      <c r="L89" s="9">
        <v>270</v>
      </c>
      <c r="M89" s="9" t="s">
        <v>147</v>
      </c>
      <c r="N89" s="4">
        <f>SUM(D89:L89)</f>
        <v>272</v>
      </c>
      <c r="O89" s="6">
        <f t="shared" si="23"/>
        <v>0</v>
      </c>
      <c r="P89" s="4">
        <f t="shared" si="17"/>
        <v>272</v>
      </c>
      <c r="Q89" s="4">
        <f t="shared" si="24"/>
        <v>3150</v>
      </c>
      <c r="R89" s="4">
        <f t="shared" si="18"/>
        <v>2878</v>
      </c>
      <c r="S89" s="4">
        <f t="shared" si="19"/>
        <v>0.9136507936507936</v>
      </c>
      <c r="T89" s="6"/>
      <c r="U89" s="6"/>
      <c r="V89" s="6"/>
      <c r="W89" s="6"/>
      <c r="X89" s="6"/>
    </row>
    <row r="90" spans="1:24" ht="11.25">
      <c r="A90" s="5" t="s">
        <v>26</v>
      </c>
      <c r="B90" s="10" t="s">
        <v>126</v>
      </c>
      <c r="C90" s="11" t="s">
        <v>30</v>
      </c>
      <c r="D90" s="9" t="s">
        <v>148</v>
      </c>
      <c r="E90" s="9">
        <v>450</v>
      </c>
      <c r="F90" s="9" t="s">
        <v>147</v>
      </c>
      <c r="G90" s="9" t="s">
        <v>147</v>
      </c>
      <c r="H90" s="9" t="s">
        <v>148</v>
      </c>
      <c r="I90" s="9">
        <v>3</v>
      </c>
      <c r="J90" s="9" t="s">
        <v>148</v>
      </c>
      <c r="K90" s="9" t="s">
        <v>148</v>
      </c>
      <c r="L90" s="9">
        <v>12</v>
      </c>
      <c r="M90" s="9" t="s">
        <v>147</v>
      </c>
      <c r="N90" s="6">
        <f>I90+L90</f>
        <v>15</v>
      </c>
      <c r="O90" s="6">
        <f t="shared" si="23"/>
        <v>0</v>
      </c>
      <c r="P90" s="4">
        <f t="shared" si="17"/>
        <v>15</v>
      </c>
      <c r="Q90" s="4">
        <f t="shared" si="24"/>
        <v>3150</v>
      </c>
      <c r="R90" s="4">
        <f t="shared" si="18"/>
        <v>3135</v>
      </c>
      <c r="S90" s="4">
        <f t="shared" si="19"/>
        <v>0.99523809523809526</v>
      </c>
      <c r="T90" s="6"/>
      <c r="U90" s="6"/>
      <c r="V90" s="6"/>
      <c r="W90" s="6"/>
      <c r="X90" s="6"/>
    </row>
    <row r="91" spans="1:24" ht="11.25">
      <c r="A91" s="5" t="s">
        <v>22</v>
      </c>
      <c r="B91" s="32" t="s">
        <v>127</v>
      </c>
      <c r="C91" s="35" t="s">
        <v>33</v>
      </c>
      <c r="D91" s="9" t="s">
        <v>148</v>
      </c>
      <c r="E91" s="9" t="s">
        <v>148</v>
      </c>
      <c r="F91" s="9" t="s">
        <v>147</v>
      </c>
      <c r="G91" s="9" t="s">
        <v>147</v>
      </c>
      <c r="H91" s="9" t="s">
        <v>148</v>
      </c>
      <c r="I91" s="9" t="s">
        <v>148</v>
      </c>
      <c r="J91" s="9" t="s">
        <v>148</v>
      </c>
      <c r="K91" s="9" t="s">
        <v>148</v>
      </c>
      <c r="L91" s="9" t="s">
        <v>148</v>
      </c>
      <c r="M91" s="9" t="s">
        <v>147</v>
      </c>
      <c r="N91" s="6">
        <v>0</v>
      </c>
      <c r="O91" s="6">
        <f t="shared" si="23"/>
        <v>0</v>
      </c>
      <c r="P91" s="4">
        <f t="shared" si="17"/>
        <v>0</v>
      </c>
      <c r="Q91" s="4">
        <f t="shared" si="24"/>
        <v>3150</v>
      </c>
      <c r="R91" s="4">
        <f t="shared" si="18"/>
        <v>3150</v>
      </c>
      <c r="S91" s="4">
        <f t="shared" si="19"/>
        <v>1</v>
      </c>
      <c r="T91" s="6"/>
      <c r="U91" s="6"/>
      <c r="V91" s="6"/>
      <c r="W91" s="6"/>
      <c r="X91" s="6"/>
    </row>
    <row r="92" spans="1:24" ht="11.25">
      <c r="A92" s="5" t="s">
        <v>22</v>
      </c>
      <c r="B92" s="32" t="s">
        <v>128</v>
      </c>
      <c r="C92" s="35" t="s">
        <v>33</v>
      </c>
      <c r="D92" s="9" t="s">
        <v>148</v>
      </c>
      <c r="E92" s="9" t="s">
        <v>148</v>
      </c>
      <c r="F92" s="9" t="s">
        <v>147</v>
      </c>
      <c r="G92" s="9" t="s">
        <v>147</v>
      </c>
      <c r="H92" s="9" t="s">
        <v>148</v>
      </c>
      <c r="I92" s="9" t="s">
        <v>148</v>
      </c>
      <c r="J92" s="9" t="s">
        <v>148</v>
      </c>
      <c r="K92" s="9" t="s">
        <v>148</v>
      </c>
      <c r="L92" s="9">
        <v>9</v>
      </c>
      <c r="M92" s="9" t="s">
        <v>147</v>
      </c>
      <c r="N92" s="4">
        <f>SUM(D92:L92)</f>
        <v>9</v>
      </c>
      <c r="O92" s="6">
        <f t="shared" si="23"/>
        <v>0</v>
      </c>
      <c r="P92" s="4">
        <f t="shared" si="17"/>
        <v>9</v>
      </c>
      <c r="Q92" s="4">
        <f t="shared" si="24"/>
        <v>3150</v>
      </c>
      <c r="R92" s="4">
        <f t="shared" si="18"/>
        <v>3141</v>
      </c>
      <c r="S92" s="4">
        <f t="shared" si="19"/>
        <v>0.99714285714285711</v>
      </c>
      <c r="T92" s="6"/>
      <c r="U92" s="6"/>
      <c r="V92" s="6"/>
      <c r="W92" s="6"/>
      <c r="X92" s="6"/>
    </row>
    <row r="93" spans="1:24" ht="11.25">
      <c r="A93" s="5" t="s">
        <v>22</v>
      </c>
      <c r="B93" s="32" t="s">
        <v>129</v>
      </c>
      <c r="C93" s="35" t="s">
        <v>56</v>
      </c>
      <c r="D93" s="9" t="s">
        <v>148</v>
      </c>
      <c r="E93" s="9">
        <v>8</v>
      </c>
      <c r="F93" s="9" t="s">
        <v>147</v>
      </c>
      <c r="G93" s="9" t="s">
        <v>147</v>
      </c>
      <c r="H93" s="9" t="s">
        <v>148</v>
      </c>
      <c r="I93" s="9" t="s">
        <v>148</v>
      </c>
      <c r="J93" s="9">
        <v>21</v>
      </c>
      <c r="K93" s="9" t="s">
        <v>148</v>
      </c>
      <c r="L93" s="9">
        <v>4</v>
      </c>
      <c r="M93" s="9" t="s">
        <v>147</v>
      </c>
      <c r="N93" s="4">
        <f>SUM(D93:L93)</f>
        <v>33</v>
      </c>
      <c r="O93" s="6">
        <f t="shared" si="23"/>
        <v>0</v>
      </c>
      <c r="P93" s="4">
        <f t="shared" si="17"/>
        <v>33</v>
      </c>
      <c r="Q93" s="4">
        <f t="shared" si="24"/>
        <v>3150</v>
      </c>
      <c r="R93" s="4">
        <f t="shared" si="18"/>
        <v>3117</v>
      </c>
      <c r="S93" s="4">
        <f t="shared" si="19"/>
        <v>0.98952380952380947</v>
      </c>
      <c r="T93" s="6"/>
      <c r="U93" s="6"/>
      <c r="V93" s="6"/>
      <c r="W93" s="6"/>
      <c r="X93" s="6"/>
    </row>
    <row r="94" spans="1:24" ht="11.25">
      <c r="A94" s="5" t="s">
        <v>22</v>
      </c>
      <c r="B94" s="32" t="s">
        <v>130</v>
      </c>
      <c r="C94" s="35" t="s">
        <v>33</v>
      </c>
      <c r="D94" s="9" t="s">
        <v>148</v>
      </c>
      <c r="E94" s="9">
        <v>24</v>
      </c>
      <c r="F94" s="9" t="s">
        <v>147</v>
      </c>
      <c r="G94" s="9" t="s">
        <v>147</v>
      </c>
      <c r="H94" s="9" t="s">
        <v>148</v>
      </c>
      <c r="I94" s="9" t="s">
        <v>148</v>
      </c>
      <c r="J94" s="9" t="s">
        <v>148</v>
      </c>
      <c r="K94" s="9" t="s">
        <v>148</v>
      </c>
      <c r="L94" s="9" t="s">
        <v>148</v>
      </c>
      <c r="M94" s="9" t="s">
        <v>147</v>
      </c>
      <c r="N94" s="6">
        <f>SUM(D94:M94)</f>
        <v>24</v>
      </c>
      <c r="O94" s="6">
        <f t="shared" si="23"/>
        <v>0</v>
      </c>
      <c r="P94" s="4">
        <f t="shared" si="17"/>
        <v>24</v>
      </c>
      <c r="Q94" s="4">
        <f t="shared" si="24"/>
        <v>3150</v>
      </c>
      <c r="R94" s="4">
        <f t="shared" si="18"/>
        <v>3126</v>
      </c>
      <c r="S94" s="4">
        <f t="shared" si="19"/>
        <v>0.99238095238095236</v>
      </c>
      <c r="T94" s="6"/>
      <c r="U94" s="6"/>
      <c r="V94" s="6"/>
      <c r="W94" s="6"/>
      <c r="X94" s="6"/>
    </row>
    <row r="95" spans="1:24" ht="11.25">
      <c r="A95" s="5" t="s">
        <v>26</v>
      </c>
      <c r="B95" s="10" t="s">
        <v>131</v>
      </c>
      <c r="C95" s="11" t="s">
        <v>33</v>
      </c>
      <c r="D95" s="9">
        <v>450</v>
      </c>
      <c r="E95" s="9">
        <v>5</v>
      </c>
      <c r="F95" s="9" t="s">
        <v>147</v>
      </c>
      <c r="G95" s="9" t="s">
        <v>147</v>
      </c>
      <c r="H95" s="9" t="s">
        <v>148</v>
      </c>
      <c r="I95" s="9" t="s">
        <v>148</v>
      </c>
      <c r="J95" s="9">
        <v>59</v>
      </c>
      <c r="K95" s="9" t="s">
        <v>148</v>
      </c>
      <c r="L95" s="9">
        <v>10</v>
      </c>
      <c r="M95" s="9" t="s">
        <v>147</v>
      </c>
      <c r="N95" s="6">
        <f>E95+J95+L95</f>
        <v>74</v>
      </c>
      <c r="O95" s="6">
        <f t="shared" si="23"/>
        <v>0</v>
      </c>
      <c r="P95" s="4">
        <f t="shared" si="17"/>
        <v>74</v>
      </c>
      <c r="Q95" s="4">
        <f t="shared" si="24"/>
        <v>3150</v>
      </c>
      <c r="R95" s="4">
        <f t="shared" si="18"/>
        <v>3076</v>
      </c>
      <c r="S95" s="4">
        <f t="shared" si="19"/>
        <v>0.97650793650793655</v>
      </c>
      <c r="T95" s="6"/>
      <c r="U95" s="6"/>
      <c r="V95" s="6"/>
      <c r="W95" s="6"/>
      <c r="X95" s="6"/>
    </row>
    <row r="96" spans="1:24" ht="11.25">
      <c r="A96" s="5" t="s">
        <v>22</v>
      </c>
      <c r="B96" s="32" t="s">
        <v>132</v>
      </c>
      <c r="C96" s="35" t="s">
        <v>56</v>
      </c>
      <c r="D96" s="9" t="s">
        <v>148</v>
      </c>
      <c r="E96" s="9" t="s">
        <v>148</v>
      </c>
      <c r="F96" s="9" t="s">
        <v>147</v>
      </c>
      <c r="G96" s="9" t="s">
        <v>147</v>
      </c>
      <c r="H96" s="9" t="s">
        <v>148</v>
      </c>
      <c r="I96" s="9" t="s">
        <v>148</v>
      </c>
      <c r="J96" s="9" t="s">
        <v>148</v>
      </c>
      <c r="K96" s="9" t="s">
        <v>148</v>
      </c>
      <c r="L96" s="9">
        <v>1</v>
      </c>
      <c r="M96" s="9" t="s">
        <v>147</v>
      </c>
      <c r="N96" s="4">
        <f>SUM(D96:L96)</f>
        <v>1</v>
      </c>
      <c r="O96" s="6">
        <f t="shared" si="23"/>
        <v>0</v>
      </c>
      <c r="P96" s="4">
        <f t="shared" si="17"/>
        <v>1</v>
      </c>
      <c r="Q96" s="4">
        <f t="shared" si="24"/>
        <v>3150</v>
      </c>
      <c r="R96" s="4">
        <f t="shared" si="18"/>
        <v>3149</v>
      </c>
      <c r="S96" s="4">
        <f t="shared" si="19"/>
        <v>0.99968253968253973</v>
      </c>
      <c r="T96" s="6"/>
      <c r="U96" s="6"/>
      <c r="V96" s="6"/>
      <c r="W96" s="6"/>
      <c r="X96" s="6"/>
    </row>
    <row r="97" spans="1:24" ht="11.25">
      <c r="A97" s="5" t="s">
        <v>26</v>
      </c>
      <c r="B97" s="10" t="s">
        <v>133</v>
      </c>
      <c r="C97" s="11" t="s">
        <v>40</v>
      </c>
      <c r="D97" s="9" t="s">
        <v>148</v>
      </c>
      <c r="E97" s="9">
        <v>79</v>
      </c>
      <c r="F97" s="9" t="s">
        <v>147</v>
      </c>
      <c r="G97" s="9" t="s">
        <v>147</v>
      </c>
      <c r="H97" s="9">
        <v>450</v>
      </c>
      <c r="I97" s="9">
        <v>450</v>
      </c>
      <c r="J97" s="9">
        <v>18</v>
      </c>
      <c r="K97" s="9">
        <v>23</v>
      </c>
      <c r="L97" s="9">
        <v>65</v>
      </c>
      <c r="M97" s="9" t="s">
        <v>147</v>
      </c>
      <c r="N97" s="6">
        <f>E97+J97+K97+L97</f>
        <v>185</v>
      </c>
      <c r="O97" s="6">
        <f t="shared" si="23"/>
        <v>0</v>
      </c>
      <c r="P97" s="4">
        <f t="shared" si="17"/>
        <v>185</v>
      </c>
      <c r="Q97" s="4">
        <f t="shared" si="24"/>
        <v>3150</v>
      </c>
      <c r="R97" s="4">
        <f t="shared" si="18"/>
        <v>2965</v>
      </c>
      <c r="S97" s="4">
        <f t="shared" si="19"/>
        <v>0.94126984126984126</v>
      </c>
      <c r="T97" s="6"/>
      <c r="U97" s="6"/>
      <c r="V97" s="6"/>
      <c r="W97" s="6"/>
      <c r="X97" s="6"/>
    </row>
    <row r="98" spans="1:24" ht="11.25">
      <c r="A98" s="12" t="s">
        <v>26</v>
      </c>
      <c r="B98" s="33" t="s">
        <v>27</v>
      </c>
      <c r="C98" s="36" t="s">
        <v>40</v>
      </c>
      <c r="D98" s="9" t="s">
        <v>152</v>
      </c>
      <c r="E98" s="9">
        <v>7</v>
      </c>
      <c r="F98" s="9" t="s">
        <v>147</v>
      </c>
      <c r="G98" s="9" t="s">
        <v>147</v>
      </c>
      <c r="H98" s="9" t="s">
        <v>148</v>
      </c>
      <c r="I98" s="9" t="s">
        <v>148</v>
      </c>
      <c r="J98" s="9" t="s">
        <v>148</v>
      </c>
      <c r="K98" s="9" t="s">
        <v>148</v>
      </c>
      <c r="L98" s="9" t="s">
        <v>148</v>
      </c>
      <c r="M98" s="9" t="s">
        <v>147</v>
      </c>
      <c r="N98" s="6">
        <f>SUM(D98:M98)</f>
        <v>7</v>
      </c>
      <c r="O98" s="6">
        <f t="shared" si="23"/>
        <v>0</v>
      </c>
      <c r="P98" s="4">
        <f t="shared" si="17"/>
        <v>7</v>
      </c>
      <c r="Q98" s="4">
        <f t="shared" si="24"/>
        <v>3150</v>
      </c>
      <c r="R98" s="4">
        <f t="shared" si="18"/>
        <v>3143</v>
      </c>
      <c r="S98" s="4">
        <f t="shared" si="19"/>
        <v>0.99777777777777776</v>
      </c>
      <c r="T98" s="6"/>
      <c r="U98" s="6"/>
      <c r="V98" s="6"/>
      <c r="W98" s="6"/>
      <c r="X98" s="6"/>
    </row>
    <row r="99" spans="1:24" ht="11.25">
      <c r="A99" s="5" t="s">
        <v>22</v>
      </c>
      <c r="B99" s="5" t="s">
        <v>134</v>
      </c>
      <c r="C99" s="5" t="s">
        <v>56</v>
      </c>
      <c r="D99" s="9" t="s">
        <v>148</v>
      </c>
      <c r="E99" s="9" t="s">
        <v>14</v>
      </c>
      <c r="F99" s="9" t="s">
        <v>147</v>
      </c>
      <c r="G99" s="9" t="s">
        <v>147</v>
      </c>
      <c r="H99" s="9" t="s">
        <v>148</v>
      </c>
      <c r="I99" s="9" t="s">
        <v>148</v>
      </c>
      <c r="J99" s="9" t="s">
        <v>148</v>
      </c>
      <c r="K99" s="9" t="s">
        <v>148</v>
      </c>
      <c r="L99" s="9" t="s">
        <v>148</v>
      </c>
      <c r="M99" s="9" t="s">
        <v>147</v>
      </c>
      <c r="N99" s="6">
        <v>0</v>
      </c>
      <c r="O99" s="6">
        <f t="shared" si="23"/>
        <v>0</v>
      </c>
      <c r="P99" s="4">
        <f t="shared" si="17"/>
        <v>0</v>
      </c>
      <c r="Q99" s="4">
        <f>450*6</f>
        <v>2700</v>
      </c>
      <c r="R99" s="4">
        <f t="shared" si="18"/>
        <v>2700</v>
      </c>
      <c r="S99" s="4">
        <f t="shared" si="19"/>
        <v>1</v>
      </c>
      <c r="T99" s="6"/>
      <c r="U99" s="6">
        <v>1</v>
      </c>
      <c r="V99" s="6"/>
      <c r="W99" s="6"/>
      <c r="X99" s="6"/>
    </row>
    <row r="100" spans="1:24">
      <c r="N100">
        <f>SUM(N2:N99)</f>
        <v>3203</v>
      </c>
      <c r="O100">
        <f t="shared" ref="O100:P100" si="25">SUM(O2:O99)</f>
        <v>0</v>
      </c>
      <c r="P100">
        <f t="shared" si="25"/>
        <v>3203</v>
      </c>
      <c r="Q100">
        <f>SUM(Q2:Q99)</f>
        <v>307350</v>
      </c>
      <c r="R100">
        <f t="shared" ref="R100" si="26">SUM(R2:R99)</f>
        <v>304147</v>
      </c>
      <c r="S100">
        <f>AVERAGE(S2:S99)</f>
        <v>0.98929637728107123</v>
      </c>
    </row>
    <row r="103" spans="1:24">
      <c r="P103" s="29">
        <f>P100/Q100*100%</f>
        <v>1.0421343744916219E-2</v>
      </c>
    </row>
  </sheetData>
  <sortState xmlns:xlrd2="http://schemas.microsoft.com/office/spreadsheetml/2017/richdata2" ref="A2:M100">
    <sortCondition ref="B2:B100"/>
  </sortState>
  <conditionalFormatting sqref="D98:E98 H98:L98 D99:M99">
    <cfRule type="containsText" dxfId="11759" priority="57" operator="containsText" text="TFO">
      <formula>NOT(ISERROR(SEARCH("TFO",D98)))</formula>
    </cfRule>
    <cfRule type="containsText" dxfId="11758" priority="58" operator="containsText" text="AA">
      <formula>NOT(ISERROR(SEARCH("AA",D98)))</formula>
    </cfRule>
    <cfRule type="containsText" dxfId="11757" priority="59" operator="containsText" text="RESIGNED">
      <formula>NOT(ISERROR(SEARCH("RESIGNED",D98)))</formula>
    </cfRule>
    <cfRule type="containsText" dxfId="11756" priority="60" operator="containsText" text="P">
      <formula>NOT(ISERROR(SEARCH("P",D98)))</formula>
    </cfRule>
    <cfRule type="containsText" dxfId="11755" priority="61" operator="containsText" text="TARDY">
      <formula>NOT(ISERROR(SEARCH("TARDY",D98)))</formula>
    </cfRule>
    <cfRule type="containsText" dxfId="11754" priority="62" operator="containsText" text="REST DAY">
      <formula>NOT(ISERROR(SEARCH("REST DAY",D98)))</formula>
    </cfRule>
    <cfRule type="containsText" dxfId="11753" priority="63" operator="containsText" text="UA">
      <formula>NOT(ISERROR(SEARCH("UA",D98)))</formula>
    </cfRule>
    <cfRule type="containsText" dxfId="11752" priority="64" operator="containsText" text="LWOP UA">
      <formula>NOT(ISERROR(SEARCH("LWOP UA",D98)))</formula>
    </cfRule>
  </conditionalFormatting>
  <conditionalFormatting sqref="D98:L98">
    <cfRule type="containsText" dxfId="11751" priority="54" operator="containsText" text="LWOP UA">
      <formula>NOT(ISERROR(SEARCH("LWOP UA",D98)))</formula>
    </cfRule>
  </conditionalFormatting>
  <conditionalFormatting sqref="D2:M97">
    <cfRule type="containsText" dxfId="11750" priority="65" operator="containsText" text="LWOP UA">
      <formula>NOT(ISERROR(SEARCH("LWOP UA",D2)))</formula>
    </cfRule>
    <cfRule type="containsText" dxfId="11749" priority="66" operator="containsText" text="P">
      <formula>NOT(ISERROR(SEARCH("P",D2)))</formula>
    </cfRule>
    <cfRule type="containsText" dxfId="11748" priority="67" operator="containsText" text="TFO">
      <formula>NOT(ISERROR(SEARCH("TFO",D2)))</formula>
    </cfRule>
    <cfRule type="containsText" dxfId="11747" priority="68" operator="containsText" text="AA">
      <formula>NOT(ISERROR(SEARCH("AA",D2)))</formula>
    </cfRule>
    <cfRule type="containsText" dxfId="11746" priority="69" operator="containsText" text="RESIGNED">
      <formula>NOT(ISERROR(SEARCH("RESIGNED",D2)))</formula>
    </cfRule>
    <cfRule type="containsText" dxfId="11745" priority="70" operator="containsText" text="P">
      <formula>NOT(ISERROR(SEARCH("P",D2)))</formula>
    </cfRule>
    <cfRule type="containsText" dxfId="11744" priority="71" operator="containsText" text="TARDY">
      <formula>NOT(ISERROR(SEARCH("TARDY",D2)))</formula>
    </cfRule>
    <cfRule type="containsText" dxfId="11743" priority="72" operator="containsText" text="REST DAY">
      <formula>NOT(ISERROR(SEARCH("REST DAY",D2)))</formula>
    </cfRule>
    <cfRule type="containsText" dxfId="11742" priority="73" operator="containsText" text="UA">
      <formula>NOT(ISERROR(SEARCH("UA",D2)))</formula>
    </cfRule>
    <cfRule type="containsText" dxfId="11741" priority="74" operator="containsText" text="LWOP UA">
      <formula>NOT(ISERROR(SEARCH("LWOP UA",D2)))</formula>
    </cfRule>
  </conditionalFormatting>
  <conditionalFormatting sqref="D2:M99">
    <cfRule type="containsText" dxfId="11740" priority="1" operator="containsText" text="VL">
      <formula>NOT(ISERROR(SEARCH("VL",D2)))</formula>
    </cfRule>
    <cfRule type="containsText" dxfId="11739" priority="2" operator="containsText" text="RD">
      <formula>NOT(ISERROR(SEARCH("RD",D2)))</formula>
    </cfRule>
    <cfRule type="containsText" dxfId="11738" priority="3" operator="containsText" text="540">
      <formula>NOT(ISERROR(SEARCH("540",D2)))</formula>
    </cfRule>
    <cfRule type="cellIs" dxfId="11737" priority="4" operator="between">
      <formula>1</formula>
      <formula>400</formula>
    </cfRule>
  </conditionalFormatting>
  <conditionalFormatting sqref="D99:M99 D98:E98 H98:L98">
    <cfRule type="containsText" dxfId="11736" priority="56" operator="containsText" text="P">
      <formula>NOT(ISERROR(SEARCH("P",D98)))</formula>
    </cfRule>
  </conditionalFormatting>
  <conditionalFormatting sqref="D99:M99">
    <cfRule type="containsText" dxfId="11735" priority="55" operator="containsText" text="LWOP UA">
      <formula>NOT(ISERROR(SEARCH("LWOP UA",D99)))</formula>
    </cfRule>
  </conditionalFormatting>
  <conditionalFormatting sqref="F98:G98">
    <cfRule type="containsText" dxfId="11734" priority="45" operator="containsText" text="LWOP UA">
      <formula>NOT(ISERROR(SEARCH("LWOP UA",F98)))</formula>
    </cfRule>
    <cfRule type="containsText" dxfId="11733" priority="46" operator="containsText" text="P">
      <formula>NOT(ISERROR(SEARCH("P",F98)))</formula>
    </cfRule>
    <cfRule type="containsText" dxfId="11732" priority="47" operator="containsText" text="TFO">
      <formula>NOT(ISERROR(SEARCH("TFO",F98)))</formula>
    </cfRule>
    <cfRule type="containsText" dxfId="11731" priority="48" operator="containsText" text="AA">
      <formula>NOT(ISERROR(SEARCH("AA",F98)))</formula>
    </cfRule>
    <cfRule type="containsText" dxfId="11730" priority="49" operator="containsText" text="RESIGNED">
      <formula>NOT(ISERROR(SEARCH("RESIGNED",F98)))</formula>
    </cfRule>
    <cfRule type="containsText" dxfId="11729" priority="50" operator="containsText" text="P">
      <formula>NOT(ISERROR(SEARCH("P",F98)))</formula>
    </cfRule>
    <cfRule type="containsText" dxfId="11728" priority="51" operator="containsText" text="TARDY">
      <formula>NOT(ISERROR(SEARCH("TARDY",F98)))</formula>
    </cfRule>
    <cfRule type="containsText" dxfId="11727" priority="52" operator="containsText" text="REST DAY">
      <formula>NOT(ISERROR(SEARCH("REST DAY",F98)))</formula>
    </cfRule>
    <cfRule type="containsText" dxfId="11726" priority="53" operator="containsText" text="UA">
      <formula>NOT(ISERROR(SEARCH("UA",F98)))</formula>
    </cfRule>
  </conditionalFormatting>
  <conditionalFormatting sqref="M98">
    <cfRule type="containsText" dxfId="11725" priority="35" operator="containsText" text="LWOP UA">
      <formula>NOT(ISERROR(SEARCH("LWOP UA",M98)))</formula>
    </cfRule>
    <cfRule type="containsText" dxfId="11724" priority="36" operator="containsText" text="P">
      <formula>NOT(ISERROR(SEARCH("P",M98)))</formula>
    </cfRule>
    <cfRule type="containsText" dxfId="11723" priority="37" operator="containsText" text="TFO">
      <formula>NOT(ISERROR(SEARCH("TFO",M98)))</formula>
    </cfRule>
    <cfRule type="containsText" dxfId="11722" priority="38" operator="containsText" text="AA">
      <formula>NOT(ISERROR(SEARCH("AA",M98)))</formula>
    </cfRule>
    <cfRule type="containsText" dxfId="11721" priority="39" operator="containsText" text="RESIGNED">
      <formula>NOT(ISERROR(SEARCH("RESIGNED",M98)))</formula>
    </cfRule>
    <cfRule type="containsText" dxfId="11720" priority="40" operator="containsText" text="P">
      <formula>NOT(ISERROR(SEARCH("P",M98)))</formula>
    </cfRule>
    <cfRule type="containsText" dxfId="11719" priority="41" operator="containsText" text="TARDY">
      <formula>NOT(ISERROR(SEARCH("TARDY",M98)))</formula>
    </cfRule>
    <cfRule type="containsText" dxfId="11718" priority="42" operator="containsText" text="REST DAY">
      <formula>NOT(ISERROR(SEARCH("REST DAY",M98)))</formula>
    </cfRule>
    <cfRule type="containsText" dxfId="11717" priority="43" operator="containsText" text="UA">
      <formula>NOT(ISERROR(SEARCH("UA",M98)))</formula>
    </cfRule>
    <cfRule type="containsText" dxfId="11716" priority="44" operator="containsText" text="LWOP UA">
      <formula>NOT(ISERROR(SEARCH("LWOP UA",M98)))</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FE6A6-1337-4C9B-8110-A80D9F25FC57}">
  <dimension ref="A1:X103"/>
  <sheetViews>
    <sheetView workbookViewId="0">
      <pane ySplit="1" topLeftCell="A88" activePane="bottomLeft" state="frozen"/>
      <selection pane="bottomLeft" activeCell="P100" sqref="P100"/>
    </sheetView>
  </sheetViews>
  <sheetFormatPr defaultRowHeight="15"/>
  <cols>
    <col min="1" max="1" width="9.140625" style="6"/>
    <col min="2" max="2" width="21.42578125" style="6" bestFit="1" customWidth="1"/>
    <col min="3" max="3" width="12" style="6" bestFit="1" customWidth="1"/>
    <col min="4" max="6" width="9.85546875" style="6" bestFit="1" customWidth="1"/>
    <col min="7" max="7" width="16.42578125" style="6" bestFit="1" customWidth="1"/>
    <col min="8" max="8" width="9.85546875" style="6" bestFit="1" customWidth="1"/>
    <col min="9" max="9" width="10.5703125" style="6" bestFit="1" customWidth="1"/>
    <col min="10" max="10" width="9.85546875" style="6" bestFit="1" customWidth="1"/>
    <col min="20" max="20" width="13.140625" bestFit="1" customWidth="1"/>
    <col min="21" max="22" width="16.140625" bestFit="1" customWidth="1"/>
    <col min="23" max="23" width="17.7109375" bestFit="1" customWidth="1"/>
    <col min="24" max="24" width="13.28515625" bestFit="1" customWidth="1"/>
  </cols>
  <sheetData>
    <row r="1" spans="1:24">
      <c r="A1" s="1" t="s">
        <v>0</v>
      </c>
      <c r="B1" s="1" t="s">
        <v>2</v>
      </c>
      <c r="C1" s="1" t="s">
        <v>3</v>
      </c>
      <c r="D1" s="8" t="s">
        <v>170</v>
      </c>
      <c r="E1" s="8" t="s">
        <v>171</v>
      </c>
      <c r="F1" s="8" t="s">
        <v>172</v>
      </c>
      <c r="G1" s="8" t="s">
        <v>173</v>
      </c>
      <c r="H1" s="8" t="s">
        <v>167</v>
      </c>
      <c r="I1" s="8" t="s">
        <v>168</v>
      </c>
      <c r="J1" s="8" t="s">
        <v>169</v>
      </c>
      <c r="K1" s="1" t="s">
        <v>4</v>
      </c>
      <c r="L1" s="1" t="s">
        <v>5</v>
      </c>
      <c r="M1" s="1" t="s">
        <v>6</v>
      </c>
      <c r="N1" s="1" t="s">
        <v>7</v>
      </c>
      <c r="O1" s="1" t="s">
        <v>8</v>
      </c>
      <c r="P1" s="1" t="s">
        <v>9</v>
      </c>
      <c r="Q1" s="2" t="s">
        <v>12</v>
      </c>
      <c r="R1" s="2" t="s">
        <v>14</v>
      </c>
      <c r="T1" s="13" t="s">
        <v>142</v>
      </c>
      <c r="U1" t="s">
        <v>143</v>
      </c>
      <c r="V1" t="s">
        <v>144</v>
      </c>
      <c r="W1" t="s">
        <v>146</v>
      </c>
      <c r="X1" t="s">
        <v>145</v>
      </c>
    </row>
    <row r="2" spans="1:24">
      <c r="A2" s="5" t="s">
        <v>22</v>
      </c>
      <c r="B2" s="5" t="s">
        <v>24</v>
      </c>
      <c r="C2" s="5" t="s">
        <v>25</v>
      </c>
      <c r="D2" s="9" t="s">
        <v>147</v>
      </c>
      <c r="E2" s="9">
        <v>450</v>
      </c>
      <c r="F2" s="9">
        <v>450</v>
      </c>
      <c r="G2" s="9">
        <v>450</v>
      </c>
      <c r="H2" s="9" t="s">
        <v>148</v>
      </c>
      <c r="I2" s="9" t="s">
        <v>148</v>
      </c>
      <c r="J2" s="9" t="s">
        <v>147</v>
      </c>
      <c r="L2" s="6">
        <f>SUMIF(A2:J2,"450")</f>
        <v>1350</v>
      </c>
      <c r="M2">
        <f>SUM(K2:L2)</f>
        <v>1350</v>
      </c>
      <c r="N2">
        <f>450*5</f>
        <v>2250</v>
      </c>
      <c r="O2">
        <f>N2-M2</f>
        <v>900</v>
      </c>
      <c r="P2" s="37">
        <f>O2/N2*100%</f>
        <v>0.4</v>
      </c>
      <c r="T2" s="14" t="s">
        <v>111</v>
      </c>
      <c r="V2">
        <v>0</v>
      </c>
      <c r="W2">
        <v>2250</v>
      </c>
      <c r="X2">
        <v>2250</v>
      </c>
    </row>
    <row r="3" spans="1:24">
      <c r="A3" s="5" t="s">
        <v>26</v>
      </c>
      <c r="B3" s="7" t="s">
        <v>28</v>
      </c>
      <c r="C3" s="34" t="s">
        <v>25</v>
      </c>
      <c r="D3" s="9" t="s">
        <v>148</v>
      </c>
      <c r="E3" s="9">
        <v>44</v>
      </c>
      <c r="F3" s="9" t="s">
        <v>147</v>
      </c>
      <c r="G3" s="9" t="s">
        <v>147</v>
      </c>
      <c r="H3" s="9" t="s">
        <v>148</v>
      </c>
      <c r="I3" s="9">
        <v>2</v>
      </c>
      <c r="J3" s="9">
        <v>14</v>
      </c>
      <c r="K3">
        <f>SUM(D3:J3)</f>
        <v>60</v>
      </c>
      <c r="L3" s="6">
        <f t="shared" ref="L3:L66" si="0">SUMIF(A3:J3,"450")</f>
        <v>0</v>
      </c>
      <c r="M3">
        <f t="shared" ref="M3:M66" si="1">SUM(K3:L3)</f>
        <v>60</v>
      </c>
      <c r="N3">
        <f t="shared" ref="N3:N8" si="2">450*5</f>
        <v>2250</v>
      </c>
      <c r="O3">
        <f t="shared" ref="O3:O66" si="3">N3-M3</f>
        <v>2190</v>
      </c>
      <c r="P3" s="37">
        <f t="shared" ref="P3:P66" si="4">O3/N3*100%</f>
        <v>0.97333333333333338</v>
      </c>
      <c r="T3" s="14" t="s">
        <v>22</v>
      </c>
      <c r="U3">
        <v>917</v>
      </c>
      <c r="V3">
        <v>8550</v>
      </c>
      <c r="W3">
        <v>79183</v>
      </c>
      <c r="X3">
        <v>88650</v>
      </c>
    </row>
    <row r="4" spans="1:24">
      <c r="A4" s="5" t="s">
        <v>26</v>
      </c>
      <c r="B4" s="7" t="s">
        <v>29</v>
      </c>
      <c r="C4" s="34" t="s">
        <v>30</v>
      </c>
      <c r="D4" s="9">
        <v>7</v>
      </c>
      <c r="E4" s="9" t="s">
        <v>148</v>
      </c>
      <c r="F4" s="9" t="s">
        <v>147</v>
      </c>
      <c r="G4" s="9" t="s">
        <v>147</v>
      </c>
      <c r="H4" s="9" t="s">
        <v>148</v>
      </c>
      <c r="I4" s="9" t="s">
        <v>148</v>
      </c>
      <c r="J4" s="9" t="s">
        <v>148</v>
      </c>
      <c r="K4">
        <f>SUM(D4:J4)</f>
        <v>7</v>
      </c>
      <c r="L4" s="6">
        <f t="shared" si="0"/>
        <v>0</v>
      </c>
      <c r="M4">
        <f t="shared" si="1"/>
        <v>7</v>
      </c>
      <c r="N4">
        <f t="shared" si="2"/>
        <v>2250</v>
      </c>
      <c r="O4">
        <f t="shared" si="3"/>
        <v>2243</v>
      </c>
      <c r="P4" s="37">
        <f t="shared" si="4"/>
        <v>0.99688888888888894</v>
      </c>
      <c r="T4" s="14" t="s">
        <v>37</v>
      </c>
      <c r="U4">
        <v>408</v>
      </c>
      <c r="V4">
        <v>0</v>
      </c>
      <c r="W4">
        <v>20292</v>
      </c>
      <c r="X4">
        <v>20700</v>
      </c>
    </row>
    <row r="5" spans="1:24">
      <c r="A5" s="5" t="s">
        <v>22</v>
      </c>
      <c r="B5" s="5" t="s">
        <v>32</v>
      </c>
      <c r="C5" s="5" t="s">
        <v>33</v>
      </c>
      <c r="D5" s="9" t="s">
        <v>147</v>
      </c>
      <c r="E5" s="9" t="s">
        <v>148</v>
      </c>
      <c r="F5" s="9">
        <v>450</v>
      </c>
      <c r="G5" s="9" t="s">
        <v>148</v>
      </c>
      <c r="H5" s="9">
        <v>450</v>
      </c>
      <c r="I5" s="9">
        <v>5</v>
      </c>
      <c r="J5" s="9" t="s">
        <v>147</v>
      </c>
      <c r="K5">
        <f>I5</f>
        <v>5</v>
      </c>
      <c r="L5" s="6">
        <f t="shared" si="0"/>
        <v>900</v>
      </c>
      <c r="M5">
        <f t="shared" si="1"/>
        <v>905</v>
      </c>
      <c r="N5">
        <f t="shared" si="2"/>
        <v>2250</v>
      </c>
      <c r="O5">
        <f t="shared" si="3"/>
        <v>1345</v>
      </c>
      <c r="P5" s="37">
        <f t="shared" si="4"/>
        <v>0.59777777777777774</v>
      </c>
      <c r="T5" s="14" t="s">
        <v>57</v>
      </c>
      <c r="U5">
        <v>36</v>
      </c>
      <c r="V5">
        <v>1350</v>
      </c>
      <c r="W5">
        <v>6264</v>
      </c>
      <c r="X5">
        <v>7650</v>
      </c>
    </row>
    <row r="6" spans="1:24">
      <c r="A6" s="5" t="s">
        <v>26</v>
      </c>
      <c r="B6" s="7" t="s">
        <v>35</v>
      </c>
      <c r="C6" s="34" t="s">
        <v>36</v>
      </c>
      <c r="D6" s="9" t="s">
        <v>147</v>
      </c>
      <c r="E6" s="9" t="s">
        <v>148</v>
      </c>
      <c r="F6" s="9" t="s">
        <v>148</v>
      </c>
      <c r="G6" s="9">
        <v>6</v>
      </c>
      <c r="H6" s="9">
        <v>7</v>
      </c>
      <c r="I6" s="9">
        <v>7</v>
      </c>
      <c r="J6" s="9" t="s">
        <v>147</v>
      </c>
      <c r="K6">
        <f>SUM(D6:J6)</f>
        <v>20</v>
      </c>
      <c r="L6" s="6">
        <f t="shared" si="0"/>
        <v>0</v>
      </c>
      <c r="M6">
        <f t="shared" si="1"/>
        <v>20</v>
      </c>
      <c r="N6">
        <f t="shared" si="2"/>
        <v>2250</v>
      </c>
      <c r="O6">
        <f t="shared" si="3"/>
        <v>2230</v>
      </c>
      <c r="P6" s="37">
        <f t="shared" si="4"/>
        <v>0.99111111111111116</v>
      </c>
      <c r="T6" s="14" t="s">
        <v>60</v>
      </c>
      <c r="V6">
        <v>0</v>
      </c>
      <c r="W6">
        <v>4500</v>
      </c>
      <c r="X6">
        <v>4500</v>
      </c>
    </row>
    <row r="7" spans="1:24">
      <c r="A7" s="5" t="s">
        <v>37</v>
      </c>
      <c r="B7" s="5" t="s">
        <v>39</v>
      </c>
      <c r="C7" s="5" t="s">
        <v>40</v>
      </c>
      <c r="D7" s="9" t="s">
        <v>148</v>
      </c>
      <c r="E7" s="9" t="s">
        <v>148</v>
      </c>
      <c r="F7" s="9" t="s">
        <v>148</v>
      </c>
      <c r="G7" s="9" t="s">
        <v>148</v>
      </c>
      <c r="H7" s="9" t="s">
        <v>148</v>
      </c>
      <c r="I7" s="9" t="s">
        <v>147</v>
      </c>
      <c r="J7" s="9" t="s">
        <v>147</v>
      </c>
      <c r="L7" s="6">
        <f t="shared" si="0"/>
        <v>0</v>
      </c>
      <c r="M7">
        <f t="shared" si="1"/>
        <v>0</v>
      </c>
      <c r="N7">
        <f t="shared" si="2"/>
        <v>2250</v>
      </c>
      <c r="O7">
        <f t="shared" si="3"/>
        <v>2250</v>
      </c>
      <c r="P7" s="37">
        <f t="shared" si="4"/>
        <v>1</v>
      </c>
      <c r="T7" s="14" t="s">
        <v>26</v>
      </c>
      <c r="U7">
        <v>718</v>
      </c>
      <c r="V7">
        <v>5400</v>
      </c>
      <c r="W7">
        <v>78032</v>
      </c>
      <c r="X7">
        <v>84150</v>
      </c>
    </row>
    <row r="8" spans="1:24">
      <c r="A8" s="5" t="s">
        <v>22</v>
      </c>
      <c r="B8" s="5" t="s">
        <v>41</v>
      </c>
      <c r="C8" s="5" t="s">
        <v>33</v>
      </c>
      <c r="D8" s="9" t="s">
        <v>147</v>
      </c>
      <c r="E8" s="9">
        <v>450</v>
      </c>
      <c r="F8" s="9" t="s">
        <v>148</v>
      </c>
      <c r="G8" s="9">
        <v>3</v>
      </c>
      <c r="H8" s="9">
        <v>2</v>
      </c>
      <c r="I8" s="9">
        <v>2</v>
      </c>
      <c r="J8" s="9" t="s">
        <v>147</v>
      </c>
      <c r="K8">
        <f>SUM(G8,H8,I8)</f>
        <v>7</v>
      </c>
      <c r="L8" s="6">
        <f t="shared" si="0"/>
        <v>450</v>
      </c>
      <c r="M8">
        <f t="shared" si="1"/>
        <v>457</v>
      </c>
      <c r="N8">
        <f t="shared" si="2"/>
        <v>2250</v>
      </c>
      <c r="O8">
        <f t="shared" si="3"/>
        <v>1793</v>
      </c>
      <c r="P8" s="37">
        <f t="shared" si="4"/>
        <v>0.79688888888888887</v>
      </c>
      <c r="T8" s="14" t="s">
        <v>149</v>
      </c>
      <c r="U8">
        <v>2079</v>
      </c>
      <c r="V8">
        <v>15300</v>
      </c>
      <c r="W8">
        <v>190521</v>
      </c>
      <c r="X8">
        <v>207900</v>
      </c>
    </row>
    <row r="9" spans="1:24">
      <c r="A9" s="5" t="s">
        <v>22</v>
      </c>
      <c r="B9" s="5" t="s">
        <v>42</v>
      </c>
      <c r="C9" s="5" t="s">
        <v>25</v>
      </c>
      <c r="D9" s="9" t="s">
        <v>147</v>
      </c>
      <c r="E9" s="9" t="s">
        <v>148</v>
      </c>
      <c r="F9" s="9" t="s">
        <v>14</v>
      </c>
      <c r="G9" s="9" t="s">
        <v>148</v>
      </c>
      <c r="H9" s="9" t="s">
        <v>148</v>
      </c>
      <c r="I9" s="9" t="s">
        <v>148</v>
      </c>
      <c r="J9" s="9" t="s">
        <v>147</v>
      </c>
      <c r="L9" s="6">
        <f t="shared" si="0"/>
        <v>0</v>
      </c>
      <c r="M9">
        <f t="shared" si="1"/>
        <v>0</v>
      </c>
      <c r="N9">
        <f>450*4</f>
        <v>1800</v>
      </c>
      <c r="O9">
        <f t="shared" si="3"/>
        <v>1800</v>
      </c>
      <c r="P9" s="37">
        <f t="shared" si="4"/>
        <v>1</v>
      </c>
      <c r="R9">
        <v>1</v>
      </c>
    </row>
    <row r="10" spans="1:24">
      <c r="A10" s="5" t="s">
        <v>22</v>
      </c>
      <c r="B10" s="5" t="s">
        <v>43</v>
      </c>
      <c r="C10" s="5" t="s">
        <v>25</v>
      </c>
      <c r="D10" s="9" t="s">
        <v>147</v>
      </c>
      <c r="E10" s="9" t="s">
        <v>148</v>
      </c>
      <c r="F10" s="9" t="s">
        <v>148</v>
      </c>
      <c r="G10" s="9">
        <v>450</v>
      </c>
      <c r="H10" s="9" t="s">
        <v>148</v>
      </c>
      <c r="I10" s="9" t="s">
        <v>12</v>
      </c>
      <c r="J10" s="9" t="s">
        <v>147</v>
      </c>
      <c r="L10" s="6">
        <f t="shared" si="0"/>
        <v>450</v>
      </c>
      <c r="M10">
        <f t="shared" si="1"/>
        <v>450</v>
      </c>
      <c r="N10">
        <f>450*4</f>
        <v>1800</v>
      </c>
      <c r="O10">
        <f t="shared" si="3"/>
        <v>1350</v>
      </c>
      <c r="P10" s="37">
        <f t="shared" si="4"/>
        <v>0.75</v>
      </c>
      <c r="Q10">
        <v>1</v>
      </c>
    </row>
    <row r="11" spans="1:24">
      <c r="A11" s="5" t="s">
        <v>37</v>
      </c>
      <c r="B11" s="5" t="s">
        <v>44</v>
      </c>
      <c r="C11" s="5" t="s">
        <v>40</v>
      </c>
      <c r="D11" s="9" t="s">
        <v>148</v>
      </c>
      <c r="E11" s="9" t="s">
        <v>147</v>
      </c>
      <c r="F11" s="9" t="s">
        <v>148</v>
      </c>
      <c r="G11" s="9" t="s">
        <v>148</v>
      </c>
      <c r="H11" s="9" t="s">
        <v>148</v>
      </c>
      <c r="I11" s="9" t="s">
        <v>148</v>
      </c>
      <c r="J11" s="9" t="s">
        <v>148</v>
      </c>
      <c r="L11" s="6">
        <f t="shared" si="0"/>
        <v>0</v>
      </c>
      <c r="M11">
        <f t="shared" si="1"/>
        <v>0</v>
      </c>
      <c r="N11">
        <f t="shared" ref="N11:N17" si="5">450*5</f>
        <v>2250</v>
      </c>
      <c r="O11">
        <f t="shared" si="3"/>
        <v>2250</v>
      </c>
      <c r="P11" s="37">
        <f t="shared" si="4"/>
        <v>1</v>
      </c>
    </row>
    <row r="12" spans="1:24">
      <c r="A12" s="5" t="s">
        <v>26</v>
      </c>
      <c r="B12" s="7" t="s">
        <v>45</v>
      </c>
      <c r="C12" s="34" t="s">
        <v>30</v>
      </c>
      <c r="D12" s="9" t="s">
        <v>148</v>
      </c>
      <c r="E12" s="9">
        <v>450</v>
      </c>
      <c r="F12" s="9" t="s">
        <v>148</v>
      </c>
      <c r="G12" s="9" t="s">
        <v>147</v>
      </c>
      <c r="H12" s="9" t="s">
        <v>147</v>
      </c>
      <c r="I12" s="9" t="s">
        <v>148</v>
      </c>
      <c r="J12" s="9" t="s">
        <v>148</v>
      </c>
      <c r="L12" s="6">
        <f t="shared" si="0"/>
        <v>450</v>
      </c>
      <c r="M12">
        <f t="shared" si="1"/>
        <v>450</v>
      </c>
      <c r="N12">
        <f t="shared" si="5"/>
        <v>2250</v>
      </c>
      <c r="O12">
        <f t="shared" si="3"/>
        <v>1800</v>
      </c>
      <c r="P12" s="37">
        <f t="shared" si="4"/>
        <v>0.8</v>
      </c>
    </row>
    <row r="13" spans="1:24">
      <c r="A13" s="5" t="s">
        <v>26</v>
      </c>
      <c r="B13" s="7" t="s">
        <v>46</v>
      </c>
      <c r="C13" s="34" t="s">
        <v>33</v>
      </c>
      <c r="D13" s="9" t="s">
        <v>148</v>
      </c>
      <c r="E13" s="9" t="s">
        <v>148</v>
      </c>
      <c r="F13" s="9" t="s">
        <v>148</v>
      </c>
      <c r="G13" s="9" t="s">
        <v>148</v>
      </c>
      <c r="H13" s="9" t="s">
        <v>148</v>
      </c>
      <c r="I13" s="9" t="s">
        <v>147</v>
      </c>
      <c r="J13" s="9" t="s">
        <v>147</v>
      </c>
      <c r="L13" s="6">
        <f t="shared" si="0"/>
        <v>0</v>
      </c>
      <c r="M13">
        <f t="shared" si="1"/>
        <v>0</v>
      </c>
      <c r="N13">
        <f t="shared" si="5"/>
        <v>2250</v>
      </c>
      <c r="O13">
        <f t="shared" si="3"/>
        <v>2250</v>
      </c>
      <c r="P13" s="37">
        <f t="shared" si="4"/>
        <v>1</v>
      </c>
    </row>
    <row r="14" spans="1:24">
      <c r="A14" s="5" t="s">
        <v>26</v>
      </c>
      <c r="B14" s="7" t="s">
        <v>47</v>
      </c>
      <c r="C14" s="34" t="s">
        <v>33</v>
      </c>
      <c r="D14" s="9" t="s">
        <v>147</v>
      </c>
      <c r="E14" s="9">
        <v>5</v>
      </c>
      <c r="F14" s="9">
        <v>7</v>
      </c>
      <c r="G14" s="9" t="s">
        <v>148</v>
      </c>
      <c r="H14" s="9" t="s">
        <v>148</v>
      </c>
      <c r="I14" s="9" t="s">
        <v>148</v>
      </c>
      <c r="J14" s="9" t="s">
        <v>147</v>
      </c>
      <c r="K14">
        <f>SUM(D14:J14)</f>
        <v>12</v>
      </c>
      <c r="L14" s="6">
        <f t="shared" si="0"/>
        <v>0</v>
      </c>
      <c r="M14">
        <f t="shared" si="1"/>
        <v>12</v>
      </c>
      <c r="N14">
        <f t="shared" si="5"/>
        <v>2250</v>
      </c>
      <c r="O14">
        <f t="shared" si="3"/>
        <v>2238</v>
      </c>
      <c r="P14" s="37">
        <f t="shared" si="4"/>
        <v>0.9946666666666667</v>
      </c>
    </row>
    <row r="15" spans="1:24">
      <c r="A15" s="5" t="s">
        <v>26</v>
      </c>
      <c r="B15" s="7" t="s">
        <v>48</v>
      </c>
      <c r="C15" s="34" t="s">
        <v>33</v>
      </c>
      <c r="D15" s="9" t="s">
        <v>147</v>
      </c>
      <c r="E15" s="9">
        <v>450</v>
      </c>
      <c r="F15" s="9" t="s">
        <v>148</v>
      </c>
      <c r="G15" s="9" t="s">
        <v>148</v>
      </c>
      <c r="H15" s="9" t="s">
        <v>148</v>
      </c>
      <c r="I15" s="9" t="s">
        <v>148</v>
      </c>
      <c r="J15" s="9" t="s">
        <v>147</v>
      </c>
      <c r="L15" s="6">
        <f t="shared" si="0"/>
        <v>450</v>
      </c>
      <c r="M15">
        <f t="shared" si="1"/>
        <v>450</v>
      </c>
      <c r="N15">
        <f t="shared" si="5"/>
        <v>2250</v>
      </c>
      <c r="O15">
        <f t="shared" si="3"/>
        <v>1800</v>
      </c>
      <c r="P15" s="37">
        <f t="shared" si="4"/>
        <v>0.8</v>
      </c>
    </row>
    <row r="16" spans="1:24">
      <c r="A16" s="5" t="s">
        <v>26</v>
      </c>
      <c r="B16" s="7" t="s">
        <v>49</v>
      </c>
      <c r="C16" s="34" t="s">
        <v>50</v>
      </c>
      <c r="D16" s="9" t="s">
        <v>147</v>
      </c>
      <c r="E16" s="9" t="s">
        <v>148</v>
      </c>
      <c r="F16" s="9" t="s">
        <v>148</v>
      </c>
      <c r="G16" s="9">
        <v>19</v>
      </c>
      <c r="H16" s="9" t="s">
        <v>148</v>
      </c>
      <c r="I16" s="9">
        <v>21</v>
      </c>
      <c r="J16" s="9" t="s">
        <v>147</v>
      </c>
      <c r="K16">
        <f>SUM(D16:J16)</f>
        <v>40</v>
      </c>
      <c r="L16" s="6">
        <f t="shared" si="0"/>
        <v>0</v>
      </c>
      <c r="M16">
        <f t="shared" si="1"/>
        <v>40</v>
      </c>
      <c r="N16">
        <f t="shared" si="5"/>
        <v>2250</v>
      </c>
      <c r="O16">
        <f t="shared" si="3"/>
        <v>2210</v>
      </c>
      <c r="P16" s="37">
        <f t="shared" si="4"/>
        <v>0.98222222222222222</v>
      </c>
    </row>
    <row r="17" spans="1:18">
      <c r="A17" s="5" t="s">
        <v>26</v>
      </c>
      <c r="B17" s="7" t="s">
        <v>51</v>
      </c>
      <c r="C17" s="34" t="s">
        <v>25</v>
      </c>
      <c r="D17" s="9" t="s">
        <v>147</v>
      </c>
      <c r="E17" s="9" t="s">
        <v>148</v>
      </c>
      <c r="F17" s="9" t="s">
        <v>148</v>
      </c>
      <c r="G17" s="9" t="s">
        <v>148</v>
      </c>
      <c r="H17" s="9" t="s">
        <v>148</v>
      </c>
      <c r="I17" s="9">
        <v>17</v>
      </c>
      <c r="J17" s="9" t="s">
        <v>147</v>
      </c>
      <c r="K17">
        <f>SUM(D17:J17)</f>
        <v>17</v>
      </c>
      <c r="L17" s="6">
        <f t="shared" si="0"/>
        <v>0</v>
      </c>
      <c r="M17">
        <f t="shared" si="1"/>
        <v>17</v>
      </c>
      <c r="N17">
        <f t="shared" si="5"/>
        <v>2250</v>
      </c>
      <c r="O17">
        <f t="shared" si="3"/>
        <v>2233</v>
      </c>
      <c r="P17" s="37">
        <f t="shared" si="4"/>
        <v>0.99244444444444446</v>
      </c>
    </row>
    <row r="18" spans="1:18">
      <c r="A18" s="5" t="s">
        <v>37</v>
      </c>
      <c r="B18" s="5" t="s">
        <v>52</v>
      </c>
      <c r="C18" s="5" t="s">
        <v>40</v>
      </c>
      <c r="D18" s="9" t="s">
        <v>14</v>
      </c>
      <c r="E18" s="9" t="s">
        <v>148</v>
      </c>
      <c r="F18" s="9" t="s">
        <v>148</v>
      </c>
      <c r="G18" s="9" t="s">
        <v>148</v>
      </c>
      <c r="H18" s="9" t="s">
        <v>148</v>
      </c>
      <c r="I18" s="9" t="s">
        <v>147</v>
      </c>
      <c r="J18" s="9" t="s">
        <v>147</v>
      </c>
      <c r="L18" s="6">
        <f t="shared" si="0"/>
        <v>0</v>
      </c>
      <c r="M18">
        <f t="shared" si="1"/>
        <v>0</v>
      </c>
      <c r="N18">
        <f>450*4</f>
        <v>1800</v>
      </c>
      <c r="O18">
        <f t="shared" si="3"/>
        <v>1800</v>
      </c>
      <c r="P18" s="37">
        <f t="shared" si="4"/>
        <v>1</v>
      </c>
      <c r="R18">
        <v>1</v>
      </c>
    </row>
    <row r="19" spans="1:18">
      <c r="A19" s="5" t="s">
        <v>26</v>
      </c>
      <c r="B19" s="7" t="s">
        <v>53</v>
      </c>
      <c r="C19" s="34" t="s">
        <v>25</v>
      </c>
      <c r="D19" s="9" t="s">
        <v>147</v>
      </c>
      <c r="E19" s="9" t="s">
        <v>148</v>
      </c>
      <c r="F19" s="9">
        <v>22</v>
      </c>
      <c r="G19" s="9" t="s">
        <v>148</v>
      </c>
      <c r="H19" s="9">
        <v>23</v>
      </c>
      <c r="I19" s="9" t="s">
        <v>148</v>
      </c>
      <c r="J19" s="9" t="s">
        <v>147</v>
      </c>
      <c r="K19">
        <f>SUM(D19:J19)</f>
        <v>45</v>
      </c>
      <c r="L19" s="6">
        <f t="shared" si="0"/>
        <v>0</v>
      </c>
      <c r="M19">
        <f t="shared" si="1"/>
        <v>45</v>
      </c>
      <c r="N19">
        <f t="shared" ref="N19:N28" si="6">450*5</f>
        <v>2250</v>
      </c>
      <c r="O19">
        <f t="shared" si="3"/>
        <v>2205</v>
      </c>
      <c r="P19" s="37">
        <f t="shared" si="4"/>
        <v>0.98</v>
      </c>
    </row>
    <row r="20" spans="1:18">
      <c r="A20" s="5" t="s">
        <v>26</v>
      </c>
      <c r="B20" s="5" t="s">
        <v>34</v>
      </c>
      <c r="C20" s="5" t="s">
        <v>40</v>
      </c>
      <c r="D20" s="9" t="s">
        <v>147</v>
      </c>
      <c r="E20" s="9" t="s">
        <v>148</v>
      </c>
      <c r="F20" s="9" t="s">
        <v>148</v>
      </c>
      <c r="G20" s="9" t="s">
        <v>148</v>
      </c>
      <c r="H20" s="9" t="s">
        <v>148</v>
      </c>
      <c r="I20" s="9" t="s">
        <v>148</v>
      </c>
      <c r="J20" s="9" t="s">
        <v>147</v>
      </c>
      <c r="L20" s="6">
        <f t="shared" si="0"/>
        <v>0</v>
      </c>
      <c r="M20">
        <f t="shared" si="1"/>
        <v>0</v>
      </c>
      <c r="N20">
        <f t="shared" si="6"/>
        <v>2250</v>
      </c>
      <c r="O20">
        <f t="shared" si="3"/>
        <v>2250</v>
      </c>
      <c r="P20" s="37">
        <f t="shared" si="4"/>
        <v>1</v>
      </c>
    </row>
    <row r="21" spans="1:18">
      <c r="A21" s="5" t="s">
        <v>22</v>
      </c>
      <c r="B21" s="5" t="s">
        <v>55</v>
      </c>
      <c r="C21" s="5" t="s">
        <v>56</v>
      </c>
      <c r="D21" s="9" t="s">
        <v>147</v>
      </c>
      <c r="E21" s="9" t="s">
        <v>148</v>
      </c>
      <c r="F21" s="9" t="s">
        <v>148</v>
      </c>
      <c r="G21" s="9">
        <v>450</v>
      </c>
      <c r="H21" s="9" t="s">
        <v>148</v>
      </c>
      <c r="I21" s="9" t="s">
        <v>148</v>
      </c>
      <c r="J21" s="9" t="s">
        <v>147</v>
      </c>
      <c r="L21" s="6">
        <f t="shared" si="0"/>
        <v>450</v>
      </c>
      <c r="M21">
        <f t="shared" si="1"/>
        <v>450</v>
      </c>
      <c r="N21">
        <f t="shared" si="6"/>
        <v>2250</v>
      </c>
      <c r="O21">
        <f t="shared" si="3"/>
        <v>1800</v>
      </c>
      <c r="P21" s="37">
        <f t="shared" si="4"/>
        <v>0.8</v>
      </c>
    </row>
    <row r="22" spans="1:18">
      <c r="A22" s="5" t="s">
        <v>60</v>
      </c>
      <c r="B22" s="5" t="s">
        <v>59</v>
      </c>
      <c r="C22" s="5" t="s">
        <v>40</v>
      </c>
      <c r="D22" s="9" t="s">
        <v>147</v>
      </c>
      <c r="E22" s="9" t="s">
        <v>148</v>
      </c>
      <c r="F22" s="9" t="s">
        <v>148</v>
      </c>
      <c r="G22" s="9" t="s">
        <v>148</v>
      </c>
      <c r="H22" s="9" t="s">
        <v>148</v>
      </c>
      <c r="I22" s="9" t="s">
        <v>148</v>
      </c>
      <c r="J22" s="9" t="s">
        <v>147</v>
      </c>
      <c r="L22" s="6">
        <f t="shared" si="0"/>
        <v>0</v>
      </c>
      <c r="M22">
        <f t="shared" si="1"/>
        <v>0</v>
      </c>
      <c r="N22">
        <f t="shared" si="6"/>
        <v>2250</v>
      </c>
      <c r="O22">
        <f t="shared" si="3"/>
        <v>2250</v>
      </c>
      <c r="P22" s="37">
        <f t="shared" si="4"/>
        <v>1</v>
      </c>
    </row>
    <row r="23" spans="1:18">
      <c r="A23" s="5" t="s">
        <v>22</v>
      </c>
      <c r="B23" s="5" t="s">
        <v>62</v>
      </c>
      <c r="C23" s="5" t="s">
        <v>63</v>
      </c>
      <c r="D23" s="9" t="s">
        <v>147</v>
      </c>
      <c r="E23" s="9">
        <v>15</v>
      </c>
      <c r="F23" s="9">
        <v>20</v>
      </c>
      <c r="G23" s="9">
        <v>11</v>
      </c>
      <c r="H23" s="9">
        <v>15</v>
      </c>
      <c r="I23" s="9">
        <v>14</v>
      </c>
      <c r="J23" s="9" t="s">
        <v>147</v>
      </c>
      <c r="K23">
        <f>SUM(D23:J23)</f>
        <v>75</v>
      </c>
      <c r="L23" s="6">
        <f t="shared" si="0"/>
        <v>0</v>
      </c>
      <c r="M23">
        <f t="shared" si="1"/>
        <v>75</v>
      </c>
      <c r="N23">
        <f t="shared" si="6"/>
        <v>2250</v>
      </c>
      <c r="O23">
        <f t="shared" si="3"/>
        <v>2175</v>
      </c>
      <c r="P23" s="37">
        <f t="shared" si="4"/>
        <v>0.96666666666666667</v>
      </c>
    </row>
    <row r="24" spans="1:18">
      <c r="A24" s="5" t="s">
        <v>22</v>
      </c>
      <c r="B24" s="5" t="s">
        <v>64</v>
      </c>
      <c r="C24" s="5" t="s">
        <v>63</v>
      </c>
      <c r="D24" s="9" t="s">
        <v>147</v>
      </c>
      <c r="E24" s="9" t="s">
        <v>148</v>
      </c>
      <c r="F24" s="9">
        <v>8</v>
      </c>
      <c r="G24" s="9">
        <v>19</v>
      </c>
      <c r="H24" s="9" t="s">
        <v>148</v>
      </c>
      <c r="I24" s="9" t="s">
        <v>148</v>
      </c>
      <c r="J24" s="9" t="s">
        <v>147</v>
      </c>
      <c r="K24">
        <f>SUM(D24:J24)</f>
        <v>27</v>
      </c>
      <c r="L24" s="6">
        <f t="shared" si="0"/>
        <v>0</v>
      </c>
      <c r="M24">
        <f t="shared" si="1"/>
        <v>27</v>
      </c>
      <c r="N24">
        <f t="shared" si="6"/>
        <v>2250</v>
      </c>
      <c r="O24">
        <f t="shared" si="3"/>
        <v>2223</v>
      </c>
      <c r="P24" s="37">
        <f t="shared" si="4"/>
        <v>0.98799999999999999</v>
      </c>
    </row>
    <row r="25" spans="1:18">
      <c r="A25" s="5" t="s">
        <v>26</v>
      </c>
      <c r="B25" s="7" t="s">
        <v>65</v>
      </c>
      <c r="C25" s="34" t="s">
        <v>56</v>
      </c>
      <c r="D25" s="9" t="s">
        <v>147</v>
      </c>
      <c r="E25" s="9">
        <v>1</v>
      </c>
      <c r="F25" s="9" t="s">
        <v>148</v>
      </c>
      <c r="G25" s="9" t="s">
        <v>148</v>
      </c>
      <c r="H25" s="9" t="s">
        <v>148</v>
      </c>
      <c r="I25" s="9" t="s">
        <v>148</v>
      </c>
      <c r="J25" s="9" t="s">
        <v>147</v>
      </c>
      <c r="K25">
        <f>SUM(D25:J25)</f>
        <v>1</v>
      </c>
      <c r="L25" s="6">
        <f t="shared" si="0"/>
        <v>0</v>
      </c>
      <c r="M25">
        <f t="shared" si="1"/>
        <v>1</v>
      </c>
      <c r="N25">
        <f t="shared" si="6"/>
        <v>2250</v>
      </c>
      <c r="O25">
        <f t="shared" si="3"/>
        <v>2249</v>
      </c>
      <c r="P25" s="37">
        <f t="shared" si="4"/>
        <v>0.99955555555555553</v>
      </c>
    </row>
    <row r="26" spans="1:18">
      <c r="A26" s="5" t="s">
        <v>22</v>
      </c>
      <c r="B26" s="5" t="s">
        <v>67</v>
      </c>
      <c r="C26" s="5" t="s">
        <v>30</v>
      </c>
      <c r="D26" s="9" t="s">
        <v>147</v>
      </c>
      <c r="E26" s="9" t="s">
        <v>148</v>
      </c>
      <c r="F26" s="9" t="s">
        <v>148</v>
      </c>
      <c r="G26" s="9" t="s">
        <v>148</v>
      </c>
      <c r="H26" s="9" t="s">
        <v>148</v>
      </c>
      <c r="I26" s="9">
        <v>3</v>
      </c>
      <c r="J26" s="9" t="s">
        <v>147</v>
      </c>
      <c r="K26">
        <f>SUM(D26:J26)</f>
        <v>3</v>
      </c>
      <c r="L26" s="6">
        <f t="shared" si="0"/>
        <v>0</v>
      </c>
      <c r="M26">
        <f t="shared" si="1"/>
        <v>3</v>
      </c>
      <c r="N26">
        <f t="shared" si="6"/>
        <v>2250</v>
      </c>
      <c r="O26">
        <f t="shared" si="3"/>
        <v>2247</v>
      </c>
      <c r="P26" s="37">
        <f t="shared" si="4"/>
        <v>0.9986666666666667</v>
      </c>
    </row>
    <row r="27" spans="1:18">
      <c r="A27" s="5" t="s">
        <v>26</v>
      </c>
      <c r="B27" s="7" t="s">
        <v>68</v>
      </c>
      <c r="C27" s="34" t="s">
        <v>40</v>
      </c>
      <c r="D27" s="9" t="s">
        <v>147</v>
      </c>
      <c r="E27" s="9" t="s">
        <v>148</v>
      </c>
      <c r="F27" s="9" t="s">
        <v>148</v>
      </c>
      <c r="G27" s="9" t="s">
        <v>148</v>
      </c>
      <c r="H27" s="9" t="s">
        <v>148</v>
      </c>
      <c r="I27" s="9" t="s">
        <v>148</v>
      </c>
      <c r="J27" s="9" t="s">
        <v>147</v>
      </c>
      <c r="L27" s="6">
        <f t="shared" si="0"/>
        <v>0</v>
      </c>
      <c r="M27">
        <f t="shared" si="1"/>
        <v>0</v>
      </c>
      <c r="N27">
        <f t="shared" si="6"/>
        <v>2250</v>
      </c>
      <c r="O27">
        <f t="shared" si="3"/>
        <v>2250</v>
      </c>
      <c r="P27" s="37">
        <f t="shared" si="4"/>
        <v>1</v>
      </c>
    </row>
    <row r="28" spans="1:18">
      <c r="A28" s="5" t="s">
        <v>22</v>
      </c>
      <c r="B28" s="5" t="s">
        <v>69</v>
      </c>
      <c r="C28" s="5" t="s">
        <v>30</v>
      </c>
      <c r="D28" s="9" t="s">
        <v>147</v>
      </c>
      <c r="E28" s="9">
        <v>450</v>
      </c>
      <c r="F28" s="9">
        <v>450</v>
      </c>
      <c r="G28" s="9">
        <v>450</v>
      </c>
      <c r="H28" s="9" t="s">
        <v>148</v>
      </c>
      <c r="I28" s="9" t="s">
        <v>148</v>
      </c>
      <c r="J28" s="9" t="s">
        <v>147</v>
      </c>
      <c r="L28" s="6">
        <f t="shared" si="0"/>
        <v>1350</v>
      </c>
      <c r="M28">
        <f t="shared" si="1"/>
        <v>1350</v>
      </c>
      <c r="N28">
        <f t="shared" si="6"/>
        <v>2250</v>
      </c>
      <c r="O28">
        <f t="shared" si="3"/>
        <v>900</v>
      </c>
      <c r="P28" s="37">
        <f t="shared" si="4"/>
        <v>0.4</v>
      </c>
    </row>
    <row r="29" spans="1:18">
      <c r="A29" s="5" t="s">
        <v>22</v>
      </c>
      <c r="B29" s="5" t="s">
        <v>70</v>
      </c>
      <c r="C29" s="5" t="s">
        <v>63</v>
      </c>
      <c r="D29" s="9" t="s">
        <v>147</v>
      </c>
      <c r="E29" s="9" t="s">
        <v>12</v>
      </c>
      <c r="F29" s="9" t="s">
        <v>148</v>
      </c>
      <c r="G29" s="9" t="s">
        <v>148</v>
      </c>
      <c r="H29" s="9" t="s">
        <v>148</v>
      </c>
      <c r="I29" s="9" t="s">
        <v>148</v>
      </c>
      <c r="J29" s="9" t="s">
        <v>147</v>
      </c>
      <c r="L29" s="6">
        <f t="shared" si="0"/>
        <v>0</v>
      </c>
      <c r="M29">
        <f t="shared" si="1"/>
        <v>0</v>
      </c>
      <c r="N29">
        <f>450*4</f>
        <v>1800</v>
      </c>
      <c r="O29">
        <f t="shared" si="3"/>
        <v>1800</v>
      </c>
      <c r="P29" s="37">
        <f t="shared" si="4"/>
        <v>1</v>
      </c>
      <c r="Q29">
        <v>1</v>
      </c>
    </row>
    <row r="30" spans="1:18">
      <c r="A30" s="5" t="s">
        <v>26</v>
      </c>
      <c r="B30" s="7" t="s">
        <v>71</v>
      </c>
      <c r="C30" s="34" t="s">
        <v>25</v>
      </c>
      <c r="D30" s="9" t="s">
        <v>147</v>
      </c>
      <c r="E30" s="9">
        <v>450</v>
      </c>
      <c r="F30" s="9" t="s">
        <v>148</v>
      </c>
      <c r="G30" s="9" t="s">
        <v>148</v>
      </c>
      <c r="H30" s="9" t="s">
        <v>148</v>
      </c>
      <c r="I30" s="9" t="s">
        <v>148</v>
      </c>
      <c r="J30" s="9" t="s">
        <v>147</v>
      </c>
      <c r="L30" s="6">
        <f t="shared" si="0"/>
        <v>450</v>
      </c>
      <c r="M30">
        <f t="shared" si="1"/>
        <v>450</v>
      </c>
      <c r="N30">
        <f t="shared" ref="N30:N33" si="7">450*5</f>
        <v>2250</v>
      </c>
      <c r="O30">
        <f t="shared" si="3"/>
        <v>1800</v>
      </c>
      <c r="P30" s="37">
        <f t="shared" si="4"/>
        <v>0.8</v>
      </c>
    </row>
    <row r="31" spans="1:18">
      <c r="A31" s="5" t="s">
        <v>22</v>
      </c>
      <c r="B31" s="5" t="s">
        <v>72</v>
      </c>
      <c r="C31" s="5" t="s">
        <v>30</v>
      </c>
      <c r="D31" s="9" t="s">
        <v>147</v>
      </c>
      <c r="E31" s="9" t="s">
        <v>148</v>
      </c>
      <c r="F31" s="9" t="s">
        <v>148</v>
      </c>
      <c r="G31" s="9" t="s">
        <v>148</v>
      </c>
      <c r="H31" s="9" t="s">
        <v>148</v>
      </c>
      <c r="I31" s="9" t="s">
        <v>148</v>
      </c>
      <c r="J31" s="9" t="s">
        <v>147</v>
      </c>
      <c r="L31" s="6">
        <f t="shared" si="0"/>
        <v>0</v>
      </c>
      <c r="M31">
        <f t="shared" si="1"/>
        <v>0</v>
      </c>
      <c r="N31">
        <f t="shared" si="7"/>
        <v>2250</v>
      </c>
      <c r="O31">
        <f t="shared" si="3"/>
        <v>2250</v>
      </c>
      <c r="P31" s="37">
        <f t="shared" si="4"/>
        <v>1</v>
      </c>
    </row>
    <row r="32" spans="1:18">
      <c r="A32" s="5" t="s">
        <v>26</v>
      </c>
      <c r="B32" s="7" t="s">
        <v>73</v>
      </c>
      <c r="C32" s="34" t="s">
        <v>25</v>
      </c>
      <c r="D32" s="9" t="s">
        <v>147</v>
      </c>
      <c r="E32" s="9">
        <v>1</v>
      </c>
      <c r="F32" s="9">
        <v>1</v>
      </c>
      <c r="G32" s="9">
        <v>450</v>
      </c>
      <c r="H32" s="9" t="s">
        <v>148</v>
      </c>
      <c r="I32" s="9" t="s">
        <v>148</v>
      </c>
      <c r="J32" s="9" t="s">
        <v>147</v>
      </c>
      <c r="K32">
        <f>E32+F32</f>
        <v>2</v>
      </c>
      <c r="L32" s="6">
        <f t="shared" si="0"/>
        <v>450</v>
      </c>
      <c r="M32">
        <f t="shared" si="1"/>
        <v>452</v>
      </c>
      <c r="N32">
        <f t="shared" si="7"/>
        <v>2250</v>
      </c>
      <c r="O32">
        <f t="shared" si="3"/>
        <v>1798</v>
      </c>
      <c r="P32" s="37">
        <f t="shared" si="4"/>
        <v>0.79911111111111111</v>
      </c>
    </row>
    <row r="33" spans="1:18">
      <c r="A33" s="5" t="s">
        <v>57</v>
      </c>
      <c r="B33" s="5" t="s">
        <v>58</v>
      </c>
      <c r="C33" s="5" t="s">
        <v>40</v>
      </c>
      <c r="D33" s="9" t="s">
        <v>147</v>
      </c>
      <c r="E33" s="9" t="s">
        <v>148</v>
      </c>
      <c r="F33" s="9" t="s">
        <v>148</v>
      </c>
      <c r="G33" s="9" t="s">
        <v>148</v>
      </c>
      <c r="H33" s="9" t="s">
        <v>148</v>
      </c>
      <c r="I33" s="9" t="s">
        <v>148</v>
      </c>
      <c r="J33" s="9" t="s">
        <v>147</v>
      </c>
      <c r="L33" s="6">
        <f t="shared" si="0"/>
        <v>0</v>
      </c>
      <c r="M33">
        <f t="shared" si="1"/>
        <v>0</v>
      </c>
      <c r="N33">
        <f t="shared" si="7"/>
        <v>2250</v>
      </c>
      <c r="O33">
        <f t="shared" si="3"/>
        <v>2250</v>
      </c>
      <c r="P33" s="37">
        <f t="shared" si="4"/>
        <v>1</v>
      </c>
    </row>
    <row r="34" spans="1:18">
      <c r="A34" s="5" t="s">
        <v>37</v>
      </c>
      <c r="B34" s="5" t="s">
        <v>74</v>
      </c>
      <c r="C34" s="5" t="s">
        <v>40</v>
      </c>
      <c r="D34" s="9" t="s">
        <v>147</v>
      </c>
      <c r="E34" s="9">
        <v>56</v>
      </c>
      <c r="F34" s="9" t="s">
        <v>147</v>
      </c>
      <c r="G34" s="9" t="s">
        <v>147</v>
      </c>
      <c r="H34" s="9" t="s">
        <v>148</v>
      </c>
      <c r="I34" s="9" t="s">
        <v>148</v>
      </c>
      <c r="J34" s="9">
        <v>65</v>
      </c>
      <c r="K34">
        <f>SUM(D34:J34)</f>
        <v>121</v>
      </c>
      <c r="L34" s="6">
        <f t="shared" si="0"/>
        <v>0</v>
      </c>
      <c r="M34">
        <f t="shared" si="1"/>
        <v>121</v>
      </c>
      <c r="N34">
        <f>450*4</f>
        <v>1800</v>
      </c>
      <c r="O34">
        <f t="shared" si="3"/>
        <v>1679</v>
      </c>
      <c r="P34" s="37">
        <f t="shared" si="4"/>
        <v>0.93277777777777782</v>
      </c>
    </row>
    <row r="35" spans="1:18">
      <c r="A35" s="5" t="s">
        <v>26</v>
      </c>
      <c r="B35" s="7" t="s">
        <v>75</v>
      </c>
      <c r="C35" s="34" t="s">
        <v>40</v>
      </c>
      <c r="D35" s="9" t="s">
        <v>148</v>
      </c>
      <c r="E35" s="9" t="s">
        <v>148</v>
      </c>
      <c r="F35" s="9" t="s">
        <v>148</v>
      </c>
      <c r="G35" s="9" t="s">
        <v>147</v>
      </c>
      <c r="H35" s="9" t="s">
        <v>147</v>
      </c>
      <c r="I35" s="9" t="s">
        <v>148</v>
      </c>
      <c r="J35" s="9" t="s">
        <v>148</v>
      </c>
      <c r="L35" s="6">
        <f t="shared" si="0"/>
        <v>0</v>
      </c>
      <c r="M35">
        <f t="shared" si="1"/>
        <v>0</v>
      </c>
      <c r="N35">
        <f>450*5</f>
        <v>2250</v>
      </c>
      <c r="O35">
        <f t="shared" si="3"/>
        <v>2250</v>
      </c>
      <c r="P35" s="37">
        <f t="shared" si="4"/>
        <v>1</v>
      </c>
    </row>
    <row r="36" spans="1:18">
      <c r="A36" s="5" t="s">
        <v>37</v>
      </c>
      <c r="B36" s="5" t="s">
        <v>76</v>
      </c>
      <c r="C36" s="5" t="s">
        <v>40</v>
      </c>
      <c r="D36" s="9" t="s">
        <v>147</v>
      </c>
      <c r="E36" s="9">
        <v>10</v>
      </c>
      <c r="F36" s="9">
        <v>270</v>
      </c>
      <c r="G36" s="9" t="s">
        <v>148</v>
      </c>
      <c r="H36" s="9">
        <v>1</v>
      </c>
      <c r="I36" s="9" t="s">
        <v>14</v>
      </c>
      <c r="J36" s="9" t="s">
        <v>147</v>
      </c>
      <c r="K36">
        <f>SUM(D36:J36)</f>
        <v>281</v>
      </c>
      <c r="L36" s="6">
        <f t="shared" si="0"/>
        <v>0</v>
      </c>
      <c r="M36">
        <f t="shared" si="1"/>
        <v>281</v>
      </c>
      <c r="N36">
        <f>450*4</f>
        <v>1800</v>
      </c>
      <c r="O36">
        <f t="shared" si="3"/>
        <v>1519</v>
      </c>
      <c r="P36" s="37">
        <f t="shared" si="4"/>
        <v>0.84388888888888891</v>
      </c>
      <c r="R36">
        <v>1</v>
      </c>
    </row>
    <row r="37" spans="1:18">
      <c r="A37" s="5" t="s">
        <v>22</v>
      </c>
      <c r="B37" s="5" t="s">
        <v>77</v>
      </c>
      <c r="C37" s="5" t="s">
        <v>30</v>
      </c>
      <c r="D37" s="9" t="s">
        <v>147</v>
      </c>
      <c r="E37" s="9" t="s">
        <v>148</v>
      </c>
      <c r="F37" s="9">
        <v>9</v>
      </c>
      <c r="G37" s="9" t="s">
        <v>148</v>
      </c>
      <c r="H37" s="9" t="s">
        <v>148</v>
      </c>
      <c r="I37" s="9" t="s">
        <v>148</v>
      </c>
      <c r="J37" s="9" t="s">
        <v>147</v>
      </c>
      <c r="K37">
        <f>SUM(D37:J37)</f>
        <v>9</v>
      </c>
      <c r="L37" s="6">
        <f t="shared" si="0"/>
        <v>0</v>
      </c>
      <c r="M37">
        <f t="shared" si="1"/>
        <v>9</v>
      </c>
      <c r="N37">
        <f>450*5</f>
        <v>2250</v>
      </c>
      <c r="O37">
        <f t="shared" si="3"/>
        <v>2241</v>
      </c>
      <c r="P37" s="37">
        <f t="shared" si="4"/>
        <v>0.996</v>
      </c>
    </row>
    <row r="38" spans="1:18">
      <c r="A38" s="5" t="s">
        <v>22</v>
      </c>
      <c r="B38" s="5" t="s">
        <v>61</v>
      </c>
      <c r="C38" s="5" t="s">
        <v>63</v>
      </c>
      <c r="D38" s="9" t="s">
        <v>147</v>
      </c>
      <c r="E38" s="9" t="s">
        <v>148</v>
      </c>
      <c r="F38" s="9" t="s">
        <v>148</v>
      </c>
      <c r="G38" s="9" t="s">
        <v>148</v>
      </c>
      <c r="H38" s="9" t="s">
        <v>12</v>
      </c>
      <c r="I38" s="9" t="s">
        <v>12</v>
      </c>
      <c r="J38" s="9" t="s">
        <v>147</v>
      </c>
      <c r="L38" s="6">
        <f t="shared" si="0"/>
        <v>0</v>
      </c>
      <c r="M38">
        <f t="shared" si="1"/>
        <v>0</v>
      </c>
      <c r="N38">
        <f>450*3</f>
        <v>1350</v>
      </c>
      <c r="O38">
        <f t="shared" si="3"/>
        <v>1350</v>
      </c>
      <c r="P38" s="37">
        <f t="shared" si="4"/>
        <v>1</v>
      </c>
      <c r="Q38">
        <v>2</v>
      </c>
    </row>
    <row r="39" spans="1:18">
      <c r="A39" s="5" t="s">
        <v>26</v>
      </c>
      <c r="B39" s="7" t="s">
        <v>78</v>
      </c>
      <c r="C39" s="34" t="s">
        <v>79</v>
      </c>
      <c r="D39" s="9" t="s">
        <v>147</v>
      </c>
      <c r="E39" s="9" t="s">
        <v>148</v>
      </c>
      <c r="F39" s="9" t="s">
        <v>148</v>
      </c>
      <c r="G39" s="9" t="s">
        <v>148</v>
      </c>
      <c r="H39" s="9" t="s">
        <v>148</v>
      </c>
      <c r="I39" s="9">
        <v>450</v>
      </c>
      <c r="J39" s="9" t="s">
        <v>147</v>
      </c>
      <c r="L39" s="6">
        <f t="shared" si="0"/>
        <v>450</v>
      </c>
      <c r="M39">
        <f t="shared" si="1"/>
        <v>450</v>
      </c>
      <c r="N39">
        <f>450*5</f>
        <v>2250</v>
      </c>
      <c r="O39">
        <f t="shared" si="3"/>
        <v>1800</v>
      </c>
      <c r="P39" s="37">
        <f t="shared" si="4"/>
        <v>0.8</v>
      </c>
    </row>
    <row r="40" spans="1:18">
      <c r="A40" s="5" t="s">
        <v>26</v>
      </c>
      <c r="B40" s="7" t="s">
        <v>80</v>
      </c>
      <c r="C40" s="34" t="s">
        <v>40</v>
      </c>
      <c r="D40" s="9" t="s">
        <v>148</v>
      </c>
      <c r="E40" s="9" t="s">
        <v>148</v>
      </c>
      <c r="F40" s="9" t="s">
        <v>147</v>
      </c>
      <c r="G40" s="9" t="s">
        <v>147</v>
      </c>
      <c r="H40" s="9" t="s">
        <v>12</v>
      </c>
      <c r="I40" s="9" t="s">
        <v>148</v>
      </c>
      <c r="J40" s="9" t="s">
        <v>148</v>
      </c>
      <c r="L40" s="6">
        <f t="shared" si="0"/>
        <v>0</v>
      </c>
      <c r="M40">
        <f t="shared" si="1"/>
        <v>0</v>
      </c>
      <c r="N40">
        <f>450*4</f>
        <v>1800</v>
      </c>
      <c r="O40">
        <f t="shared" si="3"/>
        <v>1800</v>
      </c>
      <c r="P40" s="37">
        <f t="shared" si="4"/>
        <v>1</v>
      </c>
      <c r="Q40">
        <v>1</v>
      </c>
    </row>
    <row r="41" spans="1:18">
      <c r="A41" s="5" t="s">
        <v>26</v>
      </c>
      <c r="B41" s="7" t="s">
        <v>81</v>
      </c>
      <c r="C41" s="34" t="s">
        <v>33</v>
      </c>
      <c r="D41" s="9" t="s">
        <v>147</v>
      </c>
      <c r="E41" s="9" t="s">
        <v>148</v>
      </c>
      <c r="F41" s="9" t="s">
        <v>148</v>
      </c>
      <c r="G41" s="9" t="s">
        <v>148</v>
      </c>
      <c r="H41" s="9" t="s">
        <v>148</v>
      </c>
      <c r="I41" s="9" t="s">
        <v>148</v>
      </c>
      <c r="J41" s="9" t="s">
        <v>147</v>
      </c>
      <c r="L41" s="6">
        <f t="shared" si="0"/>
        <v>0</v>
      </c>
      <c r="M41">
        <f t="shared" si="1"/>
        <v>0</v>
      </c>
      <c r="N41">
        <f t="shared" ref="N41:N56" si="8">450*5</f>
        <v>2250</v>
      </c>
      <c r="O41">
        <f t="shared" si="3"/>
        <v>2250</v>
      </c>
      <c r="P41" s="37">
        <f t="shared" si="4"/>
        <v>1</v>
      </c>
    </row>
    <row r="42" spans="1:18">
      <c r="A42" s="5" t="s">
        <v>22</v>
      </c>
      <c r="B42" s="5" t="s">
        <v>82</v>
      </c>
      <c r="C42" s="5" t="s">
        <v>33</v>
      </c>
      <c r="D42" s="9" t="s">
        <v>147</v>
      </c>
      <c r="E42" s="9">
        <v>7</v>
      </c>
      <c r="F42" s="9">
        <v>30</v>
      </c>
      <c r="G42" s="9" t="s">
        <v>148</v>
      </c>
      <c r="H42" s="9">
        <v>5</v>
      </c>
      <c r="I42" s="9" t="s">
        <v>148</v>
      </c>
      <c r="J42" s="9" t="s">
        <v>147</v>
      </c>
      <c r="K42">
        <f>SUM(D42:J42)</f>
        <v>42</v>
      </c>
      <c r="L42" s="6">
        <f t="shared" si="0"/>
        <v>0</v>
      </c>
      <c r="M42">
        <f t="shared" si="1"/>
        <v>42</v>
      </c>
      <c r="N42">
        <f t="shared" si="8"/>
        <v>2250</v>
      </c>
      <c r="O42">
        <f t="shared" si="3"/>
        <v>2208</v>
      </c>
      <c r="P42" s="37">
        <f t="shared" si="4"/>
        <v>0.98133333333333328</v>
      </c>
    </row>
    <row r="43" spans="1:18">
      <c r="A43" s="5" t="s">
        <v>26</v>
      </c>
      <c r="B43" s="7" t="s">
        <v>83</v>
      </c>
      <c r="C43" s="34" t="s">
        <v>40</v>
      </c>
      <c r="D43" s="9" t="s">
        <v>148</v>
      </c>
      <c r="E43" s="9" t="s">
        <v>148</v>
      </c>
      <c r="F43" s="9" t="s">
        <v>147</v>
      </c>
      <c r="G43" s="9" t="s">
        <v>147</v>
      </c>
      <c r="H43" s="9" t="s">
        <v>148</v>
      </c>
      <c r="I43" s="9" t="s">
        <v>148</v>
      </c>
      <c r="J43" s="9">
        <v>450</v>
      </c>
      <c r="L43" s="6">
        <f t="shared" si="0"/>
        <v>450</v>
      </c>
      <c r="M43">
        <f t="shared" si="1"/>
        <v>450</v>
      </c>
      <c r="N43">
        <f t="shared" si="8"/>
        <v>2250</v>
      </c>
      <c r="O43">
        <f t="shared" si="3"/>
        <v>1800</v>
      </c>
      <c r="P43" s="37">
        <f t="shared" si="4"/>
        <v>0.8</v>
      </c>
    </row>
    <row r="44" spans="1:18">
      <c r="A44" s="5" t="s">
        <v>60</v>
      </c>
      <c r="B44" s="5" t="s">
        <v>84</v>
      </c>
      <c r="C44" s="5" t="s">
        <v>40</v>
      </c>
      <c r="D44" s="9" t="s">
        <v>147</v>
      </c>
      <c r="E44" s="9" t="s">
        <v>148</v>
      </c>
      <c r="F44" s="9" t="s">
        <v>148</v>
      </c>
      <c r="G44" s="9" t="s">
        <v>148</v>
      </c>
      <c r="H44" s="9" t="s">
        <v>148</v>
      </c>
      <c r="I44" s="9" t="s">
        <v>148</v>
      </c>
      <c r="J44" s="9" t="s">
        <v>147</v>
      </c>
      <c r="L44" s="6">
        <f t="shared" si="0"/>
        <v>0</v>
      </c>
      <c r="M44">
        <f t="shared" si="1"/>
        <v>0</v>
      </c>
      <c r="N44">
        <f t="shared" si="8"/>
        <v>2250</v>
      </c>
      <c r="O44">
        <f t="shared" si="3"/>
        <v>2250</v>
      </c>
      <c r="P44" s="37">
        <f t="shared" si="4"/>
        <v>1</v>
      </c>
    </row>
    <row r="45" spans="1:18">
      <c r="A45" s="5" t="s">
        <v>22</v>
      </c>
      <c r="B45" s="5" t="s">
        <v>85</v>
      </c>
      <c r="C45" s="5" t="s">
        <v>63</v>
      </c>
      <c r="D45" s="9" t="s">
        <v>147</v>
      </c>
      <c r="E45" s="9" t="s">
        <v>148</v>
      </c>
      <c r="F45" s="9">
        <v>15</v>
      </c>
      <c r="G45" s="9" t="s">
        <v>148</v>
      </c>
      <c r="H45" s="9" t="s">
        <v>148</v>
      </c>
      <c r="I45" s="9">
        <v>22</v>
      </c>
      <c r="J45" s="9" t="s">
        <v>147</v>
      </c>
      <c r="K45">
        <f>SUM(D45:J45)</f>
        <v>37</v>
      </c>
      <c r="L45" s="6">
        <f t="shared" si="0"/>
        <v>0</v>
      </c>
      <c r="M45">
        <f t="shared" si="1"/>
        <v>37</v>
      </c>
      <c r="N45">
        <f t="shared" si="8"/>
        <v>2250</v>
      </c>
      <c r="O45">
        <f t="shared" si="3"/>
        <v>2213</v>
      </c>
      <c r="P45" s="37">
        <f t="shared" si="4"/>
        <v>0.98355555555555552</v>
      </c>
    </row>
    <row r="46" spans="1:18">
      <c r="A46" s="5" t="s">
        <v>26</v>
      </c>
      <c r="B46" s="7" t="s">
        <v>86</v>
      </c>
      <c r="C46" s="34" t="s">
        <v>56</v>
      </c>
      <c r="D46" s="9" t="s">
        <v>147</v>
      </c>
      <c r="E46" s="9">
        <v>450</v>
      </c>
      <c r="F46" s="9" t="s">
        <v>148</v>
      </c>
      <c r="G46" s="9" t="s">
        <v>148</v>
      </c>
      <c r="H46" s="9" t="s">
        <v>148</v>
      </c>
      <c r="I46" s="9" t="s">
        <v>148</v>
      </c>
      <c r="J46" s="9" t="s">
        <v>147</v>
      </c>
      <c r="L46" s="6">
        <f t="shared" si="0"/>
        <v>450</v>
      </c>
      <c r="M46">
        <f t="shared" si="1"/>
        <v>450</v>
      </c>
      <c r="N46">
        <f t="shared" si="8"/>
        <v>2250</v>
      </c>
      <c r="O46">
        <f t="shared" si="3"/>
        <v>1800</v>
      </c>
      <c r="P46" s="37">
        <f t="shared" si="4"/>
        <v>0.8</v>
      </c>
    </row>
    <row r="47" spans="1:18">
      <c r="A47" s="5" t="s">
        <v>26</v>
      </c>
      <c r="B47" s="7" t="s">
        <v>87</v>
      </c>
      <c r="C47" s="34" t="s">
        <v>33</v>
      </c>
      <c r="D47" s="9" t="s">
        <v>147</v>
      </c>
      <c r="E47" s="9" t="s">
        <v>148</v>
      </c>
      <c r="F47" s="9" t="s">
        <v>148</v>
      </c>
      <c r="G47" s="9" t="s">
        <v>148</v>
      </c>
      <c r="H47" s="9">
        <v>2</v>
      </c>
      <c r="I47" s="9">
        <v>55</v>
      </c>
      <c r="J47" s="9" t="s">
        <v>147</v>
      </c>
      <c r="K47">
        <f>SUM(D47:J47)</f>
        <v>57</v>
      </c>
      <c r="L47" s="6">
        <f t="shared" si="0"/>
        <v>0</v>
      </c>
      <c r="M47">
        <f t="shared" si="1"/>
        <v>57</v>
      </c>
      <c r="N47">
        <f t="shared" si="8"/>
        <v>2250</v>
      </c>
      <c r="O47">
        <f t="shared" si="3"/>
        <v>2193</v>
      </c>
      <c r="P47" s="37">
        <f t="shared" si="4"/>
        <v>0.97466666666666668</v>
      </c>
    </row>
    <row r="48" spans="1:18">
      <c r="A48" s="5" t="s">
        <v>22</v>
      </c>
      <c r="B48" s="5" t="s">
        <v>88</v>
      </c>
      <c r="C48" s="5" t="s">
        <v>25</v>
      </c>
      <c r="D48" s="9" t="s">
        <v>147</v>
      </c>
      <c r="E48" s="9" t="s">
        <v>148</v>
      </c>
      <c r="F48" s="9" t="s">
        <v>148</v>
      </c>
      <c r="G48" s="9">
        <v>14</v>
      </c>
      <c r="H48" s="9" t="s">
        <v>148</v>
      </c>
      <c r="I48" s="9">
        <v>11</v>
      </c>
      <c r="J48" s="9" t="s">
        <v>147</v>
      </c>
      <c r="K48">
        <f>SUM(D48:J48)</f>
        <v>25</v>
      </c>
      <c r="L48" s="6">
        <f t="shared" si="0"/>
        <v>0</v>
      </c>
      <c r="M48">
        <f t="shared" si="1"/>
        <v>25</v>
      </c>
      <c r="N48">
        <f t="shared" si="8"/>
        <v>2250</v>
      </c>
      <c r="O48">
        <f t="shared" si="3"/>
        <v>2225</v>
      </c>
      <c r="P48" s="37">
        <f t="shared" si="4"/>
        <v>0.98888888888888893</v>
      </c>
    </row>
    <row r="49" spans="1:18">
      <c r="A49" s="5" t="s">
        <v>26</v>
      </c>
      <c r="B49" s="7" t="s">
        <v>89</v>
      </c>
      <c r="C49" s="34" t="s">
        <v>40</v>
      </c>
      <c r="D49" s="9" t="s">
        <v>147</v>
      </c>
      <c r="E49" s="9" t="s">
        <v>148</v>
      </c>
      <c r="F49" s="9">
        <v>1</v>
      </c>
      <c r="G49" s="9" t="s">
        <v>148</v>
      </c>
      <c r="H49" s="9" t="s">
        <v>148</v>
      </c>
      <c r="I49" s="9" t="s">
        <v>148</v>
      </c>
      <c r="J49" s="9" t="s">
        <v>147</v>
      </c>
      <c r="K49">
        <f>SUM(D49:J49)</f>
        <v>1</v>
      </c>
      <c r="L49" s="6">
        <f t="shared" si="0"/>
        <v>0</v>
      </c>
      <c r="M49">
        <f t="shared" si="1"/>
        <v>1</v>
      </c>
      <c r="N49">
        <f t="shared" si="8"/>
        <v>2250</v>
      </c>
      <c r="O49">
        <f t="shared" si="3"/>
        <v>2249</v>
      </c>
      <c r="P49" s="37">
        <f t="shared" si="4"/>
        <v>0.99955555555555553</v>
      </c>
    </row>
    <row r="50" spans="1:18">
      <c r="A50" s="5" t="s">
        <v>37</v>
      </c>
      <c r="B50" s="5" t="s">
        <v>90</v>
      </c>
      <c r="C50" s="5" t="s">
        <v>40</v>
      </c>
      <c r="D50" s="9" t="s">
        <v>148</v>
      </c>
      <c r="E50" s="9" t="s">
        <v>147</v>
      </c>
      <c r="F50" s="9" t="s">
        <v>148</v>
      </c>
      <c r="G50" s="9" t="s">
        <v>148</v>
      </c>
      <c r="H50" s="9" t="s">
        <v>14</v>
      </c>
      <c r="I50" s="9" t="s">
        <v>148</v>
      </c>
      <c r="J50" s="9" t="s">
        <v>148</v>
      </c>
      <c r="L50" s="6">
        <f t="shared" si="0"/>
        <v>0</v>
      </c>
      <c r="M50">
        <f t="shared" si="1"/>
        <v>0</v>
      </c>
      <c r="N50">
        <f t="shared" si="8"/>
        <v>2250</v>
      </c>
      <c r="O50">
        <f t="shared" si="3"/>
        <v>2250</v>
      </c>
      <c r="P50" s="37">
        <f t="shared" si="4"/>
        <v>1</v>
      </c>
      <c r="R50">
        <v>1</v>
      </c>
    </row>
    <row r="51" spans="1:18">
      <c r="A51" s="5" t="s">
        <v>22</v>
      </c>
      <c r="B51" s="5" t="s">
        <v>91</v>
      </c>
      <c r="C51" s="5" t="s">
        <v>30</v>
      </c>
      <c r="D51" s="9" t="s">
        <v>147</v>
      </c>
      <c r="E51" s="9" t="s">
        <v>148</v>
      </c>
      <c r="F51" s="9" t="s">
        <v>148</v>
      </c>
      <c r="G51" s="9" t="s">
        <v>148</v>
      </c>
      <c r="H51" s="9">
        <v>1</v>
      </c>
      <c r="I51" s="9" t="s">
        <v>148</v>
      </c>
      <c r="J51" s="9" t="s">
        <v>147</v>
      </c>
      <c r="K51">
        <f>SUM(D51:J51)</f>
        <v>1</v>
      </c>
      <c r="L51" s="6">
        <f t="shared" si="0"/>
        <v>0</v>
      </c>
      <c r="M51">
        <f t="shared" si="1"/>
        <v>1</v>
      </c>
      <c r="N51">
        <f t="shared" si="8"/>
        <v>2250</v>
      </c>
      <c r="O51">
        <f t="shared" si="3"/>
        <v>2249</v>
      </c>
      <c r="P51" s="37">
        <f t="shared" si="4"/>
        <v>0.99955555555555553</v>
      </c>
    </row>
    <row r="52" spans="1:18">
      <c r="A52" s="5" t="s">
        <v>22</v>
      </c>
      <c r="B52" s="5" t="s">
        <v>150</v>
      </c>
      <c r="C52" s="5" t="s">
        <v>33</v>
      </c>
      <c r="D52" s="9" t="s">
        <v>147</v>
      </c>
      <c r="E52" s="9" t="s">
        <v>148</v>
      </c>
      <c r="F52" s="9" t="s">
        <v>148</v>
      </c>
      <c r="G52" s="9" t="s">
        <v>148</v>
      </c>
      <c r="H52" s="9">
        <v>1</v>
      </c>
      <c r="I52" s="9" t="s">
        <v>148</v>
      </c>
      <c r="J52" s="9" t="s">
        <v>147</v>
      </c>
      <c r="K52">
        <f>SUM(D52:J52)</f>
        <v>1</v>
      </c>
      <c r="L52" s="6">
        <f t="shared" si="0"/>
        <v>0</v>
      </c>
      <c r="M52">
        <f t="shared" si="1"/>
        <v>1</v>
      </c>
      <c r="N52">
        <f t="shared" si="8"/>
        <v>2250</v>
      </c>
      <c r="O52">
        <f t="shared" si="3"/>
        <v>2249</v>
      </c>
      <c r="P52" s="37">
        <f t="shared" si="4"/>
        <v>0.99955555555555553</v>
      </c>
    </row>
    <row r="53" spans="1:18">
      <c r="A53" s="5" t="s">
        <v>22</v>
      </c>
      <c r="B53" s="5" t="s">
        <v>92</v>
      </c>
      <c r="C53" s="5" t="s">
        <v>63</v>
      </c>
      <c r="D53" s="9" t="s">
        <v>147</v>
      </c>
      <c r="E53" s="9" t="s">
        <v>148</v>
      </c>
      <c r="F53" s="9">
        <v>450</v>
      </c>
      <c r="G53" s="9">
        <v>450</v>
      </c>
      <c r="H53" s="9" t="s">
        <v>148</v>
      </c>
      <c r="I53" s="9">
        <v>450</v>
      </c>
      <c r="J53" s="9" t="s">
        <v>147</v>
      </c>
      <c r="L53" s="6">
        <f t="shared" si="0"/>
        <v>1350</v>
      </c>
      <c r="M53">
        <f t="shared" si="1"/>
        <v>1350</v>
      </c>
      <c r="N53">
        <f t="shared" si="8"/>
        <v>2250</v>
      </c>
      <c r="O53">
        <f t="shared" si="3"/>
        <v>900</v>
      </c>
      <c r="P53" s="37">
        <f t="shared" si="4"/>
        <v>0.4</v>
      </c>
    </row>
    <row r="54" spans="1:18">
      <c r="A54" s="5" t="s">
        <v>26</v>
      </c>
      <c r="B54" s="7" t="s">
        <v>93</v>
      </c>
      <c r="C54" s="34" t="s">
        <v>56</v>
      </c>
      <c r="D54" s="9" t="s">
        <v>147</v>
      </c>
      <c r="E54" s="9" t="s">
        <v>148</v>
      </c>
      <c r="F54" s="9" t="s">
        <v>148</v>
      </c>
      <c r="G54" s="9" t="s">
        <v>148</v>
      </c>
      <c r="H54" s="9" t="s">
        <v>148</v>
      </c>
      <c r="I54" s="9" t="s">
        <v>148</v>
      </c>
      <c r="J54" s="9" t="s">
        <v>147</v>
      </c>
      <c r="L54" s="6">
        <f t="shared" si="0"/>
        <v>0</v>
      </c>
      <c r="M54">
        <f t="shared" si="1"/>
        <v>0</v>
      </c>
      <c r="N54">
        <f t="shared" si="8"/>
        <v>2250</v>
      </c>
      <c r="O54">
        <f t="shared" si="3"/>
        <v>2250</v>
      </c>
      <c r="P54" s="37">
        <f t="shared" si="4"/>
        <v>1</v>
      </c>
    </row>
    <row r="55" spans="1:18">
      <c r="A55" s="5" t="s">
        <v>57</v>
      </c>
      <c r="B55" s="7" t="s">
        <v>94</v>
      </c>
      <c r="C55" s="5" t="s">
        <v>40</v>
      </c>
      <c r="D55" s="9" t="s">
        <v>147</v>
      </c>
      <c r="E55" s="9" t="s">
        <v>148</v>
      </c>
      <c r="F55" s="9" t="s">
        <v>148</v>
      </c>
      <c r="G55" s="9">
        <v>11</v>
      </c>
      <c r="H55" s="9" t="s">
        <v>148</v>
      </c>
      <c r="I55" s="9">
        <v>25</v>
      </c>
      <c r="J55" s="9" t="s">
        <v>147</v>
      </c>
      <c r="K55">
        <f>SUM(D55:J55)</f>
        <v>36</v>
      </c>
      <c r="L55" s="6">
        <f t="shared" si="0"/>
        <v>0</v>
      </c>
      <c r="M55">
        <f t="shared" si="1"/>
        <v>36</v>
      </c>
      <c r="N55">
        <f t="shared" si="8"/>
        <v>2250</v>
      </c>
      <c r="O55">
        <f t="shared" si="3"/>
        <v>2214</v>
      </c>
      <c r="P55" s="37">
        <f t="shared" si="4"/>
        <v>0.98399999999999999</v>
      </c>
    </row>
    <row r="56" spans="1:18">
      <c r="A56" s="5" t="s">
        <v>26</v>
      </c>
      <c r="B56" s="7" t="s">
        <v>95</v>
      </c>
      <c r="C56" s="34" t="s">
        <v>33</v>
      </c>
      <c r="D56" s="9" t="s">
        <v>147</v>
      </c>
      <c r="E56" s="9" t="s">
        <v>147</v>
      </c>
      <c r="F56" s="9" t="s">
        <v>148</v>
      </c>
      <c r="G56" s="9" t="s">
        <v>148</v>
      </c>
      <c r="H56" s="9" t="s">
        <v>148</v>
      </c>
      <c r="I56" s="9" t="s">
        <v>148</v>
      </c>
      <c r="J56" s="9" t="s">
        <v>148</v>
      </c>
      <c r="K56">
        <f>SUM(D56:J56)</f>
        <v>0</v>
      </c>
      <c r="L56" s="6">
        <f t="shared" si="0"/>
        <v>0</v>
      </c>
      <c r="M56">
        <f t="shared" si="1"/>
        <v>0</v>
      </c>
      <c r="N56">
        <f t="shared" si="8"/>
        <v>2250</v>
      </c>
      <c r="O56">
        <f t="shared" si="3"/>
        <v>2250</v>
      </c>
      <c r="P56" s="37">
        <f t="shared" si="4"/>
        <v>1</v>
      </c>
    </row>
    <row r="57" spans="1:18">
      <c r="A57" s="5" t="s">
        <v>22</v>
      </c>
      <c r="B57" s="5" t="s">
        <v>23</v>
      </c>
      <c r="C57" s="5" t="s">
        <v>25</v>
      </c>
      <c r="D57" s="9" t="s">
        <v>147</v>
      </c>
      <c r="E57" s="9" t="s">
        <v>148</v>
      </c>
      <c r="F57" s="9" t="s">
        <v>148</v>
      </c>
      <c r="G57" s="9" t="s">
        <v>148</v>
      </c>
      <c r="H57" s="9" t="s">
        <v>12</v>
      </c>
      <c r="I57" s="9" t="s">
        <v>12</v>
      </c>
      <c r="J57" s="9" t="s">
        <v>147</v>
      </c>
      <c r="L57" s="6">
        <f t="shared" si="0"/>
        <v>0</v>
      </c>
      <c r="M57">
        <f t="shared" si="1"/>
        <v>0</v>
      </c>
      <c r="N57">
        <f>450*3</f>
        <v>1350</v>
      </c>
      <c r="O57">
        <f t="shared" si="3"/>
        <v>1350</v>
      </c>
      <c r="P57" s="37">
        <f t="shared" si="4"/>
        <v>1</v>
      </c>
      <c r="Q57">
        <v>2</v>
      </c>
    </row>
    <row r="58" spans="1:18">
      <c r="A58" s="5" t="s">
        <v>37</v>
      </c>
      <c r="B58" s="5" t="s">
        <v>96</v>
      </c>
      <c r="C58" s="5" t="s">
        <v>40</v>
      </c>
      <c r="D58" s="9" t="s">
        <v>147</v>
      </c>
      <c r="E58" s="9" t="s">
        <v>147</v>
      </c>
      <c r="F58" s="9" t="s">
        <v>148</v>
      </c>
      <c r="G58" s="9" t="s">
        <v>148</v>
      </c>
      <c r="H58" s="9" t="s">
        <v>148</v>
      </c>
      <c r="I58" s="9" t="s">
        <v>148</v>
      </c>
      <c r="J58" s="9" t="s">
        <v>14</v>
      </c>
      <c r="L58" s="6">
        <f t="shared" si="0"/>
        <v>0</v>
      </c>
      <c r="M58">
        <f t="shared" si="1"/>
        <v>0</v>
      </c>
      <c r="N58">
        <f>450*4</f>
        <v>1800</v>
      </c>
      <c r="O58">
        <f t="shared" si="3"/>
        <v>1800</v>
      </c>
      <c r="P58" s="37">
        <f t="shared" si="4"/>
        <v>1</v>
      </c>
      <c r="R58">
        <v>1</v>
      </c>
    </row>
    <row r="59" spans="1:18">
      <c r="A59" s="5" t="s">
        <v>26</v>
      </c>
      <c r="B59" s="7" t="s">
        <v>97</v>
      </c>
      <c r="C59" s="34" t="s">
        <v>56</v>
      </c>
      <c r="D59" s="9" t="s">
        <v>147</v>
      </c>
      <c r="E59" s="9">
        <v>18</v>
      </c>
      <c r="F59" s="9" t="s">
        <v>148</v>
      </c>
      <c r="G59" s="9">
        <v>7</v>
      </c>
      <c r="H59" s="9" t="s">
        <v>148</v>
      </c>
      <c r="I59" s="9" t="s">
        <v>148</v>
      </c>
      <c r="J59" s="9" t="s">
        <v>147</v>
      </c>
      <c r="K59">
        <f>SUM(D59:J59)</f>
        <v>25</v>
      </c>
      <c r="L59" s="6">
        <f t="shared" si="0"/>
        <v>0</v>
      </c>
      <c r="M59">
        <f t="shared" si="1"/>
        <v>25</v>
      </c>
      <c r="N59">
        <f t="shared" ref="N59:N62" si="9">450*5</f>
        <v>2250</v>
      </c>
      <c r="O59">
        <f t="shared" si="3"/>
        <v>2225</v>
      </c>
      <c r="P59" s="37">
        <f t="shared" si="4"/>
        <v>0.98888888888888893</v>
      </c>
    </row>
    <row r="60" spans="1:18">
      <c r="A60" s="5" t="s">
        <v>37</v>
      </c>
      <c r="B60" s="5" t="s">
        <v>38</v>
      </c>
      <c r="C60" s="5" t="s">
        <v>40</v>
      </c>
      <c r="D60" s="9" t="s">
        <v>147</v>
      </c>
      <c r="E60" s="9" t="s">
        <v>147</v>
      </c>
      <c r="F60" s="9" t="s">
        <v>148</v>
      </c>
      <c r="G60" s="9" t="s">
        <v>148</v>
      </c>
      <c r="H60" s="9" t="s">
        <v>148</v>
      </c>
      <c r="I60" s="9" t="s">
        <v>148</v>
      </c>
      <c r="J60" s="9" t="s">
        <v>148</v>
      </c>
      <c r="L60" s="6">
        <f t="shared" si="0"/>
        <v>0</v>
      </c>
      <c r="M60">
        <f t="shared" si="1"/>
        <v>0</v>
      </c>
      <c r="N60">
        <f t="shared" si="9"/>
        <v>2250</v>
      </c>
      <c r="O60">
        <f t="shared" si="3"/>
        <v>2250</v>
      </c>
      <c r="P60" s="37">
        <f t="shared" si="4"/>
        <v>1</v>
      </c>
    </row>
    <row r="61" spans="1:18">
      <c r="A61" s="5" t="s">
        <v>26</v>
      </c>
      <c r="B61" s="7" t="s">
        <v>98</v>
      </c>
      <c r="C61" s="34" t="s">
        <v>30</v>
      </c>
      <c r="D61" s="9" t="s">
        <v>147</v>
      </c>
      <c r="E61" s="9" t="s">
        <v>148</v>
      </c>
      <c r="F61" s="9" t="s">
        <v>148</v>
      </c>
      <c r="G61" s="9">
        <v>8</v>
      </c>
      <c r="H61" s="9" t="s">
        <v>148</v>
      </c>
      <c r="I61" s="9" t="s">
        <v>148</v>
      </c>
      <c r="J61" s="9" t="s">
        <v>147</v>
      </c>
      <c r="K61">
        <f>SUM(D61:J61)</f>
        <v>8</v>
      </c>
      <c r="L61" s="6">
        <f t="shared" si="0"/>
        <v>0</v>
      </c>
      <c r="M61">
        <f t="shared" si="1"/>
        <v>8</v>
      </c>
      <c r="N61">
        <f t="shared" si="9"/>
        <v>2250</v>
      </c>
      <c r="O61">
        <f t="shared" si="3"/>
        <v>2242</v>
      </c>
      <c r="P61" s="37">
        <f t="shared" si="4"/>
        <v>0.99644444444444447</v>
      </c>
    </row>
    <row r="62" spans="1:18">
      <c r="A62" s="5" t="s">
        <v>22</v>
      </c>
      <c r="B62" s="5" t="s">
        <v>99</v>
      </c>
      <c r="C62" s="5" t="s">
        <v>63</v>
      </c>
      <c r="D62" s="9" t="s">
        <v>147</v>
      </c>
      <c r="E62" s="9" t="s">
        <v>148</v>
      </c>
      <c r="F62" s="9">
        <v>7</v>
      </c>
      <c r="G62" s="9">
        <v>450</v>
      </c>
      <c r="H62" s="9" t="s">
        <v>148</v>
      </c>
      <c r="I62" s="9" t="s">
        <v>148</v>
      </c>
      <c r="J62" s="9" t="s">
        <v>147</v>
      </c>
      <c r="K62">
        <f>F62</f>
        <v>7</v>
      </c>
      <c r="L62" s="6">
        <f t="shared" si="0"/>
        <v>450</v>
      </c>
      <c r="M62">
        <f t="shared" si="1"/>
        <v>457</v>
      </c>
      <c r="N62">
        <f t="shared" si="9"/>
        <v>2250</v>
      </c>
      <c r="O62">
        <f t="shared" si="3"/>
        <v>1793</v>
      </c>
      <c r="P62" s="37">
        <f t="shared" si="4"/>
        <v>0.79688888888888887</v>
      </c>
    </row>
    <row r="63" spans="1:18">
      <c r="A63" s="5" t="s">
        <v>22</v>
      </c>
      <c r="B63" s="32" t="s">
        <v>100</v>
      </c>
      <c r="C63" s="35" t="s">
        <v>63</v>
      </c>
      <c r="D63" s="9" t="s">
        <v>147</v>
      </c>
      <c r="E63" s="9" t="s">
        <v>12</v>
      </c>
      <c r="F63" s="9" t="s">
        <v>12</v>
      </c>
      <c r="G63" s="9" t="s">
        <v>148</v>
      </c>
      <c r="H63" s="9" t="s">
        <v>148</v>
      </c>
      <c r="I63" s="9">
        <v>7</v>
      </c>
      <c r="J63" s="9" t="s">
        <v>147</v>
      </c>
      <c r="K63">
        <f>SUM(D63:J63)</f>
        <v>7</v>
      </c>
      <c r="L63" s="6">
        <f t="shared" si="0"/>
        <v>0</v>
      </c>
      <c r="M63">
        <f t="shared" si="1"/>
        <v>7</v>
      </c>
      <c r="N63">
        <f>450*3</f>
        <v>1350</v>
      </c>
      <c r="O63">
        <f t="shared" si="3"/>
        <v>1343</v>
      </c>
      <c r="P63" s="37">
        <f t="shared" si="4"/>
        <v>0.99481481481481482</v>
      </c>
      <c r="Q63">
        <v>2</v>
      </c>
    </row>
    <row r="64" spans="1:18">
      <c r="A64" s="5" t="s">
        <v>57</v>
      </c>
      <c r="B64" s="10" t="s">
        <v>101</v>
      </c>
      <c r="C64" s="35" t="s">
        <v>40</v>
      </c>
      <c r="D64" s="9" t="s">
        <v>147</v>
      </c>
      <c r="E64" s="9" t="s">
        <v>12</v>
      </c>
      <c r="F64" s="9" t="s">
        <v>148</v>
      </c>
      <c r="G64" s="9" t="s">
        <v>148</v>
      </c>
      <c r="H64" s="9" t="s">
        <v>148</v>
      </c>
      <c r="I64" s="9" t="s">
        <v>148</v>
      </c>
      <c r="J64" s="9" t="s">
        <v>147</v>
      </c>
      <c r="L64" s="6">
        <f t="shared" si="0"/>
        <v>0</v>
      </c>
      <c r="M64">
        <f t="shared" si="1"/>
        <v>0</v>
      </c>
      <c r="N64">
        <f>450*4</f>
        <v>1800</v>
      </c>
      <c r="O64">
        <f t="shared" si="3"/>
        <v>1800</v>
      </c>
      <c r="P64" s="37">
        <f t="shared" si="4"/>
        <v>1</v>
      </c>
      <c r="Q64">
        <v>1</v>
      </c>
    </row>
    <row r="65" spans="1:18">
      <c r="A65" s="5" t="s">
        <v>22</v>
      </c>
      <c r="B65" s="32" t="s">
        <v>102</v>
      </c>
      <c r="C65" s="35" t="s">
        <v>33</v>
      </c>
      <c r="D65" s="9" t="s">
        <v>147</v>
      </c>
      <c r="E65" s="9" t="s">
        <v>148</v>
      </c>
      <c r="F65" s="9" t="s">
        <v>148</v>
      </c>
      <c r="G65" s="9" t="s">
        <v>148</v>
      </c>
      <c r="H65" s="9" t="s">
        <v>148</v>
      </c>
      <c r="I65" s="9">
        <v>218</v>
      </c>
      <c r="J65" s="9" t="s">
        <v>147</v>
      </c>
      <c r="K65">
        <f>SUM(D65:J65)</f>
        <v>218</v>
      </c>
      <c r="L65" s="6">
        <f t="shared" si="0"/>
        <v>0</v>
      </c>
      <c r="M65">
        <f t="shared" si="1"/>
        <v>218</v>
      </c>
      <c r="N65">
        <f t="shared" ref="N65:N70" si="10">450*5</f>
        <v>2250</v>
      </c>
      <c r="O65">
        <f t="shared" si="3"/>
        <v>2032</v>
      </c>
      <c r="P65" s="37">
        <f t="shared" si="4"/>
        <v>0.90311111111111109</v>
      </c>
    </row>
    <row r="66" spans="1:18">
      <c r="A66" s="5" t="s">
        <v>22</v>
      </c>
      <c r="B66" s="32" t="s">
        <v>31</v>
      </c>
      <c r="C66" s="35" t="s">
        <v>33</v>
      </c>
      <c r="D66" s="9" t="s">
        <v>147</v>
      </c>
      <c r="E66" s="9" t="s">
        <v>148</v>
      </c>
      <c r="F66" s="9" t="s">
        <v>148</v>
      </c>
      <c r="G66" s="9" t="s">
        <v>148</v>
      </c>
      <c r="H66" s="9" t="s">
        <v>148</v>
      </c>
      <c r="I66" s="9" t="s">
        <v>148</v>
      </c>
      <c r="J66" s="9" t="s">
        <v>147</v>
      </c>
      <c r="K66">
        <f>SUM(D66:J66)</f>
        <v>0</v>
      </c>
      <c r="L66" s="6">
        <f t="shared" si="0"/>
        <v>0</v>
      </c>
      <c r="M66">
        <f t="shared" si="1"/>
        <v>0</v>
      </c>
      <c r="N66">
        <f t="shared" si="10"/>
        <v>2250</v>
      </c>
      <c r="O66">
        <f t="shared" si="3"/>
        <v>2250</v>
      </c>
      <c r="P66" s="37">
        <f t="shared" si="4"/>
        <v>1</v>
      </c>
    </row>
    <row r="67" spans="1:18">
      <c r="A67" s="5" t="s">
        <v>26</v>
      </c>
      <c r="B67" s="10" t="s">
        <v>103</v>
      </c>
      <c r="C67" s="11" t="s">
        <v>40</v>
      </c>
      <c r="D67" s="9">
        <v>270</v>
      </c>
      <c r="E67" s="9">
        <v>72</v>
      </c>
      <c r="F67" s="9" t="s">
        <v>148</v>
      </c>
      <c r="G67" s="9" t="s">
        <v>147</v>
      </c>
      <c r="H67" s="9" t="s">
        <v>147</v>
      </c>
      <c r="I67" s="9" t="s">
        <v>148</v>
      </c>
      <c r="J67" s="9" t="s">
        <v>148</v>
      </c>
      <c r="K67">
        <f>SUM(D67:J67)</f>
        <v>342</v>
      </c>
      <c r="L67" s="6">
        <f t="shared" ref="L67:L99" si="11">SUMIF(A67:J67,"450")</f>
        <v>0</v>
      </c>
      <c r="M67">
        <f t="shared" ref="M67:M99" si="12">SUM(K67:L67)</f>
        <v>342</v>
      </c>
      <c r="N67">
        <f t="shared" si="10"/>
        <v>2250</v>
      </c>
      <c r="O67">
        <f t="shared" ref="O67:O99" si="13">N67-M67</f>
        <v>1908</v>
      </c>
      <c r="P67" s="37">
        <f t="shared" ref="P67:P99" si="14">O67/N67*100%</f>
        <v>0.84799999999999998</v>
      </c>
    </row>
    <row r="68" spans="1:18">
      <c r="A68" s="5" t="s">
        <v>22</v>
      </c>
      <c r="B68" s="32" t="s">
        <v>104</v>
      </c>
      <c r="C68" s="35" t="s">
        <v>25</v>
      </c>
      <c r="D68" s="9" t="s">
        <v>147</v>
      </c>
      <c r="E68" s="9" t="s">
        <v>148</v>
      </c>
      <c r="F68" s="9">
        <v>9</v>
      </c>
      <c r="G68" s="9" t="s">
        <v>148</v>
      </c>
      <c r="H68" s="9" t="s">
        <v>148</v>
      </c>
      <c r="I68" s="9" t="s">
        <v>148</v>
      </c>
      <c r="J68" s="9" t="s">
        <v>147</v>
      </c>
      <c r="K68">
        <f>SUM(D68:J68)</f>
        <v>9</v>
      </c>
      <c r="L68" s="6">
        <f t="shared" si="11"/>
        <v>0</v>
      </c>
      <c r="M68">
        <f t="shared" si="12"/>
        <v>9</v>
      </c>
      <c r="N68">
        <f t="shared" si="10"/>
        <v>2250</v>
      </c>
      <c r="O68">
        <f t="shared" si="13"/>
        <v>2241</v>
      </c>
      <c r="P68" s="37">
        <f t="shared" si="14"/>
        <v>0.996</v>
      </c>
    </row>
    <row r="69" spans="1:18">
      <c r="A69" s="5" t="s">
        <v>22</v>
      </c>
      <c r="B69" s="32" t="s">
        <v>105</v>
      </c>
      <c r="C69" s="35" t="s">
        <v>56</v>
      </c>
      <c r="D69" s="9" t="s">
        <v>147</v>
      </c>
      <c r="E69" s="9" t="s">
        <v>148</v>
      </c>
      <c r="F69" s="9" t="s">
        <v>148</v>
      </c>
      <c r="G69" s="9" t="s">
        <v>148</v>
      </c>
      <c r="H69" s="9" t="s">
        <v>148</v>
      </c>
      <c r="I69" s="9" t="s">
        <v>148</v>
      </c>
      <c r="J69" s="9" t="s">
        <v>147</v>
      </c>
      <c r="L69" s="6">
        <f t="shared" si="11"/>
        <v>0</v>
      </c>
      <c r="M69">
        <f t="shared" si="12"/>
        <v>0</v>
      </c>
      <c r="N69">
        <f t="shared" si="10"/>
        <v>2250</v>
      </c>
      <c r="O69">
        <f t="shared" si="13"/>
        <v>2250</v>
      </c>
      <c r="P69" s="37">
        <f t="shared" si="14"/>
        <v>1</v>
      </c>
    </row>
    <row r="70" spans="1:18">
      <c r="A70" s="5" t="s">
        <v>22</v>
      </c>
      <c r="B70" s="32" t="s">
        <v>106</v>
      </c>
      <c r="C70" s="35" t="s">
        <v>30</v>
      </c>
      <c r="D70" s="9" t="s">
        <v>147</v>
      </c>
      <c r="E70" s="9" t="s">
        <v>148</v>
      </c>
      <c r="F70" s="9" t="s">
        <v>148</v>
      </c>
      <c r="G70" s="9" t="s">
        <v>148</v>
      </c>
      <c r="H70" s="9" t="s">
        <v>148</v>
      </c>
      <c r="I70" s="9" t="s">
        <v>148</v>
      </c>
      <c r="J70" s="9" t="s">
        <v>147</v>
      </c>
      <c r="L70" s="6">
        <f t="shared" si="11"/>
        <v>0</v>
      </c>
      <c r="M70">
        <f t="shared" si="12"/>
        <v>0</v>
      </c>
      <c r="N70">
        <f t="shared" si="10"/>
        <v>2250</v>
      </c>
      <c r="O70">
        <f t="shared" si="13"/>
        <v>2250</v>
      </c>
      <c r="P70" s="37">
        <f t="shared" si="14"/>
        <v>1</v>
      </c>
    </row>
    <row r="71" spans="1:18">
      <c r="A71" s="5" t="s">
        <v>57</v>
      </c>
      <c r="B71" s="10" t="s">
        <v>107</v>
      </c>
      <c r="C71" s="35" t="s">
        <v>40</v>
      </c>
      <c r="D71" s="9" t="s">
        <v>147</v>
      </c>
      <c r="E71" s="9" t="s">
        <v>14</v>
      </c>
      <c r="F71" s="9" t="s">
        <v>14</v>
      </c>
      <c r="G71" s="9">
        <v>450</v>
      </c>
      <c r="H71" s="9">
        <v>450</v>
      </c>
      <c r="I71" s="9">
        <v>450</v>
      </c>
      <c r="J71" s="9" t="s">
        <v>147</v>
      </c>
      <c r="L71" s="6">
        <f t="shared" si="11"/>
        <v>1350</v>
      </c>
      <c r="M71">
        <f t="shared" si="12"/>
        <v>1350</v>
      </c>
      <c r="N71">
        <f>450*3</f>
        <v>1350</v>
      </c>
      <c r="O71">
        <f t="shared" si="13"/>
        <v>0</v>
      </c>
      <c r="P71" s="37">
        <f t="shared" si="14"/>
        <v>0</v>
      </c>
      <c r="R71">
        <v>2</v>
      </c>
    </row>
    <row r="72" spans="1:18">
      <c r="A72" s="5" t="s">
        <v>26</v>
      </c>
      <c r="B72" s="10" t="s">
        <v>108</v>
      </c>
      <c r="C72" s="11" t="s">
        <v>30</v>
      </c>
      <c r="D72" s="9" t="s">
        <v>147</v>
      </c>
      <c r="E72" s="9" t="s">
        <v>148</v>
      </c>
      <c r="F72" s="9" t="s">
        <v>148</v>
      </c>
      <c r="G72" s="9" t="s">
        <v>148</v>
      </c>
      <c r="H72" s="9" t="s">
        <v>148</v>
      </c>
      <c r="I72" s="9" t="s">
        <v>148</v>
      </c>
      <c r="J72" s="9" t="s">
        <v>147</v>
      </c>
      <c r="L72" s="6">
        <f t="shared" si="11"/>
        <v>0</v>
      </c>
      <c r="M72">
        <f t="shared" si="12"/>
        <v>0</v>
      </c>
      <c r="N72">
        <f t="shared" ref="N72:N77" si="15">450*5</f>
        <v>2250</v>
      </c>
      <c r="O72">
        <f t="shared" si="13"/>
        <v>2250</v>
      </c>
      <c r="P72" s="37">
        <f t="shared" si="14"/>
        <v>1</v>
      </c>
    </row>
    <row r="73" spans="1:18">
      <c r="A73" s="5" t="s">
        <v>26</v>
      </c>
      <c r="B73" s="10" t="s">
        <v>109</v>
      </c>
      <c r="C73" s="11" t="s">
        <v>36</v>
      </c>
      <c r="D73" s="9" t="s">
        <v>147</v>
      </c>
      <c r="E73" s="9" t="s">
        <v>148</v>
      </c>
      <c r="F73" s="9">
        <v>450</v>
      </c>
      <c r="G73" s="9" t="s">
        <v>148</v>
      </c>
      <c r="H73" s="9" t="s">
        <v>148</v>
      </c>
      <c r="I73" s="9" t="s">
        <v>148</v>
      </c>
      <c r="J73" s="9" t="s">
        <v>147</v>
      </c>
      <c r="L73" s="6">
        <f t="shared" si="11"/>
        <v>450</v>
      </c>
      <c r="M73">
        <f t="shared" si="12"/>
        <v>450</v>
      </c>
      <c r="N73">
        <f t="shared" si="15"/>
        <v>2250</v>
      </c>
      <c r="O73">
        <f t="shared" si="13"/>
        <v>1800</v>
      </c>
      <c r="P73" s="37">
        <f t="shared" si="14"/>
        <v>0.8</v>
      </c>
    </row>
    <row r="74" spans="1:18">
      <c r="A74" s="5" t="s">
        <v>111</v>
      </c>
      <c r="B74" s="10" t="s">
        <v>110</v>
      </c>
      <c r="C74" s="35" t="s">
        <v>40</v>
      </c>
      <c r="D74" s="9" t="s">
        <v>147</v>
      </c>
      <c r="E74" s="9" t="s">
        <v>148</v>
      </c>
      <c r="F74" s="9" t="s">
        <v>148</v>
      </c>
      <c r="G74" s="9" t="s">
        <v>148</v>
      </c>
      <c r="H74" s="9" t="s">
        <v>148</v>
      </c>
      <c r="I74" s="9" t="s">
        <v>148</v>
      </c>
      <c r="J74" s="9" t="s">
        <v>147</v>
      </c>
      <c r="L74" s="6">
        <f t="shared" si="11"/>
        <v>0</v>
      </c>
      <c r="M74">
        <f t="shared" si="12"/>
        <v>0</v>
      </c>
      <c r="N74">
        <f t="shared" si="15"/>
        <v>2250</v>
      </c>
      <c r="O74">
        <f t="shared" si="13"/>
        <v>2250</v>
      </c>
      <c r="P74" s="37">
        <f t="shared" si="14"/>
        <v>1</v>
      </c>
    </row>
    <row r="75" spans="1:18">
      <c r="A75" s="5" t="s">
        <v>22</v>
      </c>
      <c r="B75" s="32" t="s">
        <v>112</v>
      </c>
      <c r="C75" s="35" t="s">
        <v>25</v>
      </c>
      <c r="D75" s="9" t="s">
        <v>147</v>
      </c>
      <c r="E75" s="9" t="s">
        <v>148</v>
      </c>
      <c r="F75" s="9">
        <v>9</v>
      </c>
      <c r="G75" s="9" t="s">
        <v>148</v>
      </c>
      <c r="H75" s="9">
        <v>1</v>
      </c>
      <c r="I75" s="9" t="s">
        <v>148</v>
      </c>
      <c r="J75" s="9" t="s">
        <v>147</v>
      </c>
      <c r="K75">
        <f>SUM(D75:J75)</f>
        <v>10</v>
      </c>
      <c r="L75" s="6">
        <f t="shared" si="11"/>
        <v>0</v>
      </c>
      <c r="M75">
        <f t="shared" si="12"/>
        <v>10</v>
      </c>
      <c r="N75">
        <f t="shared" si="15"/>
        <v>2250</v>
      </c>
      <c r="O75">
        <f t="shared" si="13"/>
        <v>2240</v>
      </c>
      <c r="P75" s="37">
        <f t="shared" si="14"/>
        <v>0.99555555555555553</v>
      </c>
    </row>
    <row r="76" spans="1:18">
      <c r="A76" s="5" t="s">
        <v>26</v>
      </c>
      <c r="B76" s="10" t="s">
        <v>113</v>
      </c>
      <c r="C76" s="11" t="s">
        <v>40</v>
      </c>
      <c r="D76" s="9" t="s">
        <v>148</v>
      </c>
      <c r="E76" s="9" t="s">
        <v>148</v>
      </c>
      <c r="F76" s="9" t="s">
        <v>147</v>
      </c>
      <c r="G76" s="9" t="s">
        <v>147</v>
      </c>
      <c r="H76" s="9" t="s">
        <v>148</v>
      </c>
      <c r="I76" s="9" t="s">
        <v>148</v>
      </c>
      <c r="J76" s="9" t="s">
        <v>148</v>
      </c>
      <c r="L76" s="6">
        <f t="shared" si="11"/>
        <v>0</v>
      </c>
      <c r="M76">
        <f t="shared" si="12"/>
        <v>0</v>
      </c>
      <c r="N76">
        <f t="shared" si="15"/>
        <v>2250</v>
      </c>
      <c r="O76">
        <f t="shared" si="13"/>
        <v>2250</v>
      </c>
      <c r="P76" s="37">
        <f t="shared" si="14"/>
        <v>1</v>
      </c>
    </row>
    <row r="77" spans="1:18">
      <c r="A77" s="5" t="s">
        <v>37</v>
      </c>
      <c r="B77" s="32" t="s">
        <v>114</v>
      </c>
      <c r="C77" s="35" t="s">
        <v>40</v>
      </c>
      <c r="D77" s="9" t="s">
        <v>147</v>
      </c>
      <c r="E77" s="9" t="s">
        <v>147</v>
      </c>
      <c r="F77" s="9">
        <v>2</v>
      </c>
      <c r="G77" s="9">
        <v>2</v>
      </c>
      <c r="H77" s="9" t="s">
        <v>148</v>
      </c>
      <c r="I77" s="9" t="s">
        <v>148</v>
      </c>
      <c r="J77" s="9" t="s">
        <v>148</v>
      </c>
      <c r="K77">
        <f>SUM(D77:J77)</f>
        <v>4</v>
      </c>
      <c r="L77" s="6">
        <f t="shared" si="11"/>
        <v>0</v>
      </c>
      <c r="M77">
        <f t="shared" si="12"/>
        <v>4</v>
      </c>
      <c r="N77">
        <f t="shared" si="15"/>
        <v>2250</v>
      </c>
      <c r="O77">
        <f t="shared" si="13"/>
        <v>2246</v>
      </c>
      <c r="P77" s="37">
        <f t="shared" si="14"/>
        <v>0.99822222222222223</v>
      </c>
    </row>
    <row r="78" spans="1:18">
      <c r="A78" s="5" t="s">
        <v>22</v>
      </c>
      <c r="B78" s="32" t="s">
        <v>66</v>
      </c>
      <c r="C78" s="35" t="s">
        <v>30</v>
      </c>
      <c r="D78" s="9" t="s">
        <v>147</v>
      </c>
      <c r="E78" s="9" t="s">
        <v>12</v>
      </c>
      <c r="F78" s="9">
        <v>41</v>
      </c>
      <c r="G78" s="9" t="s">
        <v>148</v>
      </c>
      <c r="H78" s="9">
        <v>3</v>
      </c>
      <c r="I78" s="9" t="s">
        <v>148</v>
      </c>
      <c r="J78" s="9" t="s">
        <v>147</v>
      </c>
      <c r="K78">
        <f>SUM(D78:J78)</f>
        <v>44</v>
      </c>
      <c r="L78" s="6">
        <f t="shared" si="11"/>
        <v>0</v>
      </c>
      <c r="M78">
        <f t="shared" si="12"/>
        <v>44</v>
      </c>
      <c r="N78">
        <f>450*4</f>
        <v>1800</v>
      </c>
      <c r="O78">
        <f t="shared" si="13"/>
        <v>1756</v>
      </c>
      <c r="P78" s="37">
        <f t="shared" si="14"/>
        <v>0.97555555555555551</v>
      </c>
      <c r="Q78">
        <v>1</v>
      </c>
    </row>
    <row r="79" spans="1:18">
      <c r="A79" s="5" t="s">
        <v>22</v>
      </c>
      <c r="B79" s="32" t="s">
        <v>115</v>
      </c>
      <c r="C79" s="35" t="s">
        <v>33</v>
      </c>
      <c r="D79" s="9" t="s">
        <v>147</v>
      </c>
      <c r="E79" s="9">
        <v>450</v>
      </c>
      <c r="F79" s="9" t="s">
        <v>148</v>
      </c>
      <c r="G79" s="9" t="s">
        <v>148</v>
      </c>
      <c r="H79" s="9" t="s">
        <v>148</v>
      </c>
      <c r="I79" s="9" t="s">
        <v>148</v>
      </c>
      <c r="J79" s="9" t="s">
        <v>147</v>
      </c>
      <c r="L79" s="6">
        <f t="shared" si="11"/>
        <v>450</v>
      </c>
      <c r="M79">
        <f t="shared" si="12"/>
        <v>450</v>
      </c>
      <c r="N79">
        <f t="shared" ref="N79:N80" si="16">450*5</f>
        <v>2250</v>
      </c>
      <c r="O79">
        <f t="shared" si="13"/>
        <v>1800</v>
      </c>
      <c r="P79" s="37">
        <f t="shared" si="14"/>
        <v>0.8</v>
      </c>
    </row>
    <row r="80" spans="1:18">
      <c r="A80" s="5" t="s">
        <v>22</v>
      </c>
      <c r="B80" s="32" t="s">
        <v>116</v>
      </c>
      <c r="C80" s="35" t="s">
        <v>63</v>
      </c>
      <c r="D80" s="9" t="s">
        <v>147</v>
      </c>
      <c r="E80" s="9" t="s">
        <v>148</v>
      </c>
      <c r="F80" s="9" t="s">
        <v>148</v>
      </c>
      <c r="G80" s="9" t="s">
        <v>148</v>
      </c>
      <c r="H80" s="9" t="s">
        <v>148</v>
      </c>
      <c r="I80" s="9" t="s">
        <v>148</v>
      </c>
      <c r="J80" s="9" t="s">
        <v>147</v>
      </c>
      <c r="L80" s="6">
        <f t="shared" si="11"/>
        <v>0</v>
      </c>
      <c r="M80">
        <f t="shared" si="12"/>
        <v>0</v>
      </c>
      <c r="N80">
        <f t="shared" si="16"/>
        <v>2250</v>
      </c>
      <c r="O80">
        <f t="shared" si="13"/>
        <v>2250</v>
      </c>
      <c r="P80" s="37">
        <f t="shared" si="14"/>
        <v>1</v>
      </c>
    </row>
    <row r="81" spans="1:18">
      <c r="A81" s="5" t="s">
        <v>22</v>
      </c>
      <c r="B81" s="32" t="s">
        <v>117</v>
      </c>
      <c r="C81" s="35" t="s">
        <v>30</v>
      </c>
      <c r="D81" s="9" t="s">
        <v>147</v>
      </c>
      <c r="E81" s="9" t="s">
        <v>148</v>
      </c>
      <c r="F81" s="9" t="s">
        <v>148</v>
      </c>
      <c r="G81" s="9" t="s">
        <v>148</v>
      </c>
      <c r="H81" s="9" t="s">
        <v>12</v>
      </c>
      <c r="I81" s="9" t="s">
        <v>12</v>
      </c>
      <c r="J81" s="9" t="s">
        <v>147</v>
      </c>
      <c r="L81" s="6">
        <f t="shared" si="11"/>
        <v>0</v>
      </c>
      <c r="M81">
        <f t="shared" si="12"/>
        <v>0</v>
      </c>
      <c r="N81">
        <f>450*3</f>
        <v>1350</v>
      </c>
      <c r="O81">
        <f t="shared" si="13"/>
        <v>1350</v>
      </c>
      <c r="P81" s="37">
        <f t="shared" si="14"/>
        <v>1</v>
      </c>
      <c r="Q81">
        <v>2</v>
      </c>
    </row>
    <row r="82" spans="1:18">
      <c r="A82" s="5" t="s">
        <v>37</v>
      </c>
      <c r="B82" s="32" t="s">
        <v>118</v>
      </c>
      <c r="C82" s="35" t="s">
        <v>40</v>
      </c>
      <c r="D82" s="9" t="s">
        <v>147</v>
      </c>
      <c r="E82" s="9" t="s">
        <v>148</v>
      </c>
      <c r="F82" s="9">
        <v>2</v>
      </c>
      <c r="G82" s="9" t="s">
        <v>148</v>
      </c>
      <c r="H82" s="9" t="s">
        <v>148</v>
      </c>
      <c r="I82" s="9" t="s">
        <v>148</v>
      </c>
      <c r="J82" s="9" t="s">
        <v>147</v>
      </c>
      <c r="K82">
        <f>SUM(D82:J82)</f>
        <v>2</v>
      </c>
      <c r="L82" s="6">
        <f t="shared" si="11"/>
        <v>0</v>
      </c>
      <c r="M82">
        <f t="shared" si="12"/>
        <v>2</v>
      </c>
      <c r="N82">
        <f>450*5</f>
        <v>2250</v>
      </c>
      <c r="O82">
        <f t="shared" si="13"/>
        <v>2248</v>
      </c>
      <c r="P82" s="37">
        <f t="shared" si="14"/>
        <v>0.99911111111111106</v>
      </c>
    </row>
    <row r="83" spans="1:18">
      <c r="A83" s="5" t="s">
        <v>26</v>
      </c>
      <c r="B83" s="10" t="s">
        <v>119</v>
      </c>
      <c r="C83" s="11" t="s">
        <v>25</v>
      </c>
      <c r="D83" s="9" t="s">
        <v>147</v>
      </c>
      <c r="E83" s="9" t="s">
        <v>147</v>
      </c>
      <c r="F83" s="9" t="s">
        <v>148</v>
      </c>
      <c r="G83" s="9" t="s">
        <v>147</v>
      </c>
      <c r="H83" s="9" t="s">
        <v>147</v>
      </c>
      <c r="I83" s="9" t="s">
        <v>148</v>
      </c>
      <c r="J83" s="9" t="s">
        <v>148</v>
      </c>
      <c r="L83" s="6">
        <f t="shared" si="11"/>
        <v>0</v>
      </c>
      <c r="M83">
        <f t="shared" si="12"/>
        <v>0</v>
      </c>
      <c r="N83">
        <f>450*3</f>
        <v>1350</v>
      </c>
      <c r="O83">
        <f t="shared" si="13"/>
        <v>1350</v>
      </c>
      <c r="P83" s="37">
        <f t="shared" si="14"/>
        <v>1</v>
      </c>
    </row>
    <row r="84" spans="1:18">
      <c r="A84" s="5" t="s">
        <v>22</v>
      </c>
      <c r="B84" s="32" t="s">
        <v>120</v>
      </c>
      <c r="C84" s="35" t="s">
        <v>30</v>
      </c>
      <c r="D84" s="9" t="s">
        <v>147</v>
      </c>
      <c r="E84" s="9" t="s">
        <v>148</v>
      </c>
      <c r="F84" s="9" t="s">
        <v>148</v>
      </c>
      <c r="G84" s="9">
        <v>224</v>
      </c>
      <c r="H84" s="9" t="s">
        <v>148</v>
      </c>
      <c r="I84" s="9" t="s">
        <v>148</v>
      </c>
      <c r="J84" s="9" t="s">
        <v>147</v>
      </c>
      <c r="K84">
        <f>SUM(D84:J84)</f>
        <v>224</v>
      </c>
      <c r="L84" s="6">
        <f t="shared" si="11"/>
        <v>0</v>
      </c>
      <c r="M84">
        <f t="shared" si="12"/>
        <v>224</v>
      </c>
      <c r="N84">
        <f>450*5</f>
        <v>2250</v>
      </c>
      <c r="O84">
        <f t="shared" si="13"/>
        <v>2026</v>
      </c>
      <c r="P84" s="37">
        <f t="shared" si="14"/>
        <v>0.90044444444444449</v>
      </c>
    </row>
    <row r="85" spans="1:18">
      <c r="A85" s="5" t="s">
        <v>22</v>
      </c>
      <c r="B85" s="32" t="s">
        <v>121</v>
      </c>
      <c r="C85" s="35" t="s">
        <v>63</v>
      </c>
      <c r="D85" s="9" t="s">
        <v>147</v>
      </c>
      <c r="E85" s="9" t="s">
        <v>148</v>
      </c>
      <c r="F85" s="9" t="s">
        <v>148</v>
      </c>
      <c r="G85" s="9" t="s">
        <v>14</v>
      </c>
      <c r="H85" s="9" t="s">
        <v>14</v>
      </c>
      <c r="I85" s="9">
        <v>450</v>
      </c>
      <c r="J85" s="9" t="s">
        <v>147</v>
      </c>
      <c r="L85" s="6">
        <f t="shared" si="11"/>
        <v>450</v>
      </c>
      <c r="M85">
        <f t="shared" si="12"/>
        <v>450</v>
      </c>
      <c r="N85">
        <f>450*3</f>
        <v>1350</v>
      </c>
      <c r="O85">
        <f t="shared" si="13"/>
        <v>900</v>
      </c>
      <c r="P85" s="37">
        <f t="shared" si="14"/>
        <v>0.66666666666666663</v>
      </c>
      <c r="R85">
        <v>2</v>
      </c>
    </row>
    <row r="86" spans="1:18">
      <c r="A86" s="5" t="s">
        <v>22</v>
      </c>
      <c r="B86" s="32" t="s">
        <v>122</v>
      </c>
      <c r="C86" s="35" t="s">
        <v>30</v>
      </c>
      <c r="D86" s="9" t="s">
        <v>147</v>
      </c>
      <c r="E86" s="9" t="s">
        <v>148</v>
      </c>
      <c r="F86" s="9" t="s">
        <v>148</v>
      </c>
      <c r="G86" s="9" t="s">
        <v>148</v>
      </c>
      <c r="H86" s="9" t="s">
        <v>148</v>
      </c>
      <c r="I86" s="9" t="s">
        <v>148</v>
      </c>
      <c r="J86" s="9" t="s">
        <v>147</v>
      </c>
      <c r="L86" s="6">
        <f t="shared" si="11"/>
        <v>0</v>
      </c>
      <c r="M86">
        <f t="shared" si="12"/>
        <v>0</v>
      </c>
      <c r="N86">
        <f t="shared" ref="N86:N88" si="17">450*5</f>
        <v>2250</v>
      </c>
      <c r="O86">
        <f t="shared" si="13"/>
        <v>2250</v>
      </c>
      <c r="P86" s="37">
        <f t="shared" si="14"/>
        <v>1</v>
      </c>
    </row>
    <row r="87" spans="1:18">
      <c r="A87" s="5" t="s">
        <v>26</v>
      </c>
      <c r="B87" s="10" t="s">
        <v>123</v>
      </c>
      <c r="C87" s="11" t="s">
        <v>40</v>
      </c>
      <c r="D87" s="9" t="s">
        <v>147</v>
      </c>
      <c r="E87" s="9" t="s">
        <v>148</v>
      </c>
      <c r="F87" s="9" t="s">
        <v>148</v>
      </c>
      <c r="G87" s="9" t="s">
        <v>148</v>
      </c>
      <c r="H87" s="9" t="s">
        <v>148</v>
      </c>
      <c r="I87" s="9" t="s">
        <v>148</v>
      </c>
      <c r="J87" s="9" t="s">
        <v>147</v>
      </c>
      <c r="L87" s="6">
        <f t="shared" si="11"/>
        <v>0</v>
      </c>
      <c r="M87">
        <f t="shared" si="12"/>
        <v>0</v>
      </c>
      <c r="N87">
        <f t="shared" si="17"/>
        <v>2250</v>
      </c>
      <c r="O87">
        <f t="shared" si="13"/>
        <v>2250</v>
      </c>
      <c r="P87" s="37">
        <f t="shared" si="14"/>
        <v>1</v>
      </c>
    </row>
    <row r="88" spans="1:18">
      <c r="A88" s="5" t="s">
        <v>26</v>
      </c>
      <c r="B88" s="10" t="s">
        <v>124</v>
      </c>
      <c r="C88" s="11" t="s">
        <v>36</v>
      </c>
      <c r="D88" s="9" t="s">
        <v>147</v>
      </c>
      <c r="E88" s="9" t="s">
        <v>148</v>
      </c>
      <c r="F88" s="9" t="s">
        <v>148</v>
      </c>
      <c r="G88" s="9">
        <v>450</v>
      </c>
      <c r="H88" s="9" t="s">
        <v>148</v>
      </c>
      <c r="I88" s="9" t="s">
        <v>148</v>
      </c>
      <c r="J88" s="9" t="s">
        <v>147</v>
      </c>
      <c r="L88" s="6">
        <f t="shared" si="11"/>
        <v>450</v>
      </c>
      <c r="M88">
        <f t="shared" si="12"/>
        <v>450</v>
      </c>
      <c r="N88">
        <f t="shared" si="17"/>
        <v>2250</v>
      </c>
      <c r="O88">
        <f t="shared" si="13"/>
        <v>1800</v>
      </c>
      <c r="P88" s="37">
        <f t="shared" si="14"/>
        <v>0.8</v>
      </c>
    </row>
    <row r="89" spans="1:18">
      <c r="A89" s="5" t="s">
        <v>22</v>
      </c>
      <c r="B89" s="32" t="s">
        <v>125</v>
      </c>
      <c r="C89" s="35" t="s">
        <v>25</v>
      </c>
      <c r="D89" s="9" t="s">
        <v>147</v>
      </c>
      <c r="E89" s="9" t="s">
        <v>148</v>
      </c>
      <c r="F89" s="9" t="s">
        <v>148</v>
      </c>
      <c r="G89" s="9" t="s">
        <v>14</v>
      </c>
      <c r="H89" s="9" t="s">
        <v>14</v>
      </c>
      <c r="I89" s="9" t="s">
        <v>14</v>
      </c>
      <c r="J89" s="9" t="s">
        <v>147</v>
      </c>
      <c r="L89" s="6">
        <f t="shared" si="11"/>
        <v>0</v>
      </c>
      <c r="M89">
        <f t="shared" si="12"/>
        <v>0</v>
      </c>
      <c r="N89">
        <f>450*2</f>
        <v>900</v>
      </c>
      <c r="O89">
        <f t="shared" si="13"/>
        <v>900</v>
      </c>
      <c r="P89" s="37">
        <f t="shared" si="14"/>
        <v>1</v>
      </c>
      <c r="R89">
        <v>3</v>
      </c>
    </row>
    <row r="90" spans="1:18">
      <c r="A90" s="5" t="s">
        <v>26</v>
      </c>
      <c r="B90" s="10" t="s">
        <v>126</v>
      </c>
      <c r="C90" s="11" t="s">
        <v>30</v>
      </c>
      <c r="D90" s="9" t="s">
        <v>147</v>
      </c>
      <c r="E90" s="9" t="s">
        <v>148</v>
      </c>
      <c r="F90" s="9">
        <v>450</v>
      </c>
      <c r="G90" s="9" t="s">
        <v>148</v>
      </c>
      <c r="H90" s="9" t="s">
        <v>148</v>
      </c>
      <c r="I90" s="9">
        <v>3</v>
      </c>
      <c r="J90" s="9" t="s">
        <v>147</v>
      </c>
      <c r="K90">
        <f>I90</f>
        <v>3</v>
      </c>
      <c r="L90" s="6">
        <f t="shared" si="11"/>
        <v>450</v>
      </c>
      <c r="M90">
        <f t="shared" si="12"/>
        <v>453</v>
      </c>
      <c r="N90">
        <f t="shared" ref="N90:N95" si="18">450*5</f>
        <v>2250</v>
      </c>
      <c r="O90">
        <f t="shared" si="13"/>
        <v>1797</v>
      </c>
      <c r="P90" s="37">
        <f t="shared" si="14"/>
        <v>0.79866666666666664</v>
      </c>
    </row>
    <row r="91" spans="1:18">
      <c r="A91" s="5" t="s">
        <v>22</v>
      </c>
      <c r="B91" s="32" t="s">
        <v>127</v>
      </c>
      <c r="C91" s="35" t="s">
        <v>33</v>
      </c>
      <c r="D91" s="9" t="s">
        <v>147</v>
      </c>
      <c r="E91" s="9" t="s">
        <v>148</v>
      </c>
      <c r="F91" s="9">
        <v>46</v>
      </c>
      <c r="G91" s="9">
        <v>2</v>
      </c>
      <c r="H91" s="9" t="s">
        <v>148</v>
      </c>
      <c r="I91" s="9">
        <v>2</v>
      </c>
      <c r="J91" s="9" t="s">
        <v>147</v>
      </c>
      <c r="K91">
        <f>SUM(D91:J91)</f>
        <v>50</v>
      </c>
      <c r="L91" s="6">
        <f t="shared" si="11"/>
        <v>0</v>
      </c>
      <c r="M91">
        <f t="shared" si="12"/>
        <v>50</v>
      </c>
      <c r="N91">
        <f t="shared" si="18"/>
        <v>2250</v>
      </c>
      <c r="O91">
        <f t="shared" si="13"/>
        <v>2200</v>
      </c>
      <c r="P91" s="37">
        <f t="shared" si="14"/>
        <v>0.97777777777777775</v>
      </c>
    </row>
    <row r="92" spans="1:18">
      <c r="A92" s="5" t="s">
        <v>22</v>
      </c>
      <c r="B92" s="32" t="s">
        <v>128</v>
      </c>
      <c r="C92" s="35" t="s">
        <v>33</v>
      </c>
      <c r="D92" s="9" t="s">
        <v>147</v>
      </c>
      <c r="E92" s="9">
        <v>450</v>
      </c>
      <c r="F92" s="9" t="s">
        <v>148</v>
      </c>
      <c r="G92" s="9">
        <v>16</v>
      </c>
      <c r="H92" s="9" t="s">
        <v>148</v>
      </c>
      <c r="I92" s="9">
        <v>450</v>
      </c>
      <c r="J92" s="9" t="s">
        <v>147</v>
      </c>
      <c r="K92">
        <f>G92</f>
        <v>16</v>
      </c>
      <c r="L92" s="6">
        <f t="shared" si="11"/>
        <v>900</v>
      </c>
      <c r="M92">
        <f t="shared" si="12"/>
        <v>916</v>
      </c>
      <c r="N92">
        <f t="shared" si="18"/>
        <v>2250</v>
      </c>
      <c r="O92">
        <f t="shared" si="13"/>
        <v>1334</v>
      </c>
      <c r="P92" s="37">
        <f t="shared" si="14"/>
        <v>0.59288888888888891</v>
      </c>
    </row>
    <row r="93" spans="1:18">
      <c r="A93" s="5" t="s">
        <v>22</v>
      </c>
      <c r="B93" s="32" t="s">
        <v>129</v>
      </c>
      <c r="C93" s="35" t="s">
        <v>56</v>
      </c>
      <c r="D93" s="9" t="s">
        <v>147</v>
      </c>
      <c r="E93" s="9">
        <v>74</v>
      </c>
      <c r="F93" s="9" t="s">
        <v>148</v>
      </c>
      <c r="G93" s="9" t="s">
        <v>148</v>
      </c>
      <c r="H93" s="9" t="s">
        <v>148</v>
      </c>
      <c r="I93" s="9" t="s">
        <v>148</v>
      </c>
      <c r="J93" s="9" t="s">
        <v>147</v>
      </c>
      <c r="K93">
        <f>SUM(D93:J93)</f>
        <v>74</v>
      </c>
      <c r="L93" s="6">
        <f t="shared" si="11"/>
        <v>0</v>
      </c>
      <c r="M93">
        <f t="shared" si="12"/>
        <v>74</v>
      </c>
      <c r="N93">
        <f t="shared" si="18"/>
        <v>2250</v>
      </c>
      <c r="O93">
        <f t="shared" si="13"/>
        <v>2176</v>
      </c>
      <c r="P93" s="37">
        <f t="shared" si="14"/>
        <v>0.96711111111111114</v>
      </c>
    </row>
    <row r="94" spans="1:18">
      <c r="A94" s="5" t="s">
        <v>22</v>
      </c>
      <c r="B94" s="32" t="s">
        <v>130</v>
      </c>
      <c r="C94" s="35" t="s">
        <v>33</v>
      </c>
      <c r="D94" s="9" t="s">
        <v>147</v>
      </c>
      <c r="E94" s="9" t="s">
        <v>148</v>
      </c>
      <c r="F94" s="9">
        <v>15</v>
      </c>
      <c r="G94" s="9" t="s">
        <v>148</v>
      </c>
      <c r="H94" s="9" t="s">
        <v>148</v>
      </c>
      <c r="I94" s="9" t="s">
        <v>148</v>
      </c>
      <c r="J94" s="9" t="s">
        <v>147</v>
      </c>
      <c r="K94">
        <f>SUM(D94:J94)</f>
        <v>15</v>
      </c>
      <c r="L94" s="6">
        <f t="shared" si="11"/>
        <v>0</v>
      </c>
      <c r="M94">
        <f t="shared" si="12"/>
        <v>15</v>
      </c>
      <c r="N94">
        <f t="shared" si="18"/>
        <v>2250</v>
      </c>
      <c r="O94">
        <f t="shared" si="13"/>
        <v>2235</v>
      </c>
      <c r="P94" s="37">
        <f t="shared" si="14"/>
        <v>0.99333333333333329</v>
      </c>
    </row>
    <row r="95" spans="1:18">
      <c r="A95" s="5" t="s">
        <v>26</v>
      </c>
      <c r="B95" s="10" t="s">
        <v>131</v>
      </c>
      <c r="C95" s="11" t="s">
        <v>33</v>
      </c>
      <c r="D95" s="9" t="s">
        <v>147</v>
      </c>
      <c r="E95" s="9">
        <v>10</v>
      </c>
      <c r="F95" s="9">
        <v>3</v>
      </c>
      <c r="G95" s="9" t="s">
        <v>148</v>
      </c>
      <c r="H95" s="9" t="s">
        <v>148</v>
      </c>
      <c r="I95" s="9" t="s">
        <v>148</v>
      </c>
      <c r="J95" s="9" t="s">
        <v>147</v>
      </c>
      <c r="K95">
        <f>SUM(D95:J95)</f>
        <v>13</v>
      </c>
      <c r="L95" s="6">
        <f t="shared" si="11"/>
        <v>0</v>
      </c>
      <c r="M95">
        <f t="shared" si="12"/>
        <v>13</v>
      </c>
      <c r="N95">
        <f t="shared" si="18"/>
        <v>2250</v>
      </c>
      <c r="O95">
        <f t="shared" si="13"/>
        <v>2237</v>
      </c>
      <c r="P95" s="37">
        <f t="shared" si="14"/>
        <v>0.99422222222222223</v>
      </c>
    </row>
    <row r="96" spans="1:18">
      <c r="A96" s="5" t="s">
        <v>22</v>
      </c>
      <c r="B96" s="32" t="s">
        <v>132</v>
      </c>
      <c r="C96" s="35" t="s">
        <v>56</v>
      </c>
      <c r="D96" s="9" t="s">
        <v>147</v>
      </c>
      <c r="E96" s="9" t="s">
        <v>148</v>
      </c>
      <c r="F96" s="9" t="s">
        <v>148</v>
      </c>
      <c r="G96" s="9" t="s">
        <v>148</v>
      </c>
      <c r="H96" s="9" t="s">
        <v>148</v>
      </c>
      <c r="I96" s="9" t="s">
        <v>12</v>
      </c>
      <c r="J96" s="9" t="s">
        <v>147</v>
      </c>
      <c r="L96" s="6">
        <f t="shared" si="11"/>
        <v>0</v>
      </c>
      <c r="M96">
        <f t="shared" si="12"/>
        <v>0</v>
      </c>
      <c r="N96">
        <f>450*4</f>
        <v>1800</v>
      </c>
      <c r="O96">
        <f t="shared" si="13"/>
        <v>1800</v>
      </c>
      <c r="P96" s="37">
        <f t="shared" si="14"/>
        <v>1</v>
      </c>
      <c r="R96">
        <v>1</v>
      </c>
    </row>
    <row r="97" spans="1:16">
      <c r="A97" s="5" t="s">
        <v>26</v>
      </c>
      <c r="B97" s="10" t="s">
        <v>133</v>
      </c>
      <c r="C97" s="11" t="s">
        <v>40</v>
      </c>
      <c r="D97" s="9" t="s">
        <v>147</v>
      </c>
      <c r="E97" s="9" t="s">
        <v>148</v>
      </c>
      <c r="F97" s="9">
        <v>450</v>
      </c>
      <c r="G97" s="9">
        <v>450</v>
      </c>
      <c r="H97" s="9" t="s">
        <v>148</v>
      </c>
      <c r="I97" s="9">
        <v>65</v>
      </c>
      <c r="J97" s="9" t="s">
        <v>147</v>
      </c>
      <c r="K97">
        <f>I97</f>
        <v>65</v>
      </c>
      <c r="L97" s="6">
        <f t="shared" si="11"/>
        <v>900</v>
      </c>
      <c r="M97">
        <f t="shared" si="12"/>
        <v>965</v>
      </c>
      <c r="N97">
        <f t="shared" ref="N97:N99" si="19">450*5</f>
        <v>2250</v>
      </c>
      <c r="O97">
        <f t="shared" si="13"/>
        <v>1285</v>
      </c>
      <c r="P97" s="37">
        <f t="shared" si="14"/>
        <v>0.57111111111111112</v>
      </c>
    </row>
    <row r="98" spans="1:16">
      <c r="A98" s="12" t="s">
        <v>26</v>
      </c>
      <c r="B98" s="33" t="s">
        <v>27</v>
      </c>
      <c r="C98" s="36" t="s">
        <v>40</v>
      </c>
      <c r="D98" s="9" t="s">
        <v>147</v>
      </c>
      <c r="E98" s="9" t="s">
        <v>148</v>
      </c>
      <c r="F98" s="9" t="s">
        <v>148</v>
      </c>
      <c r="G98" s="9" t="s">
        <v>148</v>
      </c>
      <c r="H98" s="9" t="s">
        <v>148</v>
      </c>
      <c r="I98" s="9" t="s">
        <v>148</v>
      </c>
      <c r="J98" s="9" t="s">
        <v>147</v>
      </c>
      <c r="L98" s="6">
        <f t="shared" si="11"/>
        <v>0</v>
      </c>
      <c r="M98">
        <f t="shared" si="12"/>
        <v>0</v>
      </c>
      <c r="N98">
        <f t="shared" si="19"/>
        <v>2250</v>
      </c>
      <c r="O98">
        <f t="shared" si="13"/>
        <v>2250</v>
      </c>
      <c r="P98" s="37">
        <f t="shared" si="14"/>
        <v>1</v>
      </c>
    </row>
    <row r="99" spans="1:16">
      <c r="A99" s="5" t="s">
        <v>22</v>
      </c>
      <c r="B99" s="5" t="s">
        <v>134</v>
      </c>
      <c r="C99" s="5" t="s">
        <v>56</v>
      </c>
      <c r="D99" s="9" t="s">
        <v>147</v>
      </c>
      <c r="E99" s="9" t="s">
        <v>148</v>
      </c>
      <c r="F99" s="9" t="s">
        <v>148</v>
      </c>
      <c r="G99" s="9">
        <v>2</v>
      </c>
      <c r="H99" s="9" t="s">
        <v>148</v>
      </c>
      <c r="I99" s="9">
        <v>9</v>
      </c>
      <c r="J99" s="9" t="s">
        <v>147</v>
      </c>
      <c r="K99">
        <f>SUM(D99:J99)</f>
        <v>11</v>
      </c>
      <c r="L99" s="6">
        <f t="shared" si="11"/>
        <v>0</v>
      </c>
      <c r="M99">
        <f t="shared" si="12"/>
        <v>11</v>
      </c>
      <c r="N99">
        <f t="shared" si="19"/>
        <v>2250</v>
      </c>
      <c r="O99">
        <f t="shared" si="13"/>
        <v>2239</v>
      </c>
      <c r="P99" s="37">
        <f t="shared" si="14"/>
        <v>0.99511111111111106</v>
      </c>
    </row>
    <row r="100" spans="1:16">
      <c r="K100">
        <f>SUM(K2:K99)</f>
        <v>2079</v>
      </c>
      <c r="L100">
        <f t="shared" ref="L100:O100" si="20">SUM(L2:L99)</f>
        <v>15300</v>
      </c>
      <c r="M100">
        <f t="shared" si="20"/>
        <v>17379</v>
      </c>
      <c r="N100">
        <f t="shared" si="20"/>
        <v>207900</v>
      </c>
      <c r="O100">
        <f t="shared" si="20"/>
        <v>190521</v>
      </c>
      <c r="P100" s="38">
        <f>AVERAGE(P2:P99)</f>
        <v>0.91470445956160196</v>
      </c>
    </row>
    <row r="103" spans="1:16">
      <c r="M103" s="29">
        <f>M100/N100*100%</f>
        <v>8.3593073593073594E-2</v>
      </c>
    </row>
  </sheetData>
  <autoFilter ref="A1:R100" xr:uid="{DE0FE6A6-1337-4C9B-8110-A80D9F25FC57}"/>
  <sortState xmlns:xlrd2="http://schemas.microsoft.com/office/spreadsheetml/2017/richdata2" ref="A2:J100">
    <sortCondition ref="B2:B100"/>
  </sortState>
  <conditionalFormatting sqref="D98">
    <cfRule type="containsText" dxfId="11715" priority="15" operator="containsText" text="LWOP UA">
      <formula>NOT(ISERROR(SEARCH("LWOP UA",D98)))</formula>
    </cfRule>
    <cfRule type="containsText" dxfId="11714" priority="16" operator="containsText" text="P">
      <formula>NOT(ISERROR(SEARCH("P",D98)))</formula>
    </cfRule>
    <cfRule type="containsText" dxfId="11713" priority="17" operator="containsText" text="TFO">
      <formula>NOT(ISERROR(SEARCH("TFO",D98)))</formula>
    </cfRule>
    <cfRule type="containsText" dxfId="11712" priority="18" operator="containsText" text="AA">
      <formula>NOT(ISERROR(SEARCH("AA",D98)))</formula>
    </cfRule>
    <cfRule type="containsText" dxfId="11711" priority="19" operator="containsText" text="RESIGNED">
      <formula>NOT(ISERROR(SEARCH("RESIGNED",D98)))</formula>
    </cfRule>
    <cfRule type="containsText" dxfId="11710" priority="20" operator="containsText" text="P">
      <formula>NOT(ISERROR(SEARCH("P",D98)))</formula>
    </cfRule>
    <cfRule type="containsText" dxfId="11709" priority="21" operator="containsText" text="TARDY">
      <formula>NOT(ISERROR(SEARCH("TARDY",D98)))</formula>
    </cfRule>
    <cfRule type="containsText" dxfId="11708" priority="22" operator="containsText" text="REST DAY">
      <formula>NOT(ISERROR(SEARCH("REST DAY",D98)))</formula>
    </cfRule>
    <cfRule type="containsText" dxfId="11707" priority="23" operator="containsText" text="UA">
      <formula>NOT(ISERROR(SEARCH("UA",D98)))</formula>
    </cfRule>
  </conditionalFormatting>
  <conditionalFormatting sqref="D98:I98">
    <cfRule type="containsText" dxfId="11706" priority="24" operator="containsText" text="LWOP UA">
      <formula>NOT(ISERROR(SEARCH("LWOP UA",D98)))</formula>
    </cfRule>
  </conditionalFormatting>
  <conditionalFormatting sqref="D2:J97">
    <cfRule type="containsText" dxfId="11705" priority="35" operator="containsText" text="LWOP UA">
      <formula>NOT(ISERROR(SEARCH("LWOP UA",D2)))</formula>
    </cfRule>
    <cfRule type="containsText" dxfId="11704" priority="36" operator="containsText" text="P">
      <formula>NOT(ISERROR(SEARCH("P",D2)))</formula>
    </cfRule>
    <cfRule type="containsText" dxfId="11703" priority="37" operator="containsText" text="TFO">
      <formula>NOT(ISERROR(SEARCH("TFO",D2)))</formula>
    </cfRule>
    <cfRule type="containsText" dxfId="11702" priority="38" operator="containsText" text="AA">
      <formula>NOT(ISERROR(SEARCH("AA",D2)))</formula>
    </cfRule>
    <cfRule type="containsText" dxfId="11701" priority="39" operator="containsText" text="RESIGNED">
      <formula>NOT(ISERROR(SEARCH("RESIGNED",D2)))</formula>
    </cfRule>
    <cfRule type="containsText" dxfId="11700" priority="40" operator="containsText" text="P">
      <formula>NOT(ISERROR(SEARCH("P",D2)))</formula>
    </cfRule>
    <cfRule type="containsText" dxfId="11699" priority="41" operator="containsText" text="TARDY">
      <formula>NOT(ISERROR(SEARCH("TARDY",D2)))</formula>
    </cfRule>
    <cfRule type="containsText" dxfId="11698" priority="42" operator="containsText" text="REST DAY">
      <formula>NOT(ISERROR(SEARCH("REST DAY",D2)))</formula>
    </cfRule>
    <cfRule type="containsText" dxfId="11697" priority="43" operator="containsText" text="UA">
      <formula>NOT(ISERROR(SEARCH("UA",D2)))</formula>
    </cfRule>
    <cfRule type="containsText" dxfId="11696" priority="44" operator="containsText" text="LWOP UA">
      <formula>NOT(ISERROR(SEARCH("LWOP UA",D2)))</formula>
    </cfRule>
  </conditionalFormatting>
  <conditionalFormatting sqref="D2:J99">
    <cfRule type="containsText" dxfId="11695" priority="1" operator="containsText" text="VL">
      <formula>NOT(ISERROR(SEARCH("VL",D2)))</formula>
    </cfRule>
    <cfRule type="containsText" dxfId="11694" priority="2" operator="containsText" text="RD">
      <formula>NOT(ISERROR(SEARCH("RD",D2)))</formula>
    </cfRule>
    <cfRule type="containsText" dxfId="11693" priority="3" operator="containsText" text="540">
      <formula>NOT(ISERROR(SEARCH("540",D2)))</formula>
    </cfRule>
    <cfRule type="cellIs" dxfId="11692" priority="4" operator="between">
      <formula>1</formula>
      <formula>400</formula>
    </cfRule>
  </conditionalFormatting>
  <conditionalFormatting sqref="D99:J99 E98:I98">
    <cfRule type="containsText" dxfId="11691" priority="26" operator="containsText" text="P">
      <formula>NOT(ISERROR(SEARCH("P",D98)))</formula>
    </cfRule>
  </conditionalFormatting>
  <conditionalFormatting sqref="D99:J99">
    <cfRule type="containsText" dxfId="11690" priority="25" operator="containsText" text="LWOP UA">
      <formula>NOT(ISERROR(SEARCH("LWOP UA",D99)))</formula>
    </cfRule>
  </conditionalFormatting>
  <conditionalFormatting sqref="E98:I98 D99:J99">
    <cfRule type="containsText" dxfId="11689" priority="27" operator="containsText" text="TFO">
      <formula>NOT(ISERROR(SEARCH("TFO",D98)))</formula>
    </cfRule>
    <cfRule type="containsText" dxfId="11688" priority="28" operator="containsText" text="AA">
      <formula>NOT(ISERROR(SEARCH("AA",D98)))</formula>
    </cfRule>
    <cfRule type="containsText" dxfId="11687" priority="29" operator="containsText" text="RESIGNED">
      <formula>NOT(ISERROR(SEARCH("RESIGNED",D98)))</formula>
    </cfRule>
    <cfRule type="containsText" dxfId="11686" priority="30" operator="containsText" text="P">
      <formula>NOT(ISERROR(SEARCH("P",D98)))</formula>
    </cfRule>
    <cfRule type="containsText" dxfId="11685" priority="31" operator="containsText" text="TARDY">
      <formula>NOT(ISERROR(SEARCH("TARDY",D98)))</formula>
    </cfRule>
    <cfRule type="containsText" dxfId="11684" priority="32" operator="containsText" text="REST DAY">
      <formula>NOT(ISERROR(SEARCH("REST DAY",D98)))</formula>
    </cfRule>
    <cfRule type="containsText" dxfId="11683" priority="33" operator="containsText" text="UA">
      <formula>NOT(ISERROR(SEARCH("UA",D98)))</formula>
    </cfRule>
    <cfRule type="containsText" dxfId="11682" priority="34" operator="containsText" text="LWOP UA">
      <formula>NOT(ISERROR(SEARCH("LWOP UA",D98)))</formula>
    </cfRule>
  </conditionalFormatting>
  <conditionalFormatting sqref="J98">
    <cfRule type="containsText" dxfId="11681" priority="5" operator="containsText" text="LWOP UA">
      <formula>NOT(ISERROR(SEARCH("LWOP UA",J98)))</formula>
    </cfRule>
    <cfRule type="containsText" dxfId="11680" priority="6" operator="containsText" text="P">
      <formula>NOT(ISERROR(SEARCH("P",J98)))</formula>
    </cfRule>
    <cfRule type="containsText" dxfId="11679" priority="7" operator="containsText" text="TFO">
      <formula>NOT(ISERROR(SEARCH("TFO",J98)))</formula>
    </cfRule>
    <cfRule type="containsText" dxfId="11678" priority="8" operator="containsText" text="AA">
      <formula>NOT(ISERROR(SEARCH("AA",J98)))</formula>
    </cfRule>
    <cfRule type="containsText" dxfId="11677" priority="9" operator="containsText" text="RESIGNED">
      <formula>NOT(ISERROR(SEARCH("RESIGNED",J98)))</formula>
    </cfRule>
    <cfRule type="containsText" dxfId="11676" priority="10" operator="containsText" text="P">
      <formula>NOT(ISERROR(SEARCH("P",J98)))</formula>
    </cfRule>
    <cfRule type="containsText" dxfId="11675" priority="11" operator="containsText" text="TARDY">
      <formula>NOT(ISERROR(SEARCH("TARDY",J98)))</formula>
    </cfRule>
    <cfRule type="containsText" dxfId="11674" priority="12" operator="containsText" text="REST DAY">
      <formula>NOT(ISERROR(SEARCH("REST DAY",J98)))</formula>
    </cfRule>
    <cfRule type="containsText" dxfId="11673" priority="13" operator="containsText" text="UA">
      <formula>NOT(ISERROR(SEARCH("UA",J98)))</formula>
    </cfRule>
    <cfRule type="containsText" dxfId="11672" priority="14" operator="containsText" text="LWOP UA">
      <formula>NOT(ISERROR(SEARCH("LWOP UA",J98)))</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1135FD-7AFA-49E7-8201-935E3782A957}">
  <sheetPr filterMode="1"/>
  <dimension ref="A1:Z97"/>
  <sheetViews>
    <sheetView workbookViewId="0">
      <selection activeCell="D2" sqref="D2:J2"/>
    </sheetView>
  </sheetViews>
  <sheetFormatPr defaultRowHeight="15"/>
  <cols>
    <col min="1" max="1" width="9.140625" style="6"/>
    <col min="2" max="2" width="21.42578125" style="6" bestFit="1" customWidth="1"/>
    <col min="3" max="3" width="12" style="6" bestFit="1" customWidth="1"/>
    <col min="4" max="4" width="9.85546875" style="6" bestFit="1" customWidth="1"/>
    <col min="5" max="5" width="11.85546875" style="6" bestFit="1" customWidth="1"/>
    <col min="6" max="6" width="9.85546875" style="6" bestFit="1" customWidth="1"/>
    <col min="7" max="7" width="14" style="6" bestFit="1" customWidth="1"/>
    <col min="8" max="8" width="12.7109375" style="6" bestFit="1" customWidth="1"/>
    <col min="9" max="9" width="10.42578125" style="6" bestFit="1" customWidth="1"/>
    <col min="10" max="10" width="12.7109375" style="6" bestFit="1" customWidth="1"/>
    <col min="15" max="16" width="10" bestFit="1" customWidth="1"/>
    <col min="20" max="20" width="13.140625" bestFit="1" customWidth="1"/>
    <col min="21" max="22" width="16.140625" bestFit="1" customWidth="1"/>
    <col min="23" max="23" width="16.85546875" bestFit="1" customWidth="1"/>
    <col min="24" max="24" width="17.7109375" bestFit="1" customWidth="1"/>
    <col min="25" max="25" width="13.28515625" bestFit="1" customWidth="1"/>
    <col min="26" max="26" width="21.7109375" bestFit="1" customWidth="1"/>
  </cols>
  <sheetData>
    <row r="1" spans="1:26">
      <c r="A1" s="1" t="s">
        <v>0</v>
      </c>
      <c r="B1" s="1" t="s">
        <v>2</v>
      </c>
      <c r="C1" s="1" t="s">
        <v>3</v>
      </c>
      <c r="D1" s="8" t="s">
        <v>135</v>
      </c>
      <c r="E1" s="8" t="s">
        <v>136</v>
      </c>
      <c r="F1" s="8" t="s">
        <v>137</v>
      </c>
      <c r="G1" s="8" t="s">
        <v>138</v>
      </c>
      <c r="H1" s="8" t="s">
        <v>139</v>
      </c>
      <c r="I1" s="8" t="s">
        <v>140</v>
      </c>
      <c r="J1" s="8" t="s">
        <v>141</v>
      </c>
      <c r="K1" s="1" t="s">
        <v>4</v>
      </c>
      <c r="L1" s="1" t="s">
        <v>5</v>
      </c>
      <c r="M1" s="1" t="s">
        <v>6</v>
      </c>
      <c r="N1" s="1" t="s">
        <v>7</v>
      </c>
      <c r="O1" s="1" t="s">
        <v>8</v>
      </c>
      <c r="P1" s="1" t="s">
        <v>9</v>
      </c>
      <c r="Q1" s="2" t="s">
        <v>12</v>
      </c>
      <c r="R1" s="2" t="s">
        <v>14</v>
      </c>
      <c r="T1" s="13" t="s">
        <v>142</v>
      </c>
      <c r="U1" t="s">
        <v>143</v>
      </c>
      <c r="V1" t="s">
        <v>144</v>
      </c>
      <c r="W1" t="s">
        <v>177</v>
      </c>
      <c r="X1" t="s">
        <v>146</v>
      </c>
      <c r="Y1" t="s">
        <v>145</v>
      </c>
      <c r="Z1" t="s">
        <v>165</v>
      </c>
    </row>
    <row r="2" spans="1:26">
      <c r="A2" s="5" t="s">
        <v>22</v>
      </c>
      <c r="B2" s="5" t="s">
        <v>24</v>
      </c>
      <c r="C2" s="5" t="s">
        <v>25</v>
      </c>
      <c r="D2" s="9" t="s">
        <v>147</v>
      </c>
      <c r="E2" s="9" t="s">
        <v>148</v>
      </c>
      <c r="F2" s="9">
        <v>106</v>
      </c>
      <c r="G2" s="9" t="s">
        <v>148</v>
      </c>
      <c r="H2" s="9" t="s">
        <v>148</v>
      </c>
      <c r="I2" s="9" t="s">
        <v>14</v>
      </c>
      <c r="J2" s="9" t="s">
        <v>147</v>
      </c>
      <c r="K2" s="4">
        <f>SUM(F2:I2)</f>
        <v>106</v>
      </c>
      <c r="L2" s="6">
        <f>SUMIF(D2:J2,"450")</f>
        <v>0</v>
      </c>
      <c r="M2" s="4">
        <f>SUM(K2:L2)</f>
        <v>106</v>
      </c>
      <c r="N2" s="4">
        <f>450*4</f>
        <v>1800</v>
      </c>
      <c r="O2" s="4">
        <f>N2-M2</f>
        <v>1694</v>
      </c>
      <c r="P2" s="4">
        <f>O2/N2*100%</f>
        <v>0.94111111111111112</v>
      </c>
      <c r="Q2" s="4"/>
      <c r="R2" s="4">
        <v>1</v>
      </c>
      <c r="T2" s="14" t="s">
        <v>111</v>
      </c>
      <c r="U2">
        <v>0</v>
      </c>
      <c r="V2">
        <v>0</v>
      </c>
      <c r="W2">
        <v>0</v>
      </c>
      <c r="X2">
        <v>2250</v>
      </c>
      <c r="Y2">
        <v>2250</v>
      </c>
      <c r="Z2" s="39">
        <v>1</v>
      </c>
    </row>
    <row r="3" spans="1:26">
      <c r="A3" s="5" t="s">
        <v>26</v>
      </c>
      <c r="B3" s="7" t="s">
        <v>28</v>
      </c>
      <c r="C3" s="34" t="s">
        <v>25</v>
      </c>
      <c r="D3" s="9" t="s">
        <v>148</v>
      </c>
      <c r="E3" s="9" t="s">
        <v>148</v>
      </c>
      <c r="F3" s="9" t="s">
        <v>147</v>
      </c>
      <c r="G3" s="9" t="s">
        <v>147</v>
      </c>
      <c r="H3" s="9">
        <v>450</v>
      </c>
      <c r="I3" s="9">
        <v>7</v>
      </c>
      <c r="J3" s="9" t="s">
        <v>148</v>
      </c>
      <c r="K3" s="6">
        <f>I3</f>
        <v>7</v>
      </c>
      <c r="L3" s="6">
        <f t="shared" ref="L3:L66" si="0">SUMIF(D3:J3,"450")</f>
        <v>450</v>
      </c>
      <c r="M3" s="4">
        <f t="shared" ref="M3:M64" si="1">SUM(K3:L3)</f>
        <v>457</v>
      </c>
      <c r="N3" s="4">
        <f t="shared" ref="N3:N68" si="2">450*5</f>
        <v>2250</v>
      </c>
      <c r="O3" s="4">
        <f t="shared" ref="O3:O66" si="3">N3-M3</f>
        <v>1793</v>
      </c>
      <c r="P3" s="4">
        <f t="shared" ref="P3:P66" si="4">O3/N3*100%</f>
        <v>0.79688888888888887</v>
      </c>
      <c r="Q3" s="6"/>
      <c r="R3" s="6"/>
      <c r="T3" s="14" t="s">
        <v>22</v>
      </c>
      <c r="U3">
        <v>1617</v>
      </c>
      <c r="V3">
        <v>4950</v>
      </c>
      <c r="W3">
        <v>6567</v>
      </c>
      <c r="X3">
        <v>81183</v>
      </c>
      <c r="Y3">
        <v>87750</v>
      </c>
      <c r="Z3" s="39">
        <v>0.92668055555555551</v>
      </c>
    </row>
    <row r="4" spans="1:26" hidden="1">
      <c r="A4" s="5" t="s">
        <v>26</v>
      </c>
      <c r="B4" s="7" t="s">
        <v>29</v>
      </c>
      <c r="C4" s="34" t="s">
        <v>30</v>
      </c>
      <c r="D4" s="9" t="s">
        <v>148</v>
      </c>
      <c r="E4" s="9" t="s">
        <v>148</v>
      </c>
      <c r="F4" s="9" t="s">
        <v>147</v>
      </c>
      <c r="G4" s="9" t="s">
        <v>147</v>
      </c>
      <c r="H4" s="9" t="s">
        <v>148</v>
      </c>
      <c r="I4" s="9">
        <v>2</v>
      </c>
      <c r="J4" s="9" t="s">
        <v>148</v>
      </c>
      <c r="K4" s="6">
        <f>SUM(D4:J4)</f>
        <v>2</v>
      </c>
      <c r="L4" s="6">
        <f t="shared" si="0"/>
        <v>0</v>
      </c>
      <c r="M4" s="4">
        <f t="shared" si="1"/>
        <v>2</v>
      </c>
      <c r="N4" s="4">
        <f t="shared" si="2"/>
        <v>2250</v>
      </c>
      <c r="O4" s="4">
        <f t="shared" si="3"/>
        <v>2248</v>
      </c>
      <c r="P4" s="4">
        <f t="shared" si="4"/>
        <v>0.99911111111111106</v>
      </c>
      <c r="Q4" s="6"/>
      <c r="R4" s="6"/>
      <c r="T4" s="14" t="s">
        <v>37</v>
      </c>
      <c r="U4">
        <v>491</v>
      </c>
      <c r="V4">
        <v>450</v>
      </c>
      <c r="W4">
        <v>941</v>
      </c>
      <c r="X4">
        <v>21109</v>
      </c>
      <c r="Y4">
        <v>22050</v>
      </c>
      <c r="Z4" s="39">
        <v>0.9555111111111112</v>
      </c>
    </row>
    <row r="5" spans="1:26" hidden="1">
      <c r="A5" s="5" t="s">
        <v>22</v>
      </c>
      <c r="B5" s="5" t="s">
        <v>32</v>
      </c>
      <c r="C5" s="5" t="s">
        <v>33</v>
      </c>
      <c r="D5" s="9" t="s">
        <v>147</v>
      </c>
      <c r="E5" s="9">
        <v>6</v>
      </c>
      <c r="F5" s="9">
        <v>4</v>
      </c>
      <c r="G5" s="9">
        <v>48</v>
      </c>
      <c r="H5" s="9" t="s">
        <v>148</v>
      </c>
      <c r="I5" s="9" t="s">
        <v>148</v>
      </c>
      <c r="J5" s="9" t="s">
        <v>147</v>
      </c>
      <c r="K5" s="6">
        <f>SUM(E5:I5)</f>
        <v>58</v>
      </c>
      <c r="L5" s="6">
        <f t="shared" si="0"/>
        <v>0</v>
      </c>
      <c r="M5" s="4">
        <f t="shared" si="1"/>
        <v>58</v>
      </c>
      <c r="N5" s="4">
        <f t="shared" si="2"/>
        <v>2250</v>
      </c>
      <c r="O5" s="4">
        <f t="shared" si="3"/>
        <v>2192</v>
      </c>
      <c r="P5" s="4">
        <f t="shared" si="4"/>
        <v>0.97422222222222221</v>
      </c>
      <c r="Q5" s="6"/>
      <c r="R5" s="6"/>
      <c r="T5" s="14" t="s">
        <v>57</v>
      </c>
      <c r="U5">
        <v>0</v>
      </c>
      <c r="V5">
        <v>900</v>
      </c>
      <c r="W5">
        <v>900</v>
      </c>
      <c r="X5">
        <v>7650</v>
      </c>
      <c r="Y5">
        <v>8550</v>
      </c>
      <c r="Z5" s="39">
        <v>0.89999999999999991</v>
      </c>
    </row>
    <row r="6" spans="1:26" hidden="1">
      <c r="A6" s="5" t="s">
        <v>26</v>
      </c>
      <c r="B6" s="7" t="s">
        <v>35</v>
      </c>
      <c r="C6" s="34" t="s">
        <v>36</v>
      </c>
      <c r="D6" s="9" t="s">
        <v>147</v>
      </c>
      <c r="E6" s="9">
        <v>16</v>
      </c>
      <c r="F6" s="9" t="s">
        <v>148</v>
      </c>
      <c r="G6" s="9" t="s">
        <v>148</v>
      </c>
      <c r="H6" s="9">
        <v>5</v>
      </c>
      <c r="I6" s="9">
        <v>11</v>
      </c>
      <c r="J6" s="9" t="s">
        <v>147</v>
      </c>
      <c r="K6" s="6">
        <f>SUM(D6:J6)</f>
        <v>32</v>
      </c>
      <c r="L6" s="6">
        <f t="shared" si="0"/>
        <v>0</v>
      </c>
      <c r="M6" s="4">
        <f t="shared" si="1"/>
        <v>32</v>
      </c>
      <c r="N6" s="4">
        <f t="shared" si="2"/>
        <v>2250</v>
      </c>
      <c r="O6" s="4">
        <f t="shared" si="3"/>
        <v>2218</v>
      </c>
      <c r="P6" s="4">
        <f t="shared" si="4"/>
        <v>0.98577777777777775</v>
      </c>
      <c r="Q6" s="6"/>
      <c r="R6" s="6"/>
      <c r="T6" s="14" t="s">
        <v>60</v>
      </c>
      <c r="U6">
        <v>0</v>
      </c>
      <c r="V6">
        <v>0</v>
      </c>
      <c r="W6">
        <v>0</v>
      </c>
      <c r="X6">
        <v>4500</v>
      </c>
      <c r="Y6">
        <v>4500</v>
      </c>
      <c r="Z6" s="39">
        <v>1</v>
      </c>
    </row>
    <row r="7" spans="1:26" hidden="1">
      <c r="A7" s="5" t="s">
        <v>37</v>
      </c>
      <c r="B7" s="5" t="s">
        <v>39</v>
      </c>
      <c r="C7" s="5" t="s">
        <v>40</v>
      </c>
      <c r="D7" s="9" t="s">
        <v>148</v>
      </c>
      <c r="E7" s="9" t="s">
        <v>148</v>
      </c>
      <c r="F7" s="9" t="s">
        <v>148</v>
      </c>
      <c r="G7" s="9" t="s">
        <v>148</v>
      </c>
      <c r="H7" s="9" t="s">
        <v>148</v>
      </c>
      <c r="I7" s="9" t="s">
        <v>147</v>
      </c>
      <c r="J7" s="9" t="s">
        <v>147</v>
      </c>
      <c r="K7" s="6">
        <f>SUM(D7:J7)</f>
        <v>0</v>
      </c>
      <c r="L7" s="6">
        <f t="shared" si="0"/>
        <v>0</v>
      </c>
      <c r="M7" s="4">
        <f t="shared" si="1"/>
        <v>0</v>
      </c>
      <c r="N7" s="4">
        <f t="shared" si="2"/>
        <v>2250</v>
      </c>
      <c r="O7" s="4">
        <f t="shared" si="3"/>
        <v>2250</v>
      </c>
      <c r="P7" s="4">
        <f t="shared" si="4"/>
        <v>1</v>
      </c>
      <c r="Q7" s="6"/>
      <c r="R7" s="6"/>
      <c r="T7" s="14" t="s">
        <v>26</v>
      </c>
      <c r="U7">
        <v>552</v>
      </c>
      <c r="V7">
        <v>2700</v>
      </c>
      <c r="W7">
        <v>3252</v>
      </c>
      <c r="X7">
        <v>77748</v>
      </c>
      <c r="Y7">
        <v>81000</v>
      </c>
      <c r="Z7" s="39">
        <v>0.95985185185185196</v>
      </c>
    </row>
    <row r="8" spans="1:26" hidden="1">
      <c r="A8" s="5" t="s">
        <v>22</v>
      </c>
      <c r="B8" s="5" t="s">
        <v>41</v>
      </c>
      <c r="C8" s="5" t="s">
        <v>33</v>
      </c>
      <c r="D8" s="9" t="s">
        <v>147</v>
      </c>
      <c r="E8" s="9">
        <v>13</v>
      </c>
      <c r="F8" s="9" t="s">
        <v>14</v>
      </c>
      <c r="G8" s="9" t="s">
        <v>148</v>
      </c>
      <c r="H8" s="9" t="s">
        <v>148</v>
      </c>
      <c r="I8" s="9" t="s">
        <v>148</v>
      </c>
      <c r="J8" s="9" t="s">
        <v>147</v>
      </c>
      <c r="K8" s="6">
        <f>SUM(E8:I8)</f>
        <v>13</v>
      </c>
      <c r="L8" s="6">
        <f t="shared" si="0"/>
        <v>0</v>
      </c>
      <c r="M8" s="4">
        <f t="shared" si="1"/>
        <v>13</v>
      </c>
      <c r="N8" s="4">
        <f>450*4</f>
        <v>1800</v>
      </c>
      <c r="O8" s="4">
        <f t="shared" si="3"/>
        <v>1787</v>
      </c>
      <c r="P8" s="4">
        <f t="shared" si="4"/>
        <v>0.99277777777777776</v>
      </c>
      <c r="Q8" s="6"/>
      <c r="R8" s="6"/>
      <c r="T8" s="14" t="s">
        <v>149</v>
      </c>
      <c r="U8">
        <v>2660</v>
      </c>
      <c r="V8">
        <v>9000</v>
      </c>
      <c r="W8">
        <v>11660</v>
      </c>
      <c r="X8">
        <v>194440</v>
      </c>
      <c r="Y8">
        <v>206100</v>
      </c>
      <c r="Z8" s="39">
        <v>0.94383870967741934</v>
      </c>
    </row>
    <row r="9" spans="1:26">
      <c r="A9" s="5" t="s">
        <v>22</v>
      </c>
      <c r="B9" s="5" t="s">
        <v>42</v>
      </c>
      <c r="C9" s="5" t="s">
        <v>25</v>
      </c>
      <c r="D9" s="9" t="s">
        <v>147</v>
      </c>
      <c r="E9" s="9" t="s">
        <v>148</v>
      </c>
      <c r="F9" s="9">
        <v>6</v>
      </c>
      <c r="G9" s="9" t="s">
        <v>148</v>
      </c>
      <c r="H9" s="9" t="s">
        <v>148</v>
      </c>
      <c r="I9" s="9">
        <v>115</v>
      </c>
      <c r="J9" s="9" t="s">
        <v>147</v>
      </c>
      <c r="K9" s="6">
        <f>SUM(D9:I9)</f>
        <v>121</v>
      </c>
      <c r="L9" s="6">
        <f t="shared" si="0"/>
        <v>0</v>
      </c>
      <c r="M9" s="4">
        <f t="shared" si="1"/>
        <v>121</v>
      </c>
      <c r="N9" s="4">
        <f t="shared" si="2"/>
        <v>2250</v>
      </c>
      <c r="O9" s="4">
        <f t="shared" si="3"/>
        <v>2129</v>
      </c>
      <c r="P9" s="4">
        <f t="shared" si="4"/>
        <v>0.94622222222222219</v>
      </c>
      <c r="Q9" s="6"/>
      <c r="R9" s="6"/>
    </row>
    <row r="10" spans="1:26">
      <c r="A10" s="5" t="s">
        <v>22</v>
      </c>
      <c r="B10" s="5" t="s">
        <v>43</v>
      </c>
      <c r="C10" s="5" t="s">
        <v>25</v>
      </c>
      <c r="D10" s="9" t="s">
        <v>147</v>
      </c>
      <c r="E10" s="9" t="s">
        <v>148</v>
      </c>
      <c r="F10" s="9" t="s">
        <v>148</v>
      </c>
      <c r="G10" s="9" t="s">
        <v>148</v>
      </c>
      <c r="H10" s="9" t="s">
        <v>148</v>
      </c>
      <c r="I10" s="9" t="s">
        <v>148</v>
      </c>
      <c r="J10" s="9" t="s">
        <v>147</v>
      </c>
      <c r="K10" s="6">
        <f>SUM(D10:I10)</f>
        <v>0</v>
      </c>
      <c r="L10" s="6">
        <f t="shared" si="0"/>
        <v>0</v>
      </c>
      <c r="M10" s="4">
        <f t="shared" si="1"/>
        <v>0</v>
      </c>
      <c r="N10" s="4">
        <f t="shared" si="2"/>
        <v>2250</v>
      </c>
      <c r="O10" s="4">
        <f t="shared" si="3"/>
        <v>2250</v>
      </c>
      <c r="P10" s="4">
        <f t="shared" si="4"/>
        <v>1</v>
      </c>
      <c r="Q10" s="6"/>
      <c r="R10" s="6"/>
    </row>
    <row r="11" spans="1:26" hidden="1">
      <c r="A11" s="5" t="s">
        <v>37</v>
      </c>
      <c r="B11" s="5" t="s">
        <v>44</v>
      </c>
      <c r="C11" s="5" t="s">
        <v>40</v>
      </c>
      <c r="D11" s="9" t="s">
        <v>147</v>
      </c>
      <c r="E11" s="9" t="s">
        <v>147</v>
      </c>
      <c r="F11" s="9" t="s">
        <v>148</v>
      </c>
      <c r="G11" s="9" t="s">
        <v>148</v>
      </c>
      <c r="H11" s="9" t="s">
        <v>148</v>
      </c>
      <c r="I11" s="9" t="s">
        <v>148</v>
      </c>
      <c r="J11" s="9" t="s">
        <v>148</v>
      </c>
      <c r="K11" s="6">
        <f>SUM(D11:I11)</f>
        <v>0</v>
      </c>
      <c r="L11" s="6">
        <f t="shared" si="0"/>
        <v>0</v>
      </c>
      <c r="M11" s="4">
        <f t="shared" si="1"/>
        <v>0</v>
      </c>
      <c r="N11" s="4">
        <f t="shared" si="2"/>
        <v>2250</v>
      </c>
      <c r="O11" s="4">
        <f t="shared" si="3"/>
        <v>2250</v>
      </c>
      <c r="P11" s="4">
        <f t="shared" si="4"/>
        <v>1</v>
      </c>
      <c r="Q11" s="6"/>
      <c r="R11" s="6"/>
      <c r="T11" s="13" t="s">
        <v>142</v>
      </c>
      <c r="U11" t="s">
        <v>165</v>
      </c>
    </row>
    <row r="12" spans="1:26" hidden="1">
      <c r="A12" s="5" t="s">
        <v>26</v>
      </c>
      <c r="B12" s="7" t="s">
        <v>45</v>
      </c>
      <c r="C12" s="34" t="s">
        <v>30</v>
      </c>
      <c r="D12" s="9" t="s">
        <v>148</v>
      </c>
      <c r="E12" s="9" t="s">
        <v>148</v>
      </c>
      <c r="F12" s="9" t="s">
        <v>148</v>
      </c>
      <c r="G12" s="9" t="s">
        <v>147</v>
      </c>
      <c r="H12" s="9" t="s">
        <v>147</v>
      </c>
      <c r="I12" s="9" t="s">
        <v>148</v>
      </c>
      <c r="J12" s="9" t="s">
        <v>148</v>
      </c>
      <c r="K12" s="6">
        <f t="shared" ref="K12:K16" si="5">SUM(D12:J12)</f>
        <v>0</v>
      </c>
      <c r="L12" s="6">
        <f t="shared" si="0"/>
        <v>0</v>
      </c>
      <c r="M12" s="4">
        <f t="shared" si="1"/>
        <v>0</v>
      </c>
      <c r="N12" s="4">
        <f t="shared" si="2"/>
        <v>2250</v>
      </c>
      <c r="O12" s="4">
        <f t="shared" si="3"/>
        <v>2250</v>
      </c>
      <c r="P12" s="4">
        <f t="shared" si="4"/>
        <v>1</v>
      </c>
      <c r="Q12" s="6"/>
      <c r="R12" s="6"/>
      <c r="T12" s="14" t="s">
        <v>26</v>
      </c>
      <c r="U12" s="39">
        <v>0.95985185185185196</v>
      </c>
    </row>
    <row r="13" spans="1:26" hidden="1">
      <c r="A13" s="5" t="s">
        <v>26</v>
      </c>
      <c r="B13" s="7" t="s">
        <v>47</v>
      </c>
      <c r="C13" s="34" t="s">
        <v>33</v>
      </c>
      <c r="D13" s="9" t="s">
        <v>147</v>
      </c>
      <c r="E13" s="9">
        <v>16</v>
      </c>
      <c r="F13" s="9" t="s">
        <v>148</v>
      </c>
      <c r="G13" s="9">
        <v>26</v>
      </c>
      <c r="H13" s="9" t="s">
        <v>148</v>
      </c>
      <c r="I13" s="9">
        <v>6</v>
      </c>
      <c r="J13" s="9" t="s">
        <v>147</v>
      </c>
      <c r="K13" s="6"/>
      <c r="L13" s="6">
        <f t="shared" si="0"/>
        <v>0</v>
      </c>
      <c r="M13" s="4">
        <f t="shared" si="1"/>
        <v>0</v>
      </c>
      <c r="N13" s="4">
        <f t="shared" si="2"/>
        <v>2250</v>
      </c>
      <c r="O13" s="4">
        <f t="shared" si="3"/>
        <v>2250</v>
      </c>
      <c r="P13" s="4">
        <f t="shared" si="4"/>
        <v>1</v>
      </c>
      <c r="Q13" s="6"/>
      <c r="R13" s="6"/>
      <c r="T13" s="24" t="s">
        <v>28</v>
      </c>
      <c r="U13" s="39">
        <v>0.79688888888888887</v>
      </c>
    </row>
    <row r="14" spans="1:26" hidden="1">
      <c r="A14" s="5" t="s">
        <v>26</v>
      </c>
      <c r="B14" s="7" t="s">
        <v>48</v>
      </c>
      <c r="C14" s="34" t="s">
        <v>33</v>
      </c>
      <c r="D14" s="9" t="s">
        <v>147</v>
      </c>
      <c r="E14" s="9" t="s">
        <v>148</v>
      </c>
      <c r="F14" s="9" t="s">
        <v>148</v>
      </c>
      <c r="G14" s="9" t="s">
        <v>148</v>
      </c>
      <c r="H14" s="9" t="s">
        <v>148</v>
      </c>
      <c r="I14" s="9" t="s">
        <v>148</v>
      </c>
      <c r="J14" s="9" t="s">
        <v>147</v>
      </c>
      <c r="K14" s="6">
        <f t="shared" si="5"/>
        <v>0</v>
      </c>
      <c r="L14" s="6">
        <f t="shared" si="0"/>
        <v>0</v>
      </c>
      <c r="M14" s="4">
        <f t="shared" si="1"/>
        <v>0</v>
      </c>
      <c r="N14" s="4">
        <f t="shared" si="2"/>
        <v>2250</v>
      </c>
      <c r="O14" s="4">
        <f t="shared" si="3"/>
        <v>2250</v>
      </c>
      <c r="P14" s="4">
        <f t="shared" si="4"/>
        <v>1</v>
      </c>
      <c r="Q14" s="6"/>
      <c r="R14" s="6"/>
      <c r="T14" s="24" t="s">
        <v>29</v>
      </c>
      <c r="U14" s="39">
        <v>0.99911111111111106</v>
      </c>
    </row>
    <row r="15" spans="1:26" hidden="1">
      <c r="A15" s="5" t="s">
        <v>26</v>
      </c>
      <c r="B15" s="7" t="s">
        <v>49</v>
      </c>
      <c r="C15" s="34" t="s">
        <v>50</v>
      </c>
      <c r="D15" s="9" t="s">
        <v>147</v>
      </c>
      <c r="E15" s="9" t="s">
        <v>148</v>
      </c>
      <c r="F15" s="9" t="s">
        <v>148</v>
      </c>
      <c r="G15" s="9" t="s">
        <v>148</v>
      </c>
      <c r="H15" s="9" t="s">
        <v>148</v>
      </c>
      <c r="I15" s="9" t="s">
        <v>148</v>
      </c>
      <c r="J15" s="9" t="s">
        <v>147</v>
      </c>
      <c r="K15" s="6">
        <f t="shared" si="5"/>
        <v>0</v>
      </c>
      <c r="L15" s="6">
        <f t="shared" si="0"/>
        <v>0</v>
      </c>
      <c r="M15" s="4">
        <f t="shared" si="1"/>
        <v>0</v>
      </c>
      <c r="N15" s="4">
        <f t="shared" si="2"/>
        <v>2250</v>
      </c>
      <c r="O15" s="4">
        <f t="shared" si="3"/>
        <v>2250</v>
      </c>
      <c r="P15" s="4">
        <f t="shared" si="4"/>
        <v>1</v>
      </c>
      <c r="Q15" s="6"/>
      <c r="R15" s="6"/>
      <c r="T15" s="24" t="s">
        <v>35</v>
      </c>
      <c r="U15" s="39">
        <v>0.98577777777777775</v>
      </c>
    </row>
    <row r="16" spans="1:26">
      <c r="A16" s="5" t="s">
        <v>26</v>
      </c>
      <c r="B16" s="7" t="s">
        <v>51</v>
      </c>
      <c r="C16" s="34" t="s">
        <v>25</v>
      </c>
      <c r="D16" s="9" t="s">
        <v>147</v>
      </c>
      <c r="E16" s="9">
        <v>4</v>
      </c>
      <c r="F16" s="9">
        <v>9</v>
      </c>
      <c r="G16" s="9" t="s">
        <v>148</v>
      </c>
      <c r="H16" s="9" t="s">
        <v>148</v>
      </c>
      <c r="I16" s="9">
        <v>1</v>
      </c>
      <c r="J16" s="9" t="s">
        <v>147</v>
      </c>
      <c r="K16" s="6">
        <f t="shared" si="5"/>
        <v>14</v>
      </c>
      <c r="L16" s="6">
        <f t="shared" si="0"/>
        <v>0</v>
      </c>
      <c r="M16" s="4">
        <f t="shared" si="1"/>
        <v>14</v>
      </c>
      <c r="N16" s="4">
        <f t="shared" si="2"/>
        <v>2250</v>
      </c>
      <c r="O16" s="4">
        <f t="shared" si="3"/>
        <v>2236</v>
      </c>
      <c r="P16" s="4">
        <f t="shared" si="4"/>
        <v>0.99377777777777776</v>
      </c>
      <c r="Q16" s="6"/>
      <c r="R16" s="6"/>
      <c r="T16" s="24" t="s">
        <v>45</v>
      </c>
      <c r="U16" s="39">
        <v>1</v>
      </c>
    </row>
    <row r="17" spans="1:21" hidden="1">
      <c r="A17" s="5" t="s">
        <v>37</v>
      </c>
      <c r="B17" s="5" t="s">
        <v>52</v>
      </c>
      <c r="C17" s="5" t="s">
        <v>40</v>
      </c>
      <c r="D17" s="9" t="s">
        <v>148</v>
      </c>
      <c r="E17" s="9" t="s">
        <v>148</v>
      </c>
      <c r="F17" s="9" t="s">
        <v>148</v>
      </c>
      <c r="G17" s="9" t="s">
        <v>148</v>
      </c>
      <c r="H17" s="9" t="s">
        <v>148</v>
      </c>
      <c r="I17" s="9" t="s">
        <v>147</v>
      </c>
      <c r="J17" s="9" t="s">
        <v>147</v>
      </c>
      <c r="K17" s="6">
        <f>SUM(D17:J17)</f>
        <v>0</v>
      </c>
      <c r="L17" s="6">
        <f t="shared" si="0"/>
        <v>0</v>
      </c>
      <c r="M17" s="4">
        <f t="shared" si="1"/>
        <v>0</v>
      </c>
      <c r="N17" s="4">
        <f t="shared" si="2"/>
        <v>2250</v>
      </c>
      <c r="O17" s="4">
        <f t="shared" si="3"/>
        <v>2250</v>
      </c>
      <c r="P17" s="4">
        <f t="shared" si="4"/>
        <v>1</v>
      </c>
      <c r="Q17" s="6"/>
      <c r="R17" s="6"/>
      <c r="T17" s="24" t="s">
        <v>47</v>
      </c>
      <c r="U17" s="39">
        <v>1</v>
      </c>
    </row>
    <row r="18" spans="1:21">
      <c r="A18" s="5" t="s">
        <v>26</v>
      </c>
      <c r="B18" s="7" t="s">
        <v>53</v>
      </c>
      <c r="C18" s="34" t="s">
        <v>25</v>
      </c>
      <c r="D18" s="9" t="s">
        <v>147</v>
      </c>
      <c r="E18" s="9" t="s">
        <v>148</v>
      </c>
      <c r="F18" s="9">
        <v>40</v>
      </c>
      <c r="G18" s="9">
        <v>11</v>
      </c>
      <c r="H18" s="9" t="s">
        <v>148</v>
      </c>
      <c r="I18" s="9">
        <v>83</v>
      </c>
      <c r="J18" s="9" t="s">
        <v>147</v>
      </c>
      <c r="K18" s="6">
        <f t="shared" ref="K18" si="6">SUM(D18:J18)</f>
        <v>134</v>
      </c>
      <c r="L18" s="6">
        <f t="shared" si="0"/>
        <v>0</v>
      </c>
      <c r="M18" s="4">
        <f t="shared" si="1"/>
        <v>134</v>
      </c>
      <c r="N18" s="4">
        <f t="shared" si="2"/>
        <v>2250</v>
      </c>
      <c r="O18" s="4">
        <f t="shared" si="3"/>
        <v>2116</v>
      </c>
      <c r="P18" s="4">
        <f t="shared" si="4"/>
        <v>0.94044444444444442</v>
      </c>
      <c r="Q18" s="6"/>
      <c r="R18" s="6"/>
      <c r="T18" s="24" t="s">
        <v>48</v>
      </c>
      <c r="U18" s="39">
        <v>1</v>
      </c>
    </row>
    <row r="19" spans="1:21" hidden="1">
      <c r="A19" s="5" t="s">
        <v>26</v>
      </c>
      <c r="B19" s="5" t="s">
        <v>34</v>
      </c>
      <c r="C19" s="5" t="s">
        <v>40</v>
      </c>
      <c r="D19" s="9" t="s">
        <v>148</v>
      </c>
      <c r="E19" s="9">
        <v>2</v>
      </c>
      <c r="F19" s="9" t="s">
        <v>148</v>
      </c>
      <c r="G19" s="9" t="s">
        <v>147</v>
      </c>
      <c r="H19" s="9" t="s">
        <v>147</v>
      </c>
      <c r="I19" s="9">
        <v>450</v>
      </c>
      <c r="J19" s="9">
        <v>450</v>
      </c>
      <c r="K19" s="6">
        <f>E19</f>
        <v>2</v>
      </c>
      <c r="L19" s="6">
        <f t="shared" si="0"/>
        <v>900</v>
      </c>
      <c r="M19" s="4">
        <f t="shared" si="1"/>
        <v>902</v>
      </c>
      <c r="N19" s="4">
        <f t="shared" si="2"/>
        <v>2250</v>
      </c>
      <c r="O19" s="4">
        <f t="shared" si="3"/>
        <v>1348</v>
      </c>
      <c r="P19" s="4">
        <f t="shared" si="4"/>
        <v>0.59911111111111115</v>
      </c>
      <c r="Q19" s="6"/>
      <c r="R19" s="6"/>
      <c r="T19" s="24" t="s">
        <v>49</v>
      </c>
      <c r="U19" s="39">
        <v>1</v>
      </c>
    </row>
    <row r="20" spans="1:21" hidden="1">
      <c r="A20" s="5" t="s">
        <v>22</v>
      </c>
      <c r="B20" s="5" t="s">
        <v>55</v>
      </c>
      <c r="C20" s="5" t="s">
        <v>56</v>
      </c>
      <c r="D20" s="9" t="s">
        <v>147</v>
      </c>
      <c r="E20" s="9" t="s">
        <v>148</v>
      </c>
      <c r="F20" s="9" t="s">
        <v>148</v>
      </c>
      <c r="G20" s="9" t="s">
        <v>148</v>
      </c>
      <c r="H20" s="9" t="s">
        <v>148</v>
      </c>
      <c r="I20" s="9">
        <v>450</v>
      </c>
      <c r="J20" s="9" t="s">
        <v>147</v>
      </c>
      <c r="K20" s="6"/>
      <c r="L20" s="6">
        <f t="shared" si="0"/>
        <v>450</v>
      </c>
      <c r="M20" s="4">
        <f t="shared" si="1"/>
        <v>450</v>
      </c>
      <c r="N20" s="4">
        <f t="shared" si="2"/>
        <v>2250</v>
      </c>
      <c r="O20" s="4">
        <f t="shared" si="3"/>
        <v>1800</v>
      </c>
      <c r="P20" s="4">
        <f t="shared" si="4"/>
        <v>0.8</v>
      </c>
      <c r="Q20" s="6"/>
      <c r="R20" s="6"/>
      <c r="T20" s="24" t="s">
        <v>51</v>
      </c>
      <c r="U20" s="39">
        <v>0.99377777777777776</v>
      </c>
    </row>
    <row r="21" spans="1:21" hidden="1">
      <c r="A21" s="5" t="s">
        <v>60</v>
      </c>
      <c r="B21" s="5" t="s">
        <v>59</v>
      </c>
      <c r="C21" s="5" t="s">
        <v>40</v>
      </c>
      <c r="D21" s="9" t="s">
        <v>147</v>
      </c>
      <c r="E21" s="9" t="s">
        <v>148</v>
      </c>
      <c r="F21" s="9" t="s">
        <v>148</v>
      </c>
      <c r="G21" s="9" t="s">
        <v>148</v>
      </c>
      <c r="H21" s="9" t="s">
        <v>148</v>
      </c>
      <c r="I21" s="9" t="s">
        <v>148</v>
      </c>
      <c r="J21" s="9" t="s">
        <v>147</v>
      </c>
      <c r="K21" s="6">
        <f>SUM(E21:I21)</f>
        <v>0</v>
      </c>
      <c r="L21" s="6">
        <f t="shared" si="0"/>
        <v>0</v>
      </c>
      <c r="M21" s="4">
        <f t="shared" si="1"/>
        <v>0</v>
      </c>
      <c r="N21" s="4">
        <f t="shared" si="2"/>
        <v>2250</v>
      </c>
      <c r="O21" s="4">
        <f t="shared" si="3"/>
        <v>2250</v>
      </c>
      <c r="P21" s="4">
        <f t="shared" si="4"/>
        <v>1</v>
      </c>
      <c r="Q21" s="6"/>
      <c r="R21" s="6"/>
      <c r="T21" s="24" t="s">
        <v>53</v>
      </c>
      <c r="U21" s="39">
        <v>0.94044444444444442</v>
      </c>
    </row>
    <row r="22" spans="1:21" hidden="1">
      <c r="A22" s="5" t="s">
        <v>22</v>
      </c>
      <c r="B22" s="5" t="s">
        <v>62</v>
      </c>
      <c r="C22" s="5" t="s">
        <v>63</v>
      </c>
      <c r="D22" s="9" t="s">
        <v>147</v>
      </c>
      <c r="E22" s="9">
        <v>17</v>
      </c>
      <c r="F22" s="9">
        <v>18</v>
      </c>
      <c r="G22" s="9">
        <v>2</v>
      </c>
      <c r="H22" s="9">
        <v>3</v>
      </c>
      <c r="I22" s="9">
        <v>11</v>
      </c>
      <c r="J22" s="9" t="s">
        <v>147</v>
      </c>
      <c r="K22" s="6">
        <f>SUM(D22:I22)</f>
        <v>51</v>
      </c>
      <c r="L22" s="6">
        <f t="shared" si="0"/>
        <v>0</v>
      </c>
      <c r="M22" s="4">
        <f t="shared" si="1"/>
        <v>51</v>
      </c>
      <c r="N22" s="4">
        <f t="shared" si="2"/>
        <v>2250</v>
      </c>
      <c r="O22" s="4">
        <f t="shared" si="3"/>
        <v>2199</v>
      </c>
      <c r="P22" s="4">
        <f t="shared" si="4"/>
        <v>0.97733333333333339</v>
      </c>
      <c r="Q22" s="6"/>
      <c r="R22" s="6"/>
      <c r="T22" s="24" t="s">
        <v>34</v>
      </c>
      <c r="U22" s="39">
        <v>0.59911111111111115</v>
      </c>
    </row>
    <row r="23" spans="1:21" hidden="1">
      <c r="A23" s="5" t="s">
        <v>22</v>
      </c>
      <c r="B23" s="5" t="s">
        <v>64</v>
      </c>
      <c r="C23" s="5" t="s">
        <v>63</v>
      </c>
      <c r="D23" s="9" t="s">
        <v>147</v>
      </c>
      <c r="E23" s="9">
        <v>1</v>
      </c>
      <c r="F23" s="9">
        <v>14</v>
      </c>
      <c r="G23" s="9" t="s">
        <v>148</v>
      </c>
      <c r="H23" s="9" t="s">
        <v>148</v>
      </c>
      <c r="I23" s="9" t="s">
        <v>148</v>
      </c>
      <c r="J23" s="9" t="s">
        <v>147</v>
      </c>
      <c r="K23" s="6">
        <f>SUM(D23:I23)</f>
        <v>15</v>
      </c>
      <c r="L23" s="6">
        <f t="shared" si="0"/>
        <v>0</v>
      </c>
      <c r="M23" s="4">
        <f t="shared" si="1"/>
        <v>15</v>
      </c>
      <c r="N23" s="4">
        <f t="shared" si="2"/>
        <v>2250</v>
      </c>
      <c r="O23" s="4">
        <f t="shared" si="3"/>
        <v>2235</v>
      </c>
      <c r="P23" s="4">
        <f t="shared" si="4"/>
        <v>0.99333333333333329</v>
      </c>
      <c r="Q23" s="6"/>
      <c r="R23" s="6"/>
      <c r="T23" s="24" t="s">
        <v>65</v>
      </c>
      <c r="U23" s="39">
        <v>1</v>
      </c>
    </row>
    <row r="24" spans="1:21" hidden="1">
      <c r="A24" s="5" t="s">
        <v>26</v>
      </c>
      <c r="B24" s="7" t="s">
        <v>65</v>
      </c>
      <c r="C24" s="34" t="s">
        <v>56</v>
      </c>
      <c r="D24" s="9" t="s">
        <v>147</v>
      </c>
      <c r="E24" s="9" t="s">
        <v>148</v>
      </c>
      <c r="F24" s="9" t="s">
        <v>148</v>
      </c>
      <c r="G24" s="9" t="s">
        <v>148</v>
      </c>
      <c r="H24" s="9" t="s">
        <v>148</v>
      </c>
      <c r="I24" s="9" t="s">
        <v>148</v>
      </c>
      <c r="J24" s="9" t="s">
        <v>147</v>
      </c>
      <c r="K24" s="6">
        <f>SUM(D24:J24)</f>
        <v>0</v>
      </c>
      <c r="L24" s="6">
        <f t="shared" si="0"/>
        <v>0</v>
      </c>
      <c r="M24" s="4">
        <f t="shared" si="1"/>
        <v>0</v>
      </c>
      <c r="N24" s="4">
        <f t="shared" si="2"/>
        <v>2250</v>
      </c>
      <c r="O24" s="4">
        <f t="shared" si="3"/>
        <v>2250</v>
      </c>
      <c r="P24" s="4">
        <f t="shared" si="4"/>
        <v>1</v>
      </c>
      <c r="Q24" s="6"/>
      <c r="R24" s="6"/>
      <c r="T24" s="24" t="s">
        <v>68</v>
      </c>
      <c r="U24" s="39">
        <v>1</v>
      </c>
    </row>
    <row r="25" spans="1:21" hidden="1">
      <c r="A25" s="5" t="s">
        <v>22</v>
      </c>
      <c r="B25" s="5" t="s">
        <v>67</v>
      </c>
      <c r="C25" s="5" t="s">
        <v>30</v>
      </c>
      <c r="D25" s="9" t="s">
        <v>147</v>
      </c>
      <c r="E25" s="9">
        <v>9</v>
      </c>
      <c r="F25" s="9" t="s">
        <v>148</v>
      </c>
      <c r="G25" s="9" t="s">
        <v>148</v>
      </c>
      <c r="H25" s="9" t="s">
        <v>148</v>
      </c>
      <c r="I25" s="9" t="s">
        <v>148</v>
      </c>
      <c r="J25" s="9" t="s">
        <v>147</v>
      </c>
      <c r="K25" s="6">
        <f>SUM(D25:J25)</f>
        <v>9</v>
      </c>
      <c r="L25" s="6">
        <f t="shared" si="0"/>
        <v>0</v>
      </c>
      <c r="M25" s="4">
        <f t="shared" si="1"/>
        <v>9</v>
      </c>
      <c r="N25" s="4">
        <f t="shared" si="2"/>
        <v>2250</v>
      </c>
      <c r="O25" s="4">
        <f t="shared" si="3"/>
        <v>2241</v>
      </c>
      <c r="P25" s="4">
        <f t="shared" si="4"/>
        <v>0.996</v>
      </c>
      <c r="Q25" s="6"/>
      <c r="R25" s="6"/>
      <c r="T25" s="24" t="s">
        <v>71</v>
      </c>
      <c r="U25" s="39">
        <v>1</v>
      </c>
    </row>
    <row r="26" spans="1:21" hidden="1">
      <c r="A26" s="5" t="s">
        <v>26</v>
      </c>
      <c r="B26" s="7" t="s">
        <v>68</v>
      </c>
      <c r="C26" s="34" t="s">
        <v>40</v>
      </c>
      <c r="D26" s="9" t="s">
        <v>147</v>
      </c>
      <c r="E26" s="9" t="s">
        <v>148</v>
      </c>
      <c r="F26" s="9" t="s">
        <v>148</v>
      </c>
      <c r="G26" s="9" t="s">
        <v>148</v>
      </c>
      <c r="H26" s="9" t="s">
        <v>148</v>
      </c>
      <c r="I26" s="9" t="s">
        <v>12</v>
      </c>
      <c r="J26" s="9" t="s">
        <v>147</v>
      </c>
      <c r="K26" s="6">
        <f>SUM(D26:J26)</f>
        <v>0</v>
      </c>
      <c r="L26" s="6">
        <f t="shared" si="0"/>
        <v>0</v>
      </c>
      <c r="M26" s="4">
        <f t="shared" si="1"/>
        <v>0</v>
      </c>
      <c r="N26" s="4">
        <f t="shared" si="2"/>
        <v>2250</v>
      </c>
      <c r="O26" s="4">
        <f t="shared" si="3"/>
        <v>2250</v>
      </c>
      <c r="P26" s="4">
        <f t="shared" si="4"/>
        <v>1</v>
      </c>
      <c r="Q26" s="6">
        <v>1</v>
      </c>
      <c r="R26" s="6"/>
      <c r="T26" s="24" t="s">
        <v>73</v>
      </c>
      <c r="U26" s="39">
        <v>0.93466666666666665</v>
      </c>
    </row>
    <row r="27" spans="1:21" hidden="1">
      <c r="A27" s="5" t="s">
        <v>22</v>
      </c>
      <c r="B27" s="5" t="s">
        <v>69</v>
      </c>
      <c r="C27" s="5" t="s">
        <v>30</v>
      </c>
      <c r="D27" s="9" t="s">
        <v>147</v>
      </c>
      <c r="E27" s="9" t="s">
        <v>148</v>
      </c>
      <c r="F27" s="9">
        <v>232</v>
      </c>
      <c r="G27" s="9">
        <v>450</v>
      </c>
      <c r="H27" s="9">
        <v>240</v>
      </c>
      <c r="I27" s="9" t="s">
        <v>148</v>
      </c>
      <c r="J27" s="9" t="s">
        <v>147</v>
      </c>
      <c r="K27" s="6">
        <f>F27+H27</f>
        <v>472</v>
      </c>
      <c r="L27" s="6">
        <f t="shared" si="0"/>
        <v>450</v>
      </c>
      <c r="M27" s="4">
        <f t="shared" si="1"/>
        <v>922</v>
      </c>
      <c r="N27" s="4">
        <f t="shared" si="2"/>
        <v>2250</v>
      </c>
      <c r="O27" s="4">
        <f t="shared" si="3"/>
        <v>1328</v>
      </c>
      <c r="P27" s="4">
        <f t="shared" si="4"/>
        <v>0.5902222222222222</v>
      </c>
      <c r="Q27" s="6"/>
      <c r="R27" s="6"/>
      <c r="T27" s="24" t="s">
        <v>75</v>
      </c>
      <c r="U27" s="39">
        <v>1</v>
      </c>
    </row>
    <row r="28" spans="1:21" hidden="1">
      <c r="A28" s="5" t="s">
        <v>22</v>
      </c>
      <c r="B28" s="5" t="s">
        <v>70</v>
      </c>
      <c r="C28" s="5" t="s">
        <v>63</v>
      </c>
      <c r="D28" s="9" t="s">
        <v>147</v>
      </c>
      <c r="E28" s="9">
        <v>8</v>
      </c>
      <c r="F28" s="9" t="s">
        <v>148</v>
      </c>
      <c r="G28" s="9" t="s">
        <v>148</v>
      </c>
      <c r="H28" s="9" t="s">
        <v>148</v>
      </c>
      <c r="I28" s="9" t="s">
        <v>12</v>
      </c>
      <c r="J28" s="9" t="s">
        <v>147</v>
      </c>
      <c r="K28" s="6">
        <f>SUM(D28:I28)</f>
        <v>8</v>
      </c>
      <c r="L28" s="6">
        <f t="shared" si="0"/>
        <v>0</v>
      </c>
      <c r="M28" s="4">
        <f t="shared" si="1"/>
        <v>8</v>
      </c>
      <c r="N28" s="4">
        <f>450*4</f>
        <v>1800</v>
      </c>
      <c r="O28" s="4">
        <f t="shared" si="3"/>
        <v>1792</v>
      </c>
      <c r="P28" s="4">
        <f t="shared" si="4"/>
        <v>0.99555555555555553</v>
      </c>
      <c r="Q28" s="6">
        <v>1</v>
      </c>
      <c r="R28" s="6"/>
      <c r="T28" s="24" t="s">
        <v>78</v>
      </c>
      <c r="U28" s="39">
        <v>1</v>
      </c>
    </row>
    <row r="29" spans="1:21">
      <c r="A29" s="5" t="s">
        <v>26</v>
      </c>
      <c r="B29" s="7" t="s">
        <v>71</v>
      </c>
      <c r="C29" s="34" t="s">
        <v>25</v>
      </c>
      <c r="D29" s="9" t="s">
        <v>147</v>
      </c>
      <c r="E29" s="9" t="s">
        <v>148</v>
      </c>
      <c r="F29" s="9" t="s">
        <v>148</v>
      </c>
      <c r="G29" s="9" t="s">
        <v>148</v>
      </c>
      <c r="H29" s="9" t="s">
        <v>148</v>
      </c>
      <c r="I29" s="9" t="s">
        <v>148</v>
      </c>
      <c r="J29" s="9" t="s">
        <v>147</v>
      </c>
      <c r="K29" s="6">
        <f>SUM(D29:J29)</f>
        <v>0</v>
      </c>
      <c r="L29" s="6">
        <f t="shared" si="0"/>
        <v>0</v>
      </c>
      <c r="M29" s="4">
        <f t="shared" si="1"/>
        <v>0</v>
      </c>
      <c r="N29" s="4">
        <f t="shared" si="2"/>
        <v>2250</v>
      </c>
      <c r="O29" s="4">
        <f t="shared" si="3"/>
        <v>2250</v>
      </c>
      <c r="P29" s="4">
        <f t="shared" si="4"/>
        <v>1</v>
      </c>
      <c r="Q29" s="6"/>
      <c r="R29" s="6"/>
      <c r="T29" s="24" t="s">
        <v>80</v>
      </c>
      <c r="U29" s="39">
        <v>1</v>
      </c>
    </row>
    <row r="30" spans="1:21" hidden="1">
      <c r="A30" s="5" t="s">
        <v>22</v>
      </c>
      <c r="B30" s="5" t="s">
        <v>72</v>
      </c>
      <c r="C30" s="5" t="s">
        <v>30</v>
      </c>
      <c r="D30" s="9" t="s">
        <v>147</v>
      </c>
      <c r="E30" s="9" t="s">
        <v>148</v>
      </c>
      <c r="F30" s="9" t="s">
        <v>148</v>
      </c>
      <c r="G30" s="9" t="s">
        <v>148</v>
      </c>
      <c r="H30" s="9" t="s">
        <v>148</v>
      </c>
      <c r="I30" s="9">
        <v>45</v>
      </c>
      <c r="J30" s="9" t="s">
        <v>147</v>
      </c>
      <c r="K30" s="6">
        <f>SUM(D30:J30)</f>
        <v>45</v>
      </c>
      <c r="L30" s="6">
        <f t="shared" si="0"/>
        <v>0</v>
      </c>
      <c r="M30" s="4">
        <f t="shared" si="1"/>
        <v>45</v>
      </c>
      <c r="N30" s="4">
        <f t="shared" si="2"/>
        <v>2250</v>
      </c>
      <c r="O30" s="4">
        <f t="shared" si="3"/>
        <v>2205</v>
      </c>
      <c r="P30" s="4">
        <f t="shared" si="4"/>
        <v>0.98</v>
      </c>
      <c r="Q30" s="6"/>
      <c r="R30" s="6"/>
      <c r="T30" s="24" t="s">
        <v>81</v>
      </c>
      <c r="U30" s="39">
        <v>1</v>
      </c>
    </row>
    <row r="31" spans="1:21">
      <c r="A31" s="5" t="s">
        <v>26</v>
      </c>
      <c r="B31" s="7" t="s">
        <v>73</v>
      </c>
      <c r="C31" s="34" t="s">
        <v>25</v>
      </c>
      <c r="D31" s="9" t="s">
        <v>147</v>
      </c>
      <c r="E31" s="9" t="s">
        <v>148</v>
      </c>
      <c r="F31" s="9">
        <v>13</v>
      </c>
      <c r="G31" s="9">
        <v>115</v>
      </c>
      <c r="H31" s="9">
        <v>2</v>
      </c>
      <c r="I31" s="9">
        <v>17</v>
      </c>
      <c r="J31" s="9" t="s">
        <v>147</v>
      </c>
      <c r="K31" s="6">
        <f>SUM(D31:J31)</f>
        <v>147</v>
      </c>
      <c r="L31" s="6">
        <f t="shared" si="0"/>
        <v>0</v>
      </c>
      <c r="M31" s="4">
        <f t="shared" si="1"/>
        <v>147</v>
      </c>
      <c r="N31" s="4">
        <f t="shared" si="2"/>
        <v>2250</v>
      </c>
      <c r="O31" s="4">
        <f t="shared" si="3"/>
        <v>2103</v>
      </c>
      <c r="P31" s="4">
        <f t="shared" si="4"/>
        <v>0.93466666666666665</v>
      </c>
      <c r="Q31" s="6"/>
      <c r="R31" s="6"/>
      <c r="T31" s="24" t="s">
        <v>86</v>
      </c>
      <c r="U31" s="39">
        <v>1</v>
      </c>
    </row>
    <row r="32" spans="1:21" hidden="1">
      <c r="A32" s="5" t="s">
        <v>57</v>
      </c>
      <c r="B32" s="5" t="s">
        <v>58</v>
      </c>
      <c r="C32" s="5" t="s">
        <v>40</v>
      </c>
      <c r="D32" s="9" t="s">
        <v>147</v>
      </c>
      <c r="E32" s="9" t="s">
        <v>147</v>
      </c>
      <c r="F32" s="9" t="s">
        <v>12</v>
      </c>
      <c r="G32" s="9" t="s">
        <v>148</v>
      </c>
      <c r="H32" s="9" t="s">
        <v>148</v>
      </c>
      <c r="I32" s="9" t="s">
        <v>148</v>
      </c>
      <c r="J32" s="9" t="s">
        <v>148</v>
      </c>
      <c r="K32" s="6">
        <f>SUM(E32:I32)</f>
        <v>0</v>
      </c>
      <c r="L32" s="6">
        <f t="shared" si="0"/>
        <v>0</v>
      </c>
      <c r="M32" s="4">
        <f t="shared" si="1"/>
        <v>0</v>
      </c>
      <c r="N32" s="4">
        <f>450*4</f>
        <v>1800</v>
      </c>
      <c r="O32" s="4">
        <f t="shared" si="3"/>
        <v>1800</v>
      </c>
      <c r="P32" s="4">
        <f t="shared" si="4"/>
        <v>1</v>
      </c>
      <c r="Q32" s="6"/>
      <c r="R32" s="6"/>
      <c r="T32" s="24" t="s">
        <v>87</v>
      </c>
      <c r="U32" s="39">
        <v>0.99555555555555553</v>
      </c>
    </row>
    <row r="33" spans="1:21" hidden="1">
      <c r="A33" s="5" t="s">
        <v>37</v>
      </c>
      <c r="B33" s="5" t="s">
        <v>74</v>
      </c>
      <c r="C33" s="5" t="s">
        <v>40</v>
      </c>
      <c r="D33" s="9">
        <v>19</v>
      </c>
      <c r="E33" s="9">
        <v>18</v>
      </c>
      <c r="F33" s="9" t="s">
        <v>147</v>
      </c>
      <c r="G33" s="9" t="s">
        <v>147</v>
      </c>
      <c r="H33" s="9" t="s">
        <v>148</v>
      </c>
      <c r="I33" s="9" t="s">
        <v>148</v>
      </c>
      <c r="J33" s="9">
        <v>202</v>
      </c>
      <c r="K33" s="6">
        <f>SUM(D33:J33)</f>
        <v>239</v>
      </c>
      <c r="L33" s="6">
        <f t="shared" si="0"/>
        <v>0</v>
      </c>
      <c r="M33" s="4">
        <f t="shared" si="1"/>
        <v>239</v>
      </c>
      <c r="N33" s="4">
        <f t="shared" si="2"/>
        <v>2250</v>
      </c>
      <c r="O33" s="4">
        <f t="shared" si="3"/>
        <v>2011</v>
      </c>
      <c r="P33" s="4">
        <f t="shared" si="4"/>
        <v>0.89377777777777778</v>
      </c>
      <c r="Q33" s="6"/>
      <c r="R33" s="6"/>
      <c r="T33" s="24" t="s">
        <v>89</v>
      </c>
      <c r="U33" s="39">
        <v>1</v>
      </c>
    </row>
    <row r="34" spans="1:21" hidden="1">
      <c r="A34" s="5" t="s">
        <v>26</v>
      </c>
      <c r="B34" s="7" t="s">
        <v>75</v>
      </c>
      <c r="C34" s="34" t="s">
        <v>40</v>
      </c>
      <c r="D34" s="9" t="s">
        <v>148</v>
      </c>
      <c r="E34" s="9" t="s">
        <v>148</v>
      </c>
      <c r="F34" s="9" t="s">
        <v>148</v>
      </c>
      <c r="G34" s="9" t="s">
        <v>147</v>
      </c>
      <c r="H34" s="9" t="s">
        <v>147</v>
      </c>
      <c r="I34" s="9" t="s">
        <v>148</v>
      </c>
      <c r="J34" s="9" t="s">
        <v>148</v>
      </c>
      <c r="K34" s="6">
        <f>SUM(D34:J34)</f>
        <v>0</v>
      </c>
      <c r="L34" s="6">
        <f t="shared" si="0"/>
        <v>0</v>
      </c>
      <c r="M34" s="4">
        <f t="shared" si="1"/>
        <v>0</v>
      </c>
      <c r="N34" s="4">
        <f t="shared" si="2"/>
        <v>2250</v>
      </c>
      <c r="O34" s="4">
        <f t="shared" si="3"/>
        <v>2250</v>
      </c>
      <c r="P34" s="4">
        <f t="shared" si="4"/>
        <v>1</v>
      </c>
      <c r="Q34" s="6"/>
      <c r="R34" s="6"/>
      <c r="T34" s="24" t="s">
        <v>93</v>
      </c>
      <c r="U34" s="39">
        <v>1</v>
      </c>
    </row>
    <row r="35" spans="1:21" hidden="1">
      <c r="A35" s="5" t="s">
        <v>37</v>
      </c>
      <c r="B35" s="5" t="s">
        <v>76</v>
      </c>
      <c r="C35" s="5" t="s">
        <v>40</v>
      </c>
      <c r="D35" s="9" t="s">
        <v>148</v>
      </c>
      <c r="E35" s="9" t="s">
        <v>148</v>
      </c>
      <c r="F35" s="9" t="s">
        <v>148</v>
      </c>
      <c r="G35" s="9" t="s">
        <v>148</v>
      </c>
      <c r="H35" s="9" t="s">
        <v>148</v>
      </c>
      <c r="I35" s="9" t="s">
        <v>147</v>
      </c>
      <c r="J35" s="9" t="s">
        <v>147</v>
      </c>
      <c r="K35" s="6">
        <f>SUM(D35:J35)</f>
        <v>0</v>
      </c>
      <c r="L35" s="6">
        <f t="shared" si="0"/>
        <v>0</v>
      </c>
      <c r="M35" s="4">
        <f t="shared" si="1"/>
        <v>0</v>
      </c>
      <c r="N35" s="4">
        <f t="shared" si="2"/>
        <v>2250</v>
      </c>
      <c r="O35" s="4">
        <f t="shared" si="3"/>
        <v>2250</v>
      </c>
      <c r="P35" s="4">
        <f t="shared" si="4"/>
        <v>1</v>
      </c>
      <c r="Q35" s="6"/>
      <c r="R35" s="6"/>
      <c r="T35" s="24" t="s">
        <v>95</v>
      </c>
      <c r="U35" s="39">
        <v>0.97377777777777774</v>
      </c>
    </row>
    <row r="36" spans="1:21" hidden="1">
      <c r="A36" s="5" t="s">
        <v>22</v>
      </c>
      <c r="B36" s="5" t="s">
        <v>77</v>
      </c>
      <c r="C36" s="5" t="s">
        <v>30</v>
      </c>
      <c r="D36" s="9" t="s">
        <v>147</v>
      </c>
      <c r="E36" s="9" t="s">
        <v>148</v>
      </c>
      <c r="F36" s="9" t="s">
        <v>148</v>
      </c>
      <c r="G36" s="9" t="s">
        <v>148</v>
      </c>
      <c r="H36" s="9" t="s">
        <v>148</v>
      </c>
      <c r="I36" s="9">
        <v>10</v>
      </c>
      <c r="J36" s="9" t="s">
        <v>147</v>
      </c>
      <c r="K36" s="6">
        <f>SUM(D36:J36)</f>
        <v>10</v>
      </c>
      <c r="L36" s="6">
        <f t="shared" si="0"/>
        <v>0</v>
      </c>
      <c r="M36" s="4">
        <f t="shared" si="1"/>
        <v>10</v>
      </c>
      <c r="N36" s="4">
        <f t="shared" si="2"/>
        <v>2250</v>
      </c>
      <c r="O36" s="4">
        <f t="shared" si="3"/>
        <v>2240</v>
      </c>
      <c r="P36" s="4">
        <f t="shared" si="4"/>
        <v>0.99555555555555553</v>
      </c>
      <c r="Q36" s="6"/>
      <c r="R36" s="6"/>
      <c r="T36" s="24" t="s">
        <v>97</v>
      </c>
      <c r="U36" s="39">
        <v>0.97511111111111115</v>
      </c>
    </row>
    <row r="37" spans="1:21" hidden="1">
      <c r="A37" s="5" t="s">
        <v>22</v>
      </c>
      <c r="B37" s="5" t="s">
        <v>61</v>
      </c>
      <c r="C37" s="5" t="s">
        <v>63</v>
      </c>
      <c r="D37" s="9" t="s">
        <v>147</v>
      </c>
      <c r="E37" s="9" t="s">
        <v>148</v>
      </c>
      <c r="F37" s="9" t="s">
        <v>148</v>
      </c>
      <c r="G37" s="9" t="s">
        <v>148</v>
      </c>
      <c r="H37" s="9" t="s">
        <v>148</v>
      </c>
      <c r="I37" s="9" t="s">
        <v>148</v>
      </c>
      <c r="J37" s="9" t="s">
        <v>147</v>
      </c>
      <c r="K37" s="6">
        <f>SUM(D37:I37)</f>
        <v>0</v>
      </c>
      <c r="L37" s="6">
        <f t="shared" si="0"/>
        <v>0</v>
      </c>
      <c r="M37" s="4">
        <f t="shared" si="1"/>
        <v>0</v>
      </c>
      <c r="N37" s="4">
        <f t="shared" si="2"/>
        <v>2250</v>
      </c>
      <c r="O37" s="4">
        <f t="shared" si="3"/>
        <v>2250</v>
      </c>
      <c r="P37" s="4">
        <f t="shared" si="4"/>
        <v>1</v>
      </c>
      <c r="Q37" s="6"/>
      <c r="R37" s="6"/>
      <c r="T37" s="24" t="s">
        <v>98</v>
      </c>
      <c r="U37" s="39">
        <v>0.97288888888888891</v>
      </c>
    </row>
    <row r="38" spans="1:21">
      <c r="A38" s="5" t="s">
        <v>26</v>
      </c>
      <c r="B38" s="7" t="s">
        <v>78</v>
      </c>
      <c r="C38" s="34" t="s">
        <v>79</v>
      </c>
      <c r="D38" s="9" t="s">
        <v>147</v>
      </c>
      <c r="E38" s="9" t="s">
        <v>148</v>
      </c>
      <c r="F38" s="9" t="s">
        <v>148</v>
      </c>
      <c r="G38" s="9" t="s">
        <v>148</v>
      </c>
      <c r="H38" s="9" t="s">
        <v>148</v>
      </c>
      <c r="I38" s="9" t="s">
        <v>148</v>
      </c>
      <c r="J38" s="9" t="s">
        <v>147</v>
      </c>
      <c r="K38" s="6">
        <f t="shared" ref="K38:K40" si="7">SUM(D38:J38)</f>
        <v>0</v>
      </c>
      <c r="L38" s="6">
        <f t="shared" si="0"/>
        <v>0</v>
      </c>
      <c r="M38" s="4">
        <f t="shared" si="1"/>
        <v>0</v>
      </c>
      <c r="N38" s="4">
        <f t="shared" si="2"/>
        <v>2250</v>
      </c>
      <c r="O38" s="4">
        <f t="shared" si="3"/>
        <v>2250</v>
      </c>
      <c r="P38" s="4">
        <f t="shared" si="4"/>
        <v>1</v>
      </c>
      <c r="Q38" s="6"/>
      <c r="R38" s="6"/>
      <c r="T38" s="24" t="s">
        <v>103</v>
      </c>
      <c r="U38" s="39">
        <v>1</v>
      </c>
    </row>
    <row r="39" spans="1:21" hidden="1">
      <c r="A39" s="5" t="s">
        <v>26</v>
      </c>
      <c r="B39" s="7" t="s">
        <v>80</v>
      </c>
      <c r="C39" s="34" t="s">
        <v>40</v>
      </c>
      <c r="D39" s="9" t="s">
        <v>148</v>
      </c>
      <c r="E39" s="9" t="s">
        <v>12</v>
      </c>
      <c r="F39" s="9" t="s">
        <v>147</v>
      </c>
      <c r="G39" s="9" t="s">
        <v>147</v>
      </c>
      <c r="H39" s="9" t="s">
        <v>148</v>
      </c>
      <c r="I39" s="9" t="s">
        <v>148</v>
      </c>
      <c r="J39" s="9" t="s">
        <v>148</v>
      </c>
      <c r="K39" s="6">
        <f t="shared" si="7"/>
        <v>0</v>
      </c>
      <c r="L39" s="6">
        <f t="shared" si="0"/>
        <v>0</v>
      </c>
      <c r="M39" s="4">
        <f t="shared" si="1"/>
        <v>0</v>
      </c>
      <c r="N39" s="4">
        <f t="shared" si="2"/>
        <v>2250</v>
      </c>
      <c r="O39" s="4">
        <f t="shared" si="3"/>
        <v>2250</v>
      </c>
      <c r="P39" s="4">
        <f t="shared" si="4"/>
        <v>1</v>
      </c>
      <c r="Q39" s="6">
        <v>1</v>
      </c>
      <c r="R39" s="6"/>
      <c r="T39" s="24" t="s">
        <v>108</v>
      </c>
      <c r="U39" s="39">
        <v>1</v>
      </c>
    </row>
    <row r="40" spans="1:21" hidden="1">
      <c r="A40" s="5" t="s">
        <v>26</v>
      </c>
      <c r="B40" s="7" t="s">
        <v>81</v>
      </c>
      <c r="C40" s="34" t="s">
        <v>33</v>
      </c>
      <c r="D40" s="9" t="s">
        <v>147</v>
      </c>
      <c r="E40" s="9" t="s">
        <v>148</v>
      </c>
      <c r="F40" s="9" t="s">
        <v>14</v>
      </c>
      <c r="G40" s="9" t="s">
        <v>148</v>
      </c>
      <c r="H40" s="9" t="s">
        <v>148</v>
      </c>
      <c r="I40" s="9" t="s">
        <v>148</v>
      </c>
      <c r="J40" s="9" t="s">
        <v>147</v>
      </c>
      <c r="K40" s="6">
        <f t="shared" si="7"/>
        <v>0</v>
      </c>
      <c r="L40" s="6">
        <f t="shared" si="0"/>
        <v>0</v>
      </c>
      <c r="M40" s="4">
        <f t="shared" si="1"/>
        <v>0</v>
      </c>
      <c r="N40" s="4">
        <f t="shared" si="2"/>
        <v>2250</v>
      </c>
      <c r="O40" s="4">
        <f t="shared" si="3"/>
        <v>2250</v>
      </c>
      <c r="P40" s="4">
        <f t="shared" si="4"/>
        <v>1</v>
      </c>
      <c r="Q40" s="6"/>
      <c r="R40" s="6">
        <v>1</v>
      </c>
      <c r="T40" s="24" t="s">
        <v>109</v>
      </c>
      <c r="U40" s="39">
        <v>1</v>
      </c>
    </row>
    <row r="41" spans="1:21" hidden="1">
      <c r="A41" s="5" t="s">
        <v>22</v>
      </c>
      <c r="B41" s="5" t="s">
        <v>82</v>
      </c>
      <c r="C41" s="5" t="s">
        <v>33</v>
      </c>
      <c r="D41" s="9" t="s">
        <v>147</v>
      </c>
      <c r="E41" s="9">
        <v>12</v>
      </c>
      <c r="F41" s="9">
        <v>240</v>
      </c>
      <c r="G41" s="9" t="s">
        <v>148</v>
      </c>
      <c r="H41" s="9" t="s">
        <v>148</v>
      </c>
      <c r="I41" s="9" t="s">
        <v>148</v>
      </c>
      <c r="J41" s="9" t="s">
        <v>147</v>
      </c>
      <c r="K41" s="6">
        <f>SUM(E41:I41)</f>
        <v>252</v>
      </c>
      <c r="L41" s="6">
        <f t="shared" si="0"/>
        <v>0</v>
      </c>
      <c r="M41" s="4">
        <f t="shared" si="1"/>
        <v>252</v>
      </c>
      <c r="N41" s="4">
        <f t="shared" si="2"/>
        <v>2250</v>
      </c>
      <c r="O41" s="4">
        <f t="shared" si="3"/>
        <v>1998</v>
      </c>
      <c r="P41" s="4">
        <f t="shared" si="4"/>
        <v>0.88800000000000001</v>
      </c>
      <c r="Q41" s="6"/>
      <c r="R41" s="6"/>
      <c r="T41" s="24" t="s">
        <v>113</v>
      </c>
      <c r="U41" s="39">
        <v>1</v>
      </c>
    </row>
    <row r="42" spans="1:21" hidden="1">
      <c r="A42" s="5" t="s">
        <v>60</v>
      </c>
      <c r="B42" s="5" t="s">
        <v>84</v>
      </c>
      <c r="C42" s="5" t="s">
        <v>40</v>
      </c>
      <c r="D42" s="9" t="s">
        <v>147</v>
      </c>
      <c r="E42" s="9" t="s">
        <v>148</v>
      </c>
      <c r="F42" s="9" t="s">
        <v>148</v>
      </c>
      <c r="G42" s="9" t="s">
        <v>148</v>
      </c>
      <c r="H42" s="9" t="s">
        <v>148</v>
      </c>
      <c r="I42" s="9" t="s">
        <v>148</v>
      </c>
      <c r="J42" s="9" t="s">
        <v>147</v>
      </c>
      <c r="K42" s="6">
        <f>SUM(E42:I42)</f>
        <v>0</v>
      </c>
      <c r="L42" s="6">
        <f t="shared" si="0"/>
        <v>0</v>
      </c>
      <c r="M42" s="4">
        <f t="shared" si="1"/>
        <v>0</v>
      </c>
      <c r="N42" s="4">
        <f t="shared" si="2"/>
        <v>2250</v>
      </c>
      <c r="O42" s="4">
        <f t="shared" si="3"/>
        <v>2250</v>
      </c>
      <c r="P42" s="4">
        <f t="shared" si="4"/>
        <v>1</v>
      </c>
      <c r="Q42" s="6"/>
      <c r="R42" s="6"/>
      <c r="T42" s="24" t="s">
        <v>119</v>
      </c>
      <c r="U42" s="39">
        <v>1</v>
      </c>
    </row>
    <row r="43" spans="1:21" hidden="1">
      <c r="A43" s="5" t="s">
        <v>22</v>
      </c>
      <c r="B43" s="5" t="s">
        <v>85</v>
      </c>
      <c r="C43" s="5" t="s">
        <v>63</v>
      </c>
      <c r="D43" s="9" t="s">
        <v>147</v>
      </c>
      <c r="E43" s="9" t="s">
        <v>148</v>
      </c>
      <c r="F43" s="9" t="s">
        <v>148</v>
      </c>
      <c r="G43" s="9" t="s">
        <v>148</v>
      </c>
      <c r="H43" s="9" t="s">
        <v>148</v>
      </c>
      <c r="I43" s="9">
        <v>17</v>
      </c>
      <c r="J43" s="9" t="s">
        <v>147</v>
      </c>
      <c r="K43" s="6">
        <f>SUM(D43:I43)</f>
        <v>17</v>
      </c>
      <c r="L43" s="6">
        <f t="shared" si="0"/>
        <v>0</v>
      </c>
      <c r="M43" s="4">
        <f t="shared" si="1"/>
        <v>17</v>
      </c>
      <c r="N43" s="4">
        <f t="shared" si="2"/>
        <v>2250</v>
      </c>
      <c r="O43" s="4">
        <f t="shared" si="3"/>
        <v>2233</v>
      </c>
      <c r="P43" s="4">
        <f t="shared" si="4"/>
        <v>0.99244444444444446</v>
      </c>
      <c r="Q43" s="6"/>
      <c r="R43" s="6"/>
      <c r="T43" s="24" t="s">
        <v>123</v>
      </c>
      <c r="U43" s="39">
        <v>1</v>
      </c>
    </row>
    <row r="44" spans="1:21" hidden="1">
      <c r="A44" s="5" t="s">
        <v>26</v>
      </c>
      <c r="B44" s="7" t="s">
        <v>86</v>
      </c>
      <c r="C44" s="34" t="s">
        <v>56</v>
      </c>
      <c r="D44" s="9" t="s">
        <v>147</v>
      </c>
      <c r="E44" s="9" t="s">
        <v>148</v>
      </c>
      <c r="F44" s="9" t="s">
        <v>148</v>
      </c>
      <c r="G44" s="9" t="s">
        <v>148</v>
      </c>
      <c r="H44" s="9" t="s">
        <v>148</v>
      </c>
      <c r="I44" s="9" t="s">
        <v>148</v>
      </c>
      <c r="J44" s="9" t="s">
        <v>147</v>
      </c>
      <c r="K44" s="6">
        <f t="shared" ref="K44:K45" si="8">SUM(D44:J44)</f>
        <v>0</v>
      </c>
      <c r="L44" s="6">
        <f t="shared" si="0"/>
        <v>0</v>
      </c>
      <c r="M44" s="4">
        <f t="shared" si="1"/>
        <v>0</v>
      </c>
      <c r="N44" s="4">
        <f t="shared" si="2"/>
        <v>2250</v>
      </c>
      <c r="O44" s="4">
        <f t="shared" si="3"/>
        <v>2250</v>
      </c>
      <c r="P44" s="4">
        <f t="shared" si="4"/>
        <v>1</v>
      </c>
      <c r="Q44" s="6"/>
      <c r="R44" s="6"/>
      <c r="T44" s="24" t="s">
        <v>124</v>
      </c>
      <c r="U44" s="39">
        <v>1</v>
      </c>
    </row>
    <row r="45" spans="1:21" hidden="1">
      <c r="A45" s="5" t="s">
        <v>26</v>
      </c>
      <c r="B45" s="7" t="s">
        <v>87</v>
      </c>
      <c r="C45" s="34" t="s">
        <v>33</v>
      </c>
      <c r="D45" s="9" t="s">
        <v>147</v>
      </c>
      <c r="E45" s="9" t="s">
        <v>148</v>
      </c>
      <c r="F45" s="9">
        <v>5</v>
      </c>
      <c r="G45" s="9" t="s">
        <v>148</v>
      </c>
      <c r="H45" s="9" t="s">
        <v>148</v>
      </c>
      <c r="I45" s="9">
        <v>5</v>
      </c>
      <c r="J45" s="9" t="s">
        <v>147</v>
      </c>
      <c r="K45" s="6">
        <f t="shared" si="8"/>
        <v>10</v>
      </c>
      <c r="L45" s="6">
        <f t="shared" si="0"/>
        <v>0</v>
      </c>
      <c r="M45" s="4">
        <f t="shared" si="1"/>
        <v>10</v>
      </c>
      <c r="N45" s="4">
        <f t="shared" si="2"/>
        <v>2250</v>
      </c>
      <c r="O45" s="4">
        <f t="shared" si="3"/>
        <v>2240</v>
      </c>
      <c r="P45" s="4">
        <f t="shared" si="4"/>
        <v>0.99555555555555553</v>
      </c>
      <c r="Q45" s="6"/>
      <c r="R45" s="6"/>
      <c r="T45" s="24" t="s">
        <v>126</v>
      </c>
      <c r="U45" s="39">
        <v>1</v>
      </c>
    </row>
    <row r="46" spans="1:21">
      <c r="A46" s="5" t="s">
        <v>22</v>
      </c>
      <c r="B46" s="5" t="s">
        <v>88</v>
      </c>
      <c r="C46" s="5" t="s">
        <v>25</v>
      </c>
      <c r="D46" s="9" t="s">
        <v>147</v>
      </c>
      <c r="E46" s="9" t="s">
        <v>148</v>
      </c>
      <c r="F46" s="9" t="s">
        <v>148</v>
      </c>
      <c r="G46" s="9" t="s">
        <v>148</v>
      </c>
      <c r="H46" s="9">
        <v>55</v>
      </c>
      <c r="I46" s="9">
        <v>450</v>
      </c>
      <c r="J46" s="9" t="s">
        <v>147</v>
      </c>
      <c r="K46" s="6">
        <f>H46</f>
        <v>55</v>
      </c>
      <c r="L46" s="6">
        <f t="shared" si="0"/>
        <v>450</v>
      </c>
      <c r="M46" s="4">
        <f t="shared" si="1"/>
        <v>505</v>
      </c>
      <c r="N46" s="4">
        <f t="shared" si="2"/>
        <v>2250</v>
      </c>
      <c r="O46" s="4">
        <f t="shared" si="3"/>
        <v>1745</v>
      </c>
      <c r="P46" s="4">
        <f t="shared" si="4"/>
        <v>0.77555555555555555</v>
      </c>
      <c r="Q46" s="6"/>
      <c r="R46" s="6"/>
      <c r="T46" s="24" t="s">
        <v>131</v>
      </c>
      <c r="U46" s="39">
        <v>0.6</v>
      </c>
    </row>
    <row r="47" spans="1:21" hidden="1">
      <c r="A47" s="5" t="s">
        <v>26</v>
      </c>
      <c r="B47" s="7" t="s">
        <v>89</v>
      </c>
      <c r="C47" s="34" t="s">
        <v>40</v>
      </c>
      <c r="D47" s="9" t="s">
        <v>147</v>
      </c>
      <c r="E47" s="9" t="s">
        <v>148</v>
      </c>
      <c r="F47" s="9" t="s">
        <v>148</v>
      </c>
      <c r="G47" s="9" t="s">
        <v>148</v>
      </c>
      <c r="H47" s="9" t="s">
        <v>148</v>
      </c>
      <c r="I47" s="9" t="s">
        <v>12</v>
      </c>
      <c r="J47" s="9" t="s">
        <v>147</v>
      </c>
      <c r="K47" s="6">
        <f>SUM(D47:J47)</f>
        <v>0</v>
      </c>
      <c r="L47" s="6">
        <f t="shared" si="0"/>
        <v>0</v>
      </c>
      <c r="M47" s="4">
        <f t="shared" si="1"/>
        <v>0</v>
      </c>
      <c r="N47" s="4">
        <f t="shared" si="2"/>
        <v>2250</v>
      </c>
      <c r="O47" s="4">
        <f t="shared" si="3"/>
        <v>2250</v>
      </c>
      <c r="P47" s="4">
        <f t="shared" si="4"/>
        <v>1</v>
      </c>
      <c r="Q47" s="6">
        <v>1</v>
      </c>
      <c r="R47" s="6"/>
      <c r="T47" s="24" t="s">
        <v>133</v>
      </c>
      <c r="U47" s="39">
        <v>0.78755555555555556</v>
      </c>
    </row>
    <row r="48" spans="1:21" hidden="1">
      <c r="A48" s="5" t="s">
        <v>37</v>
      </c>
      <c r="B48" s="5" t="s">
        <v>90</v>
      </c>
      <c r="C48" s="5" t="s">
        <v>40</v>
      </c>
      <c r="D48" s="9" t="s">
        <v>147</v>
      </c>
      <c r="E48" s="9" t="s">
        <v>147</v>
      </c>
      <c r="F48" s="9" t="s">
        <v>148</v>
      </c>
      <c r="G48" s="9" t="s">
        <v>148</v>
      </c>
      <c r="H48" s="9" t="s">
        <v>148</v>
      </c>
      <c r="I48" s="9" t="s">
        <v>148</v>
      </c>
      <c r="J48" s="9">
        <v>450</v>
      </c>
      <c r="K48" s="6">
        <v>0</v>
      </c>
      <c r="L48" s="6">
        <f t="shared" si="0"/>
        <v>450</v>
      </c>
      <c r="M48" s="4">
        <f t="shared" si="1"/>
        <v>450</v>
      </c>
      <c r="N48" s="4">
        <f t="shared" si="2"/>
        <v>2250</v>
      </c>
      <c r="O48" s="4">
        <f t="shared" si="3"/>
        <v>1800</v>
      </c>
      <c r="P48" s="4">
        <f t="shared" si="4"/>
        <v>0.8</v>
      </c>
      <c r="Q48" s="6"/>
      <c r="R48" s="6"/>
      <c r="T48" s="24" t="s">
        <v>27</v>
      </c>
      <c r="U48" s="39">
        <v>1</v>
      </c>
    </row>
    <row r="49" spans="1:21" hidden="1">
      <c r="A49" s="5" t="s">
        <v>22</v>
      </c>
      <c r="B49" s="5" t="s">
        <v>91</v>
      </c>
      <c r="C49" s="5" t="s">
        <v>30</v>
      </c>
      <c r="D49" s="9" t="s">
        <v>147</v>
      </c>
      <c r="E49" s="9" t="s">
        <v>148</v>
      </c>
      <c r="F49" s="9" t="s">
        <v>148</v>
      </c>
      <c r="G49" s="9" t="s">
        <v>148</v>
      </c>
      <c r="H49" s="9" t="s">
        <v>148</v>
      </c>
      <c r="I49" s="9" t="s">
        <v>148</v>
      </c>
      <c r="J49" s="9" t="s">
        <v>147</v>
      </c>
      <c r="K49" s="6">
        <f>SUM(D49:J49)</f>
        <v>0</v>
      </c>
      <c r="L49" s="6">
        <f t="shared" si="0"/>
        <v>0</v>
      </c>
      <c r="M49" s="4">
        <f t="shared" si="1"/>
        <v>0</v>
      </c>
      <c r="N49" s="4">
        <f t="shared" si="2"/>
        <v>2250</v>
      </c>
      <c r="O49" s="4">
        <f t="shared" si="3"/>
        <v>2250</v>
      </c>
      <c r="P49" s="4">
        <f t="shared" si="4"/>
        <v>1</v>
      </c>
      <c r="Q49" s="6"/>
      <c r="R49" s="6"/>
      <c r="T49" s="14" t="s">
        <v>149</v>
      </c>
      <c r="U49" s="39">
        <v>0.95985185185185196</v>
      </c>
    </row>
    <row r="50" spans="1:21" hidden="1">
      <c r="A50" s="5" t="s">
        <v>22</v>
      </c>
      <c r="B50" s="5" t="s">
        <v>178</v>
      </c>
      <c r="C50" s="5" t="s">
        <v>33</v>
      </c>
      <c r="D50" s="9" t="s">
        <v>147</v>
      </c>
      <c r="E50" s="9" t="s">
        <v>12</v>
      </c>
      <c r="F50" s="9" t="s">
        <v>148</v>
      </c>
      <c r="G50" s="9" t="s">
        <v>148</v>
      </c>
      <c r="H50" s="9" t="s">
        <v>148</v>
      </c>
      <c r="I50" s="9" t="s">
        <v>148</v>
      </c>
      <c r="J50" s="9" t="s">
        <v>147</v>
      </c>
      <c r="K50" s="6">
        <f>SUM(E50:I50)</f>
        <v>0</v>
      </c>
      <c r="L50" s="6">
        <f t="shared" si="0"/>
        <v>0</v>
      </c>
      <c r="M50" s="4">
        <f t="shared" si="1"/>
        <v>0</v>
      </c>
      <c r="N50" s="4">
        <f>450*4</f>
        <v>1800</v>
      </c>
      <c r="O50" s="4">
        <f t="shared" si="3"/>
        <v>1800</v>
      </c>
      <c r="P50" s="4">
        <f t="shared" si="4"/>
        <v>1</v>
      </c>
      <c r="Q50" s="6"/>
      <c r="R50" s="6"/>
    </row>
    <row r="51" spans="1:21" hidden="1">
      <c r="A51" s="5" t="s">
        <v>22</v>
      </c>
      <c r="B51" s="5" t="s">
        <v>92</v>
      </c>
      <c r="C51" s="5" t="s">
        <v>63</v>
      </c>
      <c r="D51" s="9" t="s">
        <v>147</v>
      </c>
      <c r="E51" s="9" t="s">
        <v>148</v>
      </c>
      <c r="F51" s="9" t="s">
        <v>148</v>
      </c>
      <c r="G51" s="9" t="s">
        <v>148</v>
      </c>
      <c r="H51" s="9" t="s">
        <v>148</v>
      </c>
      <c r="I51" s="9" t="s">
        <v>148</v>
      </c>
      <c r="J51" s="9" t="s">
        <v>147</v>
      </c>
      <c r="K51" s="6">
        <f>SUM(D51:I51)</f>
        <v>0</v>
      </c>
      <c r="L51" s="6">
        <f t="shared" si="0"/>
        <v>0</v>
      </c>
      <c r="M51" s="4">
        <f t="shared" si="1"/>
        <v>0</v>
      </c>
      <c r="N51" s="4">
        <f t="shared" si="2"/>
        <v>2250</v>
      </c>
      <c r="O51" s="4">
        <f t="shared" si="3"/>
        <v>2250</v>
      </c>
      <c r="P51" s="4">
        <f t="shared" si="4"/>
        <v>1</v>
      </c>
      <c r="Q51" s="6"/>
      <c r="R51" s="6"/>
    </row>
    <row r="52" spans="1:21" hidden="1">
      <c r="A52" s="5" t="s">
        <v>26</v>
      </c>
      <c r="B52" s="7" t="s">
        <v>93</v>
      </c>
      <c r="C52" s="34" t="s">
        <v>56</v>
      </c>
      <c r="D52" s="9" t="s">
        <v>147</v>
      </c>
      <c r="E52" s="9" t="s">
        <v>148</v>
      </c>
      <c r="F52" s="9" t="s">
        <v>148</v>
      </c>
      <c r="G52" s="9" t="s">
        <v>148</v>
      </c>
      <c r="H52" s="9" t="s">
        <v>148</v>
      </c>
      <c r="I52" s="9" t="s">
        <v>14</v>
      </c>
      <c r="J52" s="9" t="s">
        <v>147</v>
      </c>
      <c r="K52" s="6">
        <f>SUM(D52:J52)</f>
        <v>0</v>
      </c>
      <c r="L52" s="6">
        <f t="shared" si="0"/>
        <v>0</v>
      </c>
      <c r="M52" s="4">
        <f t="shared" si="1"/>
        <v>0</v>
      </c>
      <c r="N52" s="4">
        <f t="shared" si="2"/>
        <v>2250</v>
      </c>
      <c r="O52" s="4">
        <f t="shared" si="3"/>
        <v>2250</v>
      </c>
      <c r="P52" s="4">
        <f t="shared" si="4"/>
        <v>1</v>
      </c>
      <c r="Q52" s="6"/>
      <c r="R52" s="6">
        <v>1</v>
      </c>
    </row>
    <row r="53" spans="1:21" hidden="1">
      <c r="A53" s="5" t="s">
        <v>57</v>
      </c>
      <c r="B53" s="7" t="s">
        <v>94</v>
      </c>
      <c r="C53" s="5" t="s">
        <v>40</v>
      </c>
      <c r="D53" s="9" t="s">
        <v>147</v>
      </c>
      <c r="E53" s="9">
        <v>6</v>
      </c>
      <c r="F53" s="9" t="s">
        <v>148</v>
      </c>
      <c r="G53" s="9" t="s">
        <v>148</v>
      </c>
      <c r="H53" s="9">
        <v>2</v>
      </c>
      <c r="I53" s="9">
        <v>70</v>
      </c>
      <c r="J53" s="9" t="s">
        <v>147</v>
      </c>
      <c r="K53" s="6">
        <v>0</v>
      </c>
      <c r="L53" s="6">
        <f t="shared" si="0"/>
        <v>0</v>
      </c>
      <c r="M53" s="4">
        <f t="shared" si="1"/>
        <v>0</v>
      </c>
      <c r="N53" s="4">
        <f t="shared" si="2"/>
        <v>2250</v>
      </c>
      <c r="O53" s="4">
        <f t="shared" si="3"/>
        <v>2250</v>
      </c>
      <c r="P53" s="4">
        <f t="shared" si="4"/>
        <v>1</v>
      </c>
      <c r="Q53" s="6"/>
      <c r="R53" s="6"/>
    </row>
    <row r="54" spans="1:21" hidden="1">
      <c r="A54" s="5" t="s">
        <v>26</v>
      </c>
      <c r="B54" s="7" t="s">
        <v>95</v>
      </c>
      <c r="C54" s="34" t="s">
        <v>33</v>
      </c>
      <c r="D54" s="9" t="s">
        <v>147</v>
      </c>
      <c r="E54" s="9" t="s">
        <v>174</v>
      </c>
      <c r="F54" s="9">
        <v>59</v>
      </c>
      <c r="G54" s="9" t="s">
        <v>174</v>
      </c>
      <c r="H54" s="9" t="s">
        <v>174</v>
      </c>
      <c r="I54" s="9" t="s">
        <v>174</v>
      </c>
      <c r="J54" s="9" t="s">
        <v>147</v>
      </c>
      <c r="K54" s="6">
        <f>SUM(D54:J54)</f>
        <v>59</v>
      </c>
      <c r="L54" s="6">
        <f t="shared" si="0"/>
        <v>0</v>
      </c>
      <c r="M54" s="4">
        <f t="shared" si="1"/>
        <v>59</v>
      </c>
      <c r="N54" s="4">
        <f t="shared" si="2"/>
        <v>2250</v>
      </c>
      <c r="O54" s="4">
        <f t="shared" si="3"/>
        <v>2191</v>
      </c>
      <c r="P54" s="4">
        <f t="shared" si="4"/>
        <v>0.97377777777777774</v>
      </c>
      <c r="Q54" s="6"/>
      <c r="R54" s="6"/>
    </row>
    <row r="55" spans="1:21">
      <c r="A55" s="5" t="s">
        <v>22</v>
      </c>
      <c r="B55" s="5" t="s">
        <v>23</v>
      </c>
      <c r="C55" s="5" t="s">
        <v>25</v>
      </c>
      <c r="D55" s="9" t="s">
        <v>147</v>
      </c>
      <c r="E55" s="9" t="s">
        <v>174</v>
      </c>
      <c r="F55" s="9" t="s">
        <v>174</v>
      </c>
      <c r="G55" s="9" t="s">
        <v>174</v>
      </c>
      <c r="H55" s="9" t="s">
        <v>174</v>
      </c>
      <c r="I55" s="9" t="s">
        <v>174</v>
      </c>
      <c r="J55" s="9" t="s">
        <v>147</v>
      </c>
      <c r="K55" s="6">
        <f>SUM(D55:I55)</f>
        <v>0</v>
      </c>
      <c r="L55" s="6">
        <f t="shared" si="0"/>
        <v>0</v>
      </c>
      <c r="M55" s="4">
        <f t="shared" si="1"/>
        <v>0</v>
      </c>
      <c r="N55" s="4">
        <f t="shared" si="2"/>
        <v>2250</v>
      </c>
      <c r="O55" s="4">
        <f t="shared" si="3"/>
        <v>2250</v>
      </c>
      <c r="P55" s="4">
        <f t="shared" si="4"/>
        <v>1</v>
      </c>
      <c r="Q55" s="6"/>
      <c r="R55" s="6"/>
    </row>
    <row r="56" spans="1:21" hidden="1">
      <c r="A56" s="5" t="s">
        <v>37</v>
      </c>
      <c r="B56" s="5" t="s">
        <v>96</v>
      </c>
      <c r="C56" s="5" t="s">
        <v>40</v>
      </c>
      <c r="D56" s="9" t="s">
        <v>147</v>
      </c>
      <c r="E56" s="9" t="s">
        <v>147</v>
      </c>
      <c r="F56" s="9" t="s">
        <v>148</v>
      </c>
      <c r="G56" s="9" t="s">
        <v>148</v>
      </c>
      <c r="H56" s="9" t="s">
        <v>148</v>
      </c>
      <c r="I56" s="9" t="s">
        <v>148</v>
      </c>
      <c r="J56" s="9" t="s">
        <v>148</v>
      </c>
      <c r="K56" s="6">
        <f>SUM(D56:J56)</f>
        <v>0</v>
      </c>
      <c r="L56" s="6">
        <f t="shared" si="0"/>
        <v>0</v>
      </c>
      <c r="M56" s="4">
        <f t="shared" si="1"/>
        <v>0</v>
      </c>
      <c r="N56" s="4">
        <f t="shared" si="2"/>
        <v>2250</v>
      </c>
      <c r="O56" s="4">
        <f t="shared" si="3"/>
        <v>2250</v>
      </c>
      <c r="P56" s="4">
        <f t="shared" si="4"/>
        <v>1</v>
      </c>
      <c r="Q56" s="6"/>
      <c r="R56" s="6"/>
    </row>
    <row r="57" spans="1:21" hidden="1">
      <c r="A57" s="5" t="s">
        <v>26</v>
      </c>
      <c r="B57" s="7" t="s">
        <v>97</v>
      </c>
      <c r="C57" s="34" t="s">
        <v>56</v>
      </c>
      <c r="D57" s="9" t="s">
        <v>147</v>
      </c>
      <c r="E57" s="9" t="s">
        <v>148</v>
      </c>
      <c r="F57" s="9">
        <v>51</v>
      </c>
      <c r="G57" s="9" t="s">
        <v>148</v>
      </c>
      <c r="H57" s="9" t="s">
        <v>148</v>
      </c>
      <c r="I57" s="9">
        <v>5</v>
      </c>
      <c r="J57" s="9" t="s">
        <v>147</v>
      </c>
      <c r="K57" s="6">
        <f>SUM(D57:J57)</f>
        <v>56</v>
      </c>
      <c r="L57" s="6">
        <f t="shared" si="0"/>
        <v>0</v>
      </c>
      <c r="M57" s="4">
        <f t="shared" si="1"/>
        <v>56</v>
      </c>
      <c r="N57" s="4">
        <f t="shared" si="2"/>
        <v>2250</v>
      </c>
      <c r="O57" s="4">
        <f t="shared" si="3"/>
        <v>2194</v>
      </c>
      <c r="P57" s="4">
        <f t="shared" si="4"/>
        <v>0.97511111111111115</v>
      </c>
      <c r="Q57" s="6"/>
      <c r="R57" s="6"/>
    </row>
    <row r="58" spans="1:21" hidden="1">
      <c r="A58" s="5" t="s">
        <v>37</v>
      </c>
      <c r="B58" s="5" t="s">
        <v>38</v>
      </c>
      <c r="C58" s="5" t="s">
        <v>40</v>
      </c>
      <c r="D58" s="9" t="s">
        <v>147</v>
      </c>
      <c r="E58" s="9" t="s">
        <v>147</v>
      </c>
      <c r="F58" s="9" t="s">
        <v>148</v>
      </c>
      <c r="G58" s="9" t="s">
        <v>148</v>
      </c>
      <c r="H58" s="9" t="s">
        <v>148</v>
      </c>
      <c r="I58" s="9" t="s">
        <v>148</v>
      </c>
      <c r="J58" s="9" t="s">
        <v>148</v>
      </c>
      <c r="K58" s="6">
        <f>SUM(D58:J58)</f>
        <v>0</v>
      </c>
      <c r="L58" s="6">
        <f t="shared" si="0"/>
        <v>0</v>
      </c>
      <c r="M58" s="4">
        <f t="shared" si="1"/>
        <v>0</v>
      </c>
      <c r="N58" s="4">
        <f t="shared" si="2"/>
        <v>2250</v>
      </c>
      <c r="O58" s="4">
        <f t="shared" si="3"/>
        <v>2250</v>
      </c>
      <c r="P58" s="4">
        <f t="shared" si="4"/>
        <v>1</v>
      </c>
      <c r="Q58" s="6"/>
      <c r="R58" s="6"/>
    </row>
    <row r="59" spans="1:21" hidden="1">
      <c r="A59" s="5" t="s">
        <v>26</v>
      </c>
      <c r="B59" s="7" t="s">
        <v>98</v>
      </c>
      <c r="C59" s="34" t="s">
        <v>30</v>
      </c>
      <c r="D59" s="9" t="s">
        <v>147</v>
      </c>
      <c r="E59" s="9" t="s">
        <v>148</v>
      </c>
      <c r="F59" s="9">
        <v>45</v>
      </c>
      <c r="G59" s="9">
        <v>16</v>
      </c>
      <c r="H59" s="9" t="s">
        <v>148</v>
      </c>
      <c r="I59" s="9" t="s">
        <v>148</v>
      </c>
      <c r="J59" s="9" t="s">
        <v>147</v>
      </c>
      <c r="K59" s="6">
        <f>SUM(D59:J59)</f>
        <v>61</v>
      </c>
      <c r="L59" s="6">
        <f t="shared" si="0"/>
        <v>0</v>
      </c>
      <c r="M59" s="4">
        <f t="shared" si="1"/>
        <v>61</v>
      </c>
      <c r="N59" s="4">
        <f t="shared" si="2"/>
        <v>2250</v>
      </c>
      <c r="O59" s="4">
        <f t="shared" si="3"/>
        <v>2189</v>
      </c>
      <c r="P59" s="4">
        <f t="shared" si="4"/>
        <v>0.97288888888888891</v>
      </c>
      <c r="Q59" s="6"/>
      <c r="R59" s="6"/>
    </row>
    <row r="60" spans="1:21" hidden="1">
      <c r="A60" s="5" t="s">
        <v>22</v>
      </c>
      <c r="B60" s="5" t="s">
        <v>99</v>
      </c>
      <c r="C60" s="5" t="s">
        <v>63</v>
      </c>
      <c r="D60" s="9" t="s">
        <v>147</v>
      </c>
      <c r="E60" s="9" t="s">
        <v>148</v>
      </c>
      <c r="F60" s="9" t="s">
        <v>148</v>
      </c>
      <c r="G60" s="9" t="s">
        <v>148</v>
      </c>
      <c r="H60" s="9" t="s">
        <v>148</v>
      </c>
      <c r="I60" s="9" t="s">
        <v>148</v>
      </c>
      <c r="J60" s="9" t="s">
        <v>147</v>
      </c>
      <c r="K60" s="6">
        <f t="shared" ref="K60:K61" si="9">SUM(D60:I60)</f>
        <v>0</v>
      </c>
      <c r="L60" s="6">
        <f t="shared" si="0"/>
        <v>0</v>
      </c>
      <c r="M60" s="4">
        <f t="shared" si="1"/>
        <v>0</v>
      </c>
      <c r="N60" s="4">
        <f t="shared" si="2"/>
        <v>2250</v>
      </c>
      <c r="O60" s="4">
        <f t="shared" si="3"/>
        <v>2250</v>
      </c>
      <c r="P60" s="4">
        <f t="shared" si="4"/>
        <v>1</v>
      </c>
      <c r="Q60" s="6"/>
      <c r="R60" s="6"/>
    </row>
    <row r="61" spans="1:21" hidden="1">
      <c r="A61" s="5" t="s">
        <v>22</v>
      </c>
      <c r="B61" s="32" t="s">
        <v>100</v>
      </c>
      <c r="C61" s="35" t="s">
        <v>63</v>
      </c>
      <c r="D61" s="9" t="s">
        <v>147</v>
      </c>
      <c r="E61" s="9" t="s">
        <v>148</v>
      </c>
      <c r="F61" s="9" t="s">
        <v>148</v>
      </c>
      <c r="G61" s="9" t="s">
        <v>148</v>
      </c>
      <c r="H61" s="9" t="s">
        <v>148</v>
      </c>
      <c r="I61" s="9" t="s">
        <v>148</v>
      </c>
      <c r="J61" s="9" t="s">
        <v>147</v>
      </c>
      <c r="K61" s="6">
        <f t="shared" si="9"/>
        <v>0</v>
      </c>
      <c r="L61" s="6">
        <f t="shared" si="0"/>
        <v>0</v>
      </c>
      <c r="M61" s="4">
        <f t="shared" si="1"/>
        <v>0</v>
      </c>
      <c r="N61" s="4">
        <f t="shared" si="2"/>
        <v>2250</v>
      </c>
      <c r="O61" s="4">
        <f t="shared" si="3"/>
        <v>2250</v>
      </c>
      <c r="P61" s="4">
        <f t="shared" si="4"/>
        <v>1</v>
      </c>
      <c r="Q61" s="6"/>
      <c r="R61" s="6"/>
    </row>
    <row r="62" spans="1:21" hidden="1">
      <c r="A62" s="5" t="s">
        <v>57</v>
      </c>
      <c r="B62" s="10" t="s">
        <v>101</v>
      </c>
      <c r="C62" s="35" t="s">
        <v>40</v>
      </c>
      <c r="D62" s="9" t="s">
        <v>147</v>
      </c>
      <c r="E62" s="9" t="s">
        <v>148</v>
      </c>
      <c r="F62" s="9" t="s">
        <v>148</v>
      </c>
      <c r="G62" s="9" t="s">
        <v>148</v>
      </c>
      <c r="H62" s="9" t="s">
        <v>148</v>
      </c>
      <c r="I62" s="9">
        <v>450</v>
      </c>
      <c r="J62" s="9" t="s">
        <v>147</v>
      </c>
      <c r="K62" s="6">
        <v>0</v>
      </c>
      <c r="L62" s="6">
        <f t="shared" si="0"/>
        <v>450</v>
      </c>
      <c r="M62" s="4">
        <f t="shared" si="1"/>
        <v>450</v>
      </c>
      <c r="N62" s="4">
        <f t="shared" si="2"/>
        <v>2250</v>
      </c>
      <c r="O62" s="4">
        <f t="shared" si="3"/>
        <v>1800</v>
      </c>
      <c r="P62" s="4">
        <f t="shared" si="4"/>
        <v>0.8</v>
      </c>
      <c r="Q62" s="6"/>
      <c r="R62" s="6"/>
    </row>
    <row r="63" spans="1:21" hidden="1">
      <c r="A63" s="5" t="s">
        <v>22</v>
      </c>
      <c r="B63" s="32" t="s">
        <v>102</v>
      </c>
      <c r="C63" s="35" t="s">
        <v>33</v>
      </c>
      <c r="D63" s="9" t="s">
        <v>147</v>
      </c>
      <c r="E63" s="9" t="s">
        <v>148</v>
      </c>
      <c r="F63" s="9">
        <v>450</v>
      </c>
      <c r="G63" s="9" t="s">
        <v>148</v>
      </c>
      <c r="H63" s="9">
        <v>450</v>
      </c>
      <c r="I63" s="9" t="s">
        <v>148</v>
      </c>
      <c r="J63" s="9" t="s">
        <v>147</v>
      </c>
      <c r="K63" s="6">
        <v>0</v>
      </c>
      <c r="L63" s="6">
        <f t="shared" si="0"/>
        <v>900</v>
      </c>
      <c r="M63" s="4">
        <f t="shared" si="1"/>
        <v>900</v>
      </c>
      <c r="N63" s="4">
        <f t="shared" si="2"/>
        <v>2250</v>
      </c>
      <c r="O63" s="4">
        <f t="shared" si="3"/>
        <v>1350</v>
      </c>
      <c r="P63" s="4">
        <f t="shared" si="4"/>
        <v>0.6</v>
      </c>
      <c r="Q63" s="6"/>
      <c r="R63" s="6"/>
    </row>
    <row r="64" spans="1:21" hidden="1">
      <c r="A64" s="5" t="s">
        <v>22</v>
      </c>
      <c r="B64" s="32" t="s">
        <v>31</v>
      </c>
      <c r="C64" s="35" t="s">
        <v>33</v>
      </c>
      <c r="D64" s="9" t="s">
        <v>147</v>
      </c>
      <c r="E64" s="9" t="s">
        <v>148</v>
      </c>
      <c r="F64" s="9" t="s">
        <v>12</v>
      </c>
      <c r="G64" s="9" t="s">
        <v>148</v>
      </c>
      <c r="H64" s="9" t="s">
        <v>148</v>
      </c>
      <c r="I64" s="9" t="s">
        <v>148</v>
      </c>
      <c r="J64" s="9" t="s">
        <v>147</v>
      </c>
      <c r="K64" s="6">
        <f t="shared" ref="K64" si="10">SUM(E64:I64)</f>
        <v>0</v>
      </c>
      <c r="L64" s="6">
        <f t="shared" si="0"/>
        <v>0</v>
      </c>
      <c r="M64" s="4">
        <f t="shared" si="1"/>
        <v>0</v>
      </c>
      <c r="N64" s="4">
        <f>450*4</f>
        <v>1800</v>
      </c>
      <c r="O64" s="4">
        <f t="shared" si="3"/>
        <v>1800</v>
      </c>
      <c r="P64" s="4">
        <f t="shared" si="4"/>
        <v>1</v>
      </c>
      <c r="Q64" s="6"/>
      <c r="R64" s="6"/>
    </row>
    <row r="65" spans="1:18" hidden="1">
      <c r="A65" s="5" t="s">
        <v>26</v>
      </c>
      <c r="B65" s="10" t="s">
        <v>103</v>
      </c>
      <c r="C65" s="11" t="s">
        <v>40</v>
      </c>
      <c r="D65" s="9" t="s">
        <v>148</v>
      </c>
      <c r="E65" s="9" t="s">
        <v>148</v>
      </c>
      <c r="F65" s="9" t="s">
        <v>147</v>
      </c>
      <c r="G65" s="9" t="s">
        <v>147</v>
      </c>
      <c r="H65" s="9" t="s">
        <v>148</v>
      </c>
      <c r="I65" s="9" t="s">
        <v>148</v>
      </c>
      <c r="J65" s="9" t="s">
        <v>148</v>
      </c>
      <c r="K65" s="6">
        <f>SUM(D65:J65)</f>
        <v>0</v>
      </c>
      <c r="L65" s="6">
        <f t="shared" si="0"/>
        <v>0</v>
      </c>
      <c r="M65" s="4">
        <f t="shared" ref="M65:M94" si="11">SUM(K65:L65)</f>
        <v>0</v>
      </c>
      <c r="N65" s="4">
        <f t="shared" si="2"/>
        <v>2250</v>
      </c>
      <c r="O65" s="4">
        <f t="shared" si="3"/>
        <v>2250</v>
      </c>
      <c r="P65" s="4">
        <f t="shared" si="4"/>
        <v>1</v>
      </c>
      <c r="Q65" s="6"/>
      <c r="R65" s="6"/>
    </row>
    <row r="66" spans="1:18">
      <c r="A66" s="5" t="s">
        <v>22</v>
      </c>
      <c r="B66" s="32" t="s">
        <v>104</v>
      </c>
      <c r="C66" s="35" t="s">
        <v>25</v>
      </c>
      <c r="D66" s="9" t="s">
        <v>147</v>
      </c>
      <c r="E66" s="9">
        <v>450</v>
      </c>
      <c r="F66" s="9">
        <v>450</v>
      </c>
      <c r="G66" s="9">
        <v>95</v>
      </c>
      <c r="H66" s="9" t="s">
        <v>148</v>
      </c>
      <c r="I66" s="9" t="s">
        <v>148</v>
      </c>
      <c r="J66" s="9" t="s">
        <v>147</v>
      </c>
      <c r="K66" s="6">
        <f>G66</f>
        <v>95</v>
      </c>
      <c r="L66" s="6">
        <f t="shared" si="0"/>
        <v>900</v>
      </c>
      <c r="M66" s="4">
        <f t="shared" si="11"/>
        <v>995</v>
      </c>
      <c r="N66" s="4">
        <f t="shared" si="2"/>
        <v>2250</v>
      </c>
      <c r="O66" s="4">
        <f t="shared" si="3"/>
        <v>1255</v>
      </c>
      <c r="P66" s="4">
        <f t="shared" si="4"/>
        <v>0.55777777777777782</v>
      </c>
      <c r="Q66" s="6"/>
      <c r="R66" s="6"/>
    </row>
    <row r="67" spans="1:18" hidden="1">
      <c r="A67" s="5" t="s">
        <v>22</v>
      </c>
      <c r="B67" s="32" t="s">
        <v>105</v>
      </c>
      <c r="C67" s="35" t="s">
        <v>56</v>
      </c>
      <c r="D67" s="9" t="s">
        <v>147</v>
      </c>
      <c r="E67" s="9">
        <v>91</v>
      </c>
      <c r="F67" s="9" t="s">
        <v>148</v>
      </c>
      <c r="G67" s="9" t="s">
        <v>148</v>
      </c>
      <c r="H67" s="9" t="s">
        <v>148</v>
      </c>
      <c r="I67" s="9" t="s">
        <v>148</v>
      </c>
      <c r="J67" s="9" t="s">
        <v>147</v>
      </c>
      <c r="K67" s="6">
        <f>SUM(D67:J67)</f>
        <v>91</v>
      </c>
      <c r="L67" s="6">
        <f t="shared" ref="L67:L94" si="12">SUMIF(D67:J67,"450")</f>
        <v>0</v>
      </c>
      <c r="M67" s="4">
        <f t="shared" si="11"/>
        <v>91</v>
      </c>
      <c r="N67" s="4">
        <f t="shared" ref="N67:N94" si="13">450*5</f>
        <v>2250</v>
      </c>
      <c r="O67" s="4">
        <f t="shared" ref="O67:O94" si="14">N67-M67</f>
        <v>2159</v>
      </c>
      <c r="P67" s="4">
        <f t="shared" ref="P67:P94" si="15">O67/N67*100%</f>
        <v>0.95955555555555561</v>
      </c>
      <c r="Q67" s="6"/>
      <c r="R67" s="6"/>
    </row>
    <row r="68" spans="1:18" hidden="1">
      <c r="A68" s="5" t="s">
        <v>22</v>
      </c>
      <c r="B68" s="32" t="s">
        <v>106</v>
      </c>
      <c r="C68" s="35" t="s">
        <v>30</v>
      </c>
      <c r="D68" s="9" t="s">
        <v>147</v>
      </c>
      <c r="E68" s="9" t="s">
        <v>148</v>
      </c>
      <c r="F68" s="9" t="s">
        <v>148</v>
      </c>
      <c r="G68" s="9" t="s">
        <v>148</v>
      </c>
      <c r="H68" s="9" t="s">
        <v>148</v>
      </c>
      <c r="I68" s="9" t="s">
        <v>148</v>
      </c>
      <c r="J68" s="9" t="s">
        <v>147</v>
      </c>
      <c r="K68" s="6">
        <f>SUM(D68:J68)</f>
        <v>0</v>
      </c>
      <c r="L68" s="6">
        <f t="shared" si="12"/>
        <v>0</v>
      </c>
      <c r="M68" s="4">
        <f t="shared" si="11"/>
        <v>0</v>
      </c>
      <c r="N68" s="4">
        <f t="shared" si="2"/>
        <v>2250</v>
      </c>
      <c r="O68" s="4">
        <f t="shared" si="14"/>
        <v>2250</v>
      </c>
      <c r="P68" s="4">
        <f t="shared" si="15"/>
        <v>1</v>
      </c>
      <c r="Q68" s="6"/>
      <c r="R68" s="6"/>
    </row>
    <row r="69" spans="1:18" hidden="1">
      <c r="A69" s="5" t="s">
        <v>57</v>
      </c>
      <c r="B69" s="10" t="s">
        <v>107</v>
      </c>
      <c r="C69" s="35" t="s">
        <v>40</v>
      </c>
      <c r="D69" s="9" t="s">
        <v>147</v>
      </c>
      <c r="E69" s="9">
        <v>450</v>
      </c>
      <c r="F69" s="9" t="s">
        <v>148</v>
      </c>
      <c r="G69" s="9" t="s">
        <v>148</v>
      </c>
      <c r="H69" s="9" t="s">
        <v>148</v>
      </c>
      <c r="I69" s="9" t="s">
        <v>148</v>
      </c>
      <c r="J69" s="9" t="s">
        <v>147</v>
      </c>
      <c r="K69" s="6">
        <v>0</v>
      </c>
      <c r="L69" s="6">
        <f t="shared" si="12"/>
        <v>450</v>
      </c>
      <c r="M69" s="4">
        <f t="shared" si="11"/>
        <v>450</v>
      </c>
      <c r="N69" s="4">
        <f t="shared" si="13"/>
        <v>2250</v>
      </c>
      <c r="O69" s="4">
        <f t="shared" si="14"/>
        <v>1800</v>
      </c>
      <c r="P69" s="4">
        <f t="shared" si="15"/>
        <v>0.8</v>
      </c>
      <c r="Q69" s="6"/>
      <c r="R69" s="6"/>
    </row>
    <row r="70" spans="1:18" hidden="1">
      <c r="A70" s="5" t="s">
        <v>26</v>
      </c>
      <c r="B70" s="10" t="s">
        <v>108</v>
      </c>
      <c r="C70" s="11" t="s">
        <v>30</v>
      </c>
      <c r="D70" s="9" t="s">
        <v>147</v>
      </c>
      <c r="E70" s="9" t="s">
        <v>148</v>
      </c>
      <c r="F70" s="9" t="s">
        <v>148</v>
      </c>
      <c r="G70" s="9" t="s">
        <v>148</v>
      </c>
      <c r="H70" s="9" t="s">
        <v>148</v>
      </c>
      <c r="I70" s="9" t="s">
        <v>148</v>
      </c>
      <c r="J70" s="9" t="s">
        <v>147</v>
      </c>
      <c r="K70" s="6">
        <f t="shared" ref="K70:K71" si="16">SUM(D70:J70)</f>
        <v>0</v>
      </c>
      <c r="L70" s="6">
        <f t="shared" si="12"/>
        <v>0</v>
      </c>
      <c r="M70" s="4">
        <f t="shared" si="11"/>
        <v>0</v>
      </c>
      <c r="N70" s="4">
        <f t="shared" si="13"/>
        <v>2250</v>
      </c>
      <c r="O70" s="4">
        <f t="shared" si="14"/>
        <v>2250</v>
      </c>
      <c r="P70" s="4">
        <f t="shared" si="15"/>
        <v>1</v>
      </c>
      <c r="Q70" s="6"/>
      <c r="R70" s="6"/>
    </row>
    <row r="71" spans="1:18" hidden="1">
      <c r="A71" s="5" t="s">
        <v>26</v>
      </c>
      <c r="B71" s="10" t="s">
        <v>109</v>
      </c>
      <c r="C71" s="11" t="s">
        <v>36</v>
      </c>
      <c r="D71" s="9" t="s">
        <v>147</v>
      </c>
      <c r="E71" s="9" t="s">
        <v>148</v>
      </c>
      <c r="F71" s="9" t="s">
        <v>148</v>
      </c>
      <c r="G71" s="9" t="s">
        <v>148</v>
      </c>
      <c r="H71" s="9" t="s">
        <v>148</v>
      </c>
      <c r="I71" s="9" t="s">
        <v>148</v>
      </c>
      <c r="J71" s="9" t="s">
        <v>147</v>
      </c>
      <c r="K71" s="6">
        <f t="shared" si="16"/>
        <v>0</v>
      </c>
      <c r="L71" s="6">
        <f t="shared" si="12"/>
        <v>0</v>
      </c>
      <c r="M71" s="4">
        <f t="shared" si="11"/>
        <v>0</v>
      </c>
      <c r="N71" s="4">
        <f t="shared" si="13"/>
        <v>2250</v>
      </c>
      <c r="O71" s="4">
        <f t="shared" si="14"/>
        <v>2250</v>
      </c>
      <c r="P71" s="4">
        <f t="shared" si="15"/>
        <v>1</v>
      </c>
      <c r="Q71" s="6"/>
      <c r="R71" s="6"/>
    </row>
    <row r="72" spans="1:18" hidden="1">
      <c r="A72" s="5" t="s">
        <v>111</v>
      </c>
      <c r="B72" s="10" t="s">
        <v>110</v>
      </c>
      <c r="C72" s="35" t="s">
        <v>40</v>
      </c>
      <c r="D72" s="9" t="s">
        <v>147</v>
      </c>
      <c r="E72" s="9" t="s">
        <v>148</v>
      </c>
      <c r="F72" s="9" t="s">
        <v>148</v>
      </c>
      <c r="G72" s="9" t="s">
        <v>148</v>
      </c>
      <c r="H72" s="9" t="s">
        <v>148</v>
      </c>
      <c r="I72" s="9" t="s">
        <v>148</v>
      </c>
      <c r="J72" s="9" t="s">
        <v>147</v>
      </c>
      <c r="K72" s="6">
        <f>SUM(E72:I72)</f>
        <v>0</v>
      </c>
      <c r="L72" s="6">
        <f t="shared" si="12"/>
        <v>0</v>
      </c>
      <c r="M72" s="4">
        <f t="shared" si="11"/>
        <v>0</v>
      </c>
      <c r="N72" s="4">
        <f t="shared" si="13"/>
        <v>2250</v>
      </c>
      <c r="O72" s="4">
        <f t="shared" si="14"/>
        <v>2250</v>
      </c>
      <c r="P72" s="4">
        <f t="shared" si="15"/>
        <v>1</v>
      </c>
      <c r="Q72" s="6"/>
      <c r="R72" s="6"/>
    </row>
    <row r="73" spans="1:18">
      <c r="A73" s="5" t="s">
        <v>22</v>
      </c>
      <c r="B73" s="32" t="s">
        <v>112</v>
      </c>
      <c r="C73" s="35" t="s">
        <v>25</v>
      </c>
      <c r="D73" s="9" t="s">
        <v>147</v>
      </c>
      <c r="E73" s="9">
        <v>2</v>
      </c>
      <c r="F73" s="9" t="s">
        <v>148</v>
      </c>
      <c r="G73" s="9" t="s">
        <v>148</v>
      </c>
      <c r="H73" s="9">
        <v>5</v>
      </c>
      <c r="I73" s="9" t="s">
        <v>148</v>
      </c>
      <c r="J73" s="9" t="s">
        <v>147</v>
      </c>
      <c r="K73" s="6">
        <f>SUM(D73:I73)</f>
        <v>7</v>
      </c>
      <c r="L73" s="6">
        <f t="shared" si="12"/>
        <v>0</v>
      </c>
      <c r="M73" s="4">
        <f t="shared" si="11"/>
        <v>7</v>
      </c>
      <c r="N73" s="4">
        <f t="shared" si="13"/>
        <v>2250</v>
      </c>
      <c r="O73" s="4">
        <f t="shared" si="14"/>
        <v>2243</v>
      </c>
      <c r="P73" s="4">
        <f t="shared" si="15"/>
        <v>0.99688888888888894</v>
      </c>
      <c r="Q73" s="6"/>
      <c r="R73" s="6"/>
    </row>
    <row r="74" spans="1:18" hidden="1">
      <c r="A74" s="5" t="s">
        <v>26</v>
      </c>
      <c r="B74" s="10" t="s">
        <v>113</v>
      </c>
      <c r="C74" s="11" t="s">
        <v>40</v>
      </c>
      <c r="D74" s="9" t="s">
        <v>148</v>
      </c>
      <c r="E74" s="9" t="s">
        <v>148</v>
      </c>
      <c r="F74" s="9" t="s">
        <v>147</v>
      </c>
      <c r="G74" s="9" t="s">
        <v>147</v>
      </c>
      <c r="H74" s="9" t="s">
        <v>148</v>
      </c>
      <c r="I74" s="9" t="s">
        <v>148</v>
      </c>
      <c r="J74" s="9" t="s">
        <v>148</v>
      </c>
      <c r="K74" s="6">
        <f>SUM(D74:J74)</f>
        <v>0</v>
      </c>
      <c r="L74" s="6">
        <f t="shared" si="12"/>
        <v>0</v>
      </c>
      <c r="M74" s="4">
        <f t="shared" si="11"/>
        <v>0</v>
      </c>
      <c r="N74" s="4">
        <f t="shared" si="13"/>
        <v>2250</v>
      </c>
      <c r="O74" s="4">
        <f t="shared" si="14"/>
        <v>2250</v>
      </c>
      <c r="P74" s="4">
        <f t="shared" si="15"/>
        <v>1</v>
      </c>
      <c r="Q74" s="6"/>
      <c r="R74" s="6"/>
    </row>
    <row r="75" spans="1:18" hidden="1">
      <c r="A75" s="5" t="s">
        <v>37</v>
      </c>
      <c r="B75" s="32" t="s">
        <v>114</v>
      </c>
      <c r="C75" s="35" t="s">
        <v>40</v>
      </c>
      <c r="D75" s="9" t="s">
        <v>147</v>
      </c>
      <c r="E75" s="9" t="s">
        <v>147</v>
      </c>
      <c r="F75" s="9">
        <v>240</v>
      </c>
      <c r="G75" s="9" t="s">
        <v>148</v>
      </c>
      <c r="H75" s="9" t="s">
        <v>148</v>
      </c>
      <c r="I75" s="9" t="s">
        <v>148</v>
      </c>
      <c r="J75" s="9" t="s">
        <v>14</v>
      </c>
      <c r="K75" s="6">
        <f>SUM(D75:J75)</f>
        <v>240</v>
      </c>
      <c r="L75" s="6">
        <f t="shared" si="12"/>
        <v>0</v>
      </c>
      <c r="M75" s="4">
        <f t="shared" si="11"/>
        <v>240</v>
      </c>
      <c r="N75" s="4">
        <f>450*4</f>
        <v>1800</v>
      </c>
      <c r="O75" s="4">
        <f t="shared" si="14"/>
        <v>1560</v>
      </c>
      <c r="P75" s="4">
        <f t="shared" si="15"/>
        <v>0.8666666666666667</v>
      </c>
      <c r="Q75" s="6"/>
      <c r="R75" s="6">
        <v>1</v>
      </c>
    </row>
    <row r="76" spans="1:18" hidden="1">
      <c r="A76" s="5" t="s">
        <v>22</v>
      </c>
      <c r="B76" s="32" t="s">
        <v>66</v>
      </c>
      <c r="C76" s="35" t="s">
        <v>30</v>
      </c>
      <c r="D76" s="9" t="s">
        <v>147</v>
      </c>
      <c r="E76" s="9" t="s">
        <v>148</v>
      </c>
      <c r="F76" s="9" t="s">
        <v>148</v>
      </c>
      <c r="G76" s="9" t="s">
        <v>148</v>
      </c>
      <c r="H76" s="9" t="s">
        <v>148</v>
      </c>
      <c r="I76" s="9" t="s">
        <v>148</v>
      </c>
      <c r="J76" s="9" t="s">
        <v>147</v>
      </c>
      <c r="K76" s="6">
        <f>SUM(D76:J76)</f>
        <v>0</v>
      </c>
      <c r="L76" s="6">
        <f t="shared" si="12"/>
        <v>0</v>
      </c>
      <c r="M76" s="4">
        <f t="shared" si="11"/>
        <v>0</v>
      </c>
      <c r="N76" s="4">
        <f t="shared" si="13"/>
        <v>2250</v>
      </c>
      <c r="O76" s="4">
        <f t="shared" si="14"/>
        <v>2250</v>
      </c>
      <c r="P76" s="4">
        <f t="shared" si="15"/>
        <v>1</v>
      </c>
      <c r="Q76" s="6"/>
      <c r="R76" s="6"/>
    </row>
    <row r="77" spans="1:18" hidden="1">
      <c r="A77" s="5" t="s">
        <v>22</v>
      </c>
      <c r="B77" s="32" t="s">
        <v>115</v>
      </c>
      <c r="C77" s="35" t="s">
        <v>33</v>
      </c>
      <c r="D77" s="9" t="s">
        <v>147</v>
      </c>
      <c r="E77" s="9">
        <v>10</v>
      </c>
      <c r="F77" s="9">
        <v>13</v>
      </c>
      <c r="G77" s="9" t="s">
        <v>148</v>
      </c>
      <c r="H77" s="9" t="s">
        <v>148</v>
      </c>
      <c r="I77" s="9" t="s">
        <v>148</v>
      </c>
      <c r="J77" s="9" t="s">
        <v>147</v>
      </c>
      <c r="K77" s="6">
        <f>SUM(E77:I77)</f>
        <v>23</v>
      </c>
      <c r="L77" s="6">
        <f t="shared" si="12"/>
        <v>0</v>
      </c>
      <c r="M77" s="4">
        <f t="shared" si="11"/>
        <v>23</v>
      </c>
      <c r="N77" s="4">
        <f t="shared" si="13"/>
        <v>2250</v>
      </c>
      <c r="O77" s="4">
        <f t="shared" si="14"/>
        <v>2227</v>
      </c>
      <c r="P77" s="4">
        <f t="shared" si="15"/>
        <v>0.98977777777777776</v>
      </c>
      <c r="Q77" s="6"/>
      <c r="R77" s="6"/>
    </row>
    <row r="78" spans="1:18" hidden="1">
      <c r="A78" s="5" t="s">
        <v>22</v>
      </c>
      <c r="B78" s="32" t="s">
        <v>116</v>
      </c>
      <c r="C78" s="35" t="s">
        <v>63</v>
      </c>
      <c r="D78" s="9" t="s">
        <v>147</v>
      </c>
      <c r="E78" s="9">
        <v>16</v>
      </c>
      <c r="F78" s="9">
        <v>17</v>
      </c>
      <c r="G78" s="9" t="s">
        <v>148</v>
      </c>
      <c r="H78" s="9" t="s">
        <v>148</v>
      </c>
      <c r="I78" s="9" t="s">
        <v>148</v>
      </c>
      <c r="J78" s="9" t="s">
        <v>147</v>
      </c>
      <c r="K78" s="6">
        <f>SUM(D78:I78)</f>
        <v>33</v>
      </c>
      <c r="L78" s="6">
        <f t="shared" si="12"/>
        <v>0</v>
      </c>
      <c r="M78" s="4">
        <f t="shared" si="11"/>
        <v>33</v>
      </c>
      <c r="N78" s="4">
        <f t="shared" si="13"/>
        <v>2250</v>
      </c>
      <c r="O78" s="4">
        <f t="shared" si="14"/>
        <v>2217</v>
      </c>
      <c r="P78" s="4">
        <f t="shared" si="15"/>
        <v>0.98533333333333328</v>
      </c>
      <c r="Q78" s="6"/>
      <c r="R78" s="6"/>
    </row>
    <row r="79" spans="1:18" hidden="1">
      <c r="A79" s="5" t="s">
        <v>22</v>
      </c>
      <c r="B79" s="32" t="s">
        <v>117</v>
      </c>
      <c r="C79" s="35" t="s">
        <v>30</v>
      </c>
      <c r="D79" s="9" t="s">
        <v>147</v>
      </c>
      <c r="E79" s="9" t="s">
        <v>148</v>
      </c>
      <c r="F79" s="9" t="s">
        <v>148</v>
      </c>
      <c r="G79" s="9" t="s">
        <v>148</v>
      </c>
      <c r="H79" s="9" t="s">
        <v>148</v>
      </c>
      <c r="I79" s="9" t="s">
        <v>148</v>
      </c>
      <c r="J79" s="9" t="s">
        <v>147</v>
      </c>
      <c r="K79" s="6">
        <f>SUM(D79:J79)</f>
        <v>0</v>
      </c>
      <c r="L79" s="6">
        <f t="shared" si="12"/>
        <v>0</v>
      </c>
      <c r="M79" s="4">
        <f t="shared" si="11"/>
        <v>0</v>
      </c>
      <c r="N79" s="4">
        <f t="shared" si="13"/>
        <v>2250</v>
      </c>
      <c r="O79" s="4">
        <f t="shared" si="14"/>
        <v>2250</v>
      </c>
      <c r="P79" s="4">
        <f t="shared" si="15"/>
        <v>1</v>
      </c>
      <c r="Q79" s="6"/>
      <c r="R79" s="6"/>
    </row>
    <row r="80" spans="1:18" hidden="1">
      <c r="A80" s="5" t="s">
        <v>37</v>
      </c>
      <c r="B80" s="32" t="s">
        <v>118</v>
      </c>
      <c r="C80" s="35" t="s">
        <v>40</v>
      </c>
      <c r="D80" s="9" t="s">
        <v>147</v>
      </c>
      <c r="E80" s="9" t="s">
        <v>148</v>
      </c>
      <c r="F80" s="9">
        <v>12</v>
      </c>
      <c r="G80" s="9" t="s">
        <v>148</v>
      </c>
      <c r="H80" s="9" t="s">
        <v>148</v>
      </c>
      <c r="I80" s="9" t="s">
        <v>148</v>
      </c>
      <c r="J80" s="9" t="s">
        <v>147</v>
      </c>
      <c r="K80" s="6">
        <f>SUM(D80:J80)</f>
        <v>12</v>
      </c>
      <c r="L80" s="6">
        <f t="shared" si="12"/>
        <v>0</v>
      </c>
      <c r="M80" s="4">
        <f t="shared" si="11"/>
        <v>12</v>
      </c>
      <c r="N80" s="4">
        <f t="shared" si="13"/>
        <v>2250</v>
      </c>
      <c r="O80" s="4">
        <f t="shared" si="14"/>
        <v>2238</v>
      </c>
      <c r="P80" s="4">
        <f t="shared" si="15"/>
        <v>0.9946666666666667</v>
      </c>
      <c r="Q80" s="6"/>
      <c r="R80" s="6"/>
    </row>
    <row r="81" spans="1:18">
      <c r="A81" s="5" t="s">
        <v>26</v>
      </c>
      <c r="B81" s="10" t="s">
        <v>119</v>
      </c>
      <c r="C81" s="11" t="s">
        <v>25</v>
      </c>
      <c r="D81" s="9" t="s">
        <v>148</v>
      </c>
      <c r="E81" s="9" t="s">
        <v>148</v>
      </c>
      <c r="F81" s="9" t="s">
        <v>148</v>
      </c>
      <c r="G81" s="9" t="s">
        <v>147</v>
      </c>
      <c r="H81" s="9" t="s">
        <v>147</v>
      </c>
      <c r="I81" s="9" t="s">
        <v>148</v>
      </c>
      <c r="J81" s="9" t="s">
        <v>148</v>
      </c>
      <c r="K81" s="6">
        <f>SUM(D81:J81)</f>
        <v>0</v>
      </c>
      <c r="L81" s="6">
        <f t="shared" si="12"/>
        <v>0</v>
      </c>
      <c r="M81" s="4">
        <f t="shared" si="11"/>
        <v>0</v>
      </c>
      <c r="N81" s="4">
        <f t="shared" si="13"/>
        <v>2250</v>
      </c>
      <c r="O81" s="4">
        <f t="shared" si="14"/>
        <v>2250</v>
      </c>
      <c r="P81" s="4">
        <f t="shared" si="15"/>
        <v>1</v>
      </c>
      <c r="Q81" s="6"/>
      <c r="R81" s="6"/>
    </row>
    <row r="82" spans="1:18" hidden="1">
      <c r="A82" s="5" t="s">
        <v>22</v>
      </c>
      <c r="B82" s="32" t="s">
        <v>120</v>
      </c>
      <c r="C82" s="35" t="s">
        <v>30</v>
      </c>
      <c r="D82" s="9" t="s">
        <v>147</v>
      </c>
      <c r="E82" s="9" t="s">
        <v>148</v>
      </c>
      <c r="F82" s="9">
        <v>450</v>
      </c>
      <c r="G82" s="9" t="s">
        <v>148</v>
      </c>
      <c r="H82" s="9" t="s">
        <v>148</v>
      </c>
      <c r="I82" s="9">
        <v>11</v>
      </c>
      <c r="J82" s="9" t="s">
        <v>147</v>
      </c>
      <c r="K82" s="4">
        <f>I82</f>
        <v>11</v>
      </c>
      <c r="L82" s="6">
        <f t="shared" si="12"/>
        <v>450</v>
      </c>
      <c r="M82" s="4">
        <f t="shared" si="11"/>
        <v>461</v>
      </c>
      <c r="N82" s="4">
        <f t="shared" si="13"/>
        <v>2250</v>
      </c>
      <c r="O82" s="4">
        <f t="shared" si="14"/>
        <v>1789</v>
      </c>
      <c r="P82" s="4">
        <f t="shared" si="15"/>
        <v>0.7951111111111111</v>
      </c>
      <c r="Q82" s="6"/>
      <c r="R82" s="6"/>
    </row>
    <row r="83" spans="1:18" hidden="1">
      <c r="A83" s="5" t="s">
        <v>22</v>
      </c>
      <c r="B83" s="32" t="s">
        <v>122</v>
      </c>
      <c r="C83" s="35" t="s">
        <v>30</v>
      </c>
      <c r="D83" s="9" t="s">
        <v>147</v>
      </c>
      <c r="E83" s="9" t="s">
        <v>148</v>
      </c>
      <c r="F83" s="9" t="s">
        <v>148</v>
      </c>
      <c r="G83" s="9" t="s">
        <v>148</v>
      </c>
      <c r="H83" s="9" t="s">
        <v>148</v>
      </c>
      <c r="I83" s="9" t="s">
        <v>148</v>
      </c>
      <c r="J83" s="9" t="s">
        <v>147</v>
      </c>
      <c r="K83" s="6">
        <v>0</v>
      </c>
      <c r="L83" s="6">
        <f t="shared" si="12"/>
        <v>0</v>
      </c>
      <c r="M83" s="4">
        <f t="shared" si="11"/>
        <v>0</v>
      </c>
      <c r="N83" s="4">
        <f t="shared" si="13"/>
        <v>2250</v>
      </c>
      <c r="O83" s="4">
        <f t="shared" si="14"/>
        <v>2250</v>
      </c>
      <c r="P83" s="4">
        <f t="shared" si="15"/>
        <v>1</v>
      </c>
      <c r="Q83" s="6"/>
      <c r="R83" s="6"/>
    </row>
    <row r="84" spans="1:18" hidden="1">
      <c r="A84" s="5" t="s">
        <v>26</v>
      </c>
      <c r="B84" s="10" t="s">
        <v>123</v>
      </c>
      <c r="C84" s="11" t="s">
        <v>40</v>
      </c>
      <c r="D84" s="9" t="s">
        <v>147</v>
      </c>
      <c r="E84" s="9" t="s">
        <v>148</v>
      </c>
      <c r="F84" s="9" t="s">
        <v>148</v>
      </c>
      <c r="G84" s="9" t="s">
        <v>148</v>
      </c>
      <c r="H84" s="9" t="s">
        <v>148</v>
      </c>
      <c r="I84" s="9" t="s">
        <v>148</v>
      </c>
      <c r="J84" s="9" t="s">
        <v>147</v>
      </c>
      <c r="K84" s="6">
        <f t="shared" ref="K84:K85" si="17">SUM(D84:J84)</f>
        <v>0</v>
      </c>
      <c r="L84" s="6">
        <f t="shared" si="12"/>
        <v>0</v>
      </c>
      <c r="M84" s="4">
        <f t="shared" si="11"/>
        <v>0</v>
      </c>
      <c r="N84" s="4">
        <f t="shared" si="13"/>
        <v>2250</v>
      </c>
      <c r="O84" s="4">
        <f t="shared" si="14"/>
        <v>2250</v>
      </c>
      <c r="P84" s="4">
        <f t="shared" si="15"/>
        <v>1</v>
      </c>
      <c r="Q84" s="6"/>
      <c r="R84" s="6"/>
    </row>
    <row r="85" spans="1:18" hidden="1">
      <c r="A85" s="5" t="s">
        <v>26</v>
      </c>
      <c r="B85" s="10" t="s">
        <v>124</v>
      </c>
      <c r="C85" s="11" t="s">
        <v>36</v>
      </c>
      <c r="D85" s="9" t="s">
        <v>147</v>
      </c>
      <c r="E85" s="9" t="s">
        <v>148</v>
      </c>
      <c r="F85" s="9" t="s">
        <v>148</v>
      </c>
      <c r="G85" s="9" t="s">
        <v>148</v>
      </c>
      <c r="H85" s="9" t="s">
        <v>148</v>
      </c>
      <c r="I85" s="9" t="s">
        <v>148</v>
      </c>
      <c r="J85" s="9" t="s">
        <v>147</v>
      </c>
      <c r="K85" s="6">
        <f t="shared" si="17"/>
        <v>0</v>
      </c>
      <c r="L85" s="6">
        <f t="shared" si="12"/>
        <v>0</v>
      </c>
      <c r="M85" s="4">
        <f t="shared" si="11"/>
        <v>0</v>
      </c>
      <c r="N85" s="4">
        <f t="shared" si="13"/>
        <v>2250</v>
      </c>
      <c r="O85" s="4">
        <f t="shared" si="14"/>
        <v>2250</v>
      </c>
      <c r="P85" s="4">
        <f t="shared" si="15"/>
        <v>1</v>
      </c>
      <c r="Q85" s="6"/>
      <c r="R85" s="6"/>
    </row>
    <row r="86" spans="1:18">
      <c r="A86" s="5" t="s">
        <v>22</v>
      </c>
      <c r="B86" s="32" t="s">
        <v>125</v>
      </c>
      <c r="C86" s="35" t="s">
        <v>25</v>
      </c>
      <c r="D86" s="9" t="s">
        <v>147</v>
      </c>
      <c r="E86" s="9" t="s">
        <v>148</v>
      </c>
      <c r="F86" s="9" t="s">
        <v>148</v>
      </c>
      <c r="G86" s="9" t="s">
        <v>148</v>
      </c>
      <c r="H86" s="9">
        <v>450</v>
      </c>
      <c r="I86" s="9" t="s">
        <v>148</v>
      </c>
      <c r="J86" s="9" t="s">
        <v>147</v>
      </c>
      <c r="K86" s="6">
        <v>0</v>
      </c>
      <c r="L86" s="6">
        <f t="shared" si="12"/>
        <v>450</v>
      </c>
      <c r="M86" s="4">
        <f t="shared" si="11"/>
        <v>450</v>
      </c>
      <c r="N86" s="4">
        <f t="shared" si="13"/>
        <v>2250</v>
      </c>
      <c r="O86" s="4">
        <f t="shared" si="14"/>
        <v>1800</v>
      </c>
      <c r="P86" s="4">
        <f t="shared" si="15"/>
        <v>0.8</v>
      </c>
      <c r="Q86" s="6"/>
      <c r="R86" s="6"/>
    </row>
    <row r="87" spans="1:18" hidden="1">
      <c r="A87" s="5" t="s">
        <v>26</v>
      </c>
      <c r="B87" s="10" t="s">
        <v>126</v>
      </c>
      <c r="C87" s="11" t="s">
        <v>30</v>
      </c>
      <c r="D87" s="9" t="s">
        <v>147</v>
      </c>
      <c r="E87" s="9" t="s">
        <v>148</v>
      </c>
      <c r="F87" s="9" t="s">
        <v>148</v>
      </c>
      <c r="G87" s="9" t="s">
        <v>148</v>
      </c>
      <c r="H87" s="9" t="s">
        <v>148</v>
      </c>
      <c r="I87" s="9" t="s">
        <v>148</v>
      </c>
      <c r="J87" s="9" t="s">
        <v>147</v>
      </c>
      <c r="K87" s="6">
        <f>SUM(D87:J87)</f>
        <v>0</v>
      </c>
      <c r="L87" s="6">
        <f t="shared" si="12"/>
        <v>0</v>
      </c>
      <c r="M87" s="4">
        <f t="shared" si="11"/>
        <v>0</v>
      </c>
      <c r="N87" s="4">
        <f t="shared" si="13"/>
        <v>2250</v>
      </c>
      <c r="O87" s="4">
        <f t="shared" si="14"/>
        <v>2250</v>
      </c>
      <c r="P87" s="4">
        <f t="shared" si="15"/>
        <v>1</v>
      </c>
      <c r="Q87" s="6"/>
      <c r="R87" s="6"/>
    </row>
    <row r="88" spans="1:18" hidden="1">
      <c r="A88" s="5" t="s">
        <v>22</v>
      </c>
      <c r="B88" s="32" t="s">
        <v>127</v>
      </c>
      <c r="C88" s="35" t="s">
        <v>33</v>
      </c>
      <c r="D88" s="9" t="s">
        <v>147</v>
      </c>
      <c r="E88" s="9">
        <v>28</v>
      </c>
      <c r="F88" s="9" t="s">
        <v>148</v>
      </c>
      <c r="G88" s="9">
        <v>1</v>
      </c>
      <c r="H88" s="9" t="s">
        <v>148</v>
      </c>
      <c r="I88" s="9">
        <v>3</v>
      </c>
      <c r="J88" s="9" t="s">
        <v>147</v>
      </c>
      <c r="K88" s="6">
        <f t="shared" ref="K88" si="18">SUM(E88:I88)</f>
        <v>32</v>
      </c>
      <c r="L88" s="6">
        <f t="shared" si="12"/>
        <v>0</v>
      </c>
      <c r="M88" s="4">
        <f t="shared" si="11"/>
        <v>32</v>
      </c>
      <c r="N88" s="4">
        <f t="shared" si="13"/>
        <v>2250</v>
      </c>
      <c r="O88" s="4">
        <f t="shared" si="14"/>
        <v>2218</v>
      </c>
      <c r="P88" s="4">
        <f t="shared" si="15"/>
        <v>0.98577777777777775</v>
      </c>
      <c r="Q88" s="6"/>
      <c r="R88" s="6"/>
    </row>
    <row r="89" spans="1:18" hidden="1">
      <c r="A89" s="5" t="s">
        <v>22</v>
      </c>
      <c r="B89" s="32" t="s">
        <v>128</v>
      </c>
      <c r="C89" s="35" t="s">
        <v>33</v>
      </c>
      <c r="D89" s="9" t="s">
        <v>147</v>
      </c>
      <c r="E89" s="9">
        <v>450</v>
      </c>
      <c r="F89" s="9">
        <v>450</v>
      </c>
      <c r="G89" s="9" t="s">
        <v>148</v>
      </c>
      <c r="H89" s="9" t="s">
        <v>148</v>
      </c>
      <c r="I89" s="9" t="s">
        <v>148</v>
      </c>
      <c r="J89" s="9" t="s">
        <v>147</v>
      </c>
      <c r="K89" s="6">
        <v>0</v>
      </c>
      <c r="L89" s="6">
        <f t="shared" si="12"/>
        <v>900</v>
      </c>
      <c r="M89" s="4">
        <f t="shared" si="11"/>
        <v>900</v>
      </c>
      <c r="N89" s="4">
        <f t="shared" si="13"/>
        <v>2250</v>
      </c>
      <c r="O89" s="4">
        <f t="shared" si="14"/>
        <v>1350</v>
      </c>
      <c r="P89" s="4">
        <f t="shared" si="15"/>
        <v>0.6</v>
      </c>
      <c r="Q89" s="6"/>
      <c r="R89" s="6"/>
    </row>
    <row r="90" spans="1:18" hidden="1">
      <c r="A90" s="5" t="s">
        <v>22</v>
      </c>
      <c r="B90" s="32" t="s">
        <v>129</v>
      </c>
      <c r="C90" s="35" t="s">
        <v>56</v>
      </c>
      <c r="D90" s="9" t="s">
        <v>147</v>
      </c>
      <c r="E90" s="9">
        <v>4</v>
      </c>
      <c r="F90" s="9" t="s">
        <v>148</v>
      </c>
      <c r="G90" s="9" t="s">
        <v>148</v>
      </c>
      <c r="H90" s="9" t="s">
        <v>148</v>
      </c>
      <c r="I90" s="9">
        <v>14</v>
      </c>
      <c r="J90" s="9" t="s">
        <v>147</v>
      </c>
      <c r="K90" s="4">
        <f>SUM(D90:J90)</f>
        <v>18</v>
      </c>
      <c r="L90" s="6">
        <f t="shared" si="12"/>
        <v>0</v>
      </c>
      <c r="M90" s="4">
        <f t="shared" si="11"/>
        <v>18</v>
      </c>
      <c r="N90" s="4">
        <f t="shared" si="13"/>
        <v>2250</v>
      </c>
      <c r="O90" s="4">
        <f t="shared" si="14"/>
        <v>2232</v>
      </c>
      <c r="P90" s="4">
        <f t="shared" si="15"/>
        <v>0.99199999999999999</v>
      </c>
      <c r="Q90" s="6"/>
      <c r="R90" s="6"/>
    </row>
    <row r="91" spans="1:18" hidden="1">
      <c r="A91" s="5" t="s">
        <v>26</v>
      </c>
      <c r="B91" s="10" t="s">
        <v>131</v>
      </c>
      <c r="C91" s="11" t="s">
        <v>33</v>
      </c>
      <c r="D91" s="9" t="s">
        <v>147</v>
      </c>
      <c r="E91" s="9">
        <v>450</v>
      </c>
      <c r="F91" s="9" t="s">
        <v>148</v>
      </c>
      <c r="G91" s="9" t="s">
        <v>148</v>
      </c>
      <c r="H91" s="9" t="s">
        <v>148</v>
      </c>
      <c r="I91" s="9">
        <v>450</v>
      </c>
      <c r="J91" s="9" t="s">
        <v>147</v>
      </c>
      <c r="K91" s="6">
        <v>0</v>
      </c>
      <c r="L91" s="6">
        <f t="shared" si="12"/>
        <v>900</v>
      </c>
      <c r="M91" s="4">
        <f t="shared" si="11"/>
        <v>900</v>
      </c>
      <c r="N91" s="4">
        <f t="shared" si="13"/>
        <v>2250</v>
      </c>
      <c r="O91" s="4">
        <f t="shared" si="14"/>
        <v>1350</v>
      </c>
      <c r="P91" s="4">
        <f t="shared" si="15"/>
        <v>0.6</v>
      </c>
      <c r="Q91" s="6"/>
      <c r="R91" s="6"/>
    </row>
    <row r="92" spans="1:18" hidden="1">
      <c r="A92" s="5" t="s">
        <v>26</v>
      </c>
      <c r="B92" s="10" t="s">
        <v>133</v>
      </c>
      <c r="C92" s="11" t="s">
        <v>40</v>
      </c>
      <c r="D92" s="9" t="s">
        <v>147</v>
      </c>
      <c r="E92" s="9" t="s">
        <v>148</v>
      </c>
      <c r="F92" s="9">
        <v>450</v>
      </c>
      <c r="G92" s="9">
        <v>28</v>
      </c>
      <c r="H92" s="9" t="s">
        <v>148</v>
      </c>
      <c r="I92" s="9" t="s">
        <v>148</v>
      </c>
      <c r="J92" s="9" t="s">
        <v>147</v>
      </c>
      <c r="K92" s="6">
        <f>G92</f>
        <v>28</v>
      </c>
      <c r="L92" s="6">
        <f t="shared" si="12"/>
        <v>450</v>
      </c>
      <c r="M92" s="4">
        <f t="shared" si="11"/>
        <v>478</v>
      </c>
      <c r="N92" s="4">
        <f t="shared" si="13"/>
        <v>2250</v>
      </c>
      <c r="O92" s="4">
        <f t="shared" si="14"/>
        <v>1772</v>
      </c>
      <c r="P92" s="4">
        <f t="shared" si="15"/>
        <v>0.78755555555555556</v>
      </c>
      <c r="Q92" s="6"/>
      <c r="R92" s="6"/>
    </row>
    <row r="93" spans="1:18" hidden="1">
      <c r="A93" s="12" t="s">
        <v>26</v>
      </c>
      <c r="B93" s="33" t="s">
        <v>27</v>
      </c>
      <c r="C93" s="36" t="s">
        <v>40</v>
      </c>
      <c r="D93" s="9" t="s">
        <v>147</v>
      </c>
      <c r="E93" s="9" t="s">
        <v>148</v>
      </c>
      <c r="F93" s="9" t="s">
        <v>148</v>
      </c>
      <c r="G93" s="9" t="s">
        <v>148</v>
      </c>
      <c r="H93" s="9" t="s">
        <v>148</v>
      </c>
      <c r="I93" s="9" t="s">
        <v>148</v>
      </c>
      <c r="J93" s="9" t="s">
        <v>147</v>
      </c>
      <c r="K93" s="6">
        <f t="shared" ref="K93" si="19">SUM(D93:J93)</f>
        <v>0</v>
      </c>
      <c r="L93" s="6">
        <f t="shared" si="12"/>
        <v>0</v>
      </c>
      <c r="M93" s="4">
        <f t="shared" si="11"/>
        <v>0</v>
      </c>
      <c r="N93" s="4">
        <f t="shared" si="13"/>
        <v>2250</v>
      </c>
      <c r="O93" s="4">
        <f t="shared" si="14"/>
        <v>2250</v>
      </c>
      <c r="P93" s="4">
        <f t="shared" si="15"/>
        <v>1</v>
      </c>
      <c r="Q93" s="6"/>
      <c r="R93" s="6"/>
    </row>
    <row r="94" spans="1:18" hidden="1">
      <c r="A94" s="5" t="s">
        <v>22</v>
      </c>
      <c r="B94" s="5" t="s">
        <v>134</v>
      </c>
      <c r="C94" s="5" t="s">
        <v>56</v>
      </c>
      <c r="D94" s="9" t="s">
        <v>147</v>
      </c>
      <c r="E94" s="9">
        <v>7</v>
      </c>
      <c r="F94" s="9" t="s">
        <v>148</v>
      </c>
      <c r="G94" s="9">
        <v>68</v>
      </c>
      <c r="H94" s="9" t="s">
        <v>148</v>
      </c>
      <c r="I94" s="9" t="s">
        <v>148</v>
      </c>
      <c r="J94" s="9" t="s">
        <v>147</v>
      </c>
      <c r="K94" s="4">
        <f>SUM(D94:J94)</f>
        <v>75</v>
      </c>
      <c r="L94" s="6">
        <f t="shared" si="12"/>
        <v>0</v>
      </c>
      <c r="M94" s="4">
        <f t="shared" si="11"/>
        <v>75</v>
      </c>
      <c r="N94" s="4">
        <f t="shared" si="13"/>
        <v>2250</v>
      </c>
      <c r="O94" s="4">
        <f t="shared" si="14"/>
        <v>2175</v>
      </c>
      <c r="P94" s="4">
        <f t="shared" si="15"/>
        <v>0.96666666666666667</v>
      </c>
      <c r="Q94" s="6"/>
      <c r="R94" s="6"/>
    </row>
    <row r="95" spans="1:18" hidden="1">
      <c r="K95" s="6">
        <f>SUM(K2:K94)</f>
        <v>2660</v>
      </c>
      <c r="L95" s="6">
        <f t="shared" ref="L95:O95" si="20">SUM(L2:L94)</f>
        <v>9000</v>
      </c>
      <c r="M95" s="6">
        <f t="shared" si="20"/>
        <v>11660</v>
      </c>
      <c r="N95" s="6">
        <f t="shared" si="20"/>
        <v>206100</v>
      </c>
      <c r="O95" s="6">
        <f t="shared" si="20"/>
        <v>194440</v>
      </c>
      <c r="P95" s="6">
        <f>AVERAGE(P2:P94)</f>
        <v>0.94383870967741901</v>
      </c>
    </row>
    <row r="96" spans="1:18">
      <c r="P96" s="29"/>
    </row>
    <row r="97" spans="11:13">
      <c r="K97">
        <f>K95/N95*100%</f>
        <v>1.2906356137797186E-2</v>
      </c>
      <c r="L97">
        <f>L95/N95*100%</f>
        <v>4.3668122270742356E-2</v>
      </c>
      <c r="M97">
        <f>M95/N95*100%</f>
        <v>5.6574478408539547E-2</v>
      </c>
    </row>
  </sheetData>
  <autoFilter ref="A1:R95" xr:uid="{EA1135FD-7AFA-49E7-8201-935E3782A957}">
    <filterColumn colId="2">
      <filters>
        <filter val="KY"/>
        <filter val="NY NJ"/>
      </filters>
    </filterColumn>
  </autoFilter>
  <conditionalFormatting sqref="D20 D67 D90">
    <cfRule type="containsText" dxfId="11671" priority="1" operator="containsText" text="P">
      <formula>NOT(ISERROR(SEARCH("P",D20)))</formula>
    </cfRule>
    <cfRule type="containsText" dxfId="11670" priority="2" operator="containsText" text="TFO">
      <formula>NOT(ISERROR(SEARCH("TFO",D20)))</formula>
    </cfRule>
    <cfRule type="containsText" dxfId="11669" priority="3" operator="containsText" text="AA">
      <formula>NOT(ISERROR(SEARCH("AA",D20)))</formula>
    </cfRule>
    <cfRule type="containsText" dxfId="11668" priority="4" operator="containsText" text="RESIGNED">
      <formula>NOT(ISERROR(SEARCH("RESIGNED",D20)))</formula>
    </cfRule>
    <cfRule type="containsText" dxfId="11667" priority="5" operator="containsText" text="P">
      <formula>NOT(ISERROR(SEARCH("P",D20)))</formula>
    </cfRule>
    <cfRule type="containsText" dxfId="11666" priority="6" operator="containsText" text="TARDY">
      <formula>NOT(ISERROR(SEARCH("TARDY",D20)))</formula>
    </cfRule>
    <cfRule type="containsText" dxfId="11665" priority="7" operator="containsText" text="REST DAY">
      <formula>NOT(ISERROR(SEARCH("REST DAY",D20)))</formula>
    </cfRule>
    <cfRule type="containsText" dxfId="11664" priority="8" operator="containsText" text="UA">
      <formula>NOT(ISERROR(SEARCH("UA",D20)))</formula>
    </cfRule>
    <cfRule type="containsText" dxfId="11663" priority="9" operator="containsText" text="LWOP UA">
      <formula>NOT(ISERROR(SEARCH("LWOP UA",D20)))</formula>
    </cfRule>
  </conditionalFormatting>
  <conditionalFormatting sqref="D93">
    <cfRule type="containsText" dxfId="11662" priority="10" operator="containsText" text="LWOP UA">
      <formula>NOT(ISERROR(SEARCH("LWOP UA",D93)))</formula>
    </cfRule>
    <cfRule type="containsText" dxfId="11661" priority="11" operator="containsText" text="P">
      <formula>NOT(ISERROR(SEARCH("P",D93)))</formula>
    </cfRule>
    <cfRule type="containsText" dxfId="11660" priority="12" operator="containsText" text="TFO">
      <formula>NOT(ISERROR(SEARCH("TFO",D93)))</formula>
    </cfRule>
    <cfRule type="containsText" dxfId="11659" priority="13" operator="containsText" text="AA">
      <formula>NOT(ISERROR(SEARCH("AA",D93)))</formula>
    </cfRule>
    <cfRule type="containsText" dxfId="11658" priority="14" operator="containsText" text="RESIGNED">
      <formula>NOT(ISERROR(SEARCH("RESIGNED",D93)))</formula>
    </cfRule>
    <cfRule type="containsText" dxfId="11657" priority="15" operator="containsText" text="P">
      <formula>NOT(ISERROR(SEARCH("P",D93)))</formula>
    </cfRule>
    <cfRule type="containsText" dxfId="11656" priority="16" operator="containsText" text="TARDY">
      <formula>NOT(ISERROR(SEARCH("TARDY",D93)))</formula>
    </cfRule>
    <cfRule type="containsText" dxfId="11655" priority="17" operator="containsText" text="REST DAY">
      <formula>NOT(ISERROR(SEARCH("REST DAY",D93)))</formula>
    </cfRule>
    <cfRule type="containsText" dxfId="11654" priority="18" operator="containsText" text="UA">
      <formula>NOT(ISERROR(SEARCH("UA",D93)))</formula>
    </cfRule>
    <cfRule type="containsText" dxfId="11653" priority="19" operator="containsText" text="LWOP UA">
      <formula>NOT(ISERROR(SEARCH("LWOP UA",D93)))</formula>
    </cfRule>
  </conditionalFormatting>
  <conditionalFormatting sqref="D93:E93 H93:J93 D94:J94">
    <cfRule type="containsText" dxfId="11652" priority="34" operator="containsText" text="P">
      <formula>NOT(ISERROR(SEARCH("P",D93)))</formula>
    </cfRule>
    <cfRule type="containsText" dxfId="11651" priority="35" operator="containsText" text="TFO">
      <formula>NOT(ISERROR(SEARCH("TFO",D93)))</formula>
    </cfRule>
    <cfRule type="containsText" dxfId="11650" priority="36" operator="containsText" text="AA">
      <formula>NOT(ISERROR(SEARCH("AA",D93)))</formula>
    </cfRule>
    <cfRule type="containsText" dxfId="11649" priority="37" operator="containsText" text="RESIGNED">
      <formula>NOT(ISERROR(SEARCH("RESIGNED",D93)))</formula>
    </cfRule>
    <cfRule type="containsText" dxfId="11648" priority="38" operator="containsText" text="P">
      <formula>NOT(ISERROR(SEARCH("P",D93)))</formula>
    </cfRule>
    <cfRule type="containsText" dxfId="11647" priority="39" operator="containsText" text="TARDY">
      <formula>NOT(ISERROR(SEARCH("TARDY",D93)))</formula>
    </cfRule>
    <cfRule type="containsText" dxfId="11646" priority="40" operator="containsText" text="REST DAY">
      <formula>NOT(ISERROR(SEARCH("REST DAY",D93)))</formula>
    </cfRule>
    <cfRule type="containsText" dxfId="11645" priority="41" operator="containsText" text="UA">
      <formula>NOT(ISERROR(SEARCH("UA",D93)))</formula>
    </cfRule>
    <cfRule type="containsText" dxfId="11644" priority="42" operator="containsText" text="LWOP UA">
      <formula>NOT(ISERROR(SEARCH("LWOP UA",D93)))</formula>
    </cfRule>
  </conditionalFormatting>
  <conditionalFormatting sqref="D2:J92 J94">
    <cfRule type="containsText" dxfId="11643" priority="44" operator="containsText" text="TFO">
      <formula>NOT(ISERROR(SEARCH("TFO",D2)))</formula>
    </cfRule>
    <cfRule type="containsText" dxfId="11642" priority="45" operator="containsText" text="AA">
      <formula>NOT(ISERROR(SEARCH("AA",D2)))</formula>
    </cfRule>
    <cfRule type="containsText" dxfId="11641" priority="46" operator="containsText" text="RESIGNED">
      <formula>NOT(ISERROR(SEARCH("RESIGNED",D2)))</formula>
    </cfRule>
    <cfRule type="containsText" dxfId="11640" priority="47" operator="containsText" text="P">
      <formula>NOT(ISERROR(SEARCH("P",D2)))</formula>
    </cfRule>
    <cfRule type="containsText" dxfId="11639" priority="48" operator="containsText" text="TARDY">
      <formula>NOT(ISERROR(SEARCH("TARDY",D2)))</formula>
    </cfRule>
    <cfRule type="containsText" dxfId="11638" priority="49" operator="containsText" text="REST DAY">
      <formula>NOT(ISERROR(SEARCH("REST DAY",D2)))</formula>
    </cfRule>
    <cfRule type="containsText" dxfId="11637" priority="50" operator="containsText" text="UA">
      <formula>NOT(ISERROR(SEARCH("UA",D2)))</formula>
    </cfRule>
    <cfRule type="containsText" dxfId="11636" priority="51" operator="containsText" text="LWOP UA">
      <formula>NOT(ISERROR(SEARCH("LWOP UA",D2)))</formula>
    </cfRule>
  </conditionalFormatting>
  <conditionalFormatting sqref="D2:J94">
    <cfRule type="containsText" dxfId="11635" priority="20" operator="containsText" text="VL">
      <formula>NOT(ISERROR(SEARCH("VL",D2)))</formula>
    </cfRule>
    <cfRule type="containsText" dxfId="11634" priority="21" operator="containsText" text="RD">
      <formula>NOT(ISERROR(SEARCH("RD",D2)))</formula>
    </cfRule>
    <cfRule type="containsText" dxfId="11633" priority="22" operator="containsText" text="540">
      <formula>NOT(ISERROR(SEARCH("540",D2)))</formula>
    </cfRule>
    <cfRule type="cellIs" dxfId="11632" priority="23" operator="between">
      <formula>1</formula>
      <formula>400</formula>
    </cfRule>
    <cfRule type="containsText" dxfId="11631" priority="33" operator="containsText" text="LWOP UA">
      <formula>NOT(ISERROR(SEARCH("LWOP UA",D2)))</formula>
    </cfRule>
  </conditionalFormatting>
  <conditionalFormatting sqref="F93:G93">
    <cfRule type="containsText" dxfId="11630" priority="24" operator="containsText" text="LWOP UA">
      <formula>NOT(ISERROR(SEARCH("LWOP UA",F93)))</formula>
    </cfRule>
    <cfRule type="containsText" dxfId="11629" priority="25" operator="containsText" text="P">
      <formula>NOT(ISERROR(SEARCH("P",F93)))</formula>
    </cfRule>
    <cfRule type="containsText" dxfId="11628" priority="26" operator="containsText" text="TFO">
      <formula>NOT(ISERROR(SEARCH("TFO",F93)))</formula>
    </cfRule>
    <cfRule type="containsText" dxfId="11627" priority="27" operator="containsText" text="AA">
      <formula>NOT(ISERROR(SEARCH("AA",F93)))</formula>
    </cfRule>
    <cfRule type="containsText" dxfId="11626" priority="28" operator="containsText" text="RESIGNED">
      <formula>NOT(ISERROR(SEARCH("RESIGNED",F93)))</formula>
    </cfRule>
    <cfRule type="containsText" dxfId="11625" priority="29" operator="containsText" text="P">
      <formula>NOT(ISERROR(SEARCH("P",F93)))</formula>
    </cfRule>
    <cfRule type="containsText" dxfId="11624" priority="30" operator="containsText" text="TARDY">
      <formula>NOT(ISERROR(SEARCH("TARDY",F93)))</formula>
    </cfRule>
    <cfRule type="containsText" dxfId="11623" priority="31" operator="containsText" text="REST DAY">
      <formula>NOT(ISERROR(SEARCH("REST DAY",F93)))</formula>
    </cfRule>
    <cfRule type="containsText" dxfId="11622" priority="32" operator="containsText" text="UA">
      <formula>NOT(ISERROR(SEARCH("UA",F93)))</formula>
    </cfRule>
  </conditionalFormatting>
  <conditionalFormatting sqref="J94 D2:J92">
    <cfRule type="containsText" dxfId="11621" priority="43" operator="containsText" text="P">
      <formula>NOT(ISERROR(SEARCH("P",D2)))</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031CE-DBE6-46A1-A9FA-69A83DAC5723}">
  <sheetPr filterMode="1"/>
  <dimension ref="A1:AK97"/>
  <sheetViews>
    <sheetView topLeftCell="A47" workbookViewId="0">
      <selection activeCell="D93" sqref="D93:J93"/>
    </sheetView>
  </sheetViews>
  <sheetFormatPr defaultRowHeight="15"/>
  <cols>
    <col min="1" max="1" width="9.140625" style="6"/>
    <col min="2" max="2" width="21.42578125" style="6" bestFit="1" customWidth="1"/>
    <col min="3" max="3" width="12" style="6" bestFit="1" customWidth="1"/>
    <col min="4" max="4" width="9.85546875" style="6" bestFit="1" customWidth="1"/>
    <col min="5" max="5" width="11.85546875" style="6" bestFit="1" customWidth="1"/>
    <col min="6" max="6" width="9.85546875" style="6" bestFit="1" customWidth="1"/>
    <col min="7" max="7" width="14" style="6" bestFit="1" customWidth="1"/>
    <col min="8" max="8" width="12.7109375" style="6" bestFit="1" customWidth="1"/>
    <col min="9" max="9" width="10.42578125" style="6" bestFit="1" customWidth="1"/>
    <col min="10" max="10" width="12.7109375" style="6" bestFit="1" customWidth="1"/>
    <col min="15" max="16" width="10" bestFit="1" customWidth="1"/>
    <col min="18" max="18" width="9.5703125" bestFit="1" customWidth="1"/>
    <col min="20" max="20" width="13.140625" bestFit="1" customWidth="1"/>
    <col min="21" max="22" width="16.140625" bestFit="1" customWidth="1"/>
    <col min="23" max="23" width="16.85546875" bestFit="1" customWidth="1"/>
    <col min="24" max="24" width="13.28515625" bestFit="1" customWidth="1"/>
    <col min="25" max="25" width="17.7109375" bestFit="1" customWidth="1"/>
    <col min="26" max="26" width="21.7109375" bestFit="1" customWidth="1"/>
    <col min="28" max="28" width="11.140625" bestFit="1" customWidth="1"/>
    <col min="29" max="29" width="16.140625" bestFit="1" customWidth="1"/>
    <col min="30" max="30" width="16.140625" customWidth="1"/>
    <col min="31" max="31" width="16.140625" bestFit="1" customWidth="1"/>
    <col min="32" max="32" width="16.140625" customWidth="1"/>
    <col min="33" max="33" width="16.85546875" bestFit="1" customWidth="1"/>
    <col min="34" max="34" width="16.85546875" customWidth="1"/>
    <col min="35" max="35" width="13.28515625" bestFit="1" customWidth="1"/>
    <col min="36" max="36" width="17.7109375" bestFit="1" customWidth="1"/>
    <col min="37" max="37" width="21.7109375" bestFit="1" customWidth="1"/>
  </cols>
  <sheetData>
    <row r="1" spans="1:37">
      <c r="A1" s="1" t="s">
        <v>0</v>
      </c>
      <c r="B1" s="1" t="s">
        <v>2</v>
      </c>
      <c r="C1" s="1" t="s">
        <v>3</v>
      </c>
      <c r="D1" s="8" t="s">
        <v>135</v>
      </c>
      <c r="E1" s="8" t="s">
        <v>136</v>
      </c>
      <c r="F1" s="8" t="s">
        <v>137</v>
      </c>
      <c r="G1" s="8" t="s">
        <v>138</v>
      </c>
      <c r="H1" s="8" t="s">
        <v>139</v>
      </c>
      <c r="I1" s="8" t="s">
        <v>140</v>
      </c>
      <c r="J1" s="8" t="s">
        <v>141</v>
      </c>
      <c r="K1" s="1" t="s">
        <v>4</v>
      </c>
      <c r="L1" s="1" t="s">
        <v>5</v>
      </c>
      <c r="M1" s="1" t="s">
        <v>6</v>
      </c>
      <c r="N1" s="1" t="s">
        <v>7</v>
      </c>
      <c r="O1" s="1" t="s">
        <v>8</v>
      </c>
      <c r="P1" s="1" t="s">
        <v>9</v>
      </c>
      <c r="Q1" s="2" t="s">
        <v>12</v>
      </c>
      <c r="R1" s="2" t="s">
        <v>14</v>
      </c>
      <c r="S1" s="41" t="s">
        <v>13</v>
      </c>
      <c r="T1" s="13" t="s">
        <v>142</v>
      </c>
      <c r="U1" t="s">
        <v>143</v>
      </c>
      <c r="V1" t="s">
        <v>144</v>
      </c>
      <c r="W1" t="s">
        <v>177</v>
      </c>
      <c r="X1" t="s">
        <v>145</v>
      </c>
      <c r="Y1" t="s">
        <v>146</v>
      </c>
      <c r="Z1" t="s">
        <v>165</v>
      </c>
      <c r="AB1" t="s">
        <v>142</v>
      </c>
      <c r="AC1" t="s">
        <v>143</v>
      </c>
      <c r="AD1" t="s">
        <v>179</v>
      </c>
      <c r="AE1" t="s">
        <v>144</v>
      </c>
      <c r="AF1" t="s">
        <v>179</v>
      </c>
      <c r="AG1" t="s">
        <v>177</v>
      </c>
      <c r="AH1" t="s">
        <v>179</v>
      </c>
      <c r="AI1" t="s">
        <v>145</v>
      </c>
      <c r="AJ1" t="s">
        <v>146</v>
      </c>
      <c r="AK1" t="s">
        <v>165</v>
      </c>
    </row>
    <row r="2" spans="1:37" hidden="1">
      <c r="A2" s="5" t="s">
        <v>22</v>
      </c>
      <c r="B2" s="5" t="s">
        <v>24</v>
      </c>
      <c r="C2" s="5" t="s">
        <v>25</v>
      </c>
      <c r="D2" s="9" t="s">
        <v>147</v>
      </c>
      <c r="E2" s="9">
        <v>42</v>
      </c>
      <c r="F2" s="9" t="s">
        <v>14</v>
      </c>
      <c r="G2" s="9" t="s">
        <v>14</v>
      </c>
      <c r="H2" s="9" t="s">
        <v>148</v>
      </c>
      <c r="I2" s="9" t="s">
        <v>148</v>
      </c>
      <c r="J2" s="9" t="s">
        <v>147</v>
      </c>
      <c r="K2" s="4">
        <f>E2</f>
        <v>42</v>
      </c>
      <c r="L2" s="6">
        <f>SUMIF(D2:J2,"450")</f>
        <v>0</v>
      </c>
      <c r="M2" s="4">
        <f>SUM(K2:L2)</f>
        <v>42</v>
      </c>
      <c r="N2" s="4">
        <f>450*3</f>
        <v>1350</v>
      </c>
      <c r="O2" s="4">
        <f>N2-M2</f>
        <v>1308</v>
      </c>
      <c r="P2" s="4">
        <f>O2/N2*100%</f>
        <v>0.96888888888888891</v>
      </c>
      <c r="Q2" s="4"/>
      <c r="R2" s="4">
        <v>2</v>
      </c>
      <c r="T2" s="14" t="s">
        <v>111</v>
      </c>
      <c r="U2">
        <v>9</v>
      </c>
      <c r="V2">
        <v>0</v>
      </c>
      <c r="W2">
        <v>9</v>
      </c>
      <c r="X2">
        <v>2250</v>
      </c>
      <c r="Y2">
        <v>2241</v>
      </c>
      <c r="Z2" s="39">
        <v>0.996</v>
      </c>
      <c r="AB2" t="s">
        <v>111</v>
      </c>
      <c r="AC2">
        <v>9</v>
      </c>
      <c r="AD2" s="29">
        <f>AC2/AI2</f>
        <v>4.0000000000000001E-3</v>
      </c>
      <c r="AE2">
        <v>0</v>
      </c>
      <c r="AF2" s="29">
        <f>AE2/AI2</f>
        <v>0</v>
      </c>
      <c r="AG2">
        <v>9</v>
      </c>
      <c r="AH2" s="29">
        <f>AG2/AI2</f>
        <v>4.0000000000000001E-3</v>
      </c>
      <c r="AI2">
        <v>2250</v>
      </c>
      <c r="AJ2">
        <v>2241</v>
      </c>
      <c r="AK2" s="29">
        <v>0.996</v>
      </c>
    </row>
    <row r="3" spans="1:37" hidden="1">
      <c r="A3" s="5" t="s">
        <v>26</v>
      </c>
      <c r="B3" s="7" t="s">
        <v>28</v>
      </c>
      <c r="C3" s="34" t="s">
        <v>25</v>
      </c>
      <c r="D3" s="9" t="s">
        <v>12</v>
      </c>
      <c r="E3" s="9" t="s">
        <v>148</v>
      </c>
      <c r="F3" s="9" t="s">
        <v>147</v>
      </c>
      <c r="G3" s="9" t="s">
        <v>147</v>
      </c>
      <c r="H3" s="9" t="s">
        <v>148</v>
      </c>
      <c r="I3" s="9" t="s">
        <v>148</v>
      </c>
      <c r="J3" s="9" t="s">
        <v>148</v>
      </c>
      <c r="K3" s="6" t="str">
        <f>I3</f>
        <v>P</v>
      </c>
      <c r="L3" s="6">
        <f t="shared" ref="L3:L66" si="0">SUMIF(D3:J3,"450")</f>
        <v>0</v>
      </c>
      <c r="M3" s="4">
        <f t="shared" ref="M3:M64" si="1">SUM(K3:L3)</f>
        <v>0</v>
      </c>
      <c r="N3" s="4">
        <f>450*4</f>
        <v>1800</v>
      </c>
      <c r="O3" s="4">
        <f t="shared" ref="O3:O66" si="2">N3-M3</f>
        <v>1800</v>
      </c>
      <c r="P3" s="4">
        <f t="shared" ref="P3:P66" si="3">O3/N3*100%</f>
        <v>1</v>
      </c>
      <c r="Q3" s="6">
        <v>1</v>
      </c>
      <c r="R3" s="6"/>
      <c r="T3" s="14" t="s">
        <v>22</v>
      </c>
      <c r="U3">
        <v>506</v>
      </c>
      <c r="V3">
        <v>4050</v>
      </c>
      <c r="W3">
        <v>4556</v>
      </c>
      <c r="X3">
        <v>87300</v>
      </c>
      <c r="Y3">
        <v>82744</v>
      </c>
      <c r="Z3" s="39">
        <v>0.94904722222222215</v>
      </c>
      <c r="AB3" t="s">
        <v>22</v>
      </c>
      <c r="AC3">
        <v>506</v>
      </c>
      <c r="AD3" s="29">
        <f t="shared" ref="AD3:AD8" si="4">AC3/AI3</f>
        <v>5.7961053837342494E-3</v>
      </c>
      <c r="AE3">
        <v>4050</v>
      </c>
      <c r="AF3" s="29">
        <f t="shared" ref="AF3:AF8" si="5">AE3/AI3</f>
        <v>4.6391752577319589E-2</v>
      </c>
      <c r="AG3">
        <v>4556</v>
      </c>
      <c r="AH3" s="29">
        <f t="shared" ref="AH3:AH8" si="6">AG3/AI3</f>
        <v>5.2187857961053838E-2</v>
      </c>
      <c r="AI3">
        <v>87300</v>
      </c>
      <c r="AJ3">
        <v>82744</v>
      </c>
      <c r="AK3" s="29">
        <v>0.94904722222222215</v>
      </c>
    </row>
    <row r="4" spans="1:37" hidden="1">
      <c r="A4" s="5" t="s">
        <v>26</v>
      </c>
      <c r="B4" s="7" t="s">
        <v>29</v>
      </c>
      <c r="C4" s="34" t="s">
        <v>30</v>
      </c>
      <c r="D4" s="9" t="s">
        <v>148</v>
      </c>
      <c r="E4" s="9">
        <v>4</v>
      </c>
      <c r="F4" s="9" t="s">
        <v>147</v>
      </c>
      <c r="G4" s="9" t="s">
        <v>147</v>
      </c>
      <c r="H4" s="9" t="s">
        <v>14</v>
      </c>
      <c r="I4" s="9" t="s">
        <v>148</v>
      </c>
      <c r="J4" s="9" t="s">
        <v>148</v>
      </c>
      <c r="K4" s="6">
        <f>SUM(D4:J4)</f>
        <v>4</v>
      </c>
      <c r="L4" s="6">
        <f t="shared" si="0"/>
        <v>0</v>
      </c>
      <c r="M4" s="4">
        <f t="shared" si="1"/>
        <v>4</v>
      </c>
      <c r="N4" s="4">
        <f>450*4</f>
        <v>1800</v>
      </c>
      <c r="O4" s="4">
        <f t="shared" si="2"/>
        <v>1796</v>
      </c>
      <c r="P4" s="4">
        <f t="shared" si="3"/>
        <v>0.99777777777777776</v>
      </c>
      <c r="Q4" s="6"/>
      <c r="R4" s="6">
        <v>1</v>
      </c>
      <c r="T4" s="14" t="s">
        <v>37</v>
      </c>
      <c r="U4">
        <v>126</v>
      </c>
      <c r="V4">
        <v>0</v>
      </c>
      <c r="W4">
        <v>126</v>
      </c>
      <c r="X4">
        <v>22050</v>
      </c>
      <c r="Y4">
        <v>21924</v>
      </c>
      <c r="Z4" s="39">
        <v>0.99401111111111118</v>
      </c>
      <c r="AB4" t="s">
        <v>37</v>
      </c>
      <c r="AC4">
        <v>126</v>
      </c>
      <c r="AD4" s="29">
        <f t="shared" si="4"/>
        <v>5.7142857142857143E-3</v>
      </c>
      <c r="AE4">
        <v>0</v>
      </c>
      <c r="AF4" s="29">
        <f t="shared" si="5"/>
        <v>0</v>
      </c>
      <c r="AG4">
        <v>126</v>
      </c>
      <c r="AH4" s="29">
        <f t="shared" si="6"/>
        <v>5.7142857142857143E-3</v>
      </c>
      <c r="AI4">
        <v>22050</v>
      </c>
      <c r="AJ4">
        <v>21924</v>
      </c>
      <c r="AK4" s="29">
        <v>0.99401111111111118</v>
      </c>
    </row>
    <row r="5" spans="1:37" hidden="1">
      <c r="A5" s="5" t="s">
        <v>22</v>
      </c>
      <c r="B5" s="5" t="s">
        <v>32</v>
      </c>
      <c r="C5" s="5" t="s">
        <v>33</v>
      </c>
      <c r="D5" s="9" t="s">
        <v>147</v>
      </c>
      <c r="E5" s="9">
        <v>7</v>
      </c>
      <c r="F5" s="9" t="s">
        <v>148</v>
      </c>
      <c r="G5" s="9" t="s">
        <v>148</v>
      </c>
      <c r="H5" s="9">
        <v>4</v>
      </c>
      <c r="I5" s="9">
        <v>450</v>
      </c>
      <c r="J5" s="9" t="s">
        <v>147</v>
      </c>
      <c r="K5" s="6">
        <f>E5+H5</f>
        <v>11</v>
      </c>
      <c r="L5" s="6">
        <f>SUMIF(D5:J5,"450")</f>
        <v>450</v>
      </c>
      <c r="M5" s="4">
        <f t="shared" si="1"/>
        <v>461</v>
      </c>
      <c r="N5" s="4">
        <f t="shared" ref="N5:N68" si="7">450*5</f>
        <v>2250</v>
      </c>
      <c r="O5" s="4">
        <f t="shared" si="2"/>
        <v>1789</v>
      </c>
      <c r="P5" s="4">
        <f t="shared" si="3"/>
        <v>0.7951111111111111</v>
      </c>
      <c r="Q5" s="6"/>
      <c r="R5" s="6"/>
      <c r="T5" s="14" t="s">
        <v>57</v>
      </c>
      <c r="U5">
        <v>10</v>
      </c>
      <c r="V5">
        <v>450</v>
      </c>
      <c r="W5">
        <v>460</v>
      </c>
      <c r="X5">
        <v>8550</v>
      </c>
      <c r="Y5">
        <v>8090</v>
      </c>
      <c r="Z5" s="39">
        <v>0.94888888888888889</v>
      </c>
      <c r="AB5" t="s">
        <v>57</v>
      </c>
      <c r="AC5">
        <v>10</v>
      </c>
      <c r="AD5" s="29">
        <f t="shared" si="4"/>
        <v>1.1695906432748538E-3</v>
      </c>
      <c r="AE5">
        <v>450</v>
      </c>
      <c r="AF5" s="29">
        <f t="shared" si="5"/>
        <v>5.2631578947368418E-2</v>
      </c>
      <c r="AG5">
        <v>460</v>
      </c>
      <c r="AH5" s="29">
        <f t="shared" si="6"/>
        <v>5.3801169590643273E-2</v>
      </c>
      <c r="AI5">
        <v>8550</v>
      </c>
      <c r="AJ5">
        <v>8090</v>
      </c>
      <c r="AK5" s="29">
        <v>0.94888888888888889</v>
      </c>
    </row>
    <row r="6" spans="1:37" hidden="1">
      <c r="A6" s="5" t="s">
        <v>26</v>
      </c>
      <c r="B6" s="7" t="s">
        <v>35</v>
      </c>
      <c r="C6" s="34" t="s">
        <v>36</v>
      </c>
      <c r="D6" s="9" t="s">
        <v>147</v>
      </c>
      <c r="E6" s="9" t="s">
        <v>148</v>
      </c>
      <c r="F6" s="9" t="s">
        <v>148</v>
      </c>
      <c r="G6" s="9" t="s">
        <v>148</v>
      </c>
      <c r="H6" s="9" t="s">
        <v>148</v>
      </c>
      <c r="I6" s="9" t="s">
        <v>148</v>
      </c>
      <c r="J6" s="9" t="s">
        <v>147</v>
      </c>
      <c r="K6" s="6">
        <f>SUM(D6:J6)</f>
        <v>0</v>
      </c>
      <c r="L6" s="6">
        <f t="shared" si="0"/>
        <v>0</v>
      </c>
      <c r="M6" s="4">
        <f t="shared" si="1"/>
        <v>0</v>
      </c>
      <c r="N6" s="4">
        <f t="shared" si="7"/>
        <v>2250</v>
      </c>
      <c r="O6" s="4">
        <f t="shared" si="2"/>
        <v>2250</v>
      </c>
      <c r="P6" s="4">
        <f t="shared" si="3"/>
        <v>1</v>
      </c>
      <c r="Q6" s="6"/>
      <c r="R6" s="6"/>
      <c r="T6" s="14" t="s">
        <v>60</v>
      </c>
      <c r="U6">
        <v>50</v>
      </c>
      <c r="V6">
        <v>0</v>
      </c>
      <c r="W6">
        <v>50</v>
      </c>
      <c r="X6">
        <v>4500</v>
      </c>
      <c r="Y6">
        <v>4450</v>
      </c>
      <c r="Z6" s="39">
        <v>0.98888888888888893</v>
      </c>
      <c r="AB6" t="s">
        <v>60</v>
      </c>
      <c r="AC6">
        <v>50</v>
      </c>
      <c r="AD6" s="29">
        <f t="shared" si="4"/>
        <v>1.1111111111111112E-2</v>
      </c>
      <c r="AE6">
        <v>0</v>
      </c>
      <c r="AF6" s="29">
        <f t="shared" si="5"/>
        <v>0</v>
      </c>
      <c r="AG6">
        <v>50</v>
      </c>
      <c r="AH6" s="29">
        <f t="shared" si="6"/>
        <v>1.1111111111111112E-2</v>
      </c>
      <c r="AI6">
        <v>4500</v>
      </c>
      <c r="AJ6">
        <v>4450</v>
      </c>
      <c r="AK6" s="29">
        <v>0.98888888888888893</v>
      </c>
    </row>
    <row r="7" spans="1:37">
      <c r="A7" s="5" t="s">
        <v>37</v>
      </c>
      <c r="B7" s="5" t="s">
        <v>39</v>
      </c>
      <c r="C7" s="5" t="s">
        <v>40</v>
      </c>
      <c r="D7" s="9" t="s">
        <v>14</v>
      </c>
      <c r="E7" s="9" t="s">
        <v>148</v>
      </c>
      <c r="F7" s="9">
        <v>8</v>
      </c>
      <c r="G7" s="9">
        <v>1</v>
      </c>
      <c r="H7" s="9" t="s">
        <v>148</v>
      </c>
      <c r="I7" s="9" t="s">
        <v>147</v>
      </c>
      <c r="J7" s="9" t="s">
        <v>147</v>
      </c>
      <c r="K7" s="6">
        <f>SUM(D7:J7)</f>
        <v>9</v>
      </c>
      <c r="L7" s="6">
        <f t="shared" si="0"/>
        <v>0</v>
      </c>
      <c r="M7" s="4">
        <f t="shared" si="1"/>
        <v>9</v>
      </c>
      <c r="N7" s="4">
        <f t="shared" si="7"/>
        <v>2250</v>
      </c>
      <c r="O7" s="4">
        <f t="shared" si="2"/>
        <v>2241</v>
      </c>
      <c r="P7" s="4">
        <f t="shared" si="3"/>
        <v>0.996</v>
      </c>
      <c r="Q7" s="6"/>
      <c r="R7" s="6"/>
      <c r="T7" s="14" t="s">
        <v>26</v>
      </c>
      <c r="U7">
        <v>406</v>
      </c>
      <c r="V7">
        <v>3600</v>
      </c>
      <c r="W7">
        <v>4006</v>
      </c>
      <c r="X7">
        <v>77400</v>
      </c>
      <c r="Y7">
        <v>73394</v>
      </c>
      <c r="Z7" s="39">
        <v>0.95034567901234568</v>
      </c>
      <c r="AB7" t="s">
        <v>26</v>
      </c>
      <c r="AC7">
        <v>406</v>
      </c>
      <c r="AD7" s="29">
        <f t="shared" si="4"/>
        <v>5.2454780361757105E-3</v>
      </c>
      <c r="AE7">
        <v>3600</v>
      </c>
      <c r="AF7" s="29">
        <f t="shared" si="5"/>
        <v>4.6511627906976744E-2</v>
      </c>
      <c r="AG7">
        <v>4006</v>
      </c>
      <c r="AH7" s="29">
        <f t="shared" si="6"/>
        <v>5.1757105943152457E-2</v>
      </c>
      <c r="AI7">
        <v>77400</v>
      </c>
      <c r="AJ7">
        <v>73394</v>
      </c>
      <c r="AK7" s="29">
        <v>0.95034567901234568</v>
      </c>
    </row>
    <row r="8" spans="1:37" hidden="1">
      <c r="A8" s="5" t="s">
        <v>22</v>
      </c>
      <c r="B8" s="5" t="s">
        <v>41</v>
      </c>
      <c r="C8" s="5" t="s">
        <v>33</v>
      </c>
      <c r="D8" s="9" t="s">
        <v>147</v>
      </c>
      <c r="E8" s="9" t="s">
        <v>148</v>
      </c>
      <c r="F8" s="9" t="s">
        <v>148</v>
      </c>
      <c r="G8" s="9" t="s">
        <v>14</v>
      </c>
      <c r="H8" s="9" t="s">
        <v>148</v>
      </c>
      <c r="I8" s="9">
        <v>7</v>
      </c>
      <c r="J8" s="9" t="s">
        <v>147</v>
      </c>
      <c r="K8" s="6">
        <f>SUM(E8:I8)</f>
        <v>7</v>
      </c>
      <c r="L8" s="6">
        <f t="shared" si="0"/>
        <v>0</v>
      </c>
      <c r="M8" s="4">
        <f t="shared" si="1"/>
        <v>7</v>
      </c>
      <c r="N8" s="4">
        <f>450*4</f>
        <v>1800</v>
      </c>
      <c r="O8" s="4">
        <f t="shared" si="2"/>
        <v>1793</v>
      </c>
      <c r="P8" s="4">
        <f t="shared" si="3"/>
        <v>0.99611111111111106</v>
      </c>
      <c r="Q8" s="6"/>
      <c r="R8" s="6"/>
      <c r="T8" s="14" t="s">
        <v>149</v>
      </c>
      <c r="U8">
        <v>1107</v>
      </c>
      <c r="V8">
        <v>8100</v>
      </c>
      <c r="W8">
        <v>9207</v>
      </c>
      <c r="X8">
        <v>202050</v>
      </c>
      <c r="Y8">
        <v>192843</v>
      </c>
      <c r="Z8" s="39">
        <v>0.95573954599761035</v>
      </c>
      <c r="AB8" t="s">
        <v>149</v>
      </c>
      <c r="AC8">
        <v>1107</v>
      </c>
      <c r="AD8" s="29">
        <f t="shared" si="4"/>
        <v>5.4788418708240534E-3</v>
      </c>
      <c r="AE8">
        <v>8100</v>
      </c>
      <c r="AF8" s="29">
        <f t="shared" si="5"/>
        <v>4.0089086859688199E-2</v>
      </c>
      <c r="AG8">
        <v>9207</v>
      </c>
      <c r="AH8" s="29">
        <f t="shared" si="6"/>
        <v>4.5567928730512249E-2</v>
      </c>
      <c r="AI8">
        <v>202050</v>
      </c>
      <c r="AJ8">
        <v>192843</v>
      </c>
      <c r="AK8" s="29">
        <v>0.95573954599761035</v>
      </c>
    </row>
    <row r="9" spans="1:37" hidden="1">
      <c r="A9" s="5" t="s">
        <v>22</v>
      </c>
      <c r="B9" s="5" t="s">
        <v>42</v>
      </c>
      <c r="C9" s="5" t="s">
        <v>25</v>
      </c>
      <c r="D9" s="9" t="s">
        <v>147</v>
      </c>
      <c r="E9" s="9" t="s">
        <v>148</v>
      </c>
      <c r="F9" s="9" t="s">
        <v>148</v>
      </c>
      <c r="G9" s="9" t="s">
        <v>148</v>
      </c>
      <c r="H9" s="9" t="s">
        <v>148</v>
      </c>
      <c r="I9" s="9" t="s">
        <v>148</v>
      </c>
      <c r="J9" s="9" t="s">
        <v>147</v>
      </c>
      <c r="K9" s="6">
        <f>SUM(D9:I9)</f>
        <v>0</v>
      </c>
      <c r="L9" s="6">
        <f t="shared" si="0"/>
        <v>0</v>
      </c>
      <c r="M9" s="4">
        <f t="shared" si="1"/>
        <v>0</v>
      </c>
      <c r="N9" s="4">
        <f t="shared" si="7"/>
        <v>2250</v>
      </c>
      <c r="O9" s="4">
        <f t="shared" si="2"/>
        <v>2250</v>
      </c>
      <c r="P9" s="4">
        <f t="shared" si="3"/>
        <v>1</v>
      </c>
      <c r="Q9" s="6"/>
      <c r="R9" s="6"/>
    </row>
    <row r="10" spans="1:37" hidden="1">
      <c r="A10" s="5" t="s">
        <v>22</v>
      </c>
      <c r="B10" s="5" t="s">
        <v>43</v>
      </c>
      <c r="C10" s="5" t="s">
        <v>25</v>
      </c>
      <c r="D10" s="9" t="s">
        <v>147</v>
      </c>
      <c r="E10" s="9" t="s">
        <v>148</v>
      </c>
      <c r="F10" s="9" t="s">
        <v>148</v>
      </c>
      <c r="G10" s="9">
        <v>1</v>
      </c>
      <c r="H10" s="9" t="s">
        <v>148</v>
      </c>
      <c r="I10" s="9" t="s">
        <v>148</v>
      </c>
      <c r="J10" s="9" t="s">
        <v>147</v>
      </c>
      <c r="K10" s="6">
        <f>SUM(D10:I10)</f>
        <v>1</v>
      </c>
      <c r="L10" s="6">
        <f t="shared" si="0"/>
        <v>0</v>
      </c>
      <c r="M10" s="4">
        <f t="shared" si="1"/>
        <v>1</v>
      </c>
      <c r="N10" s="4">
        <f t="shared" si="7"/>
        <v>2250</v>
      </c>
      <c r="O10" s="4">
        <f t="shared" si="2"/>
        <v>2249</v>
      </c>
      <c r="P10" s="4">
        <f t="shared" si="3"/>
        <v>0.99955555555555553</v>
      </c>
      <c r="Q10" s="6"/>
      <c r="R10" s="6"/>
    </row>
    <row r="11" spans="1:37">
      <c r="A11" s="5" t="s">
        <v>37</v>
      </c>
      <c r="B11" s="5" t="s">
        <v>44</v>
      </c>
      <c r="C11" s="5" t="s">
        <v>40</v>
      </c>
      <c r="D11" s="9" t="s">
        <v>148</v>
      </c>
      <c r="E11" s="9" t="s">
        <v>148</v>
      </c>
      <c r="F11" s="9" t="s">
        <v>148</v>
      </c>
      <c r="G11" s="9">
        <v>19</v>
      </c>
      <c r="H11" s="9" t="s">
        <v>148</v>
      </c>
      <c r="I11" s="9" t="s">
        <v>148</v>
      </c>
      <c r="J11" s="9">
        <v>1</v>
      </c>
      <c r="K11" s="6">
        <f>SUM(D11:I11)</f>
        <v>19</v>
      </c>
      <c r="L11" s="6">
        <f t="shared" si="0"/>
        <v>0</v>
      </c>
      <c r="M11" s="4">
        <f t="shared" si="1"/>
        <v>19</v>
      </c>
      <c r="N11" s="4">
        <f t="shared" si="7"/>
        <v>2250</v>
      </c>
      <c r="O11" s="4">
        <f t="shared" si="2"/>
        <v>2231</v>
      </c>
      <c r="P11" s="4">
        <f t="shared" si="3"/>
        <v>0.99155555555555552</v>
      </c>
      <c r="Q11" s="6"/>
      <c r="R11" s="6"/>
      <c r="T11" s="13" t="s">
        <v>142</v>
      </c>
      <c r="U11" t="s">
        <v>143</v>
      </c>
      <c r="V11" t="s">
        <v>144</v>
      </c>
      <c r="W11" t="s">
        <v>177</v>
      </c>
      <c r="X11" t="s">
        <v>145</v>
      </c>
      <c r="Y11" t="s">
        <v>146</v>
      </c>
      <c r="Z11" t="s">
        <v>165</v>
      </c>
    </row>
    <row r="12" spans="1:37" hidden="1">
      <c r="A12" s="5" t="s">
        <v>26</v>
      </c>
      <c r="B12" s="7" t="s">
        <v>45</v>
      </c>
      <c r="C12" s="34" t="s">
        <v>30</v>
      </c>
      <c r="D12" s="9" t="s">
        <v>148</v>
      </c>
      <c r="E12" s="9" t="s">
        <v>148</v>
      </c>
      <c r="F12" s="9" t="s">
        <v>148</v>
      </c>
      <c r="G12" s="9" t="s">
        <v>147</v>
      </c>
      <c r="H12" s="9" t="s">
        <v>147</v>
      </c>
      <c r="I12" s="9" t="s">
        <v>148</v>
      </c>
      <c r="J12" s="9" t="s">
        <v>148</v>
      </c>
      <c r="K12" s="6">
        <f t="shared" ref="K12:K16" si="8">SUM(D12:J12)</f>
        <v>0</v>
      </c>
      <c r="L12" s="6">
        <f t="shared" si="0"/>
        <v>0</v>
      </c>
      <c r="M12" s="4">
        <f t="shared" si="1"/>
        <v>0</v>
      </c>
      <c r="N12" s="4">
        <f t="shared" si="7"/>
        <v>2250</v>
      </c>
      <c r="O12" s="4">
        <f t="shared" si="2"/>
        <v>2250</v>
      </c>
      <c r="P12" s="4">
        <f t="shared" si="3"/>
        <v>1</v>
      </c>
      <c r="Q12" s="6"/>
      <c r="R12" s="6"/>
      <c r="T12" s="14" t="s">
        <v>37</v>
      </c>
      <c r="U12">
        <v>126</v>
      </c>
      <c r="V12">
        <v>0</v>
      </c>
      <c r="W12">
        <v>126</v>
      </c>
      <c r="X12">
        <v>22050</v>
      </c>
      <c r="Y12">
        <v>21924</v>
      </c>
      <c r="Z12" s="39">
        <v>0.99401111111111118</v>
      </c>
    </row>
    <row r="13" spans="1:37" hidden="1">
      <c r="A13" s="5" t="s">
        <v>26</v>
      </c>
      <c r="B13" s="7" t="s">
        <v>47</v>
      </c>
      <c r="C13" s="34" t="s">
        <v>33</v>
      </c>
      <c r="D13" s="9" t="s">
        <v>147</v>
      </c>
      <c r="E13" s="9" t="s">
        <v>148</v>
      </c>
      <c r="F13" s="9" t="s">
        <v>14</v>
      </c>
      <c r="G13" s="9">
        <v>6</v>
      </c>
      <c r="H13" s="9">
        <v>9</v>
      </c>
      <c r="I13" s="9" t="s">
        <v>148</v>
      </c>
      <c r="J13" s="9" t="s">
        <v>147</v>
      </c>
      <c r="K13" s="6"/>
      <c r="L13" s="6">
        <f t="shared" si="0"/>
        <v>0</v>
      </c>
      <c r="M13" s="4">
        <f t="shared" si="1"/>
        <v>0</v>
      </c>
      <c r="N13" s="4">
        <f>450*4</f>
        <v>1800</v>
      </c>
      <c r="O13" s="4">
        <f t="shared" si="2"/>
        <v>1800</v>
      </c>
      <c r="P13" s="4">
        <f t="shared" si="3"/>
        <v>1</v>
      </c>
      <c r="Q13" s="6"/>
      <c r="R13" s="6">
        <v>1</v>
      </c>
      <c r="T13" s="24" t="s">
        <v>39</v>
      </c>
      <c r="U13">
        <v>9</v>
      </c>
      <c r="V13">
        <v>0</v>
      </c>
      <c r="W13">
        <v>9</v>
      </c>
      <c r="X13">
        <v>2250</v>
      </c>
      <c r="Y13">
        <v>2241</v>
      </c>
      <c r="Z13" s="39">
        <v>0.996</v>
      </c>
    </row>
    <row r="14" spans="1:37" hidden="1">
      <c r="A14" s="5" t="s">
        <v>26</v>
      </c>
      <c r="B14" s="7" t="s">
        <v>48</v>
      </c>
      <c r="C14" s="34" t="s">
        <v>33</v>
      </c>
      <c r="D14" s="9" t="s">
        <v>147</v>
      </c>
      <c r="E14" s="9" t="s">
        <v>14</v>
      </c>
      <c r="F14" s="9" t="s">
        <v>148</v>
      </c>
      <c r="G14" s="9" t="s">
        <v>148</v>
      </c>
      <c r="H14" s="9" t="s">
        <v>148</v>
      </c>
      <c r="I14" s="9" t="s">
        <v>148</v>
      </c>
      <c r="J14" s="9" t="s">
        <v>147</v>
      </c>
      <c r="K14" s="6">
        <f t="shared" si="8"/>
        <v>0</v>
      </c>
      <c r="L14" s="6">
        <f t="shared" si="0"/>
        <v>0</v>
      </c>
      <c r="M14" s="4">
        <f t="shared" si="1"/>
        <v>0</v>
      </c>
      <c r="N14" s="4">
        <f>450*4</f>
        <v>1800</v>
      </c>
      <c r="O14" s="4">
        <f t="shared" si="2"/>
        <v>1800</v>
      </c>
      <c r="P14" s="4">
        <f t="shared" si="3"/>
        <v>1</v>
      </c>
      <c r="Q14" s="6"/>
      <c r="R14" s="6">
        <v>1</v>
      </c>
      <c r="T14" s="24" t="s">
        <v>44</v>
      </c>
      <c r="U14">
        <v>19</v>
      </c>
      <c r="V14">
        <v>0</v>
      </c>
      <c r="W14">
        <v>19</v>
      </c>
      <c r="X14">
        <v>2250</v>
      </c>
      <c r="Y14">
        <v>2231</v>
      </c>
      <c r="Z14" s="39">
        <v>0.99155555555555552</v>
      </c>
    </row>
    <row r="15" spans="1:37" hidden="1">
      <c r="A15" s="5" t="s">
        <v>26</v>
      </c>
      <c r="B15" s="7" t="s">
        <v>49</v>
      </c>
      <c r="C15" s="34" t="s">
        <v>50</v>
      </c>
      <c r="D15" s="9" t="s">
        <v>147</v>
      </c>
      <c r="E15" s="9" t="s">
        <v>148</v>
      </c>
      <c r="F15" s="9" t="s">
        <v>148</v>
      </c>
      <c r="G15" s="9" t="s">
        <v>148</v>
      </c>
      <c r="H15" s="9" t="s">
        <v>148</v>
      </c>
      <c r="I15" s="9" t="s">
        <v>148</v>
      </c>
      <c r="J15" s="9" t="s">
        <v>147</v>
      </c>
      <c r="K15" s="6">
        <f t="shared" si="8"/>
        <v>0</v>
      </c>
      <c r="L15" s="6">
        <f t="shared" si="0"/>
        <v>0</v>
      </c>
      <c r="M15" s="4">
        <f t="shared" si="1"/>
        <v>0</v>
      </c>
      <c r="N15" s="4">
        <f t="shared" si="7"/>
        <v>2250</v>
      </c>
      <c r="O15" s="4">
        <f t="shared" si="2"/>
        <v>2250</v>
      </c>
      <c r="P15" s="4">
        <f t="shared" si="3"/>
        <v>1</v>
      </c>
      <c r="Q15" s="6"/>
      <c r="R15" s="6"/>
      <c r="T15" s="24" t="s">
        <v>52</v>
      </c>
      <c r="U15">
        <v>28</v>
      </c>
      <c r="V15">
        <v>0</v>
      </c>
      <c r="W15">
        <v>28</v>
      </c>
      <c r="X15">
        <v>2250</v>
      </c>
      <c r="Y15">
        <v>2222</v>
      </c>
      <c r="Z15" s="39">
        <v>0.98755555555555552</v>
      </c>
    </row>
    <row r="16" spans="1:37" hidden="1">
      <c r="A16" s="5" t="s">
        <v>26</v>
      </c>
      <c r="B16" s="7" t="s">
        <v>51</v>
      </c>
      <c r="C16" s="34" t="s">
        <v>25</v>
      </c>
      <c r="D16" s="9" t="s">
        <v>147</v>
      </c>
      <c r="E16" s="9">
        <v>4</v>
      </c>
      <c r="F16" s="9">
        <v>7</v>
      </c>
      <c r="G16" s="9" t="s">
        <v>148</v>
      </c>
      <c r="H16" s="9" t="s">
        <v>148</v>
      </c>
      <c r="I16" s="9" t="s">
        <v>148</v>
      </c>
      <c r="J16" s="9" t="s">
        <v>147</v>
      </c>
      <c r="K16" s="6">
        <f t="shared" si="8"/>
        <v>11</v>
      </c>
      <c r="L16" s="6">
        <f t="shared" si="0"/>
        <v>0</v>
      </c>
      <c r="M16" s="4">
        <f t="shared" si="1"/>
        <v>11</v>
      </c>
      <c r="N16" s="4">
        <f t="shared" si="7"/>
        <v>2250</v>
      </c>
      <c r="O16" s="4">
        <f t="shared" si="2"/>
        <v>2239</v>
      </c>
      <c r="P16" s="4">
        <f t="shared" si="3"/>
        <v>0.99511111111111106</v>
      </c>
      <c r="Q16" s="6"/>
      <c r="R16" s="6"/>
      <c r="T16" s="24" t="s">
        <v>74</v>
      </c>
      <c r="U16">
        <v>32</v>
      </c>
      <c r="V16">
        <v>0</v>
      </c>
      <c r="W16">
        <v>32</v>
      </c>
      <c r="X16">
        <v>2250</v>
      </c>
      <c r="Y16">
        <v>2218</v>
      </c>
      <c r="Z16" s="39">
        <v>0.98577777777777775</v>
      </c>
    </row>
    <row r="17" spans="1:26">
      <c r="A17" s="5" t="s">
        <v>37</v>
      </c>
      <c r="B17" s="5" t="s">
        <v>52</v>
      </c>
      <c r="C17" s="5" t="s">
        <v>40</v>
      </c>
      <c r="D17" s="9" t="s">
        <v>148</v>
      </c>
      <c r="E17" s="9">
        <v>8</v>
      </c>
      <c r="F17" s="9" t="s">
        <v>148</v>
      </c>
      <c r="G17" s="9">
        <v>20</v>
      </c>
      <c r="H17" s="9" t="s">
        <v>148</v>
      </c>
      <c r="I17" s="9" t="s">
        <v>147</v>
      </c>
      <c r="J17" s="9" t="s">
        <v>147</v>
      </c>
      <c r="K17" s="6">
        <f>SUM(D17:J17)</f>
        <v>28</v>
      </c>
      <c r="L17" s="6">
        <f t="shared" si="0"/>
        <v>0</v>
      </c>
      <c r="M17" s="4">
        <f t="shared" si="1"/>
        <v>28</v>
      </c>
      <c r="N17" s="4">
        <f t="shared" si="7"/>
        <v>2250</v>
      </c>
      <c r="O17" s="4">
        <f t="shared" si="2"/>
        <v>2222</v>
      </c>
      <c r="P17" s="4">
        <f t="shared" si="3"/>
        <v>0.98755555555555552</v>
      </c>
      <c r="Q17" s="6"/>
      <c r="R17" s="6"/>
      <c r="T17" s="24" t="s">
        <v>76</v>
      </c>
      <c r="U17">
        <v>3</v>
      </c>
      <c r="V17">
        <v>0</v>
      </c>
      <c r="W17">
        <v>3</v>
      </c>
      <c r="X17">
        <v>2250</v>
      </c>
      <c r="Y17">
        <v>2247</v>
      </c>
      <c r="Z17" s="39">
        <v>0.9986666666666667</v>
      </c>
    </row>
    <row r="18" spans="1:26" hidden="1">
      <c r="A18" s="5" t="s">
        <v>26</v>
      </c>
      <c r="B18" s="7" t="s">
        <v>53</v>
      </c>
      <c r="C18" s="34" t="s">
        <v>25</v>
      </c>
      <c r="D18" s="9" t="s">
        <v>147</v>
      </c>
      <c r="E18" s="9" t="s">
        <v>14</v>
      </c>
      <c r="F18" s="9">
        <v>15</v>
      </c>
      <c r="G18" s="9" t="s">
        <v>148</v>
      </c>
      <c r="H18" s="9" t="s">
        <v>148</v>
      </c>
      <c r="I18" s="9">
        <v>26</v>
      </c>
      <c r="J18" s="9" t="s">
        <v>147</v>
      </c>
      <c r="K18" s="6">
        <f t="shared" ref="K18" si="9">SUM(D18:J18)</f>
        <v>41</v>
      </c>
      <c r="L18" s="6">
        <f t="shared" si="0"/>
        <v>0</v>
      </c>
      <c r="M18" s="4">
        <f t="shared" si="1"/>
        <v>41</v>
      </c>
      <c r="N18" s="4">
        <f>450*4</f>
        <v>1800</v>
      </c>
      <c r="O18" s="4">
        <f t="shared" si="2"/>
        <v>1759</v>
      </c>
      <c r="P18" s="4">
        <f t="shared" si="3"/>
        <v>0.97722222222222221</v>
      </c>
      <c r="Q18" s="6"/>
      <c r="R18" s="6">
        <v>1</v>
      </c>
      <c r="T18" s="24" t="s">
        <v>90</v>
      </c>
      <c r="U18">
        <v>0</v>
      </c>
      <c r="V18">
        <v>0</v>
      </c>
      <c r="W18">
        <v>0</v>
      </c>
      <c r="X18">
        <v>2250</v>
      </c>
      <c r="Y18">
        <v>2250</v>
      </c>
      <c r="Z18" s="39">
        <v>1</v>
      </c>
    </row>
    <row r="19" spans="1:26">
      <c r="A19" s="5" t="s">
        <v>26</v>
      </c>
      <c r="B19" s="5" t="s">
        <v>34</v>
      </c>
      <c r="C19" s="5" t="s">
        <v>40</v>
      </c>
      <c r="D19" s="9">
        <v>450</v>
      </c>
      <c r="E19" s="9" t="s">
        <v>148</v>
      </c>
      <c r="F19" s="9" t="s">
        <v>148</v>
      </c>
      <c r="G19" s="9" t="s">
        <v>147</v>
      </c>
      <c r="H19" s="9" t="s">
        <v>147</v>
      </c>
      <c r="I19" s="9" t="s">
        <v>148</v>
      </c>
      <c r="J19" s="9" t="s">
        <v>148</v>
      </c>
      <c r="K19" s="6" t="str">
        <f>E19</f>
        <v>P</v>
      </c>
      <c r="L19" s="6">
        <f t="shared" si="0"/>
        <v>450</v>
      </c>
      <c r="M19" s="4">
        <f t="shared" si="1"/>
        <v>450</v>
      </c>
      <c r="N19" s="4">
        <f t="shared" si="7"/>
        <v>2250</v>
      </c>
      <c r="O19" s="4">
        <f t="shared" si="2"/>
        <v>1800</v>
      </c>
      <c r="P19" s="4">
        <f t="shared" si="3"/>
        <v>0.8</v>
      </c>
      <c r="Q19" s="6"/>
      <c r="R19" s="6"/>
      <c r="T19" s="24" t="s">
        <v>96</v>
      </c>
      <c r="U19">
        <v>0</v>
      </c>
      <c r="V19">
        <v>0</v>
      </c>
      <c r="W19">
        <v>0</v>
      </c>
      <c r="X19">
        <v>2250</v>
      </c>
      <c r="Y19">
        <v>2250</v>
      </c>
      <c r="Z19" s="39">
        <v>1</v>
      </c>
    </row>
    <row r="20" spans="1:26" hidden="1">
      <c r="A20" s="5" t="s">
        <v>22</v>
      </c>
      <c r="B20" s="5" t="s">
        <v>55</v>
      </c>
      <c r="C20" s="5" t="s">
        <v>56</v>
      </c>
      <c r="D20" s="9" t="s">
        <v>147</v>
      </c>
      <c r="E20" s="9" t="s">
        <v>14</v>
      </c>
      <c r="F20" s="9" t="s">
        <v>148</v>
      </c>
      <c r="G20" s="9" t="s">
        <v>148</v>
      </c>
      <c r="H20" s="9" t="s">
        <v>148</v>
      </c>
      <c r="I20" s="9" t="s">
        <v>148</v>
      </c>
      <c r="J20" s="9" t="s">
        <v>147</v>
      </c>
      <c r="K20" s="6"/>
      <c r="L20" s="6">
        <f t="shared" si="0"/>
        <v>0</v>
      </c>
      <c r="M20" s="4">
        <f t="shared" si="1"/>
        <v>0</v>
      </c>
      <c r="N20" s="4">
        <f t="shared" si="7"/>
        <v>2250</v>
      </c>
      <c r="O20" s="4">
        <f t="shared" si="2"/>
        <v>2250</v>
      </c>
      <c r="P20" s="4">
        <f t="shared" si="3"/>
        <v>1</v>
      </c>
      <c r="Q20" s="6"/>
      <c r="R20" s="6"/>
      <c r="T20" s="24" t="s">
        <v>38</v>
      </c>
      <c r="U20">
        <v>0</v>
      </c>
      <c r="V20">
        <v>0</v>
      </c>
      <c r="W20">
        <v>0</v>
      </c>
      <c r="X20">
        <v>2250</v>
      </c>
      <c r="Y20">
        <v>2250</v>
      </c>
      <c r="Z20" s="39">
        <v>1</v>
      </c>
    </row>
    <row r="21" spans="1:26">
      <c r="A21" s="5" t="s">
        <v>60</v>
      </c>
      <c r="B21" s="5" t="s">
        <v>59</v>
      </c>
      <c r="C21" s="5" t="s">
        <v>40</v>
      </c>
      <c r="D21" s="9" t="s">
        <v>147</v>
      </c>
      <c r="E21" s="9" t="s">
        <v>148</v>
      </c>
      <c r="F21" s="9" t="s">
        <v>148</v>
      </c>
      <c r="G21" s="9" t="s">
        <v>148</v>
      </c>
      <c r="H21" s="9" t="s">
        <v>148</v>
      </c>
      <c r="I21" s="9" t="s">
        <v>148</v>
      </c>
      <c r="J21" s="9" t="s">
        <v>147</v>
      </c>
      <c r="K21" s="6">
        <f>SUM(E21:I21)</f>
        <v>0</v>
      </c>
      <c r="L21" s="6">
        <f t="shared" si="0"/>
        <v>0</v>
      </c>
      <c r="M21" s="4">
        <f t="shared" si="1"/>
        <v>0</v>
      </c>
      <c r="N21" s="4">
        <f t="shared" si="7"/>
        <v>2250</v>
      </c>
      <c r="O21" s="4">
        <f t="shared" si="2"/>
        <v>2250</v>
      </c>
      <c r="P21" s="4">
        <f t="shared" si="3"/>
        <v>1</v>
      </c>
      <c r="Q21" s="6"/>
      <c r="R21" s="6"/>
      <c r="T21" s="24" t="s">
        <v>114</v>
      </c>
      <c r="U21">
        <v>35</v>
      </c>
      <c r="V21">
        <v>0</v>
      </c>
      <c r="W21">
        <v>35</v>
      </c>
      <c r="X21">
        <v>1800</v>
      </c>
      <c r="Y21">
        <v>1765</v>
      </c>
      <c r="Z21" s="39">
        <v>0.98055555555555551</v>
      </c>
    </row>
    <row r="22" spans="1:26" hidden="1">
      <c r="A22" s="5" t="s">
        <v>22</v>
      </c>
      <c r="B22" s="5" t="s">
        <v>62</v>
      </c>
      <c r="C22" s="5" t="s">
        <v>63</v>
      </c>
      <c r="D22" s="9" t="s">
        <v>147</v>
      </c>
      <c r="E22" s="9">
        <v>39</v>
      </c>
      <c r="F22" s="9">
        <v>1</v>
      </c>
      <c r="G22" s="9" t="s">
        <v>14</v>
      </c>
      <c r="H22" s="9">
        <v>147</v>
      </c>
      <c r="I22" s="9" t="s">
        <v>148</v>
      </c>
      <c r="J22" s="9" t="s">
        <v>147</v>
      </c>
      <c r="K22" s="6">
        <f>SUM(D22:I22)</f>
        <v>187</v>
      </c>
      <c r="L22" s="6">
        <f t="shared" si="0"/>
        <v>0</v>
      </c>
      <c r="M22" s="4">
        <f t="shared" si="1"/>
        <v>187</v>
      </c>
      <c r="N22" s="4">
        <f t="shared" si="7"/>
        <v>2250</v>
      </c>
      <c r="O22" s="4">
        <f t="shared" si="2"/>
        <v>2063</v>
      </c>
      <c r="P22" s="4">
        <f t="shared" si="3"/>
        <v>0.91688888888888886</v>
      </c>
      <c r="Q22" s="6"/>
      <c r="R22" s="6"/>
      <c r="T22" s="24" t="s">
        <v>118</v>
      </c>
      <c r="U22">
        <v>0</v>
      </c>
      <c r="V22">
        <v>0</v>
      </c>
      <c r="W22">
        <v>0</v>
      </c>
      <c r="X22">
        <v>2250</v>
      </c>
      <c r="Y22">
        <v>2250</v>
      </c>
      <c r="Z22" s="39">
        <v>1</v>
      </c>
    </row>
    <row r="23" spans="1:26" hidden="1">
      <c r="A23" s="5" t="s">
        <v>22</v>
      </c>
      <c r="B23" s="5" t="s">
        <v>64</v>
      </c>
      <c r="C23" s="5" t="s">
        <v>63</v>
      </c>
      <c r="D23" s="9" t="s">
        <v>147</v>
      </c>
      <c r="E23" s="9" t="s">
        <v>148</v>
      </c>
      <c r="F23" s="9" t="s">
        <v>148</v>
      </c>
      <c r="G23" s="9">
        <v>12</v>
      </c>
      <c r="H23" s="9" t="s">
        <v>148</v>
      </c>
      <c r="I23" s="9">
        <v>1</v>
      </c>
      <c r="J23" s="9" t="s">
        <v>147</v>
      </c>
      <c r="K23" s="6">
        <f>SUM(D23:I23)</f>
        <v>13</v>
      </c>
      <c r="L23" s="6">
        <f t="shared" si="0"/>
        <v>0</v>
      </c>
      <c r="M23" s="4">
        <f t="shared" si="1"/>
        <v>13</v>
      </c>
      <c r="N23" s="4">
        <f t="shared" si="7"/>
        <v>2250</v>
      </c>
      <c r="O23" s="4">
        <f t="shared" si="2"/>
        <v>2237</v>
      </c>
      <c r="P23" s="4">
        <f t="shared" si="3"/>
        <v>0.99422222222222223</v>
      </c>
      <c r="Q23" s="6"/>
      <c r="R23" s="6"/>
      <c r="T23" s="14" t="s">
        <v>149</v>
      </c>
      <c r="U23">
        <v>126</v>
      </c>
      <c r="V23">
        <v>0</v>
      </c>
      <c r="W23">
        <v>126</v>
      </c>
      <c r="X23">
        <v>22050</v>
      </c>
      <c r="Y23">
        <v>21924</v>
      </c>
      <c r="Z23" s="39">
        <v>0.99401111111111118</v>
      </c>
    </row>
    <row r="24" spans="1:26" hidden="1">
      <c r="A24" s="5" t="s">
        <v>26</v>
      </c>
      <c r="B24" s="7" t="s">
        <v>65</v>
      </c>
      <c r="C24" s="34" t="s">
        <v>56</v>
      </c>
      <c r="D24" s="9" t="s">
        <v>147</v>
      </c>
      <c r="E24" s="9" t="s">
        <v>148</v>
      </c>
      <c r="F24" s="9" t="s">
        <v>148</v>
      </c>
      <c r="G24" s="9" t="s">
        <v>148</v>
      </c>
      <c r="H24" s="9" t="s">
        <v>148</v>
      </c>
      <c r="I24" s="9" t="s">
        <v>148</v>
      </c>
      <c r="J24" s="9" t="s">
        <v>147</v>
      </c>
      <c r="K24" s="6">
        <f>SUM(D24:J24)</f>
        <v>0</v>
      </c>
      <c r="L24" s="6">
        <f t="shared" si="0"/>
        <v>0</v>
      </c>
      <c r="M24" s="4">
        <f t="shared" si="1"/>
        <v>0</v>
      </c>
      <c r="N24" s="4">
        <f t="shared" si="7"/>
        <v>2250</v>
      </c>
      <c r="O24" s="4">
        <f t="shared" si="2"/>
        <v>2250</v>
      </c>
      <c r="P24" s="4">
        <f t="shared" si="3"/>
        <v>1</v>
      </c>
      <c r="Q24" s="6"/>
      <c r="R24" s="6"/>
    </row>
    <row r="25" spans="1:26" hidden="1">
      <c r="A25" s="5" t="s">
        <v>22</v>
      </c>
      <c r="B25" s="5" t="s">
        <v>67</v>
      </c>
      <c r="C25" s="5" t="s">
        <v>30</v>
      </c>
      <c r="D25" s="9" t="s">
        <v>147</v>
      </c>
      <c r="E25" s="9" t="s">
        <v>148</v>
      </c>
      <c r="F25" s="9" t="s">
        <v>148</v>
      </c>
      <c r="G25" s="9" t="s">
        <v>148</v>
      </c>
      <c r="H25" s="9" t="s">
        <v>148</v>
      </c>
      <c r="I25" s="9" t="s">
        <v>148</v>
      </c>
      <c r="J25" s="9" t="s">
        <v>147</v>
      </c>
      <c r="K25" s="6">
        <f>SUM(D25:J25)</f>
        <v>0</v>
      </c>
      <c r="L25" s="6">
        <f t="shared" si="0"/>
        <v>0</v>
      </c>
      <c r="M25" s="4">
        <f t="shared" si="1"/>
        <v>0</v>
      </c>
      <c r="N25" s="4">
        <f t="shared" si="7"/>
        <v>2250</v>
      </c>
      <c r="O25" s="4">
        <f t="shared" si="2"/>
        <v>2250</v>
      </c>
      <c r="P25" s="4">
        <f t="shared" si="3"/>
        <v>1</v>
      </c>
      <c r="Q25" s="6"/>
      <c r="R25" s="6"/>
    </row>
    <row r="26" spans="1:26">
      <c r="A26" s="5" t="s">
        <v>26</v>
      </c>
      <c r="B26" s="7" t="s">
        <v>68</v>
      </c>
      <c r="C26" s="34" t="s">
        <v>40</v>
      </c>
      <c r="D26" s="9" t="s">
        <v>147</v>
      </c>
      <c r="E26" s="9" t="s">
        <v>148</v>
      </c>
      <c r="F26" s="9" t="s">
        <v>148</v>
      </c>
      <c r="G26" s="9" t="s">
        <v>148</v>
      </c>
      <c r="H26" s="9" t="s">
        <v>148</v>
      </c>
      <c r="I26" s="9" t="s">
        <v>148</v>
      </c>
      <c r="J26" s="9" t="s">
        <v>147</v>
      </c>
      <c r="K26" s="6">
        <f>SUM(D26:J26)</f>
        <v>0</v>
      </c>
      <c r="L26" s="6">
        <f t="shared" si="0"/>
        <v>0</v>
      </c>
      <c r="M26" s="4">
        <f t="shared" si="1"/>
        <v>0</v>
      </c>
      <c r="N26" s="4">
        <f t="shared" si="7"/>
        <v>2250</v>
      </c>
      <c r="O26" s="4">
        <f t="shared" si="2"/>
        <v>2250</v>
      </c>
      <c r="P26" s="4">
        <f t="shared" si="3"/>
        <v>1</v>
      </c>
      <c r="Q26" s="6"/>
      <c r="R26" s="6"/>
    </row>
    <row r="27" spans="1:26" hidden="1">
      <c r="A27" s="5" t="s">
        <v>22</v>
      </c>
      <c r="B27" s="5" t="s">
        <v>69</v>
      </c>
      <c r="C27" s="5" t="s">
        <v>30</v>
      </c>
      <c r="D27" s="9" t="s">
        <v>147</v>
      </c>
      <c r="E27" s="9">
        <v>34</v>
      </c>
      <c r="F27" s="9">
        <v>450</v>
      </c>
      <c r="G27" s="9" t="s">
        <v>148</v>
      </c>
      <c r="H27" s="9" t="s">
        <v>148</v>
      </c>
      <c r="I27" s="9">
        <v>450</v>
      </c>
      <c r="J27" s="9" t="s">
        <v>147</v>
      </c>
      <c r="K27" s="6">
        <f>E27</f>
        <v>34</v>
      </c>
      <c r="L27" s="6">
        <f t="shared" si="0"/>
        <v>900</v>
      </c>
      <c r="M27" s="4">
        <f t="shared" si="1"/>
        <v>934</v>
      </c>
      <c r="N27" s="4">
        <f t="shared" si="7"/>
        <v>2250</v>
      </c>
      <c r="O27" s="4">
        <f t="shared" si="2"/>
        <v>1316</v>
      </c>
      <c r="P27" s="4">
        <f t="shared" si="3"/>
        <v>0.5848888888888889</v>
      </c>
      <c r="Q27" s="6"/>
      <c r="R27" s="6"/>
    </row>
    <row r="28" spans="1:26" hidden="1">
      <c r="A28" s="5" t="s">
        <v>22</v>
      </c>
      <c r="B28" s="5" t="s">
        <v>70</v>
      </c>
      <c r="C28" s="5" t="s">
        <v>63</v>
      </c>
      <c r="D28" s="9" t="s">
        <v>147</v>
      </c>
      <c r="E28" s="9" t="s">
        <v>148</v>
      </c>
      <c r="F28" s="9" t="s">
        <v>148</v>
      </c>
      <c r="G28" s="9" t="s">
        <v>148</v>
      </c>
      <c r="H28" s="9" t="s">
        <v>148</v>
      </c>
      <c r="I28" s="9" t="s">
        <v>148</v>
      </c>
      <c r="J28" s="9" t="s">
        <v>147</v>
      </c>
      <c r="K28" s="6">
        <f>SUM(D28:I28)</f>
        <v>0</v>
      </c>
      <c r="L28" s="6">
        <f t="shared" si="0"/>
        <v>0</v>
      </c>
      <c r="M28" s="4">
        <f t="shared" si="1"/>
        <v>0</v>
      </c>
      <c r="N28" s="4">
        <f>450*4</f>
        <v>1800</v>
      </c>
      <c r="O28" s="4">
        <f t="shared" si="2"/>
        <v>1800</v>
      </c>
      <c r="P28" s="4">
        <f t="shared" si="3"/>
        <v>1</v>
      </c>
      <c r="Q28" s="6">
        <v>1</v>
      </c>
      <c r="R28" s="6"/>
    </row>
    <row r="29" spans="1:26" hidden="1">
      <c r="A29" s="5" t="s">
        <v>26</v>
      </c>
      <c r="B29" s="7" t="s">
        <v>71</v>
      </c>
      <c r="C29" s="34" t="s">
        <v>25</v>
      </c>
      <c r="D29" s="9" t="s">
        <v>147</v>
      </c>
      <c r="E29" s="9">
        <v>31</v>
      </c>
      <c r="F29" s="9" t="s">
        <v>148</v>
      </c>
      <c r="G29" s="9" t="s">
        <v>148</v>
      </c>
      <c r="H29" s="9" t="s">
        <v>148</v>
      </c>
      <c r="I29" s="9" t="s">
        <v>148</v>
      </c>
      <c r="J29" s="9" t="s">
        <v>147</v>
      </c>
      <c r="K29" s="6">
        <f>SUM(D29:J29)</f>
        <v>31</v>
      </c>
      <c r="L29" s="6">
        <f t="shared" si="0"/>
        <v>0</v>
      </c>
      <c r="M29" s="4">
        <f t="shared" si="1"/>
        <v>31</v>
      </c>
      <c r="N29" s="4">
        <f t="shared" si="7"/>
        <v>2250</v>
      </c>
      <c r="O29" s="4">
        <f t="shared" si="2"/>
        <v>2219</v>
      </c>
      <c r="P29" s="4">
        <f t="shared" si="3"/>
        <v>0.98622222222222222</v>
      </c>
      <c r="Q29" s="6"/>
      <c r="R29" s="6"/>
    </row>
    <row r="30" spans="1:26" hidden="1">
      <c r="A30" s="5" t="s">
        <v>22</v>
      </c>
      <c r="B30" s="5" t="s">
        <v>72</v>
      </c>
      <c r="C30" s="5" t="s">
        <v>30</v>
      </c>
      <c r="D30" s="9" t="s">
        <v>147</v>
      </c>
      <c r="E30" s="9" t="s">
        <v>148</v>
      </c>
      <c r="F30" s="9">
        <v>4</v>
      </c>
      <c r="G30" s="9" t="s">
        <v>148</v>
      </c>
      <c r="H30" s="9" t="s">
        <v>148</v>
      </c>
      <c r="I30" s="9">
        <v>7</v>
      </c>
      <c r="J30" s="9" t="s">
        <v>147</v>
      </c>
      <c r="K30" s="6">
        <f>SUM(D30:J30)</f>
        <v>11</v>
      </c>
      <c r="L30" s="6">
        <f t="shared" si="0"/>
        <v>0</v>
      </c>
      <c r="M30" s="4">
        <f t="shared" si="1"/>
        <v>11</v>
      </c>
      <c r="N30" s="4">
        <f t="shared" si="7"/>
        <v>2250</v>
      </c>
      <c r="O30" s="4">
        <f t="shared" si="2"/>
        <v>2239</v>
      </c>
      <c r="P30" s="4">
        <f t="shared" si="3"/>
        <v>0.99511111111111106</v>
      </c>
      <c r="Q30" s="6"/>
      <c r="R30" s="6"/>
    </row>
    <row r="31" spans="1:26" hidden="1">
      <c r="A31" s="5" t="s">
        <v>26</v>
      </c>
      <c r="B31" s="7" t="s">
        <v>73</v>
      </c>
      <c r="C31" s="34" t="s">
        <v>25</v>
      </c>
      <c r="D31" s="9" t="s">
        <v>147</v>
      </c>
      <c r="E31" s="9" t="s">
        <v>148</v>
      </c>
      <c r="F31" s="9">
        <v>450</v>
      </c>
      <c r="G31" s="9">
        <v>67</v>
      </c>
      <c r="H31" s="9" t="s">
        <v>148</v>
      </c>
      <c r="I31" s="9">
        <v>12</v>
      </c>
      <c r="J31" s="9" t="s">
        <v>147</v>
      </c>
      <c r="K31" s="6">
        <f>G31+I31</f>
        <v>79</v>
      </c>
      <c r="L31" s="6">
        <f t="shared" si="0"/>
        <v>450</v>
      </c>
      <c r="M31" s="4">
        <f t="shared" si="1"/>
        <v>529</v>
      </c>
      <c r="N31" s="4">
        <f t="shared" si="7"/>
        <v>2250</v>
      </c>
      <c r="O31" s="4">
        <f t="shared" si="2"/>
        <v>1721</v>
      </c>
      <c r="P31" s="4">
        <f t="shared" si="3"/>
        <v>0.76488888888888884</v>
      </c>
      <c r="Q31" s="6"/>
      <c r="R31" s="6"/>
    </row>
    <row r="32" spans="1:26">
      <c r="A32" s="5" t="s">
        <v>57</v>
      </c>
      <c r="B32" s="5" t="s">
        <v>58</v>
      </c>
      <c r="C32" s="5" t="s">
        <v>40</v>
      </c>
      <c r="D32" s="9" t="s">
        <v>147</v>
      </c>
      <c r="E32" s="9" t="s">
        <v>148</v>
      </c>
      <c r="F32" s="9" t="s">
        <v>148</v>
      </c>
      <c r="G32" s="9" t="s">
        <v>148</v>
      </c>
      <c r="H32" s="9" t="s">
        <v>148</v>
      </c>
      <c r="I32" s="9" t="s">
        <v>148</v>
      </c>
      <c r="J32" s="9" t="s">
        <v>147</v>
      </c>
      <c r="K32" s="6">
        <f>SUM(E32:I32)</f>
        <v>0</v>
      </c>
      <c r="L32" s="6">
        <f t="shared" si="0"/>
        <v>0</v>
      </c>
      <c r="M32" s="4">
        <f t="shared" si="1"/>
        <v>0</v>
      </c>
      <c r="N32" s="4">
        <f>450*4</f>
        <v>1800</v>
      </c>
      <c r="O32" s="4">
        <f t="shared" si="2"/>
        <v>1800</v>
      </c>
      <c r="P32" s="42">
        <f t="shared" si="3"/>
        <v>1</v>
      </c>
      <c r="Q32" s="6"/>
      <c r="R32" s="6"/>
    </row>
    <row r="33" spans="1:18">
      <c r="A33" s="5" t="s">
        <v>37</v>
      </c>
      <c r="B33" s="5" t="s">
        <v>74</v>
      </c>
      <c r="C33" s="5" t="s">
        <v>40</v>
      </c>
      <c r="D33" s="9">
        <v>32</v>
      </c>
      <c r="E33" s="9" t="s">
        <v>148</v>
      </c>
      <c r="F33" s="9" t="s">
        <v>147</v>
      </c>
      <c r="G33" s="9" t="s">
        <v>147</v>
      </c>
      <c r="H33" s="9" t="s">
        <v>148</v>
      </c>
      <c r="I33" s="9" t="s">
        <v>148</v>
      </c>
      <c r="J33" s="9" t="s">
        <v>148</v>
      </c>
      <c r="K33" s="6">
        <f>SUM(D33:J33)</f>
        <v>32</v>
      </c>
      <c r="L33" s="6">
        <f t="shared" si="0"/>
        <v>0</v>
      </c>
      <c r="M33" s="4">
        <f t="shared" si="1"/>
        <v>32</v>
      </c>
      <c r="N33" s="4">
        <f t="shared" si="7"/>
        <v>2250</v>
      </c>
      <c r="O33" s="4">
        <f t="shared" si="2"/>
        <v>2218</v>
      </c>
      <c r="P33" s="4">
        <f t="shared" si="3"/>
        <v>0.98577777777777775</v>
      </c>
      <c r="Q33" s="6"/>
      <c r="R33" s="6"/>
    </row>
    <row r="34" spans="1:18">
      <c r="A34" s="5" t="s">
        <v>26</v>
      </c>
      <c r="B34" s="7" t="s">
        <v>75</v>
      </c>
      <c r="C34" s="34" t="s">
        <v>40</v>
      </c>
      <c r="D34" s="9" t="s">
        <v>148</v>
      </c>
      <c r="E34" s="9" t="s">
        <v>148</v>
      </c>
      <c r="F34" s="9" t="s">
        <v>148</v>
      </c>
      <c r="G34" s="9" t="s">
        <v>147</v>
      </c>
      <c r="H34" s="9" t="s">
        <v>147</v>
      </c>
      <c r="I34" s="9" t="s">
        <v>148</v>
      </c>
      <c r="J34" s="9" t="s">
        <v>148</v>
      </c>
      <c r="K34" s="6">
        <f>SUM(D34:J34)</f>
        <v>0</v>
      </c>
      <c r="L34" s="6">
        <f t="shared" si="0"/>
        <v>0</v>
      </c>
      <c r="M34" s="4">
        <f t="shared" si="1"/>
        <v>0</v>
      </c>
      <c r="N34" s="4">
        <f t="shared" si="7"/>
        <v>2250</v>
      </c>
      <c r="O34" s="4">
        <f t="shared" si="2"/>
        <v>2250</v>
      </c>
      <c r="P34" s="4">
        <f t="shared" si="3"/>
        <v>1</v>
      </c>
      <c r="Q34" s="6"/>
      <c r="R34" s="6"/>
    </row>
    <row r="35" spans="1:18">
      <c r="A35" s="5" t="s">
        <v>37</v>
      </c>
      <c r="B35" s="5" t="s">
        <v>76</v>
      </c>
      <c r="C35" s="5" t="s">
        <v>40</v>
      </c>
      <c r="D35" s="9">
        <v>3</v>
      </c>
      <c r="E35" s="9" t="s">
        <v>148</v>
      </c>
      <c r="F35" s="9" t="s">
        <v>148</v>
      </c>
      <c r="G35" s="9" t="s">
        <v>14</v>
      </c>
      <c r="H35" s="9" t="s">
        <v>148</v>
      </c>
      <c r="I35" s="9" t="s">
        <v>147</v>
      </c>
      <c r="J35" s="9" t="s">
        <v>147</v>
      </c>
      <c r="K35" s="6">
        <f>SUM(D35:J35)</f>
        <v>3</v>
      </c>
      <c r="L35" s="6">
        <f t="shared" si="0"/>
        <v>0</v>
      </c>
      <c r="M35" s="4">
        <f t="shared" si="1"/>
        <v>3</v>
      </c>
      <c r="N35" s="4">
        <f t="shared" si="7"/>
        <v>2250</v>
      </c>
      <c r="O35" s="4">
        <f t="shared" si="2"/>
        <v>2247</v>
      </c>
      <c r="P35" s="4">
        <f t="shared" si="3"/>
        <v>0.9986666666666667</v>
      </c>
      <c r="Q35" s="6"/>
      <c r="R35" s="6"/>
    </row>
    <row r="36" spans="1:18" hidden="1">
      <c r="A36" s="5" t="s">
        <v>22</v>
      </c>
      <c r="B36" s="5" t="s">
        <v>77</v>
      </c>
      <c r="C36" s="5" t="s">
        <v>30</v>
      </c>
      <c r="D36" s="9" t="s">
        <v>147</v>
      </c>
      <c r="E36" s="9" t="s">
        <v>148</v>
      </c>
      <c r="F36" s="9" t="s">
        <v>148</v>
      </c>
      <c r="G36" s="9">
        <v>450</v>
      </c>
      <c r="H36" s="9" t="s">
        <v>148</v>
      </c>
      <c r="I36" s="9" t="s">
        <v>148</v>
      </c>
      <c r="J36" s="9" t="s">
        <v>147</v>
      </c>
      <c r="K36" s="6">
        <v>0</v>
      </c>
      <c r="L36" s="6">
        <f t="shared" si="0"/>
        <v>450</v>
      </c>
      <c r="M36" s="4">
        <f t="shared" si="1"/>
        <v>450</v>
      </c>
      <c r="N36" s="4">
        <f t="shared" si="7"/>
        <v>2250</v>
      </c>
      <c r="O36" s="4">
        <f t="shared" si="2"/>
        <v>1800</v>
      </c>
      <c r="P36" s="4">
        <f t="shared" si="3"/>
        <v>0.8</v>
      </c>
      <c r="Q36" s="6"/>
      <c r="R36" s="6"/>
    </row>
    <row r="37" spans="1:18" hidden="1">
      <c r="A37" s="5" t="s">
        <v>22</v>
      </c>
      <c r="B37" s="5" t="s">
        <v>61</v>
      </c>
      <c r="C37" s="5" t="s">
        <v>63</v>
      </c>
      <c r="D37" s="9" t="s">
        <v>147</v>
      </c>
      <c r="E37" s="9" t="s">
        <v>148</v>
      </c>
      <c r="F37" s="9" t="s">
        <v>148</v>
      </c>
      <c r="G37" s="9" t="s">
        <v>148</v>
      </c>
      <c r="H37" s="9" t="s">
        <v>148</v>
      </c>
      <c r="I37" s="9" t="s">
        <v>148</v>
      </c>
      <c r="J37" s="9" t="s">
        <v>147</v>
      </c>
      <c r="K37" s="6">
        <f>SUM(D37:I37)</f>
        <v>0</v>
      </c>
      <c r="L37" s="6">
        <f t="shared" si="0"/>
        <v>0</v>
      </c>
      <c r="M37" s="4">
        <f t="shared" si="1"/>
        <v>0</v>
      </c>
      <c r="N37" s="4">
        <f t="shared" si="7"/>
        <v>2250</v>
      </c>
      <c r="O37" s="4">
        <f t="shared" si="2"/>
        <v>2250</v>
      </c>
      <c r="P37" s="4">
        <f t="shared" si="3"/>
        <v>1</v>
      </c>
      <c r="Q37" s="6"/>
      <c r="R37" s="6"/>
    </row>
    <row r="38" spans="1:18" hidden="1">
      <c r="A38" s="5" t="s">
        <v>26</v>
      </c>
      <c r="B38" s="7" t="s">
        <v>78</v>
      </c>
      <c r="C38" s="34" t="s">
        <v>79</v>
      </c>
      <c r="D38" s="9" t="s">
        <v>147</v>
      </c>
      <c r="E38" s="9" t="s">
        <v>148</v>
      </c>
      <c r="F38" s="9" t="s">
        <v>148</v>
      </c>
      <c r="G38" s="9" t="s">
        <v>148</v>
      </c>
      <c r="H38" s="9" t="s">
        <v>148</v>
      </c>
      <c r="I38" s="9" t="s">
        <v>148</v>
      </c>
      <c r="J38" s="9" t="s">
        <v>147</v>
      </c>
      <c r="K38" s="6">
        <f t="shared" ref="K38:K40" si="10">SUM(D38:J38)</f>
        <v>0</v>
      </c>
      <c r="L38" s="6">
        <f t="shared" si="0"/>
        <v>0</v>
      </c>
      <c r="M38" s="4">
        <f t="shared" si="1"/>
        <v>0</v>
      </c>
      <c r="N38" s="4">
        <f t="shared" si="7"/>
        <v>2250</v>
      </c>
      <c r="O38" s="4">
        <f t="shared" si="2"/>
        <v>2250</v>
      </c>
      <c r="P38" s="4">
        <f t="shared" si="3"/>
        <v>1</v>
      </c>
      <c r="Q38" s="6"/>
      <c r="R38" s="6"/>
    </row>
    <row r="39" spans="1:18">
      <c r="A39" s="5" t="s">
        <v>26</v>
      </c>
      <c r="B39" s="7" t="s">
        <v>80</v>
      </c>
      <c r="C39" s="34" t="s">
        <v>40</v>
      </c>
      <c r="D39" s="9" t="s">
        <v>148</v>
      </c>
      <c r="E39" s="9" t="s">
        <v>148</v>
      </c>
      <c r="F39" s="9" t="s">
        <v>147</v>
      </c>
      <c r="G39" s="9" t="s">
        <v>147</v>
      </c>
      <c r="H39" s="9" t="s">
        <v>148</v>
      </c>
      <c r="I39" s="9" t="s">
        <v>148</v>
      </c>
      <c r="J39" s="9" t="s">
        <v>148</v>
      </c>
      <c r="K39" s="6">
        <f t="shared" si="10"/>
        <v>0</v>
      </c>
      <c r="L39" s="6">
        <f t="shared" si="0"/>
        <v>0</v>
      </c>
      <c r="M39" s="4">
        <f t="shared" si="1"/>
        <v>0</v>
      </c>
      <c r="N39" s="4">
        <f t="shared" si="7"/>
        <v>2250</v>
      </c>
      <c r="O39" s="4">
        <f t="shared" si="2"/>
        <v>2250</v>
      </c>
      <c r="P39" s="4">
        <f t="shared" si="3"/>
        <v>1</v>
      </c>
      <c r="Q39" s="6"/>
      <c r="R39" s="6"/>
    </row>
    <row r="40" spans="1:18" hidden="1">
      <c r="A40" s="5" t="s">
        <v>26</v>
      </c>
      <c r="B40" s="7" t="s">
        <v>81</v>
      </c>
      <c r="C40" s="34" t="s">
        <v>33</v>
      </c>
      <c r="D40" s="9" t="s">
        <v>147</v>
      </c>
      <c r="E40" s="9" t="s">
        <v>148</v>
      </c>
      <c r="F40" s="9" t="s">
        <v>148</v>
      </c>
      <c r="G40" s="9" t="s">
        <v>148</v>
      </c>
      <c r="H40" s="9" t="s">
        <v>148</v>
      </c>
      <c r="I40" s="9" t="s">
        <v>148</v>
      </c>
      <c r="J40" s="9" t="s">
        <v>147</v>
      </c>
      <c r="K40" s="6">
        <f t="shared" si="10"/>
        <v>0</v>
      </c>
      <c r="L40" s="6">
        <f t="shared" si="0"/>
        <v>0</v>
      </c>
      <c r="M40" s="4">
        <f t="shared" si="1"/>
        <v>0</v>
      </c>
      <c r="N40" s="4">
        <f t="shared" si="7"/>
        <v>2250</v>
      </c>
      <c r="O40" s="4">
        <f t="shared" si="2"/>
        <v>2250</v>
      </c>
      <c r="P40" s="4">
        <f t="shared" si="3"/>
        <v>1</v>
      </c>
      <c r="Q40" s="6"/>
      <c r="R40" s="6"/>
    </row>
    <row r="41" spans="1:18" hidden="1">
      <c r="A41" s="5" t="s">
        <v>22</v>
      </c>
      <c r="B41" s="5" t="s">
        <v>82</v>
      </c>
      <c r="C41" s="5" t="s">
        <v>33</v>
      </c>
      <c r="D41" s="9" t="s">
        <v>147</v>
      </c>
      <c r="E41" s="9" t="s">
        <v>148</v>
      </c>
      <c r="F41" s="9" t="s">
        <v>148</v>
      </c>
      <c r="G41" s="9" t="s">
        <v>148</v>
      </c>
      <c r="H41" s="9" t="s">
        <v>148</v>
      </c>
      <c r="I41" s="9" t="s">
        <v>148</v>
      </c>
      <c r="J41" s="9" t="s">
        <v>147</v>
      </c>
      <c r="K41" s="6">
        <f>SUM(E41:I41)</f>
        <v>0</v>
      </c>
      <c r="L41" s="6">
        <f t="shared" si="0"/>
        <v>0</v>
      </c>
      <c r="M41" s="4">
        <f t="shared" si="1"/>
        <v>0</v>
      </c>
      <c r="N41" s="4">
        <f t="shared" si="7"/>
        <v>2250</v>
      </c>
      <c r="O41" s="4">
        <f t="shared" si="2"/>
        <v>2250</v>
      </c>
      <c r="P41" s="4">
        <f t="shared" si="3"/>
        <v>1</v>
      </c>
      <c r="Q41" s="6"/>
      <c r="R41" s="6"/>
    </row>
    <row r="42" spans="1:18">
      <c r="A42" s="5" t="s">
        <v>60</v>
      </c>
      <c r="B42" s="5" t="s">
        <v>84</v>
      </c>
      <c r="C42" s="5" t="s">
        <v>40</v>
      </c>
      <c r="D42" s="9" t="s">
        <v>147</v>
      </c>
      <c r="E42" s="9" t="s">
        <v>148</v>
      </c>
      <c r="F42" s="9" t="s">
        <v>148</v>
      </c>
      <c r="G42" s="9">
        <v>50</v>
      </c>
      <c r="H42" s="9" t="s">
        <v>148</v>
      </c>
      <c r="I42" s="9" t="s">
        <v>148</v>
      </c>
      <c r="J42" s="9" t="s">
        <v>147</v>
      </c>
      <c r="K42" s="6">
        <f>SUM(E42:I42)</f>
        <v>50</v>
      </c>
      <c r="L42" s="6">
        <f t="shared" si="0"/>
        <v>0</v>
      </c>
      <c r="M42" s="4">
        <f t="shared" si="1"/>
        <v>50</v>
      </c>
      <c r="N42" s="4">
        <f t="shared" si="7"/>
        <v>2250</v>
      </c>
      <c r="O42" s="4">
        <f t="shared" si="2"/>
        <v>2200</v>
      </c>
      <c r="P42" s="4">
        <f t="shared" si="3"/>
        <v>0.97777777777777775</v>
      </c>
      <c r="Q42" s="6"/>
      <c r="R42" s="6"/>
    </row>
    <row r="43" spans="1:18" hidden="1">
      <c r="A43" s="5" t="s">
        <v>22</v>
      </c>
      <c r="B43" s="5" t="s">
        <v>85</v>
      </c>
      <c r="C43" s="5" t="s">
        <v>63</v>
      </c>
      <c r="D43" s="9" t="s">
        <v>147</v>
      </c>
      <c r="E43" s="9" t="s">
        <v>148</v>
      </c>
      <c r="F43" s="9" t="s">
        <v>148</v>
      </c>
      <c r="G43" s="9" t="s">
        <v>148</v>
      </c>
      <c r="H43" s="9" t="s">
        <v>148</v>
      </c>
      <c r="I43" s="9" t="s">
        <v>148</v>
      </c>
      <c r="J43" s="9" t="s">
        <v>147</v>
      </c>
      <c r="K43" s="6">
        <f>SUM(D43:I43)</f>
        <v>0</v>
      </c>
      <c r="L43" s="6">
        <f t="shared" si="0"/>
        <v>0</v>
      </c>
      <c r="M43" s="4">
        <f t="shared" si="1"/>
        <v>0</v>
      </c>
      <c r="N43" s="4">
        <f t="shared" si="7"/>
        <v>2250</v>
      </c>
      <c r="O43" s="4">
        <f t="shared" si="2"/>
        <v>2250</v>
      </c>
      <c r="P43" s="4">
        <f t="shared" si="3"/>
        <v>1</v>
      </c>
      <c r="Q43" s="6"/>
      <c r="R43" s="6"/>
    </row>
    <row r="44" spans="1:18" hidden="1">
      <c r="A44" s="5" t="s">
        <v>26</v>
      </c>
      <c r="B44" s="7" t="s">
        <v>86</v>
      </c>
      <c r="C44" s="34" t="s">
        <v>56</v>
      </c>
      <c r="D44" s="9" t="s">
        <v>147</v>
      </c>
      <c r="E44" s="9" t="s">
        <v>148</v>
      </c>
      <c r="F44" s="9" t="s">
        <v>148</v>
      </c>
      <c r="G44" s="9" t="s">
        <v>148</v>
      </c>
      <c r="H44" s="9" t="s">
        <v>14</v>
      </c>
      <c r="I44" s="9" t="s">
        <v>148</v>
      </c>
      <c r="J44" s="9" t="s">
        <v>147</v>
      </c>
      <c r="K44" s="6">
        <f t="shared" ref="K44:K45" si="11">SUM(D44:J44)</f>
        <v>0</v>
      </c>
      <c r="L44" s="6">
        <f t="shared" si="0"/>
        <v>0</v>
      </c>
      <c r="M44" s="4">
        <f t="shared" si="1"/>
        <v>0</v>
      </c>
      <c r="N44" s="4">
        <f>450*4</f>
        <v>1800</v>
      </c>
      <c r="O44" s="4">
        <f t="shared" si="2"/>
        <v>1800</v>
      </c>
      <c r="P44" s="4">
        <f t="shared" si="3"/>
        <v>1</v>
      </c>
      <c r="Q44" s="6"/>
      <c r="R44" s="6">
        <v>1</v>
      </c>
    </row>
    <row r="45" spans="1:18" hidden="1">
      <c r="A45" s="5" t="s">
        <v>26</v>
      </c>
      <c r="B45" s="7" t="s">
        <v>87</v>
      </c>
      <c r="C45" s="34" t="s">
        <v>33</v>
      </c>
      <c r="D45" s="9" t="s">
        <v>147</v>
      </c>
      <c r="E45" s="9" t="s">
        <v>148</v>
      </c>
      <c r="F45" s="9">
        <v>54</v>
      </c>
      <c r="G45" s="9">
        <v>10</v>
      </c>
      <c r="H45" s="9" t="s">
        <v>148</v>
      </c>
      <c r="I45" s="9" t="s">
        <v>148</v>
      </c>
      <c r="J45" s="9" t="s">
        <v>147</v>
      </c>
      <c r="K45" s="6">
        <f t="shared" si="11"/>
        <v>64</v>
      </c>
      <c r="L45" s="6">
        <f t="shared" si="0"/>
        <v>0</v>
      </c>
      <c r="M45" s="4">
        <f t="shared" si="1"/>
        <v>64</v>
      </c>
      <c r="N45" s="4">
        <f t="shared" si="7"/>
        <v>2250</v>
      </c>
      <c r="O45" s="4">
        <f t="shared" si="2"/>
        <v>2186</v>
      </c>
      <c r="P45" s="4">
        <f t="shared" si="3"/>
        <v>0.97155555555555551</v>
      </c>
      <c r="Q45" s="6"/>
      <c r="R45" s="6"/>
    </row>
    <row r="46" spans="1:18" hidden="1">
      <c r="A46" s="5" t="s">
        <v>22</v>
      </c>
      <c r="B46" s="5" t="s">
        <v>88</v>
      </c>
      <c r="C46" s="5" t="s">
        <v>25</v>
      </c>
      <c r="D46" s="9" t="s">
        <v>147</v>
      </c>
      <c r="E46" s="9" t="s">
        <v>148</v>
      </c>
      <c r="F46" s="9" t="s">
        <v>148</v>
      </c>
      <c r="G46" s="9">
        <v>11</v>
      </c>
      <c r="H46" s="9">
        <v>96</v>
      </c>
      <c r="I46" s="9" t="s">
        <v>148</v>
      </c>
      <c r="J46" s="9" t="s">
        <v>147</v>
      </c>
      <c r="K46" s="6">
        <f>H46</f>
        <v>96</v>
      </c>
      <c r="L46" s="6">
        <f t="shared" si="0"/>
        <v>0</v>
      </c>
      <c r="M46" s="4">
        <f t="shared" si="1"/>
        <v>96</v>
      </c>
      <c r="N46" s="4">
        <f t="shared" si="7"/>
        <v>2250</v>
      </c>
      <c r="O46" s="4">
        <f t="shared" si="2"/>
        <v>2154</v>
      </c>
      <c r="P46" s="4">
        <f t="shared" si="3"/>
        <v>0.95733333333333337</v>
      </c>
      <c r="Q46" s="6"/>
      <c r="R46" s="6"/>
    </row>
    <row r="47" spans="1:18">
      <c r="A47" s="5" t="s">
        <v>26</v>
      </c>
      <c r="B47" s="7" t="s">
        <v>89</v>
      </c>
      <c r="C47" s="34" t="s">
        <v>40</v>
      </c>
      <c r="D47" s="9" t="s">
        <v>147</v>
      </c>
      <c r="E47" s="9" t="s">
        <v>148</v>
      </c>
      <c r="F47" s="9" t="s">
        <v>148</v>
      </c>
      <c r="G47" s="9" t="s">
        <v>148</v>
      </c>
      <c r="H47" s="9" t="s">
        <v>148</v>
      </c>
      <c r="I47" s="9" t="s">
        <v>148</v>
      </c>
      <c r="J47" s="9" t="s">
        <v>147</v>
      </c>
      <c r="K47" s="6">
        <f>SUM(D47:J47)</f>
        <v>0</v>
      </c>
      <c r="L47" s="6">
        <f t="shared" si="0"/>
        <v>0</v>
      </c>
      <c r="M47" s="4">
        <f t="shared" si="1"/>
        <v>0</v>
      </c>
      <c r="N47" s="4">
        <f t="shared" si="7"/>
        <v>2250</v>
      </c>
      <c r="O47" s="4">
        <f t="shared" si="2"/>
        <v>2250</v>
      </c>
      <c r="P47" s="4">
        <f t="shared" si="3"/>
        <v>1</v>
      </c>
      <c r="Q47" s="6"/>
      <c r="R47" s="6"/>
    </row>
    <row r="48" spans="1:18">
      <c r="A48" s="5" t="s">
        <v>37</v>
      </c>
      <c r="B48" s="5" t="s">
        <v>90</v>
      </c>
      <c r="C48" s="5" t="s">
        <v>40</v>
      </c>
      <c r="D48" s="9" t="s">
        <v>147</v>
      </c>
      <c r="E48" s="9" t="s">
        <v>147</v>
      </c>
      <c r="F48" s="9" t="s">
        <v>148</v>
      </c>
      <c r="G48" s="9">
        <v>12</v>
      </c>
      <c r="H48" s="9" t="s">
        <v>148</v>
      </c>
      <c r="I48" s="9" t="s">
        <v>148</v>
      </c>
      <c r="J48" s="9" t="s">
        <v>148</v>
      </c>
      <c r="K48" s="6">
        <v>0</v>
      </c>
      <c r="L48" s="6">
        <f t="shared" si="0"/>
        <v>0</v>
      </c>
      <c r="M48" s="4">
        <f t="shared" si="1"/>
        <v>0</v>
      </c>
      <c r="N48" s="4">
        <f t="shared" si="7"/>
        <v>2250</v>
      </c>
      <c r="O48" s="4">
        <f t="shared" si="2"/>
        <v>2250</v>
      </c>
      <c r="P48" s="4">
        <f t="shared" si="3"/>
        <v>1</v>
      </c>
      <c r="Q48" s="6"/>
      <c r="R48" s="6"/>
    </row>
    <row r="49" spans="1:19" hidden="1">
      <c r="A49" s="5" t="s">
        <v>22</v>
      </c>
      <c r="B49" s="5" t="s">
        <v>91</v>
      </c>
      <c r="C49" s="5" t="s">
        <v>30</v>
      </c>
      <c r="D49" s="9" t="s">
        <v>147</v>
      </c>
      <c r="E49" s="9" t="s">
        <v>148</v>
      </c>
      <c r="F49" s="9">
        <v>450</v>
      </c>
      <c r="G49" s="9" t="s">
        <v>148</v>
      </c>
      <c r="H49" s="9" t="s">
        <v>148</v>
      </c>
      <c r="I49" s="9" t="s">
        <v>148</v>
      </c>
      <c r="J49" s="9" t="s">
        <v>147</v>
      </c>
      <c r="K49" s="6">
        <v>0</v>
      </c>
      <c r="L49" s="6">
        <f t="shared" si="0"/>
        <v>450</v>
      </c>
      <c r="M49" s="4">
        <f t="shared" si="1"/>
        <v>450</v>
      </c>
      <c r="N49" s="4">
        <f t="shared" si="7"/>
        <v>2250</v>
      </c>
      <c r="O49" s="4">
        <f t="shared" si="2"/>
        <v>1800</v>
      </c>
      <c r="P49" s="4">
        <f t="shared" si="3"/>
        <v>0.8</v>
      </c>
      <c r="Q49" s="6"/>
      <c r="R49" s="6"/>
      <c r="S49">
        <v>1</v>
      </c>
    </row>
    <row r="50" spans="1:19" hidden="1">
      <c r="A50" s="5" t="s">
        <v>22</v>
      </c>
      <c r="B50" s="5" t="s">
        <v>150</v>
      </c>
      <c r="C50" s="5" t="s">
        <v>33</v>
      </c>
      <c r="D50" s="9" t="s">
        <v>147</v>
      </c>
      <c r="E50" s="9" t="s">
        <v>148</v>
      </c>
      <c r="F50" s="9" t="s">
        <v>148</v>
      </c>
      <c r="G50" s="9" t="s">
        <v>148</v>
      </c>
      <c r="H50" s="9" t="s">
        <v>148</v>
      </c>
      <c r="I50" s="9" t="s">
        <v>148</v>
      </c>
      <c r="J50" s="9" t="s">
        <v>147</v>
      </c>
      <c r="K50" s="6">
        <f>SUM(E50:I50)</f>
        <v>0</v>
      </c>
      <c r="L50" s="6">
        <f t="shared" si="0"/>
        <v>0</v>
      </c>
      <c r="M50" s="4">
        <f t="shared" si="1"/>
        <v>0</v>
      </c>
      <c r="N50" s="4">
        <f>450*4</f>
        <v>1800</v>
      </c>
      <c r="O50" s="4">
        <f t="shared" si="2"/>
        <v>1800</v>
      </c>
      <c r="P50" s="4">
        <f t="shared" si="3"/>
        <v>1</v>
      </c>
      <c r="Q50" s="6"/>
      <c r="R50" s="6"/>
    </row>
    <row r="51" spans="1:19" hidden="1">
      <c r="A51" s="5" t="s">
        <v>22</v>
      </c>
      <c r="B51" s="5" t="s">
        <v>92</v>
      </c>
      <c r="C51" s="5" t="s">
        <v>63</v>
      </c>
      <c r="D51" s="9" t="s">
        <v>147</v>
      </c>
      <c r="E51" s="9" t="s">
        <v>148</v>
      </c>
      <c r="F51" s="9" t="s">
        <v>148</v>
      </c>
      <c r="G51" s="9" t="s">
        <v>148</v>
      </c>
      <c r="H51" s="9" t="s">
        <v>148</v>
      </c>
      <c r="I51" s="9" t="s">
        <v>148</v>
      </c>
      <c r="J51" s="9" t="s">
        <v>147</v>
      </c>
      <c r="K51" s="6">
        <f>SUM(D51:I51)</f>
        <v>0</v>
      </c>
      <c r="L51" s="6">
        <f t="shared" si="0"/>
        <v>0</v>
      </c>
      <c r="M51" s="4">
        <f t="shared" si="1"/>
        <v>0</v>
      </c>
      <c r="N51" s="4">
        <f t="shared" si="7"/>
        <v>2250</v>
      </c>
      <c r="O51" s="4">
        <f t="shared" si="2"/>
        <v>2250</v>
      </c>
      <c r="P51" s="4">
        <f t="shared" si="3"/>
        <v>1</v>
      </c>
      <c r="Q51" s="6"/>
      <c r="R51" s="6"/>
    </row>
    <row r="52" spans="1:19" hidden="1">
      <c r="A52" s="5" t="s">
        <v>26</v>
      </c>
      <c r="B52" s="7" t="s">
        <v>93</v>
      </c>
      <c r="C52" s="34" t="s">
        <v>56</v>
      </c>
      <c r="D52" s="9" t="s">
        <v>147</v>
      </c>
      <c r="E52" s="9" t="s">
        <v>148</v>
      </c>
      <c r="F52" s="9" t="s">
        <v>148</v>
      </c>
      <c r="G52" s="9" t="s">
        <v>148</v>
      </c>
      <c r="H52" s="9" t="s">
        <v>148</v>
      </c>
      <c r="I52" s="9" t="s">
        <v>148</v>
      </c>
      <c r="J52" s="9" t="s">
        <v>147</v>
      </c>
      <c r="K52" s="6">
        <f>SUM(D52:J52)</f>
        <v>0</v>
      </c>
      <c r="L52" s="6">
        <f t="shared" si="0"/>
        <v>0</v>
      </c>
      <c r="M52" s="4">
        <f t="shared" si="1"/>
        <v>0</v>
      </c>
      <c r="N52" s="4">
        <f t="shared" si="7"/>
        <v>2250</v>
      </c>
      <c r="O52" s="4">
        <f t="shared" si="2"/>
        <v>2250</v>
      </c>
      <c r="P52" s="4">
        <f t="shared" si="3"/>
        <v>1</v>
      </c>
      <c r="Q52" s="6"/>
      <c r="R52" s="6"/>
    </row>
    <row r="53" spans="1:19">
      <c r="A53" s="5" t="s">
        <v>57</v>
      </c>
      <c r="B53" s="7" t="s">
        <v>94</v>
      </c>
      <c r="C53" s="5" t="s">
        <v>40</v>
      </c>
      <c r="D53" s="9" t="s">
        <v>147</v>
      </c>
      <c r="E53" s="9">
        <v>450</v>
      </c>
      <c r="F53" s="9" t="s">
        <v>148</v>
      </c>
      <c r="G53" s="9">
        <v>1</v>
      </c>
      <c r="H53" s="9">
        <v>4</v>
      </c>
      <c r="I53" s="9" t="s">
        <v>148</v>
      </c>
      <c r="J53" s="9" t="s">
        <v>147</v>
      </c>
      <c r="K53" s="6">
        <f>G53+H53</f>
        <v>5</v>
      </c>
      <c r="L53" s="6">
        <f t="shared" si="0"/>
        <v>450</v>
      </c>
      <c r="M53" s="4">
        <f t="shared" si="1"/>
        <v>455</v>
      </c>
      <c r="N53" s="4">
        <f t="shared" si="7"/>
        <v>2250</v>
      </c>
      <c r="O53" s="4">
        <f t="shared" si="2"/>
        <v>1795</v>
      </c>
      <c r="P53" s="42">
        <f t="shared" si="3"/>
        <v>0.79777777777777781</v>
      </c>
      <c r="Q53" s="6"/>
      <c r="R53" s="6"/>
      <c r="S53">
        <v>1</v>
      </c>
    </row>
    <row r="54" spans="1:19" hidden="1">
      <c r="A54" s="5" t="s">
        <v>26</v>
      </c>
      <c r="B54" s="7" t="s">
        <v>95</v>
      </c>
      <c r="C54" s="34" t="s">
        <v>33</v>
      </c>
      <c r="D54" s="9" t="s">
        <v>147</v>
      </c>
      <c r="E54" s="9">
        <v>450</v>
      </c>
      <c r="F54" s="9">
        <v>450</v>
      </c>
      <c r="G54" s="9">
        <v>450</v>
      </c>
      <c r="H54" s="9">
        <v>450</v>
      </c>
      <c r="I54" s="9">
        <v>450</v>
      </c>
      <c r="J54" s="9" t="s">
        <v>147</v>
      </c>
      <c r="K54" s="6">
        <v>0</v>
      </c>
      <c r="L54" s="6">
        <f t="shared" si="0"/>
        <v>2250</v>
      </c>
      <c r="M54" s="4">
        <f t="shared" si="1"/>
        <v>2250</v>
      </c>
      <c r="N54" s="4">
        <f t="shared" si="7"/>
        <v>2250</v>
      </c>
      <c r="O54" s="4">
        <f t="shared" si="2"/>
        <v>0</v>
      </c>
      <c r="P54" s="4">
        <f t="shared" si="3"/>
        <v>0</v>
      </c>
      <c r="Q54" s="6"/>
      <c r="R54" s="6"/>
    </row>
    <row r="55" spans="1:19" hidden="1">
      <c r="A55" s="5" t="s">
        <v>22</v>
      </c>
      <c r="B55" s="5" t="s">
        <v>23</v>
      </c>
      <c r="C55" s="5" t="s">
        <v>25</v>
      </c>
      <c r="D55" s="9" t="s">
        <v>147</v>
      </c>
      <c r="E55" s="9" t="s">
        <v>148</v>
      </c>
      <c r="F55" s="9" t="s">
        <v>148</v>
      </c>
      <c r="G55" s="9" t="s">
        <v>148</v>
      </c>
      <c r="H55" s="9" t="s">
        <v>148</v>
      </c>
      <c r="I55" s="9" t="s">
        <v>148</v>
      </c>
      <c r="J55" s="9" t="s">
        <v>147</v>
      </c>
      <c r="K55" s="6">
        <f>SUM(D55:I55)</f>
        <v>0</v>
      </c>
      <c r="L55" s="6">
        <f t="shared" si="0"/>
        <v>0</v>
      </c>
      <c r="M55" s="4">
        <f t="shared" si="1"/>
        <v>0</v>
      </c>
      <c r="N55" s="4">
        <f t="shared" si="7"/>
        <v>2250</v>
      </c>
      <c r="O55" s="4">
        <f t="shared" si="2"/>
        <v>2250</v>
      </c>
      <c r="P55" s="4">
        <f t="shared" si="3"/>
        <v>1</v>
      </c>
      <c r="Q55" s="6"/>
      <c r="R55" s="6"/>
    </row>
    <row r="56" spans="1:19">
      <c r="A56" s="5" t="s">
        <v>37</v>
      </c>
      <c r="B56" s="5" t="s">
        <v>96</v>
      </c>
      <c r="C56" s="5" t="s">
        <v>40</v>
      </c>
      <c r="D56" s="9" t="s">
        <v>147</v>
      </c>
      <c r="E56" s="9" t="s">
        <v>147</v>
      </c>
      <c r="F56" s="9" t="s">
        <v>148</v>
      </c>
      <c r="G56" s="9" t="s">
        <v>148</v>
      </c>
      <c r="H56" s="9" t="s">
        <v>148</v>
      </c>
      <c r="I56" s="9" t="s">
        <v>148</v>
      </c>
      <c r="J56" s="9" t="s">
        <v>148</v>
      </c>
      <c r="K56" s="6">
        <f>SUM(D56:J56)</f>
        <v>0</v>
      </c>
      <c r="L56" s="6">
        <f t="shared" si="0"/>
        <v>0</v>
      </c>
      <c r="M56" s="4">
        <f t="shared" si="1"/>
        <v>0</v>
      </c>
      <c r="N56" s="4">
        <f t="shared" si="7"/>
        <v>2250</v>
      </c>
      <c r="O56" s="4">
        <f t="shared" si="2"/>
        <v>2250</v>
      </c>
      <c r="P56" s="4">
        <f t="shared" si="3"/>
        <v>1</v>
      </c>
      <c r="Q56" s="6"/>
      <c r="R56" s="6"/>
    </row>
    <row r="57" spans="1:19" hidden="1">
      <c r="A57" s="5" t="s">
        <v>26</v>
      </c>
      <c r="B57" s="7" t="s">
        <v>97</v>
      </c>
      <c r="C57" s="34" t="s">
        <v>56</v>
      </c>
      <c r="D57" s="9" t="s">
        <v>147</v>
      </c>
      <c r="E57" s="9" t="s">
        <v>148</v>
      </c>
      <c r="F57" s="9">
        <v>6</v>
      </c>
      <c r="G57" s="9">
        <v>5</v>
      </c>
      <c r="H57" s="9" t="s">
        <v>148</v>
      </c>
      <c r="I57" s="9" t="s">
        <v>148</v>
      </c>
      <c r="J57" s="9" t="s">
        <v>147</v>
      </c>
      <c r="K57" s="6">
        <f>SUM(D57:J57)</f>
        <v>11</v>
      </c>
      <c r="L57" s="6">
        <f t="shared" si="0"/>
        <v>0</v>
      </c>
      <c r="M57" s="4">
        <f t="shared" si="1"/>
        <v>11</v>
      </c>
      <c r="N57" s="4">
        <f t="shared" si="7"/>
        <v>2250</v>
      </c>
      <c r="O57" s="4">
        <f t="shared" si="2"/>
        <v>2239</v>
      </c>
      <c r="P57" s="4">
        <f t="shared" si="3"/>
        <v>0.99511111111111106</v>
      </c>
      <c r="Q57" s="6"/>
      <c r="R57" s="6"/>
    </row>
    <row r="58" spans="1:19">
      <c r="A58" s="5" t="s">
        <v>37</v>
      </c>
      <c r="B58" s="5" t="s">
        <v>38</v>
      </c>
      <c r="C58" s="5" t="s">
        <v>40</v>
      </c>
      <c r="D58" s="9" t="s">
        <v>147</v>
      </c>
      <c r="E58" s="9" t="s">
        <v>147</v>
      </c>
      <c r="F58" s="9" t="s">
        <v>148</v>
      </c>
      <c r="G58" s="9" t="s">
        <v>148</v>
      </c>
      <c r="H58" s="9" t="s">
        <v>148</v>
      </c>
      <c r="I58" s="9" t="s">
        <v>148</v>
      </c>
      <c r="J58" s="9" t="s">
        <v>148</v>
      </c>
      <c r="K58" s="6">
        <f>SUM(D58:J58)</f>
        <v>0</v>
      </c>
      <c r="L58" s="6">
        <f t="shared" si="0"/>
        <v>0</v>
      </c>
      <c r="M58" s="4">
        <f t="shared" si="1"/>
        <v>0</v>
      </c>
      <c r="N58" s="4">
        <f t="shared" si="7"/>
        <v>2250</v>
      </c>
      <c r="O58" s="4">
        <f t="shared" si="2"/>
        <v>2250</v>
      </c>
      <c r="P58" s="4">
        <f t="shared" si="3"/>
        <v>1</v>
      </c>
      <c r="Q58" s="6"/>
      <c r="R58" s="6"/>
    </row>
    <row r="59" spans="1:19" hidden="1">
      <c r="A59" s="5" t="s">
        <v>26</v>
      </c>
      <c r="B59" s="7" t="s">
        <v>98</v>
      </c>
      <c r="C59" s="34" t="s">
        <v>30</v>
      </c>
      <c r="D59" s="9" t="s">
        <v>147</v>
      </c>
      <c r="E59" s="9" t="s">
        <v>148</v>
      </c>
      <c r="F59" s="9" t="s">
        <v>148</v>
      </c>
      <c r="G59" s="9">
        <v>7</v>
      </c>
      <c r="H59" s="9" t="s">
        <v>148</v>
      </c>
      <c r="I59" s="9" t="s">
        <v>148</v>
      </c>
      <c r="J59" s="9" t="s">
        <v>147</v>
      </c>
      <c r="K59" s="6">
        <f>SUM(D59:J59)</f>
        <v>7</v>
      </c>
      <c r="L59" s="6">
        <f t="shared" si="0"/>
        <v>0</v>
      </c>
      <c r="M59" s="4">
        <f t="shared" si="1"/>
        <v>7</v>
      </c>
      <c r="N59" s="4">
        <f t="shared" si="7"/>
        <v>2250</v>
      </c>
      <c r="O59" s="4">
        <f t="shared" si="2"/>
        <v>2243</v>
      </c>
      <c r="P59" s="4">
        <f t="shared" si="3"/>
        <v>0.99688888888888894</v>
      </c>
      <c r="Q59" s="6"/>
      <c r="R59" s="6"/>
    </row>
    <row r="60" spans="1:19" hidden="1">
      <c r="A60" s="5" t="s">
        <v>22</v>
      </c>
      <c r="B60" s="5" t="s">
        <v>99</v>
      </c>
      <c r="C60" s="5" t="s">
        <v>63</v>
      </c>
      <c r="D60" s="9" t="s">
        <v>147</v>
      </c>
      <c r="E60" s="9" t="s">
        <v>148</v>
      </c>
      <c r="F60" s="9" t="s">
        <v>148</v>
      </c>
      <c r="G60" s="9" t="s">
        <v>148</v>
      </c>
      <c r="H60" s="9" t="s">
        <v>148</v>
      </c>
      <c r="I60" s="9" t="s">
        <v>148</v>
      </c>
      <c r="J60" s="9" t="s">
        <v>147</v>
      </c>
      <c r="K60" s="6">
        <f t="shared" ref="K60:K61" si="12">SUM(D60:I60)</f>
        <v>0</v>
      </c>
      <c r="L60" s="6">
        <f t="shared" si="0"/>
        <v>0</v>
      </c>
      <c r="M60" s="4">
        <f t="shared" si="1"/>
        <v>0</v>
      </c>
      <c r="N60" s="4">
        <f t="shared" si="7"/>
        <v>2250</v>
      </c>
      <c r="O60" s="4">
        <f t="shared" si="2"/>
        <v>2250</v>
      </c>
      <c r="P60" s="4">
        <f t="shared" si="3"/>
        <v>1</v>
      </c>
      <c r="Q60" s="6"/>
      <c r="R60" s="6"/>
    </row>
    <row r="61" spans="1:19" hidden="1">
      <c r="A61" s="5" t="s">
        <v>22</v>
      </c>
      <c r="B61" s="32" t="s">
        <v>100</v>
      </c>
      <c r="C61" s="35" t="s">
        <v>63</v>
      </c>
      <c r="D61" s="9" t="s">
        <v>147</v>
      </c>
      <c r="E61" s="9" t="s">
        <v>148</v>
      </c>
      <c r="F61" s="9" t="s">
        <v>14</v>
      </c>
      <c r="G61" s="9" t="s">
        <v>148</v>
      </c>
      <c r="H61" s="9" t="s">
        <v>148</v>
      </c>
      <c r="I61" s="9" t="s">
        <v>14</v>
      </c>
      <c r="J61" s="9" t="s">
        <v>147</v>
      </c>
      <c r="K61" s="6">
        <f t="shared" si="12"/>
        <v>0</v>
      </c>
      <c r="L61" s="6">
        <f t="shared" si="0"/>
        <v>0</v>
      </c>
      <c r="M61" s="4">
        <f t="shared" si="1"/>
        <v>0</v>
      </c>
      <c r="N61" s="4">
        <f t="shared" si="7"/>
        <v>2250</v>
      </c>
      <c r="O61" s="4">
        <f t="shared" si="2"/>
        <v>2250</v>
      </c>
      <c r="P61" s="4">
        <f t="shared" si="3"/>
        <v>1</v>
      </c>
      <c r="Q61" s="6"/>
      <c r="R61" s="6"/>
    </row>
    <row r="62" spans="1:19">
      <c r="A62" s="5" t="s">
        <v>57</v>
      </c>
      <c r="B62" s="10" t="s">
        <v>101</v>
      </c>
      <c r="C62" s="35" t="s">
        <v>40</v>
      </c>
      <c r="D62" s="9" t="s">
        <v>147</v>
      </c>
      <c r="E62" s="9" t="s">
        <v>148</v>
      </c>
      <c r="F62" s="9" t="s">
        <v>148</v>
      </c>
      <c r="G62" s="9" t="s">
        <v>148</v>
      </c>
      <c r="H62" s="9" t="s">
        <v>148</v>
      </c>
      <c r="I62" s="9" t="s">
        <v>148</v>
      </c>
      <c r="J62" s="9" t="s">
        <v>147</v>
      </c>
      <c r="K62" s="6">
        <v>0</v>
      </c>
      <c r="L62" s="6">
        <f t="shared" si="0"/>
        <v>0</v>
      </c>
      <c r="M62" s="4">
        <f t="shared" si="1"/>
        <v>0</v>
      </c>
      <c r="N62" s="4">
        <f t="shared" si="7"/>
        <v>2250</v>
      </c>
      <c r="O62" s="4">
        <f t="shared" si="2"/>
        <v>2250</v>
      </c>
      <c r="P62" s="42">
        <f t="shared" si="3"/>
        <v>1</v>
      </c>
      <c r="Q62" s="6"/>
      <c r="R62" s="6"/>
    </row>
    <row r="63" spans="1:19" hidden="1">
      <c r="A63" s="5" t="s">
        <v>22</v>
      </c>
      <c r="B63" s="32" t="s">
        <v>102</v>
      </c>
      <c r="C63" s="35" t="s">
        <v>33</v>
      </c>
      <c r="D63" s="9" t="s">
        <v>147</v>
      </c>
      <c r="E63" s="9" t="s">
        <v>148</v>
      </c>
      <c r="F63" s="9" t="s">
        <v>148</v>
      </c>
      <c r="G63" s="9" t="s">
        <v>148</v>
      </c>
      <c r="H63" s="9" t="s">
        <v>148</v>
      </c>
      <c r="I63" s="9" t="s">
        <v>148</v>
      </c>
      <c r="J63" s="9" t="s">
        <v>147</v>
      </c>
      <c r="K63" s="6">
        <v>0</v>
      </c>
      <c r="L63" s="6">
        <f t="shared" si="0"/>
        <v>0</v>
      </c>
      <c r="M63" s="4">
        <f t="shared" si="1"/>
        <v>0</v>
      </c>
      <c r="N63" s="4">
        <f t="shared" si="7"/>
        <v>2250</v>
      </c>
      <c r="O63" s="4">
        <f t="shared" si="2"/>
        <v>2250</v>
      </c>
      <c r="P63" s="4">
        <f t="shared" si="3"/>
        <v>1</v>
      </c>
      <c r="Q63" s="6"/>
      <c r="R63" s="6"/>
    </row>
    <row r="64" spans="1:19" hidden="1">
      <c r="A64" s="5" t="s">
        <v>22</v>
      </c>
      <c r="B64" s="32" t="s">
        <v>31</v>
      </c>
      <c r="C64" s="35" t="s">
        <v>33</v>
      </c>
      <c r="D64" s="9" t="s">
        <v>147</v>
      </c>
      <c r="E64" s="9" t="s">
        <v>12</v>
      </c>
      <c r="F64" s="9" t="s">
        <v>12</v>
      </c>
      <c r="G64" s="9" t="s">
        <v>148</v>
      </c>
      <c r="H64" s="9" t="s">
        <v>148</v>
      </c>
      <c r="I64" s="9" t="s">
        <v>148</v>
      </c>
      <c r="J64" s="9" t="s">
        <v>147</v>
      </c>
      <c r="K64" s="6">
        <f t="shared" ref="K64" si="13">SUM(E64:I64)</f>
        <v>0</v>
      </c>
      <c r="L64" s="6">
        <f t="shared" si="0"/>
        <v>0</v>
      </c>
      <c r="M64" s="4">
        <f t="shared" si="1"/>
        <v>0</v>
      </c>
      <c r="N64" s="4">
        <f>450*4</f>
        <v>1800</v>
      </c>
      <c r="O64" s="4">
        <f t="shared" si="2"/>
        <v>1800</v>
      </c>
      <c r="P64" s="4">
        <f t="shared" si="3"/>
        <v>1</v>
      </c>
      <c r="Q64" s="6"/>
      <c r="R64" s="6"/>
    </row>
    <row r="65" spans="1:19">
      <c r="A65" s="5" t="s">
        <v>26</v>
      </c>
      <c r="B65" s="10" t="s">
        <v>103</v>
      </c>
      <c r="C65" s="11" t="s">
        <v>40</v>
      </c>
      <c r="D65" s="9">
        <v>4</v>
      </c>
      <c r="E65" s="9" t="s">
        <v>148</v>
      </c>
      <c r="F65" s="9" t="s">
        <v>147</v>
      </c>
      <c r="G65" s="9" t="s">
        <v>147</v>
      </c>
      <c r="H65" s="9" t="s">
        <v>148</v>
      </c>
      <c r="I65" s="9" t="s">
        <v>148</v>
      </c>
      <c r="J65" s="9" t="s">
        <v>148</v>
      </c>
      <c r="K65" s="6">
        <f>SUM(D65:J65)</f>
        <v>4</v>
      </c>
      <c r="L65" s="6">
        <f t="shared" si="0"/>
        <v>0</v>
      </c>
      <c r="M65" s="4">
        <f t="shared" ref="M65:M94" si="14">SUM(K65:L65)</f>
        <v>4</v>
      </c>
      <c r="N65" s="4">
        <f t="shared" si="7"/>
        <v>2250</v>
      </c>
      <c r="O65" s="4">
        <f t="shared" si="2"/>
        <v>2246</v>
      </c>
      <c r="P65" s="4">
        <f t="shared" si="3"/>
        <v>0.99822222222222223</v>
      </c>
      <c r="Q65" s="6"/>
      <c r="R65" s="6"/>
    </row>
    <row r="66" spans="1:19" hidden="1">
      <c r="A66" s="5" t="s">
        <v>22</v>
      </c>
      <c r="B66" s="32" t="s">
        <v>104</v>
      </c>
      <c r="C66" s="35" t="s">
        <v>25</v>
      </c>
      <c r="D66" s="9" t="s">
        <v>147</v>
      </c>
      <c r="E66" s="9" t="s">
        <v>148</v>
      </c>
      <c r="F66" s="9" t="s">
        <v>14</v>
      </c>
      <c r="G66" s="9">
        <v>17</v>
      </c>
      <c r="H66" s="9" t="s">
        <v>148</v>
      </c>
      <c r="I66" s="9" t="s">
        <v>148</v>
      </c>
      <c r="J66" s="9" t="s">
        <v>147</v>
      </c>
      <c r="K66" s="6">
        <f>G66</f>
        <v>17</v>
      </c>
      <c r="L66" s="6">
        <f t="shared" si="0"/>
        <v>0</v>
      </c>
      <c r="M66" s="4">
        <f t="shared" si="14"/>
        <v>17</v>
      </c>
      <c r="N66" s="4">
        <f t="shared" si="7"/>
        <v>2250</v>
      </c>
      <c r="O66" s="4">
        <f t="shared" si="2"/>
        <v>2233</v>
      </c>
      <c r="P66" s="4">
        <f t="shared" si="3"/>
        <v>0.99244444444444446</v>
      </c>
      <c r="Q66" s="6"/>
      <c r="R66" s="6">
        <v>1</v>
      </c>
    </row>
    <row r="67" spans="1:19" hidden="1">
      <c r="A67" s="5" t="s">
        <v>22</v>
      </c>
      <c r="B67" s="32" t="s">
        <v>105</v>
      </c>
      <c r="C67" s="35" t="s">
        <v>56</v>
      </c>
      <c r="D67" s="9" t="s">
        <v>147</v>
      </c>
      <c r="E67" s="9" t="s">
        <v>148</v>
      </c>
      <c r="F67" s="9" t="s">
        <v>148</v>
      </c>
      <c r="G67" s="9" t="s">
        <v>148</v>
      </c>
      <c r="H67" s="9" t="s">
        <v>148</v>
      </c>
      <c r="I67" s="9" t="s">
        <v>148</v>
      </c>
      <c r="J67" s="9" t="s">
        <v>147</v>
      </c>
      <c r="K67" s="6">
        <f>SUM(D67:J67)</f>
        <v>0</v>
      </c>
      <c r="L67" s="6">
        <f t="shared" ref="L67:L94" si="15">SUMIF(D67:J67,"450")</f>
        <v>0</v>
      </c>
      <c r="M67" s="4">
        <f t="shared" si="14"/>
        <v>0</v>
      </c>
      <c r="N67" s="4">
        <f t="shared" si="7"/>
        <v>2250</v>
      </c>
      <c r="O67" s="4">
        <f t="shared" ref="O67:O94" si="16">N67-M67</f>
        <v>2250</v>
      </c>
      <c r="P67" s="4">
        <f t="shared" ref="P67:P94" si="17">O67/N67*100%</f>
        <v>1</v>
      </c>
      <c r="Q67" s="6"/>
      <c r="R67" s="6"/>
    </row>
    <row r="68" spans="1:19" hidden="1">
      <c r="A68" s="5" t="s">
        <v>22</v>
      </c>
      <c r="B68" s="32" t="s">
        <v>106</v>
      </c>
      <c r="C68" s="35" t="s">
        <v>30</v>
      </c>
      <c r="D68" s="9" t="s">
        <v>147</v>
      </c>
      <c r="E68" s="9" t="s">
        <v>148</v>
      </c>
      <c r="F68" s="9" t="s">
        <v>148</v>
      </c>
      <c r="G68" s="9" t="s">
        <v>148</v>
      </c>
      <c r="H68" s="9" t="s">
        <v>148</v>
      </c>
      <c r="I68" s="9" t="s">
        <v>148</v>
      </c>
      <c r="J68" s="9" t="s">
        <v>147</v>
      </c>
      <c r="K68" s="6">
        <f>SUM(D68:J68)</f>
        <v>0</v>
      </c>
      <c r="L68" s="6">
        <f t="shared" si="15"/>
        <v>0</v>
      </c>
      <c r="M68" s="4">
        <f t="shared" si="14"/>
        <v>0</v>
      </c>
      <c r="N68" s="4">
        <f t="shared" si="7"/>
        <v>2250</v>
      </c>
      <c r="O68" s="4">
        <f t="shared" si="16"/>
        <v>2250</v>
      </c>
      <c r="P68" s="4">
        <f t="shared" si="17"/>
        <v>1</v>
      </c>
      <c r="Q68" s="6"/>
      <c r="R68" s="6"/>
    </row>
    <row r="69" spans="1:19">
      <c r="A69" s="5" t="s">
        <v>57</v>
      </c>
      <c r="B69" s="10" t="s">
        <v>107</v>
      </c>
      <c r="C69" s="35" t="s">
        <v>40</v>
      </c>
      <c r="D69" s="9" t="s">
        <v>147</v>
      </c>
      <c r="E69" s="9" t="s">
        <v>148</v>
      </c>
      <c r="F69" s="9">
        <v>5</v>
      </c>
      <c r="G69" s="9" t="s">
        <v>14</v>
      </c>
      <c r="H69" s="9" t="s">
        <v>148</v>
      </c>
      <c r="I69" s="9" t="s">
        <v>148</v>
      </c>
      <c r="J69" s="9" t="s">
        <v>147</v>
      </c>
      <c r="K69" s="6">
        <f>F69</f>
        <v>5</v>
      </c>
      <c r="L69" s="6">
        <f t="shared" si="15"/>
        <v>0</v>
      </c>
      <c r="M69" s="4">
        <f t="shared" si="14"/>
        <v>5</v>
      </c>
      <c r="N69" s="4">
        <f t="shared" ref="N69:N94" si="18">450*5</f>
        <v>2250</v>
      </c>
      <c r="O69" s="4">
        <f t="shared" si="16"/>
        <v>2245</v>
      </c>
      <c r="P69" s="42">
        <f t="shared" si="17"/>
        <v>0.99777777777777776</v>
      </c>
      <c r="Q69" s="6"/>
      <c r="R69" s="6">
        <v>1</v>
      </c>
    </row>
    <row r="70" spans="1:19" hidden="1">
      <c r="A70" s="5" t="s">
        <v>26</v>
      </c>
      <c r="B70" s="10" t="s">
        <v>108</v>
      </c>
      <c r="C70" s="11" t="s">
        <v>30</v>
      </c>
      <c r="D70" s="9" t="s">
        <v>147</v>
      </c>
      <c r="E70" s="9" t="s">
        <v>148</v>
      </c>
      <c r="F70" s="9" t="s">
        <v>148</v>
      </c>
      <c r="G70" s="9" t="s">
        <v>148</v>
      </c>
      <c r="H70" s="9" t="s">
        <v>148</v>
      </c>
      <c r="I70" s="9" t="s">
        <v>148</v>
      </c>
      <c r="J70" s="9" t="s">
        <v>147</v>
      </c>
      <c r="K70" s="6">
        <f t="shared" ref="K70:K71" si="19">SUM(D70:J70)</f>
        <v>0</v>
      </c>
      <c r="L70" s="6">
        <f t="shared" si="15"/>
        <v>0</v>
      </c>
      <c r="M70" s="4">
        <f t="shared" si="14"/>
        <v>0</v>
      </c>
      <c r="N70" s="4">
        <f t="shared" si="18"/>
        <v>2250</v>
      </c>
      <c r="O70" s="4">
        <f t="shared" si="16"/>
        <v>2250</v>
      </c>
      <c r="P70" s="4">
        <f t="shared" si="17"/>
        <v>1</v>
      </c>
      <c r="Q70" s="6"/>
      <c r="R70" s="6"/>
    </row>
    <row r="71" spans="1:19" hidden="1">
      <c r="A71" s="5" t="s">
        <v>26</v>
      </c>
      <c r="B71" s="10" t="s">
        <v>109</v>
      </c>
      <c r="C71" s="11" t="s">
        <v>36</v>
      </c>
      <c r="D71" s="9" t="s">
        <v>147</v>
      </c>
      <c r="E71" s="9" t="s">
        <v>148</v>
      </c>
      <c r="F71" s="9" t="s">
        <v>148</v>
      </c>
      <c r="G71" s="9" t="s">
        <v>148</v>
      </c>
      <c r="H71" s="9" t="s">
        <v>148</v>
      </c>
      <c r="I71" s="9" t="s">
        <v>148</v>
      </c>
      <c r="J71" s="9" t="s">
        <v>147</v>
      </c>
      <c r="K71" s="6">
        <f t="shared" si="19"/>
        <v>0</v>
      </c>
      <c r="L71" s="6">
        <f t="shared" si="15"/>
        <v>0</v>
      </c>
      <c r="M71" s="4">
        <f t="shared" si="14"/>
        <v>0</v>
      </c>
      <c r="N71" s="4">
        <f t="shared" si="18"/>
        <v>2250</v>
      </c>
      <c r="O71" s="4">
        <f t="shared" si="16"/>
        <v>2250</v>
      </c>
      <c r="P71" s="4">
        <f t="shared" si="17"/>
        <v>1</v>
      </c>
      <c r="Q71" s="6"/>
      <c r="R71" s="6"/>
    </row>
    <row r="72" spans="1:19">
      <c r="A72" s="5" t="s">
        <v>111</v>
      </c>
      <c r="B72" s="10" t="s">
        <v>110</v>
      </c>
      <c r="C72" s="35" t="s">
        <v>40</v>
      </c>
      <c r="D72" s="9" t="s">
        <v>147</v>
      </c>
      <c r="E72" s="9">
        <v>9</v>
      </c>
      <c r="F72" s="9" t="s">
        <v>148</v>
      </c>
      <c r="G72" s="9" t="s">
        <v>148</v>
      </c>
      <c r="H72" s="9" t="s">
        <v>148</v>
      </c>
      <c r="I72" s="9" t="s">
        <v>148</v>
      </c>
      <c r="J72" s="9" t="s">
        <v>147</v>
      </c>
      <c r="K72" s="6">
        <f>SUM(E72:I72)</f>
        <v>9</v>
      </c>
      <c r="L72" s="6">
        <f t="shared" si="15"/>
        <v>0</v>
      </c>
      <c r="M72" s="4">
        <f t="shared" si="14"/>
        <v>9</v>
      </c>
      <c r="N72" s="4">
        <f t="shared" si="18"/>
        <v>2250</v>
      </c>
      <c r="O72" s="4">
        <f t="shared" si="16"/>
        <v>2241</v>
      </c>
      <c r="P72" s="4">
        <f t="shared" si="17"/>
        <v>0.996</v>
      </c>
      <c r="Q72" s="6"/>
      <c r="R72" s="6"/>
    </row>
    <row r="73" spans="1:19" hidden="1">
      <c r="A73" s="5" t="s">
        <v>22</v>
      </c>
      <c r="B73" s="32" t="s">
        <v>112</v>
      </c>
      <c r="C73" s="35" t="s">
        <v>25</v>
      </c>
      <c r="D73" s="9" t="s">
        <v>147</v>
      </c>
      <c r="E73" s="9" t="s">
        <v>148</v>
      </c>
      <c r="F73" s="9">
        <v>7</v>
      </c>
      <c r="G73" s="9">
        <v>1</v>
      </c>
      <c r="H73" s="9">
        <v>7</v>
      </c>
      <c r="I73" s="9">
        <v>2</v>
      </c>
      <c r="J73" s="9" t="s">
        <v>147</v>
      </c>
      <c r="K73" s="6">
        <f>SUM(D73:I73)</f>
        <v>17</v>
      </c>
      <c r="L73" s="6">
        <f t="shared" si="15"/>
        <v>0</v>
      </c>
      <c r="M73" s="4">
        <f t="shared" si="14"/>
        <v>17</v>
      </c>
      <c r="N73" s="4">
        <f t="shared" si="18"/>
        <v>2250</v>
      </c>
      <c r="O73" s="4">
        <f t="shared" si="16"/>
        <v>2233</v>
      </c>
      <c r="P73" s="4">
        <f t="shared" si="17"/>
        <v>0.99244444444444446</v>
      </c>
      <c r="Q73" s="6"/>
      <c r="R73" s="6"/>
    </row>
    <row r="74" spans="1:19">
      <c r="A74" s="5" t="s">
        <v>26</v>
      </c>
      <c r="B74" s="10" t="s">
        <v>113</v>
      </c>
      <c r="C74" s="11" t="s">
        <v>40</v>
      </c>
      <c r="D74" s="9" t="s">
        <v>148</v>
      </c>
      <c r="E74" s="9" t="s">
        <v>148</v>
      </c>
      <c r="F74" s="9" t="s">
        <v>147</v>
      </c>
      <c r="G74" s="9" t="s">
        <v>147</v>
      </c>
      <c r="H74" s="9" t="s">
        <v>148</v>
      </c>
      <c r="I74" s="9" t="s">
        <v>148</v>
      </c>
      <c r="J74" s="9" t="s">
        <v>148</v>
      </c>
      <c r="K74" s="6">
        <f>SUM(D74:J74)</f>
        <v>0</v>
      </c>
      <c r="L74" s="6">
        <f t="shared" si="15"/>
        <v>0</v>
      </c>
      <c r="M74" s="4">
        <f t="shared" si="14"/>
        <v>0</v>
      </c>
      <c r="N74" s="4">
        <f t="shared" si="18"/>
        <v>2250</v>
      </c>
      <c r="O74" s="4">
        <f t="shared" si="16"/>
        <v>2250</v>
      </c>
      <c r="P74" s="4">
        <f t="shared" si="17"/>
        <v>1</v>
      </c>
      <c r="Q74" s="6"/>
      <c r="R74" s="6"/>
    </row>
    <row r="75" spans="1:19">
      <c r="A75" s="5" t="s">
        <v>37</v>
      </c>
      <c r="B75" s="32" t="s">
        <v>114</v>
      </c>
      <c r="C75" s="35" t="s">
        <v>40</v>
      </c>
      <c r="D75" s="9" t="s">
        <v>147</v>
      </c>
      <c r="E75" s="9" t="s">
        <v>147</v>
      </c>
      <c r="F75" s="9">
        <v>33</v>
      </c>
      <c r="G75" s="9" t="s">
        <v>148</v>
      </c>
      <c r="H75" s="9">
        <v>1</v>
      </c>
      <c r="I75" s="9">
        <v>1</v>
      </c>
      <c r="J75" s="9" t="s">
        <v>148</v>
      </c>
      <c r="K75" s="6">
        <f>SUM(D75:J75)</f>
        <v>35</v>
      </c>
      <c r="L75" s="6">
        <f t="shared" si="15"/>
        <v>0</v>
      </c>
      <c r="M75" s="4">
        <f t="shared" si="14"/>
        <v>35</v>
      </c>
      <c r="N75" s="4">
        <f>450*4</f>
        <v>1800</v>
      </c>
      <c r="O75" s="4">
        <f t="shared" si="16"/>
        <v>1765</v>
      </c>
      <c r="P75" s="4">
        <f t="shared" si="17"/>
        <v>0.98055555555555551</v>
      </c>
      <c r="Q75" s="6"/>
      <c r="R75" s="6">
        <v>1</v>
      </c>
    </row>
    <row r="76" spans="1:19" hidden="1">
      <c r="A76" s="5" t="s">
        <v>22</v>
      </c>
      <c r="B76" s="32" t="s">
        <v>66</v>
      </c>
      <c r="C76" s="35" t="s">
        <v>30</v>
      </c>
      <c r="D76" s="9" t="s">
        <v>147</v>
      </c>
      <c r="E76" s="9" t="s">
        <v>148</v>
      </c>
      <c r="F76" s="9" t="s">
        <v>148</v>
      </c>
      <c r="G76" s="9" t="s">
        <v>148</v>
      </c>
      <c r="H76" s="9" t="s">
        <v>148</v>
      </c>
      <c r="I76" s="9" t="s">
        <v>148</v>
      </c>
      <c r="J76" s="9" t="s">
        <v>147</v>
      </c>
      <c r="K76" s="6">
        <f>SUM(D76:J76)</f>
        <v>0</v>
      </c>
      <c r="L76" s="6">
        <f t="shared" si="15"/>
        <v>0</v>
      </c>
      <c r="M76" s="4">
        <f t="shared" si="14"/>
        <v>0</v>
      </c>
      <c r="N76" s="4">
        <f t="shared" si="18"/>
        <v>2250</v>
      </c>
      <c r="O76" s="4">
        <f t="shared" si="16"/>
        <v>2250</v>
      </c>
      <c r="P76" s="4">
        <f t="shared" si="17"/>
        <v>1</v>
      </c>
      <c r="Q76" s="6"/>
      <c r="R76" s="6"/>
    </row>
    <row r="77" spans="1:19" hidden="1">
      <c r="A77" s="5" t="s">
        <v>22</v>
      </c>
      <c r="B77" s="32" t="s">
        <v>115</v>
      </c>
      <c r="C77" s="35" t="s">
        <v>33</v>
      </c>
      <c r="D77" s="9" t="s">
        <v>147</v>
      </c>
      <c r="E77" s="9" t="s">
        <v>148</v>
      </c>
      <c r="F77" s="9" t="s">
        <v>148</v>
      </c>
      <c r="G77" s="9" t="s">
        <v>148</v>
      </c>
      <c r="H77" s="9" t="s">
        <v>148</v>
      </c>
      <c r="I77" s="9" t="s">
        <v>148</v>
      </c>
      <c r="J77" s="9" t="s">
        <v>147</v>
      </c>
      <c r="K77" s="6">
        <f>SUM(E77:I77)</f>
        <v>0</v>
      </c>
      <c r="L77" s="6">
        <f t="shared" si="15"/>
        <v>0</v>
      </c>
      <c r="M77" s="4">
        <f t="shared" si="14"/>
        <v>0</v>
      </c>
      <c r="N77" s="4">
        <f t="shared" si="18"/>
        <v>2250</v>
      </c>
      <c r="O77" s="4">
        <f t="shared" si="16"/>
        <v>2250</v>
      </c>
      <c r="P77" s="4">
        <f t="shared" si="17"/>
        <v>1</v>
      </c>
      <c r="Q77" s="6"/>
      <c r="R77" s="6"/>
    </row>
    <row r="78" spans="1:19" hidden="1">
      <c r="A78" s="5" t="s">
        <v>22</v>
      </c>
      <c r="B78" s="32" t="s">
        <v>116</v>
      </c>
      <c r="C78" s="35" t="s">
        <v>63</v>
      </c>
      <c r="D78" s="9" t="s">
        <v>147</v>
      </c>
      <c r="E78" s="9" t="s">
        <v>148</v>
      </c>
      <c r="F78" s="9" t="s">
        <v>148</v>
      </c>
      <c r="G78" s="9" t="s">
        <v>148</v>
      </c>
      <c r="H78" s="9" t="s">
        <v>148</v>
      </c>
      <c r="I78" s="9" t="s">
        <v>148</v>
      </c>
      <c r="J78" s="9" t="s">
        <v>147</v>
      </c>
      <c r="K78" s="6">
        <f>SUM(D78:I78)</f>
        <v>0</v>
      </c>
      <c r="L78" s="6">
        <f t="shared" si="15"/>
        <v>0</v>
      </c>
      <c r="M78" s="4">
        <f t="shared" si="14"/>
        <v>0</v>
      </c>
      <c r="N78" s="4">
        <f t="shared" si="18"/>
        <v>2250</v>
      </c>
      <c r="O78" s="4">
        <f t="shared" si="16"/>
        <v>2250</v>
      </c>
      <c r="P78" s="4">
        <f t="shared" si="17"/>
        <v>1</v>
      </c>
      <c r="Q78" s="6"/>
      <c r="R78" s="6"/>
    </row>
    <row r="79" spans="1:19" hidden="1">
      <c r="A79" s="5" t="s">
        <v>22</v>
      </c>
      <c r="B79" s="32" t="s">
        <v>117</v>
      </c>
      <c r="C79" s="35" t="s">
        <v>30</v>
      </c>
      <c r="D79" s="9" t="s">
        <v>147</v>
      </c>
      <c r="E79" s="9" t="s">
        <v>148</v>
      </c>
      <c r="F79" s="9" t="s">
        <v>148</v>
      </c>
      <c r="G79" s="9" t="s">
        <v>148</v>
      </c>
      <c r="H79" s="9" t="s">
        <v>148</v>
      </c>
      <c r="I79" s="9">
        <v>450</v>
      </c>
      <c r="J79" s="9" t="s">
        <v>147</v>
      </c>
      <c r="K79" s="6">
        <v>0</v>
      </c>
      <c r="L79" s="6">
        <f t="shared" si="15"/>
        <v>450</v>
      </c>
      <c r="M79" s="4">
        <f t="shared" si="14"/>
        <v>450</v>
      </c>
      <c r="N79" s="4">
        <f t="shared" si="18"/>
        <v>2250</v>
      </c>
      <c r="O79" s="4">
        <f t="shared" si="16"/>
        <v>1800</v>
      </c>
      <c r="P79" s="4">
        <f t="shared" si="17"/>
        <v>0.8</v>
      </c>
      <c r="Q79" s="6"/>
      <c r="R79" s="6"/>
      <c r="S79">
        <v>1</v>
      </c>
    </row>
    <row r="80" spans="1:19">
      <c r="A80" s="5" t="s">
        <v>37</v>
      </c>
      <c r="B80" s="32" t="s">
        <v>118</v>
      </c>
      <c r="C80" s="35" t="s">
        <v>40</v>
      </c>
      <c r="D80" s="9" t="s">
        <v>147</v>
      </c>
      <c r="E80" s="9" t="s">
        <v>148</v>
      </c>
      <c r="F80" s="9" t="s">
        <v>148</v>
      </c>
      <c r="G80" s="9" t="s">
        <v>148</v>
      </c>
      <c r="H80" s="9" t="s">
        <v>148</v>
      </c>
      <c r="I80" s="9" t="s">
        <v>148</v>
      </c>
      <c r="J80" s="9" t="s">
        <v>147</v>
      </c>
      <c r="K80" s="6">
        <f>SUM(D80:J80)</f>
        <v>0</v>
      </c>
      <c r="L80" s="6">
        <f>SUMIF(D80:J80,"450")</f>
        <v>0</v>
      </c>
      <c r="M80" s="4">
        <f t="shared" si="14"/>
        <v>0</v>
      </c>
      <c r="N80" s="4">
        <f t="shared" si="18"/>
        <v>2250</v>
      </c>
      <c r="O80" s="4">
        <f t="shared" si="16"/>
        <v>2250</v>
      </c>
      <c r="P80" s="4">
        <f t="shared" si="17"/>
        <v>1</v>
      </c>
      <c r="Q80" s="6"/>
      <c r="R80" s="6"/>
    </row>
    <row r="81" spans="1:19" hidden="1">
      <c r="A81" s="5" t="s">
        <v>26</v>
      </c>
      <c r="B81" s="10" t="s">
        <v>119</v>
      </c>
      <c r="C81" s="11" t="s">
        <v>25</v>
      </c>
      <c r="D81" s="9" t="s">
        <v>148</v>
      </c>
      <c r="E81" s="9" t="s">
        <v>148</v>
      </c>
      <c r="F81" s="9" t="s">
        <v>147</v>
      </c>
      <c r="G81" s="9" t="s">
        <v>147</v>
      </c>
      <c r="H81" s="9" t="s">
        <v>148</v>
      </c>
      <c r="I81" s="9" t="s">
        <v>148</v>
      </c>
      <c r="J81" s="9" t="s">
        <v>148</v>
      </c>
      <c r="K81" s="6">
        <f>SUM(D81:J81)</f>
        <v>0</v>
      </c>
      <c r="L81" s="6">
        <f t="shared" si="15"/>
        <v>0</v>
      </c>
      <c r="M81" s="4">
        <f t="shared" si="14"/>
        <v>0</v>
      </c>
      <c r="N81" s="4">
        <f t="shared" si="18"/>
        <v>2250</v>
      </c>
      <c r="O81" s="4">
        <f t="shared" si="16"/>
        <v>2250</v>
      </c>
      <c r="P81" s="4">
        <f t="shared" si="17"/>
        <v>1</v>
      </c>
      <c r="Q81" s="6"/>
      <c r="R81" s="6"/>
    </row>
    <row r="82" spans="1:19" hidden="1">
      <c r="A82" s="5" t="s">
        <v>22</v>
      </c>
      <c r="B82" s="32" t="s">
        <v>120</v>
      </c>
      <c r="C82" s="35" t="s">
        <v>30</v>
      </c>
      <c r="D82" s="9" t="s">
        <v>147</v>
      </c>
      <c r="E82" s="9" t="s">
        <v>148</v>
      </c>
      <c r="F82" s="9" t="s">
        <v>148</v>
      </c>
      <c r="G82" s="9">
        <v>450</v>
      </c>
      <c r="H82" s="9" t="s">
        <v>148</v>
      </c>
      <c r="I82" s="9" t="s">
        <v>148</v>
      </c>
      <c r="J82" s="9" t="s">
        <v>147</v>
      </c>
      <c r="K82" s="6">
        <v>0</v>
      </c>
      <c r="L82" s="6">
        <f t="shared" si="15"/>
        <v>450</v>
      </c>
      <c r="M82" s="4">
        <f t="shared" si="14"/>
        <v>450</v>
      </c>
      <c r="N82" s="4">
        <f t="shared" si="18"/>
        <v>2250</v>
      </c>
      <c r="O82" s="4">
        <f t="shared" si="16"/>
        <v>1800</v>
      </c>
      <c r="P82" s="4">
        <f t="shared" si="17"/>
        <v>0.8</v>
      </c>
      <c r="Q82" s="6"/>
      <c r="R82" s="6"/>
    </row>
    <row r="83" spans="1:19" hidden="1">
      <c r="A83" s="5" t="s">
        <v>22</v>
      </c>
      <c r="B83" s="32" t="s">
        <v>122</v>
      </c>
      <c r="C83" s="35" t="s">
        <v>30</v>
      </c>
      <c r="D83" s="9" t="s">
        <v>147</v>
      </c>
      <c r="E83" s="9" t="s">
        <v>148</v>
      </c>
      <c r="F83" s="9" t="s">
        <v>148</v>
      </c>
      <c r="G83" s="9" t="s">
        <v>148</v>
      </c>
      <c r="H83" s="9" t="s">
        <v>148</v>
      </c>
      <c r="I83" s="9" t="s">
        <v>148</v>
      </c>
      <c r="J83" s="9" t="s">
        <v>147</v>
      </c>
      <c r="K83" s="6">
        <f t="shared" ref="K83" si="20">SUM(D83:J83)</f>
        <v>0</v>
      </c>
      <c r="L83" s="6">
        <f t="shared" si="15"/>
        <v>0</v>
      </c>
      <c r="M83" s="4">
        <f t="shared" si="14"/>
        <v>0</v>
      </c>
      <c r="N83" s="4">
        <f t="shared" si="18"/>
        <v>2250</v>
      </c>
      <c r="O83" s="4">
        <f t="shared" si="16"/>
        <v>2250</v>
      </c>
      <c r="P83" s="4">
        <f t="shared" si="17"/>
        <v>1</v>
      </c>
      <c r="Q83" s="6"/>
      <c r="R83" s="6"/>
    </row>
    <row r="84" spans="1:19">
      <c r="A84" s="5" t="s">
        <v>26</v>
      </c>
      <c r="B84" s="10" t="s">
        <v>123</v>
      </c>
      <c r="C84" s="11" t="s">
        <v>40</v>
      </c>
      <c r="D84" s="9" t="s">
        <v>147</v>
      </c>
      <c r="E84" s="9" t="s">
        <v>148</v>
      </c>
      <c r="F84" s="9" t="s">
        <v>148</v>
      </c>
      <c r="G84" s="9" t="s">
        <v>148</v>
      </c>
      <c r="H84" s="9" t="s">
        <v>148</v>
      </c>
      <c r="I84" s="9" t="s">
        <v>148</v>
      </c>
      <c r="J84" s="9" t="s">
        <v>147</v>
      </c>
      <c r="K84" s="6">
        <f t="shared" ref="K84:K85" si="21">SUM(D84:J84)</f>
        <v>0</v>
      </c>
      <c r="L84" s="6">
        <f t="shared" si="15"/>
        <v>0</v>
      </c>
      <c r="M84" s="4">
        <f t="shared" si="14"/>
        <v>0</v>
      </c>
      <c r="N84" s="4">
        <f t="shared" si="18"/>
        <v>2250</v>
      </c>
      <c r="O84" s="4">
        <f t="shared" si="16"/>
        <v>2250</v>
      </c>
      <c r="P84" s="4">
        <f t="shared" si="17"/>
        <v>1</v>
      </c>
      <c r="Q84" s="6"/>
      <c r="R84" s="6"/>
    </row>
    <row r="85" spans="1:19" hidden="1">
      <c r="A85" s="5" t="s">
        <v>26</v>
      </c>
      <c r="B85" s="10" t="s">
        <v>124</v>
      </c>
      <c r="C85" s="11" t="s">
        <v>36</v>
      </c>
      <c r="D85" s="9" t="s">
        <v>147</v>
      </c>
      <c r="E85" s="9" t="s">
        <v>148</v>
      </c>
      <c r="F85" s="9" t="s">
        <v>148</v>
      </c>
      <c r="G85" s="9" t="s">
        <v>148</v>
      </c>
      <c r="H85" s="9" t="s">
        <v>148</v>
      </c>
      <c r="I85" s="9" t="s">
        <v>148</v>
      </c>
      <c r="J85" s="9" t="s">
        <v>147</v>
      </c>
      <c r="K85" s="6">
        <f t="shared" si="21"/>
        <v>0</v>
      </c>
      <c r="L85" s="6">
        <f t="shared" si="15"/>
        <v>0</v>
      </c>
      <c r="M85" s="4">
        <f t="shared" si="14"/>
        <v>0</v>
      </c>
      <c r="N85" s="4">
        <f t="shared" si="18"/>
        <v>2250</v>
      </c>
      <c r="O85" s="4">
        <f t="shared" si="16"/>
        <v>2250</v>
      </c>
      <c r="P85" s="4">
        <f t="shared" si="17"/>
        <v>1</v>
      </c>
      <c r="Q85" s="6"/>
      <c r="R85" s="6"/>
    </row>
    <row r="86" spans="1:19" hidden="1">
      <c r="A86" s="5" t="s">
        <v>22</v>
      </c>
      <c r="B86" s="32" t="s">
        <v>125</v>
      </c>
      <c r="C86" s="35" t="s">
        <v>25</v>
      </c>
      <c r="D86" s="9" t="s">
        <v>147</v>
      </c>
      <c r="E86" s="9">
        <v>450</v>
      </c>
      <c r="F86" s="9" t="s">
        <v>148</v>
      </c>
      <c r="G86" s="9" t="s">
        <v>148</v>
      </c>
      <c r="H86" s="9">
        <v>8</v>
      </c>
      <c r="I86" s="9" t="s">
        <v>148</v>
      </c>
      <c r="J86" s="9" t="s">
        <v>147</v>
      </c>
      <c r="K86" s="6">
        <v>0</v>
      </c>
      <c r="L86" s="6">
        <f t="shared" si="15"/>
        <v>450</v>
      </c>
      <c r="M86" s="4">
        <f t="shared" si="14"/>
        <v>450</v>
      </c>
      <c r="N86" s="4">
        <f t="shared" si="18"/>
        <v>2250</v>
      </c>
      <c r="O86" s="4">
        <f t="shared" si="16"/>
        <v>1800</v>
      </c>
      <c r="P86" s="4">
        <f t="shared" si="17"/>
        <v>0.8</v>
      </c>
      <c r="Q86" s="6"/>
      <c r="R86" s="6"/>
      <c r="S86">
        <v>1</v>
      </c>
    </row>
    <row r="87" spans="1:19" hidden="1">
      <c r="A87" s="5" t="s">
        <v>26</v>
      </c>
      <c r="B87" s="10" t="s">
        <v>126</v>
      </c>
      <c r="C87" s="11" t="s">
        <v>30</v>
      </c>
      <c r="D87" s="9" t="s">
        <v>147</v>
      </c>
      <c r="E87" s="9">
        <v>4</v>
      </c>
      <c r="F87" s="9" t="s">
        <v>148</v>
      </c>
      <c r="G87" s="9" t="s">
        <v>148</v>
      </c>
      <c r="H87" s="9" t="s">
        <v>148</v>
      </c>
      <c r="I87" s="9">
        <v>131</v>
      </c>
      <c r="J87" s="9" t="s">
        <v>147</v>
      </c>
      <c r="K87" s="6">
        <f>SUM(D87:J87)</f>
        <v>135</v>
      </c>
      <c r="L87" s="6">
        <f t="shared" si="15"/>
        <v>0</v>
      </c>
      <c r="M87" s="4">
        <f t="shared" si="14"/>
        <v>135</v>
      </c>
      <c r="N87" s="4">
        <f t="shared" si="18"/>
        <v>2250</v>
      </c>
      <c r="O87" s="4">
        <f t="shared" si="16"/>
        <v>2115</v>
      </c>
      <c r="P87" s="4">
        <f t="shared" si="17"/>
        <v>0.94</v>
      </c>
      <c r="Q87" s="6"/>
      <c r="R87" s="6"/>
    </row>
    <row r="88" spans="1:19" hidden="1">
      <c r="A88" s="5" t="s">
        <v>22</v>
      </c>
      <c r="B88" s="32" t="s">
        <v>127</v>
      </c>
      <c r="C88" s="35" t="s">
        <v>33</v>
      </c>
      <c r="D88" s="9" t="s">
        <v>147</v>
      </c>
      <c r="E88" s="9" t="s">
        <v>148</v>
      </c>
      <c r="F88" s="9" t="s">
        <v>148</v>
      </c>
      <c r="G88" s="9" t="s">
        <v>148</v>
      </c>
      <c r="H88" s="9" t="s">
        <v>148</v>
      </c>
      <c r="I88" s="9" t="s">
        <v>148</v>
      </c>
      <c r="J88" s="9" t="s">
        <v>147</v>
      </c>
      <c r="K88" s="6">
        <f t="shared" ref="K88" si="22">SUM(E88:I88)</f>
        <v>0</v>
      </c>
      <c r="L88" s="6">
        <f t="shared" si="15"/>
        <v>0</v>
      </c>
      <c r="M88" s="4">
        <f t="shared" si="14"/>
        <v>0</v>
      </c>
      <c r="N88" s="4">
        <f t="shared" si="18"/>
        <v>2250</v>
      </c>
      <c r="O88" s="4">
        <f t="shared" si="16"/>
        <v>2250</v>
      </c>
      <c r="P88" s="4">
        <f t="shared" si="17"/>
        <v>1</v>
      </c>
      <c r="Q88" s="6"/>
      <c r="R88" s="6"/>
    </row>
    <row r="89" spans="1:19" hidden="1">
      <c r="A89" s="5" t="s">
        <v>22</v>
      </c>
      <c r="B89" s="32" t="s">
        <v>128</v>
      </c>
      <c r="C89" s="35" t="s">
        <v>33</v>
      </c>
      <c r="D89" s="9" t="s">
        <v>147</v>
      </c>
      <c r="E89" s="9" t="s">
        <v>148</v>
      </c>
      <c r="F89" s="9" t="s">
        <v>148</v>
      </c>
      <c r="G89" s="9" t="s">
        <v>148</v>
      </c>
      <c r="H89" s="9" t="s">
        <v>148</v>
      </c>
      <c r="I89" s="9" t="s">
        <v>148</v>
      </c>
      <c r="J89" s="9" t="s">
        <v>147</v>
      </c>
      <c r="K89" s="6">
        <v>0</v>
      </c>
      <c r="L89" s="6">
        <f t="shared" si="15"/>
        <v>0</v>
      </c>
      <c r="M89" s="4">
        <f t="shared" si="14"/>
        <v>0</v>
      </c>
      <c r="N89" s="4">
        <f t="shared" si="18"/>
        <v>2250</v>
      </c>
      <c r="O89" s="4">
        <f t="shared" si="16"/>
        <v>2250</v>
      </c>
      <c r="P89" s="4">
        <f t="shared" si="17"/>
        <v>1</v>
      </c>
      <c r="Q89" s="6"/>
      <c r="R89" s="6"/>
    </row>
    <row r="90" spans="1:19" hidden="1">
      <c r="A90" s="5" t="s">
        <v>22</v>
      </c>
      <c r="B90" s="32" t="s">
        <v>129</v>
      </c>
      <c r="C90" s="35" t="s">
        <v>56</v>
      </c>
      <c r="D90" s="9" t="s">
        <v>147</v>
      </c>
      <c r="E90" s="9">
        <v>19</v>
      </c>
      <c r="F90" s="9">
        <v>23</v>
      </c>
      <c r="G90" s="9" t="s">
        <v>148</v>
      </c>
      <c r="H90" s="9" t="s">
        <v>148</v>
      </c>
      <c r="I90" s="9" t="s">
        <v>148</v>
      </c>
      <c r="J90" s="9" t="s">
        <v>147</v>
      </c>
      <c r="K90" s="4">
        <f>SUM(D90:J90)</f>
        <v>42</v>
      </c>
      <c r="L90" s="6">
        <f t="shared" si="15"/>
        <v>0</v>
      </c>
      <c r="M90" s="4">
        <f t="shared" si="14"/>
        <v>42</v>
      </c>
      <c r="N90" s="4">
        <f t="shared" si="18"/>
        <v>2250</v>
      </c>
      <c r="O90" s="4">
        <f t="shared" si="16"/>
        <v>2208</v>
      </c>
      <c r="P90" s="4">
        <f t="shared" si="17"/>
        <v>0.98133333333333328</v>
      </c>
      <c r="Q90" s="6"/>
      <c r="R90" s="6"/>
    </row>
    <row r="91" spans="1:19" hidden="1">
      <c r="A91" s="5" t="s">
        <v>26</v>
      </c>
      <c r="B91" s="10" t="s">
        <v>131</v>
      </c>
      <c r="C91" s="11" t="s">
        <v>33</v>
      </c>
      <c r="D91" s="9" t="s">
        <v>147</v>
      </c>
      <c r="E91" s="9">
        <v>450</v>
      </c>
      <c r="F91" s="9" t="s">
        <v>148</v>
      </c>
      <c r="G91" s="9">
        <v>7</v>
      </c>
      <c r="H91" s="9" t="s">
        <v>148</v>
      </c>
      <c r="I91" s="9" t="s">
        <v>148</v>
      </c>
      <c r="J91" s="9" t="s">
        <v>147</v>
      </c>
      <c r="K91" s="6">
        <v>0</v>
      </c>
      <c r="L91" s="6">
        <f t="shared" si="15"/>
        <v>450</v>
      </c>
      <c r="M91" s="4">
        <f t="shared" si="14"/>
        <v>450</v>
      </c>
      <c r="N91" s="4">
        <f t="shared" si="18"/>
        <v>2250</v>
      </c>
      <c r="O91" s="4">
        <f t="shared" si="16"/>
        <v>1800</v>
      </c>
      <c r="P91" s="4">
        <f t="shared" si="17"/>
        <v>0.8</v>
      </c>
      <c r="Q91" s="6"/>
      <c r="R91" s="6"/>
    </row>
    <row r="92" spans="1:19">
      <c r="A92" s="5" t="s">
        <v>26</v>
      </c>
      <c r="B92" s="10" t="s">
        <v>133</v>
      </c>
      <c r="C92" s="11" t="s">
        <v>40</v>
      </c>
      <c r="D92" s="9" t="s">
        <v>147</v>
      </c>
      <c r="E92" s="9" t="s">
        <v>12</v>
      </c>
      <c r="F92" s="9">
        <v>12</v>
      </c>
      <c r="G92" s="9">
        <v>19</v>
      </c>
      <c r="H92" s="9">
        <v>15</v>
      </c>
      <c r="I92" s="9">
        <v>66</v>
      </c>
      <c r="J92" s="9" t="s">
        <v>147</v>
      </c>
      <c r="K92" s="6">
        <f>G92</f>
        <v>19</v>
      </c>
      <c r="L92" s="6">
        <f t="shared" si="15"/>
        <v>0</v>
      </c>
      <c r="M92" s="4">
        <f t="shared" si="14"/>
        <v>19</v>
      </c>
      <c r="N92" s="4">
        <f>450*4</f>
        <v>1800</v>
      </c>
      <c r="O92" s="4">
        <f t="shared" si="16"/>
        <v>1781</v>
      </c>
      <c r="P92" s="4">
        <f t="shared" si="17"/>
        <v>0.98944444444444446</v>
      </c>
      <c r="Q92" s="6">
        <v>1</v>
      </c>
      <c r="R92" s="6"/>
    </row>
    <row r="93" spans="1:19">
      <c r="A93" s="12" t="s">
        <v>26</v>
      </c>
      <c r="B93" s="33" t="s">
        <v>27</v>
      </c>
      <c r="C93" s="36" t="s">
        <v>40</v>
      </c>
      <c r="D93" s="9" t="s">
        <v>147</v>
      </c>
      <c r="E93" s="9" t="s">
        <v>12</v>
      </c>
      <c r="F93" s="9" t="s">
        <v>148</v>
      </c>
      <c r="G93" s="9" t="s">
        <v>148</v>
      </c>
      <c r="H93" s="9" t="s">
        <v>148</v>
      </c>
      <c r="I93" s="9" t="s">
        <v>148</v>
      </c>
      <c r="J93" s="9" t="s">
        <v>147</v>
      </c>
      <c r="K93" s="6">
        <f t="shared" ref="K93" si="23">SUM(D93:J93)</f>
        <v>0</v>
      </c>
      <c r="L93" s="6">
        <f t="shared" si="15"/>
        <v>0</v>
      </c>
      <c r="M93" s="4">
        <f t="shared" si="14"/>
        <v>0</v>
      </c>
      <c r="N93" s="4">
        <f>450*4</f>
        <v>1800</v>
      </c>
      <c r="O93" s="4">
        <f t="shared" si="16"/>
        <v>1800</v>
      </c>
      <c r="P93" s="4">
        <f t="shared" si="17"/>
        <v>1</v>
      </c>
      <c r="Q93" s="6">
        <v>1</v>
      </c>
      <c r="R93" s="6"/>
    </row>
    <row r="94" spans="1:19" hidden="1">
      <c r="A94" s="5" t="s">
        <v>22</v>
      </c>
      <c r="B94" s="5" t="s">
        <v>134</v>
      </c>
      <c r="C94" s="5" t="s">
        <v>56</v>
      </c>
      <c r="D94" s="9" t="s">
        <v>147</v>
      </c>
      <c r="E94" s="9">
        <v>450</v>
      </c>
      <c r="F94" s="9" t="s">
        <v>148</v>
      </c>
      <c r="G94" s="9" t="s">
        <v>148</v>
      </c>
      <c r="H94" s="9">
        <v>8</v>
      </c>
      <c r="I94" s="9">
        <v>20</v>
      </c>
      <c r="J94" s="9" t="s">
        <v>147</v>
      </c>
      <c r="K94" s="4">
        <f>H94+I94</f>
        <v>28</v>
      </c>
      <c r="L94" s="6">
        <f t="shared" si="15"/>
        <v>450</v>
      </c>
      <c r="M94" s="4">
        <f t="shared" si="14"/>
        <v>478</v>
      </c>
      <c r="N94" s="4">
        <f t="shared" si="18"/>
        <v>2250</v>
      </c>
      <c r="O94" s="4">
        <f t="shared" si="16"/>
        <v>1772</v>
      </c>
      <c r="P94" s="4">
        <f t="shared" si="17"/>
        <v>0.78755555555555556</v>
      </c>
      <c r="Q94" s="6"/>
      <c r="R94" s="6"/>
    </row>
    <row r="95" spans="1:19" hidden="1">
      <c r="K95" s="6">
        <f>SUM(K2:K94)</f>
        <v>1107</v>
      </c>
      <c r="L95" s="6">
        <f t="shared" ref="L95:O95" si="24">SUM(L2:L94)</f>
        <v>8100</v>
      </c>
      <c r="M95" s="6">
        <f t="shared" si="24"/>
        <v>9207</v>
      </c>
      <c r="N95" s="6">
        <f t="shared" si="24"/>
        <v>202050</v>
      </c>
      <c r="O95" s="6">
        <f t="shared" si="24"/>
        <v>192843</v>
      </c>
      <c r="P95" s="6">
        <f>AVERAGE(P2:P94)</f>
        <v>0.95573954599761024</v>
      </c>
    </row>
    <row r="96" spans="1:19">
      <c r="P96" s="29"/>
    </row>
    <row r="97" spans="11:13">
      <c r="K97">
        <f>K95/N95*100%</f>
        <v>5.4788418708240534E-3</v>
      </c>
      <c r="L97">
        <f>L95/N95*100%</f>
        <v>4.0089086859688199E-2</v>
      </c>
      <c r="M97">
        <f>M95/N95*100%</f>
        <v>4.5567928730512249E-2</v>
      </c>
    </row>
  </sheetData>
  <autoFilter ref="A1:R95" xr:uid="{87F031CE-DBE6-46A1-A9FA-69A83DAC5723}">
    <filterColumn colId="2">
      <filters>
        <filter val="Multi"/>
      </filters>
    </filterColumn>
  </autoFilter>
  <conditionalFormatting sqref="D20 D67 D90">
    <cfRule type="containsText" dxfId="11620" priority="253" operator="containsText" text="P">
      <formula>NOT(ISERROR(SEARCH("P",D20)))</formula>
    </cfRule>
    <cfRule type="containsText" dxfId="11619" priority="254" operator="containsText" text="TFO">
      <formula>NOT(ISERROR(SEARCH("TFO",D20)))</formula>
    </cfRule>
    <cfRule type="containsText" dxfId="11618" priority="255" operator="containsText" text="AA">
      <formula>NOT(ISERROR(SEARCH("AA",D20)))</formula>
    </cfRule>
    <cfRule type="containsText" dxfId="11617" priority="256" operator="containsText" text="RESIGNED">
      <formula>NOT(ISERROR(SEARCH("RESIGNED",D20)))</formula>
    </cfRule>
    <cfRule type="containsText" dxfId="11616" priority="257" operator="containsText" text="P">
      <formula>NOT(ISERROR(SEARCH("P",D20)))</formula>
    </cfRule>
    <cfRule type="containsText" dxfId="11615" priority="258" operator="containsText" text="TARDY">
      <formula>NOT(ISERROR(SEARCH("TARDY",D20)))</formula>
    </cfRule>
    <cfRule type="containsText" dxfId="11614" priority="259" operator="containsText" text="REST DAY">
      <formula>NOT(ISERROR(SEARCH("REST DAY",D20)))</formula>
    </cfRule>
    <cfRule type="containsText" dxfId="11613" priority="260" operator="containsText" text="UA">
      <formula>NOT(ISERROR(SEARCH("UA",D20)))</formula>
    </cfRule>
    <cfRule type="containsText" dxfId="11612" priority="261" operator="containsText" text="LWOP UA">
      <formula>NOT(ISERROR(SEARCH("LWOP UA",D20)))</formula>
    </cfRule>
  </conditionalFormatting>
  <conditionalFormatting sqref="D57">
    <cfRule type="containsText" dxfId="11611" priority="89" operator="containsText" text="LWOP UA">
      <formula>NOT(ISERROR(SEARCH("LWOP UA",D57)))</formula>
    </cfRule>
    <cfRule type="containsText" dxfId="11610" priority="90" operator="containsText" text="P">
      <formula>NOT(ISERROR(SEARCH("P",D57)))</formula>
    </cfRule>
    <cfRule type="containsText" dxfId="11609" priority="91" operator="containsText" text="TFO">
      <formula>NOT(ISERROR(SEARCH("TFO",D57)))</formula>
    </cfRule>
    <cfRule type="containsText" dxfId="11608" priority="92" operator="containsText" text="AA">
      <formula>NOT(ISERROR(SEARCH("AA",D57)))</formula>
    </cfRule>
    <cfRule type="containsText" dxfId="11607" priority="93" operator="containsText" text="RESIGNED">
      <formula>NOT(ISERROR(SEARCH("RESIGNED",D57)))</formula>
    </cfRule>
    <cfRule type="containsText" dxfId="11606" priority="94" operator="containsText" text="P">
      <formula>NOT(ISERROR(SEARCH("P",D57)))</formula>
    </cfRule>
    <cfRule type="containsText" dxfId="11605" priority="95" operator="containsText" text="TARDY">
      <formula>NOT(ISERROR(SEARCH("TARDY",D57)))</formula>
    </cfRule>
    <cfRule type="containsText" dxfId="11604" priority="96" operator="containsText" text="REST DAY">
      <formula>NOT(ISERROR(SEARCH("REST DAY",D57)))</formula>
    </cfRule>
    <cfRule type="containsText" dxfId="11603" priority="97" operator="containsText" text="UA">
      <formula>NOT(ISERROR(SEARCH("UA",D57)))</formula>
    </cfRule>
  </conditionalFormatting>
  <conditionalFormatting sqref="D59">
    <cfRule type="containsText" dxfId="11602" priority="75" operator="containsText" text="LWOP UA">
      <formula>NOT(ISERROR(SEARCH("LWOP UA",D59)))</formula>
    </cfRule>
    <cfRule type="containsText" dxfId="11601" priority="76" operator="containsText" text="P">
      <formula>NOT(ISERROR(SEARCH("P",D59)))</formula>
    </cfRule>
    <cfRule type="containsText" dxfId="11600" priority="77" operator="containsText" text="TFO">
      <formula>NOT(ISERROR(SEARCH("TFO",D59)))</formula>
    </cfRule>
    <cfRule type="containsText" dxfId="11599" priority="78" operator="containsText" text="AA">
      <formula>NOT(ISERROR(SEARCH("AA",D59)))</formula>
    </cfRule>
    <cfRule type="containsText" dxfId="11598" priority="79" operator="containsText" text="RESIGNED">
      <formula>NOT(ISERROR(SEARCH("RESIGNED",D59)))</formula>
    </cfRule>
    <cfRule type="containsText" dxfId="11597" priority="80" operator="containsText" text="P">
      <formula>NOT(ISERROR(SEARCH("P",D59)))</formula>
    </cfRule>
    <cfRule type="containsText" dxfId="11596" priority="81" operator="containsText" text="TARDY">
      <formula>NOT(ISERROR(SEARCH("TARDY",D59)))</formula>
    </cfRule>
    <cfRule type="containsText" dxfId="11595" priority="82" operator="containsText" text="REST DAY">
      <formula>NOT(ISERROR(SEARCH("REST DAY",D59)))</formula>
    </cfRule>
    <cfRule type="containsText" dxfId="11594" priority="83" operator="containsText" text="UA">
      <formula>NOT(ISERROR(SEARCH("UA",D59)))</formula>
    </cfRule>
  </conditionalFormatting>
  <conditionalFormatting sqref="D93">
    <cfRule type="containsText" dxfId="11593" priority="262" operator="containsText" text="LWOP UA">
      <formula>NOT(ISERROR(SEARCH("LWOP UA",D93)))</formula>
    </cfRule>
    <cfRule type="containsText" dxfId="11592" priority="263" operator="containsText" text="P">
      <formula>NOT(ISERROR(SEARCH("P",D93)))</formula>
    </cfRule>
    <cfRule type="containsText" dxfId="11591" priority="264" operator="containsText" text="TFO">
      <formula>NOT(ISERROR(SEARCH("TFO",D93)))</formula>
    </cfRule>
    <cfRule type="containsText" dxfId="11590" priority="265" operator="containsText" text="AA">
      <formula>NOT(ISERROR(SEARCH("AA",D93)))</formula>
    </cfRule>
    <cfRule type="containsText" dxfId="11589" priority="266" operator="containsText" text="RESIGNED">
      <formula>NOT(ISERROR(SEARCH("RESIGNED",D93)))</formula>
    </cfRule>
    <cfRule type="containsText" dxfId="11588" priority="267" operator="containsText" text="P">
      <formula>NOT(ISERROR(SEARCH("P",D93)))</formula>
    </cfRule>
    <cfRule type="containsText" dxfId="11587" priority="268" operator="containsText" text="TARDY">
      <formula>NOT(ISERROR(SEARCH("TARDY",D93)))</formula>
    </cfRule>
    <cfRule type="containsText" dxfId="11586" priority="269" operator="containsText" text="REST DAY">
      <formula>NOT(ISERROR(SEARCH("REST DAY",D93)))</formula>
    </cfRule>
    <cfRule type="containsText" dxfId="11585" priority="270" operator="containsText" text="UA">
      <formula>NOT(ISERROR(SEARCH("UA",D93)))</formula>
    </cfRule>
    <cfRule type="containsText" dxfId="11584" priority="271" operator="containsText" text="LWOP UA">
      <formula>NOT(ISERROR(SEARCH("LWOP UA",D93)))</formula>
    </cfRule>
  </conditionalFormatting>
  <conditionalFormatting sqref="D93:D94 J93:J94 D20:J32 F56:J59 D66:J73 D82:J92 D5:J6 D7:H7 D8:J10 F11:J11 D13:J16 D17:H17 D18:J18 D33:E33 H33:J33 I34:J34 D40:J47 F48:J48 E49:J49 F50:J51 D52:J55 D74:E74 E76:J76 F77:J78 D79:J80 D2:J2 D3:E4 H3:J4 D12:F12 I12:J12 D19:F19 I19:J19 D34:F34 D39:E39 H39:J39 D60:J64 D65:E65 H65:J65 H74:J74 D81:E81 H81:J81">
    <cfRule type="containsText" dxfId="11583" priority="295" operator="containsText" text="P">
      <formula>NOT(ISERROR(SEARCH("P",D2)))</formula>
    </cfRule>
  </conditionalFormatting>
  <conditionalFormatting sqref="D11:E11">
    <cfRule type="containsText" dxfId="11582" priority="229" operator="containsText" text="LWOP UA">
      <formula>NOT(ISERROR(SEARCH("LWOP UA",D11)))</formula>
    </cfRule>
    <cfRule type="containsText" dxfId="11581" priority="230" operator="containsText" text="P">
      <formula>NOT(ISERROR(SEARCH("P",D11)))</formula>
    </cfRule>
    <cfRule type="containsText" dxfId="11580" priority="231" operator="containsText" text="TFO">
      <formula>NOT(ISERROR(SEARCH("TFO",D11)))</formula>
    </cfRule>
    <cfRule type="containsText" dxfId="11579" priority="232" operator="containsText" text="AA">
      <formula>NOT(ISERROR(SEARCH("AA",D11)))</formula>
    </cfRule>
    <cfRule type="containsText" dxfId="11578" priority="233" operator="containsText" text="RESIGNED">
      <formula>NOT(ISERROR(SEARCH("RESIGNED",D11)))</formula>
    </cfRule>
    <cfRule type="containsText" dxfId="11577" priority="234" operator="containsText" text="P">
      <formula>NOT(ISERROR(SEARCH("P",D11)))</formula>
    </cfRule>
    <cfRule type="containsText" dxfId="11576" priority="235" operator="containsText" text="TARDY">
      <formula>NOT(ISERROR(SEARCH("TARDY",D11)))</formula>
    </cfRule>
    <cfRule type="containsText" dxfId="11575" priority="236" operator="containsText" text="REST DAY">
      <formula>NOT(ISERROR(SEARCH("REST DAY",D11)))</formula>
    </cfRule>
    <cfRule type="containsText" dxfId="11574" priority="237" operator="containsText" text="UA">
      <formula>NOT(ISERROR(SEARCH("UA",D11)))</formula>
    </cfRule>
  </conditionalFormatting>
  <conditionalFormatting sqref="D48:E48 D49 D50:E51">
    <cfRule type="containsText" dxfId="11573" priority="173" operator="containsText" text="LWOP UA">
      <formula>NOT(ISERROR(SEARCH("LWOP UA",D48)))</formula>
    </cfRule>
    <cfRule type="containsText" dxfId="11572" priority="174" operator="containsText" text="P">
      <formula>NOT(ISERROR(SEARCH("P",D48)))</formula>
    </cfRule>
    <cfRule type="containsText" dxfId="11571" priority="175" operator="containsText" text="TFO">
      <formula>NOT(ISERROR(SEARCH("TFO",D48)))</formula>
    </cfRule>
    <cfRule type="containsText" dxfId="11570" priority="176" operator="containsText" text="AA">
      <formula>NOT(ISERROR(SEARCH("AA",D48)))</formula>
    </cfRule>
    <cfRule type="containsText" dxfId="11569" priority="177" operator="containsText" text="RESIGNED">
      <formula>NOT(ISERROR(SEARCH("RESIGNED",D48)))</formula>
    </cfRule>
    <cfRule type="containsText" dxfId="11568" priority="178" operator="containsText" text="P">
      <formula>NOT(ISERROR(SEARCH("P",D48)))</formula>
    </cfRule>
    <cfRule type="containsText" dxfId="11567" priority="179" operator="containsText" text="TARDY">
      <formula>NOT(ISERROR(SEARCH("TARDY",D48)))</formula>
    </cfRule>
    <cfRule type="containsText" dxfId="11566" priority="180" operator="containsText" text="REST DAY">
      <formula>NOT(ISERROR(SEARCH("REST DAY",D48)))</formula>
    </cfRule>
    <cfRule type="containsText" dxfId="11565" priority="181" operator="containsText" text="UA">
      <formula>NOT(ISERROR(SEARCH("UA",D48)))</formula>
    </cfRule>
  </conditionalFormatting>
  <conditionalFormatting sqref="D56:E56 E57 D58:E58 E59">
    <cfRule type="containsText" dxfId="11564" priority="160" operator="containsText" text="P">
      <formula>NOT(ISERROR(SEARCH("P",D56)))</formula>
    </cfRule>
    <cfRule type="containsText" dxfId="11563" priority="161" operator="containsText" text="TFO">
      <formula>NOT(ISERROR(SEARCH("TFO",D56)))</formula>
    </cfRule>
    <cfRule type="containsText" dxfId="11562" priority="162" operator="containsText" text="AA">
      <formula>NOT(ISERROR(SEARCH("AA",D56)))</formula>
    </cfRule>
    <cfRule type="containsText" dxfId="11561" priority="163" operator="containsText" text="RESIGNED">
      <formula>NOT(ISERROR(SEARCH("RESIGNED",D56)))</formula>
    </cfRule>
    <cfRule type="containsText" dxfId="11560" priority="164" operator="containsText" text="P">
      <formula>NOT(ISERROR(SEARCH("P",D56)))</formula>
    </cfRule>
    <cfRule type="containsText" dxfId="11559" priority="165" operator="containsText" text="TARDY">
      <formula>NOT(ISERROR(SEARCH("TARDY",D56)))</formula>
    </cfRule>
    <cfRule type="containsText" dxfId="11558" priority="166" operator="containsText" text="REST DAY">
      <formula>NOT(ISERROR(SEARCH("REST DAY",D56)))</formula>
    </cfRule>
    <cfRule type="containsText" dxfId="11557" priority="167" operator="containsText" text="UA">
      <formula>NOT(ISERROR(SEARCH("UA",D56)))</formula>
    </cfRule>
    <cfRule type="containsText" dxfId="11556" priority="168" operator="containsText" text="LWOP UA">
      <formula>NOT(ISERROR(SEARCH("LWOP UA",D56)))</formula>
    </cfRule>
  </conditionalFormatting>
  <conditionalFormatting sqref="D56:E58">
    <cfRule type="containsText" dxfId="11555" priority="98" operator="containsText" text="LWOP UA">
      <formula>NOT(ISERROR(SEARCH("LWOP UA",D56)))</formula>
    </cfRule>
  </conditionalFormatting>
  <conditionalFormatting sqref="D59:E59">
    <cfRule type="containsText" dxfId="11554" priority="84" operator="containsText" text="LWOP UA">
      <formula>NOT(ISERROR(SEARCH("LWOP UA",D59)))</formula>
    </cfRule>
  </conditionalFormatting>
  <conditionalFormatting sqref="D74:E75 D76:J80">
    <cfRule type="containsText" dxfId="11553" priority="154" operator="containsText" text="LWOP UA">
      <formula>NOT(ISERROR(SEARCH("LWOP UA",D74)))</formula>
    </cfRule>
  </conditionalFormatting>
  <conditionalFormatting sqref="D93:E93 H93:J93 D94:J94">
    <cfRule type="containsText" dxfId="11552" priority="286" operator="containsText" text="P">
      <formula>NOT(ISERROR(SEARCH("P",D93)))</formula>
    </cfRule>
    <cfRule type="containsText" dxfId="11551" priority="287" operator="containsText" text="TFO">
      <formula>NOT(ISERROR(SEARCH("TFO",D93)))</formula>
    </cfRule>
    <cfRule type="containsText" dxfId="11550" priority="288" operator="containsText" text="AA">
      <formula>NOT(ISERROR(SEARCH("AA",D93)))</formula>
    </cfRule>
    <cfRule type="containsText" dxfId="11549" priority="289" operator="containsText" text="RESIGNED">
      <formula>NOT(ISERROR(SEARCH("RESIGNED",D93)))</formula>
    </cfRule>
    <cfRule type="containsText" dxfId="11548" priority="290" operator="containsText" text="P">
      <formula>NOT(ISERROR(SEARCH("P",D93)))</formula>
    </cfRule>
    <cfRule type="containsText" dxfId="11547" priority="291" operator="containsText" text="TARDY">
      <formula>NOT(ISERROR(SEARCH("TARDY",D93)))</formula>
    </cfRule>
    <cfRule type="containsText" dxfId="11546" priority="292" operator="containsText" text="REST DAY">
      <formula>NOT(ISERROR(SEARCH("REST DAY",D93)))</formula>
    </cfRule>
    <cfRule type="containsText" dxfId="11545" priority="293" operator="containsText" text="UA">
      <formula>NOT(ISERROR(SEARCH("UA",D93)))</formula>
    </cfRule>
    <cfRule type="containsText" dxfId="11544" priority="294" operator="containsText" text="LWOP UA">
      <formula>NOT(ISERROR(SEARCH("LWOP UA",D93)))</formula>
    </cfRule>
  </conditionalFormatting>
  <conditionalFormatting sqref="D34:H34">
    <cfRule type="containsText" dxfId="11543" priority="70" operator="containsText" text="LWOP UA">
      <formula>NOT(ISERROR(SEARCH("LWOP UA",D34)))</formula>
    </cfRule>
  </conditionalFormatting>
  <conditionalFormatting sqref="D2:J2 D3:E4 H3:J4 D5:J6 D7:H7 D8:J10 F11:J11 D12:F12 I12:J12 D13:J16 D17:H17 D18:J18 D19:F19 I19:J19 D20:J32 D33:E33 H33:J33 D34:F34 I34:J34 D39:E39 H39:J39 D40:J47 F48:J48 E49:J49 F50:J51 D52:J55 F56:J59 D60:J64 D65:E65 H65:J65 D66:J73 D74:E74 H74:J74 E76:J76 F77:J78 D79:J80 D81:E81 H81:J81 D82:J92 D93:D94 J93:J94 D35:H35 D36:J38 F75:J75">
    <cfRule type="containsText" dxfId="11542" priority="303" operator="containsText" text="LWOP UA">
      <formula>NOT(ISERROR(SEARCH("LWOP UA",D2)))</formula>
    </cfRule>
  </conditionalFormatting>
  <conditionalFormatting sqref="D2:J2 D3:E4 H3:J4 D5:J6 D7:H7 D8:J10 F11:J11 D12:F12 I12:J12 D13:J16 D17:H17 D18:J18 D19:F19 I19:J19 D20:J32 D33:E33 H33:J33 D34:F34 I34:J34 D39:E39 H39:J39 D40:J47 F48:J48 E49:J49 F50:J51 D52:J55 F56:J59 D60:J64 D65:E65 H65:J65 D66:J73 D74:E74 H74:J74 E76:J76 F77:J78 D79:J80 D81:E81 H81:J81 D82:J92 D93:D94 J93:J94">
    <cfRule type="containsText" dxfId="11541" priority="296" operator="containsText" text="TFO">
      <formula>NOT(ISERROR(SEARCH("TFO",D2)))</formula>
    </cfRule>
    <cfRule type="containsText" dxfId="11540" priority="297" operator="containsText" text="AA">
      <formula>NOT(ISERROR(SEARCH("AA",D2)))</formula>
    </cfRule>
    <cfRule type="containsText" dxfId="11539" priority="298" operator="containsText" text="RESIGNED">
      <formula>NOT(ISERROR(SEARCH("RESIGNED",D2)))</formula>
    </cfRule>
    <cfRule type="containsText" dxfId="11538" priority="299" operator="containsText" text="P">
      <formula>NOT(ISERROR(SEARCH("P",D2)))</formula>
    </cfRule>
    <cfRule type="containsText" dxfId="11537" priority="300" operator="containsText" text="TARDY">
      <formula>NOT(ISERROR(SEARCH("TARDY",D2)))</formula>
    </cfRule>
    <cfRule type="containsText" dxfId="11536" priority="301" operator="containsText" text="REST DAY">
      <formula>NOT(ISERROR(SEARCH("REST DAY",D2)))</formula>
    </cfRule>
    <cfRule type="containsText" dxfId="11535" priority="302" operator="containsText" text="UA">
      <formula>NOT(ISERROR(SEARCH("UA",D2)))</formula>
    </cfRule>
  </conditionalFormatting>
  <conditionalFormatting sqref="D2:J4">
    <cfRule type="containsText" dxfId="11534" priority="140" operator="containsText" text="LWOP UA">
      <formula>NOT(ISERROR(SEARCH("LWOP UA",D2)))</formula>
    </cfRule>
  </conditionalFormatting>
  <conditionalFormatting sqref="D2:J19">
    <cfRule type="containsText" dxfId="11533" priority="99" operator="containsText" text="VL">
      <formula>NOT(ISERROR(SEARCH("VL",D2)))</formula>
    </cfRule>
    <cfRule type="containsText" dxfId="11532" priority="100" operator="containsText" text="RD">
      <formula>NOT(ISERROR(SEARCH("RD",D2)))</formula>
    </cfRule>
    <cfRule type="containsText" dxfId="11531" priority="101" operator="containsText" text="540">
      <formula>NOT(ISERROR(SEARCH("540",D2)))</formula>
    </cfRule>
    <cfRule type="cellIs" dxfId="11530" priority="102" operator="between">
      <formula>1</formula>
      <formula>400</formula>
    </cfRule>
  </conditionalFormatting>
  <conditionalFormatting sqref="D5:J10">
    <cfRule type="containsText" dxfId="11529" priority="252" operator="containsText" text="LWOP UA">
      <formula>NOT(ISERROR(SEARCH("LWOP UA",D5)))</formula>
    </cfRule>
  </conditionalFormatting>
  <conditionalFormatting sqref="D11:J11">
    <cfRule type="containsText" dxfId="11528" priority="238" operator="containsText" text="LWOP UA">
      <formula>NOT(ISERROR(SEARCH("LWOP UA",D11)))</formula>
    </cfRule>
  </conditionalFormatting>
  <conditionalFormatting sqref="D12:J12">
    <cfRule type="containsText" dxfId="11527" priority="126" operator="containsText" text="LWOP UA">
      <formula>NOT(ISERROR(SEARCH("LWOP UA",D12)))</formula>
    </cfRule>
  </conditionalFormatting>
  <conditionalFormatting sqref="D13:J18">
    <cfRule type="containsText" dxfId="11526" priority="224" operator="containsText" text="LWOP UA">
      <formula>NOT(ISERROR(SEARCH("LWOP UA",D13)))</formula>
    </cfRule>
  </conditionalFormatting>
  <conditionalFormatting sqref="D19:J19">
    <cfRule type="containsText" dxfId="11525" priority="112" operator="containsText" text="LWOP UA">
      <formula>NOT(ISERROR(SEARCH("LWOP UA",D19)))</formula>
    </cfRule>
  </conditionalFormatting>
  <conditionalFormatting sqref="D20:J32 D66:J73 D82:J94">
    <cfRule type="containsText" dxfId="11524" priority="273" operator="containsText" text="RD">
      <formula>NOT(ISERROR(SEARCH("RD",D20)))</formula>
    </cfRule>
    <cfRule type="containsText" dxfId="11523" priority="274" operator="containsText" text="540">
      <formula>NOT(ISERROR(SEARCH("540",D20)))</formula>
    </cfRule>
    <cfRule type="cellIs" dxfId="11522" priority="275" operator="between">
      <formula>1</formula>
      <formula>400</formula>
    </cfRule>
  </conditionalFormatting>
  <conditionalFormatting sqref="D33:J33">
    <cfRule type="containsText" dxfId="11521" priority="210" operator="containsText" text="LWOP UA">
      <formula>NOT(ISERROR(SEARCH("LWOP UA",D33)))</formula>
    </cfRule>
  </conditionalFormatting>
  <conditionalFormatting sqref="D33:J65">
    <cfRule type="containsText" dxfId="11520" priority="29" operator="containsText" text="VL">
      <formula>NOT(ISERROR(SEARCH("VL",D33)))</formula>
    </cfRule>
    <cfRule type="containsText" dxfId="11519" priority="30" operator="containsText" text="RD">
      <formula>NOT(ISERROR(SEARCH("RD",D33)))</formula>
    </cfRule>
    <cfRule type="containsText" dxfId="11518" priority="31" operator="containsText" text="540">
      <formula>NOT(ISERROR(SEARCH("540",D33)))</formula>
    </cfRule>
    <cfRule type="cellIs" dxfId="11517" priority="32" operator="between">
      <formula>1</formula>
      <formula>400</formula>
    </cfRule>
  </conditionalFormatting>
  <conditionalFormatting sqref="D35:J38">
    <cfRule type="containsText" dxfId="11516" priority="188" operator="containsText" text="P">
      <formula>NOT(ISERROR(SEARCH("P",D35)))</formula>
    </cfRule>
    <cfRule type="containsText" dxfId="11515" priority="189" operator="containsText" text="TFO">
      <formula>NOT(ISERROR(SEARCH("TFO",D35)))</formula>
    </cfRule>
    <cfRule type="containsText" dxfId="11514" priority="190" operator="containsText" text="AA">
      <formula>NOT(ISERROR(SEARCH("AA",D35)))</formula>
    </cfRule>
    <cfRule type="containsText" dxfId="11513" priority="191" operator="containsText" text="RESIGNED">
      <formula>NOT(ISERROR(SEARCH("RESIGNED",D35)))</formula>
    </cfRule>
    <cfRule type="containsText" dxfId="11512" priority="192" operator="containsText" text="P">
      <formula>NOT(ISERROR(SEARCH("P",D35)))</formula>
    </cfRule>
    <cfRule type="containsText" dxfId="11511" priority="193" operator="containsText" text="TARDY">
      <formula>NOT(ISERROR(SEARCH("TARDY",D35)))</formula>
    </cfRule>
    <cfRule type="containsText" dxfId="11510" priority="194" operator="containsText" text="REST DAY">
      <formula>NOT(ISERROR(SEARCH("REST DAY",D35)))</formula>
    </cfRule>
    <cfRule type="containsText" dxfId="11509" priority="195" operator="containsText" text="UA">
      <formula>NOT(ISERROR(SEARCH("UA",D35)))</formula>
    </cfRule>
  </conditionalFormatting>
  <conditionalFormatting sqref="D35:J39">
    <cfRule type="containsText" dxfId="11508" priority="56" operator="containsText" text="LWOP UA">
      <formula>NOT(ISERROR(SEARCH("LWOP UA",D35)))</formula>
    </cfRule>
  </conditionalFormatting>
  <conditionalFormatting sqref="D40:J55">
    <cfRule type="containsText" dxfId="11507" priority="182" operator="containsText" text="LWOP UA">
      <formula>NOT(ISERROR(SEARCH("LWOP UA",D40)))</formula>
    </cfRule>
  </conditionalFormatting>
  <conditionalFormatting sqref="D60:J65">
    <cfRule type="containsText" dxfId="11506" priority="42" operator="containsText" text="LWOP UA">
      <formula>NOT(ISERROR(SEARCH("LWOP UA",D60)))</formula>
    </cfRule>
  </conditionalFormatting>
  <conditionalFormatting sqref="D74:J81">
    <cfRule type="containsText" dxfId="11505" priority="1" operator="containsText" text="VL">
      <formula>NOT(ISERROR(SEARCH("VL",D74)))</formula>
    </cfRule>
    <cfRule type="containsText" dxfId="11504" priority="2" operator="containsText" text="RD">
      <formula>NOT(ISERROR(SEARCH("RD",D74)))</formula>
    </cfRule>
    <cfRule type="containsText" dxfId="11503" priority="3" operator="containsText" text="540">
      <formula>NOT(ISERROR(SEARCH("540",D74)))</formula>
    </cfRule>
    <cfRule type="cellIs" dxfId="11502" priority="4" operator="between">
      <formula>1</formula>
      <formula>400</formula>
    </cfRule>
  </conditionalFormatting>
  <conditionalFormatting sqref="D75:J75 D76 D77:E78">
    <cfRule type="containsText" dxfId="11501" priority="145" operator="containsText" text="LWOP UA">
      <formula>NOT(ISERROR(SEARCH("LWOP UA",D75)))</formula>
    </cfRule>
    <cfRule type="containsText" dxfId="11500" priority="146" operator="containsText" text="P">
      <formula>NOT(ISERROR(SEARCH("P",D75)))</formula>
    </cfRule>
    <cfRule type="containsText" dxfId="11499" priority="147" operator="containsText" text="TFO">
      <formula>NOT(ISERROR(SEARCH("TFO",D75)))</formula>
    </cfRule>
    <cfRule type="containsText" dxfId="11498" priority="148" operator="containsText" text="AA">
      <formula>NOT(ISERROR(SEARCH("AA",D75)))</formula>
    </cfRule>
    <cfRule type="containsText" dxfId="11497" priority="149" operator="containsText" text="RESIGNED">
      <formula>NOT(ISERROR(SEARCH("RESIGNED",D75)))</formula>
    </cfRule>
    <cfRule type="containsText" dxfId="11496" priority="150" operator="containsText" text="P">
      <formula>NOT(ISERROR(SEARCH("P",D75)))</formula>
    </cfRule>
    <cfRule type="containsText" dxfId="11495" priority="151" operator="containsText" text="TARDY">
      <formula>NOT(ISERROR(SEARCH("TARDY",D75)))</formula>
    </cfRule>
    <cfRule type="containsText" dxfId="11494" priority="152" operator="containsText" text="REST DAY">
      <formula>NOT(ISERROR(SEARCH("REST DAY",D75)))</formula>
    </cfRule>
    <cfRule type="containsText" dxfId="11493" priority="153" operator="containsText" text="UA">
      <formula>NOT(ISERROR(SEARCH("UA",D75)))</formula>
    </cfRule>
  </conditionalFormatting>
  <conditionalFormatting sqref="D81:J81">
    <cfRule type="containsText" dxfId="11492" priority="14" operator="containsText" text="LWOP UA">
      <formula>NOT(ISERROR(SEARCH("LWOP UA",D81)))</formula>
    </cfRule>
  </conditionalFormatting>
  <conditionalFormatting sqref="D82:J94 D20:J32 D66:J73 F56:J59">
    <cfRule type="containsText" dxfId="11491" priority="285" operator="containsText" text="LWOP UA">
      <formula>NOT(ISERROR(SEARCH("LWOP UA",D20)))</formula>
    </cfRule>
  </conditionalFormatting>
  <conditionalFormatting sqref="D82:J94 D20:J32 D66:J73">
    <cfRule type="containsText" dxfId="11490" priority="272" operator="containsText" text="VL">
      <formula>NOT(ISERROR(SEARCH("VL",D20)))</formula>
    </cfRule>
  </conditionalFormatting>
  <conditionalFormatting sqref="F3:G4">
    <cfRule type="containsText" dxfId="11489" priority="131" operator="containsText" text="LWOP UA">
      <formula>NOT(ISERROR(SEARCH("LWOP UA",F3)))</formula>
    </cfRule>
    <cfRule type="containsText" dxfId="11488" priority="132" operator="containsText" text="P">
      <formula>NOT(ISERROR(SEARCH("P",F3)))</formula>
    </cfRule>
    <cfRule type="containsText" dxfId="11487" priority="133" operator="containsText" text="TFO">
      <formula>NOT(ISERROR(SEARCH("TFO",F3)))</formula>
    </cfRule>
    <cfRule type="containsText" dxfId="11486" priority="134" operator="containsText" text="AA">
      <formula>NOT(ISERROR(SEARCH("AA",F3)))</formula>
    </cfRule>
    <cfRule type="containsText" dxfId="11485" priority="135" operator="containsText" text="RESIGNED">
      <formula>NOT(ISERROR(SEARCH("RESIGNED",F3)))</formula>
    </cfRule>
    <cfRule type="containsText" dxfId="11484" priority="136" operator="containsText" text="P">
      <formula>NOT(ISERROR(SEARCH("P",F3)))</formula>
    </cfRule>
    <cfRule type="containsText" dxfId="11483" priority="137" operator="containsText" text="TARDY">
      <formula>NOT(ISERROR(SEARCH("TARDY",F3)))</formula>
    </cfRule>
    <cfRule type="containsText" dxfId="11482" priority="138" operator="containsText" text="REST DAY">
      <formula>NOT(ISERROR(SEARCH("REST DAY",F3)))</formula>
    </cfRule>
    <cfRule type="containsText" dxfId="11481" priority="139" operator="containsText" text="UA">
      <formula>NOT(ISERROR(SEARCH("UA",F3)))</formula>
    </cfRule>
  </conditionalFormatting>
  <conditionalFormatting sqref="F33:G33">
    <cfRule type="containsText" dxfId="11480" priority="201" operator="containsText" text="LWOP UA">
      <formula>NOT(ISERROR(SEARCH("LWOP UA",F33)))</formula>
    </cfRule>
    <cfRule type="containsText" dxfId="11479" priority="202" operator="containsText" text="P">
      <formula>NOT(ISERROR(SEARCH("P",F33)))</formula>
    </cfRule>
    <cfRule type="containsText" dxfId="11478" priority="203" operator="containsText" text="TFO">
      <formula>NOT(ISERROR(SEARCH("TFO",F33)))</formula>
    </cfRule>
    <cfRule type="containsText" dxfId="11477" priority="204" operator="containsText" text="AA">
      <formula>NOT(ISERROR(SEARCH("AA",F33)))</formula>
    </cfRule>
    <cfRule type="containsText" dxfId="11476" priority="205" operator="containsText" text="RESIGNED">
      <formula>NOT(ISERROR(SEARCH("RESIGNED",F33)))</formula>
    </cfRule>
    <cfRule type="containsText" dxfId="11475" priority="206" operator="containsText" text="P">
      <formula>NOT(ISERROR(SEARCH("P",F33)))</formula>
    </cfRule>
    <cfRule type="containsText" dxfId="11474" priority="207" operator="containsText" text="TARDY">
      <formula>NOT(ISERROR(SEARCH("TARDY",F33)))</formula>
    </cfRule>
    <cfRule type="containsText" dxfId="11473" priority="208" operator="containsText" text="REST DAY">
      <formula>NOT(ISERROR(SEARCH("REST DAY",F33)))</formula>
    </cfRule>
    <cfRule type="containsText" dxfId="11472" priority="209" operator="containsText" text="UA">
      <formula>NOT(ISERROR(SEARCH("UA",F33)))</formula>
    </cfRule>
  </conditionalFormatting>
  <conditionalFormatting sqref="F39:G39">
    <cfRule type="containsText" dxfId="11471" priority="47" operator="containsText" text="LWOP UA">
      <formula>NOT(ISERROR(SEARCH("LWOP UA",F39)))</formula>
    </cfRule>
    <cfRule type="containsText" dxfId="11470" priority="48" operator="containsText" text="P">
      <formula>NOT(ISERROR(SEARCH("P",F39)))</formula>
    </cfRule>
    <cfRule type="containsText" dxfId="11469" priority="49" operator="containsText" text="TFO">
      <formula>NOT(ISERROR(SEARCH("TFO",F39)))</formula>
    </cfRule>
    <cfRule type="containsText" dxfId="11468" priority="50" operator="containsText" text="AA">
      <formula>NOT(ISERROR(SEARCH("AA",F39)))</formula>
    </cfRule>
    <cfRule type="containsText" dxfId="11467" priority="51" operator="containsText" text="RESIGNED">
      <formula>NOT(ISERROR(SEARCH("RESIGNED",F39)))</formula>
    </cfRule>
    <cfRule type="containsText" dxfId="11466" priority="52" operator="containsText" text="P">
      <formula>NOT(ISERROR(SEARCH("P",F39)))</formula>
    </cfRule>
    <cfRule type="containsText" dxfId="11465" priority="53" operator="containsText" text="TARDY">
      <formula>NOT(ISERROR(SEARCH("TARDY",F39)))</formula>
    </cfRule>
    <cfRule type="containsText" dxfId="11464" priority="54" operator="containsText" text="REST DAY">
      <formula>NOT(ISERROR(SEARCH("REST DAY",F39)))</formula>
    </cfRule>
    <cfRule type="containsText" dxfId="11463" priority="55" operator="containsText" text="UA">
      <formula>NOT(ISERROR(SEARCH("UA",F39)))</formula>
    </cfRule>
  </conditionalFormatting>
  <conditionalFormatting sqref="F65:G65">
    <cfRule type="containsText" dxfId="11462" priority="33" operator="containsText" text="LWOP UA">
      <formula>NOT(ISERROR(SEARCH("LWOP UA",F65)))</formula>
    </cfRule>
    <cfRule type="containsText" dxfId="11461" priority="34" operator="containsText" text="P">
      <formula>NOT(ISERROR(SEARCH("P",F65)))</formula>
    </cfRule>
    <cfRule type="containsText" dxfId="11460" priority="35" operator="containsText" text="TFO">
      <formula>NOT(ISERROR(SEARCH("TFO",F65)))</formula>
    </cfRule>
    <cfRule type="containsText" dxfId="11459" priority="36" operator="containsText" text="AA">
      <formula>NOT(ISERROR(SEARCH("AA",F65)))</formula>
    </cfRule>
    <cfRule type="containsText" dxfId="11458" priority="37" operator="containsText" text="RESIGNED">
      <formula>NOT(ISERROR(SEARCH("RESIGNED",F65)))</formula>
    </cfRule>
    <cfRule type="containsText" dxfId="11457" priority="38" operator="containsText" text="P">
      <formula>NOT(ISERROR(SEARCH("P",F65)))</formula>
    </cfRule>
    <cfRule type="containsText" dxfId="11456" priority="39" operator="containsText" text="TARDY">
      <formula>NOT(ISERROR(SEARCH("TARDY",F65)))</formula>
    </cfRule>
    <cfRule type="containsText" dxfId="11455" priority="40" operator="containsText" text="REST DAY">
      <formula>NOT(ISERROR(SEARCH("REST DAY",F65)))</formula>
    </cfRule>
    <cfRule type="containsText" dxfId="11454" priority="41" operator="containsText" text="UA">
      <formula>NOT(ISERROR(SEARCH("UA",F65)))</formula>
    </cfRule>
  </conditionalFormatting>
  <conditionalFormatting sqref="F74:G74">
    <cfRule type="containsText" dxfId="11453" priority="19" operator="containsText" text="LWOP UA">
      <formula>NOT(ISERROR(SEARCH("LWOP UA",F74)))</formula>
    </cfRule>
    <cfRule type="containsText" dxfId="11452" priority="20" operator="containsText" text="P">
      <formula>NOT(ISERROR(SEARCH("P",F74)))</formula>
    </cfRule>
    <cfRule type="containsText" dxfId="11451" priority="21" operator="containsText" text="TFO">
      <formula>NOT(ISERROR(SEARCH("TFO",F74)))</formula>
    </cfRule>
    <cfRule type="containsText" dxfId="11450" priority="22" operator="containsText" text="AA">
      <formula>NOT(ISERROR(SEARCH("AA",F74)))</formula>
    </cfRule>
    <cfRule type="containsText" dxfId="11449" priority="23" operator="containsText" text="RESIGNED">
      <formula>NOT(ISERROR(SEARCH("RESIGNED",F74)))</formula>
    </cfRule>
    <cfRule type="containsText" dxfId="11448" priority="24" operator="containsText" text="P">
      <formula>NOT(ISERROR(SEARCH("P",F74)))</formula>
    </cfRule>
    <cfRule type="containsText" dxfId="11447" priority="25" operator="containsText" text="TARDY">
      <formula>NOT(ISERROR(SEARCH("TARDY",F74)))</formula>
    </cfRule>
    <cfRule type="containsText" dxfId="11446" priority="26" operator="containsText" text="REST DAY">
      <formula>NOT(ISERROR(SEARCH("REST DAY",F74)))</formula>
    </cfRule>
    <cfRule type="containsText" dxfId="11445" priority="27" operator="containsText" text="UA">
      <formula>NOT(ISERROR(SEARCH("UA",F74)))</formula>
    </cfRule>
  </conditionalFormatting>
  <conditionalFormatting sqref="F81:G81">
    <cfRule type="containsText" dxfId="11444" priority="5" operator="containsText" text="LWOP UA">
      <formula>NOT(ISERROR(SEARCH("LWOP UA",F81)))</formula>
    </cfRule>
    <cfRule type="containsText" dxfId="11443" priority="6" operator="containsText" text="P">
      <formula>NOT(ISERROR(SEARCH("P",F81)))</formula>
    </cfRule>
    <cfRule type="containsText" dxfId="11442" priority="7" operator="containsText" text="TFO">
      <formula>NOT(ISERROR(SEARCH("TFO",F81)))</formula>
    </cfRule>
    <cfRule type="containsText" dxfId="11441" priority="8" operator="containsText" text="AA">
      <formula>NOT(ISERROR(SEARCH("AA",F81)))</formula>
    </cfRule>
    <cfRule type="containsText" dxfId="11440" priority="9" operator="containsText" text="RESIGNED">
      <formula>NOT(ISERROR(SEARCH("RESIGNED",F81)))</formula>
    </cfRule>
    <cfRule type="containsText" dxfId="11439" priority="10" operator="containsText" text="P">
      <formula>NOT(ISERROR(SEARCH("P",F81)))</formula>
    </cfRule>
    <cfRule type="containsText" dxfId="11438" priority="11" operator="containsText" text="TARDY">
      <formula>NOT(ISERROR(SEARCH("TARDY",F81)))</formula>
    </cfRule>
    <cfRule type="containsText" dxfId="11437" priority="12" operator="containsText" text="REST DAY">
      <formula>NOT(ISERROR(SEARCH("REST DAY",F81)))</formula>
    </cfRule>
    <cfRule type="containsText" dxfId="11436" priority="13" operator="containsText" text="UA">
      <formula>NOT(ISERROR(SEARCH("UA",F81)))</formula>
    </cfRule>
  </conditionalFormatting>
  <conditionalFormatting sqref="F93:G93">
    <cfRule type="containsText" dxfId="11435" priority="276" operator="containsText" text="LWOP UA">
      <formula>NOT(ISERROR(SEARCH("LWOP UA",F93)))</formula>
    </cfRule>
    <cfRule type="containsText" dxfId="11434" priority="277" operator="containsText" text="P">
      <formula>NOT(ISERROR(SEARCH("P",F93)))</formula>
    </cfRule>
    <cfRule type="containsText" dxfId="11433" priority="278" operator="containsText" text="TFO">
      <formula>NOT(ISERROR(SEARCH("TFO",F93)))</formula>
    </cfRule>
    <cfRule type="containsText" dxfId="11432" priority="279" operator="containsText" text="AA">
      <formula>NOT(ISERROR(SEARCH("AA",F93)))</formula>
    </cfRule>
    <cfRule type="containsText" dxfId="11431" priority="280" operator="containsText" text="RESIGNED">
      <formula>NOT(ISERROR(SEARCH("RESIGNED",F93)))</formula>
    </cfRule>
    <cfRule type="containsText" dxfId="11430" priority="281" operator="containsText" text="P">
      <formula>NOT(ISERROR(SEARCH("P",F93)))</formula>
    </cfRule>
    <cfRule type="containsText" dxfId="11429" priority="282" operator="containsText" text="TARDY">
      <formula>NOT(ISERROR(SEARCH("TARDY",F93)))</formula>
    </cfRule>
    <cfRule type="containsText" dxfId="11428" priority="283" operator="containsText" text="REST DAY">
      <formula>NOT(ISERROR(SEARCH("REST DAY",F93)))</formula>
    </cfRule>
    <cfRule type="containsText" dxfId="11427" priority="284" operator="containsText" text="UA">
      <formula>NOT(ISERROR(SEARCH("UA",F93)))</formula>
    </cfRule>
  </conditionalFormatting>
  <conditionalFormatting sqref="F74:J74">
    <cfRule type="containsText" dxfId="11426" priority="28" operator="containsText" text="LWOP UA">
      <formula>NOT(ISERROR(SEARCH("LWOP UA",F74)))</formula>
    </cfRule>
  </conditionalFormatting>
  <conditionalFormatting sqref="G12:H12">
    <cfRule type="containsText" dxfId="11425" priority="117" operator="containsText" text="LWOP UA">
      <formula>NOT(ISERROR(SEARCH("LWOP UA",G12)))</formula>
    </cfRule>
    <cfRule type="containsText" dxfId="11424" priority="118" operator="containsText" text="P">
      <formula>NOT(ISERROR(SEARCH("P",G12)))</formula>
    </cfRule>
    <cfRule type="containsText" dxfId="11423" priority="119" operator="containsText" text="TFO">
      <formula>NOT(ISERROR(SEARCH("TFO",G12)))</formula>
    </cfRule>
    <cfRule type="containsText" dxfId="11422" priority="120" operator="containsText" text="AA">
      <formula>NOT(ISERROR(SEARCH("AA",G12)))</formula>
    </cfRule>
    <cfRule type="containsText" dxfId="11421" priority="121" operator="containsText" text="RESIGNED">
      <formula>NOT(ISERROR(SEARCH("RESIGNED",G12)))</formula>
    </cfRule>
    <cfRule type="containsText" dxfId="11420" priority="122" operator="containsText" text="P">
      <formula>NOT(ISERROR(SEARCH("P",G12)))</formula>
    </cfRule>
    <cfRule type="containsText" dxfId="11419" priority="123" operator="containsText" text="TARDY">
      <formula>NOT(ISERROR(SEARCH("TARDY",G12)))</formula>
    </cfRule>
    <cfRule type="containsText" dxfId="11418" priority="124" operator="containsText" text="REST DAY">
      <formula>NOT(ISERROR(SEARCH("REST DAY",G12)))</formula>
    </cfRule>
    <cfRule type="containsText" dxfId="11417" priority="125" operator="containsText" text="UA">
      <formula>NOT(ISERROR(SEARCH("UA",G12)))</formula>
    </cfRule>
  </conditionalFormatting>
  <conditionalFormatting sqref="G19:H19">
    <cfRule type="containsText" dxfId="11416" priority="103" operator="containsText" text="LWOP UA">
      <formula>NOT(ISERROR(SEARCH("LWOP UA",G19)))</formula>
    </cfRule>
    <cfRule type="containsText" dxfId="11415" priority="104" operator="containsText" text="P">
      <formula>NOT(ISERROR(SEARCH("P",G19)))</formula>
    </cfRule>
    <cfRule type="containsText" dxfId="11414" priority="105" operator="containsText" text="TFO">
      <formula>NOT(ISERROR(SEARCH("TFO",G19)))</formula>
    </cfRule>
    <cfRule type="containsText" dxfId="11413" priority="106" operator="containsText" text="AA">
      <formula>NOT(ISERROR(SEARCH("AA",G19)))</formula>
    </cfRule>
    <cfRule type="containsText" dxfId="11412" priority="107" operator="containsText" text="RESIGNED">
      <formula>NOT(ISERROR(SEARCH("RESIGNED",G19)))</formula>
    </cfRule>
    <cfRule type="containsText" dxfId="11411" priority="108" operator="containsText" text="P">
      <formula>NOT(ISERROR(SEARCH("P",G19)))</formula>
    </cfRule>
    <cfRule type="containsText" dxfId="11410" priority="109" operator="containsText" text="TARDY">
      <formula>NOT(ISERROR(SEARCH("TARDY",G19)))</formula>
    </cfRule>
    <cfRule type="containsText" dxfId="11409" priority="110" operator="containsText" text="REST DAY">
      <formula>NOT(ISERROR(SEARCH("REST DAY",G19)))</formula>
    </cfRule>
    <cfRule type="containsText" dxfId="11408" priority="111" operator="containsText" text="UA">
      <formula>NOT(ISERROR(SEARCH("UA",G19)))</formula>
    </cfRule>
  </conditionalFormatting>
  <conditionalFormatting sqref="G34:H34">
    <cfRule type="containsText" dxfId="11407" priority="61" operator="containsText" text="LWOP UA">
      <formula>NOT(ISERROR(SEARCH("LWOP UA",G34)))</formula>
    </cfRule>
    <cfRule type="containsText" dxfId="11406" priority="62" operator="containsText" text="P">
      <formula>NOT(ISERROR(SEARCH("P",G34)))</formula>
    </cfRule>
    <cfRule type="containsText" dxfId="11405" priority="63" operator="containsText" text="TFO">
      <formula>NOT(ISERROR(SEARCH("TFO",G34)))</formula>
    </cfRule>
    <cfRule type="containsText" dxfId="11404" priority="64" operator="containsText" text="AA">
      <formula>NOT(ISERROR(SEARCH("AA",G34)))</formula>
    </cfRule>
    <cfRule type="containsText" dxfId="11403" priority="65" operator="containsText" text="RESIGNED">
      <formula>NOT(ISERROR(SEARCH("RESIGNED",G34)))</formula>
    </cfRule>
    <cfRule type="containsText" dxfId="11402" priority="66" operator="containsText" text="P">
      <formula>NOT(ISERROR(SEARCH("P",G34)))</formula>
    </cfRule>
    <cfRule type="containsText" dxfId="11401" priority="67" operator="containsText" text="TARDY">
      <formula>NOT(ISERROR(SEARCH("TARDY",G34)))</formula>
    </cfRule>
    <cfRule type="containsText" dxfId="11400" priority="68" operator="containsText" text="REST DAY">
      <formula>NOT(ISERROR(SEARCH("REST DAY",G34)))</formula>
    </cfRule>
    <cfRule type="containsText" dxfId="11399" priority="69" operator="containsText" text="UA">
      <formula>NOT(ISERROR(SEARCH("UA",G34)))</formula>
    </cfRule>
  </conditionalFormatting>
  <conditionalFormatting sqref="I7:J7">
    <cfRule type="containsText" dxfId="11398" priority="243" operator="containsText" text="LWOP UA">
      <formula>NOT(ISERROR(SEARCH("LWOP UA",I7)))</formula>
    </cfRule>
    <cfRule type="containsText" dxfId="11397" priority="244" operator="containsText" text="P">
      <formula>NOT(ISERROR(SEARCH("P",I7)))</formula>
    </cfRule>
    <cfRule type="containsText" dxfId="11396" priority="245" operator="containsText" text="TFO">
      <formula>NOT(ISERROR(SEARCH("TFO",I7)))</formula>
    </cfRule>
    <cfRule type="containsText" dxfId="11395" priority="246" operator="containsText" text="AA">
      <formula>NOT(ISERROR(SEARCH("AA",I7)))</formula>
    </cfRule>
    <cfRule type="containsText" dxfId="11394" priority="247" operator="containsText" text="RESIGNED">
      <formula>NOT(ISERROR(SEARCH("RESIGNED",I7)))</formula>
    </cfRule>
    <cfRule type="containsText" dxfId="11393" priority="248" operator="containsText" text="P">
      <formula>NOT(ISERROR(SEARCH("P",I7)))</formula>
    </cfRule>
    <cfRule type="containsText" dxfId="11392" priority="249" operator="containsText" text="TARDY">
      <formula>NOT(ISERROR(SEARCH("TARDY",I7)))</formula>
    </cfRule>
    <cfRule type="containsText" dxfId="11391" priority="250" operator="containsText" text="REST DAY">
      <formula>NOT(ISERROR(SEARCH("REST DAY",I7)))</formula>
    </cfRule>
    <cfRule type="containsText" dxfId="11390" priority="251" operator="containsText" text="UA">
      <formula>NOT(ISERROR(SEARCH("UA",I7)))</formula>
    </cfRule>
  </conditionalFormatting>
  <conditionalFormatting sqref="I17:J17">
    <cfRule type="containsText" dxfId="11389" priority="215" operator="containsText" text="LWOP UA">
      <formula>NOT(ISERROR(SEARCH("LWOP UA",I17)))</formula>
    </cfRule>
    <cfRule type="containsText" dxfId="11388" priority="216" operator="containsText" text="P">
      <formula>NOT(ISERROR(SEARCH("P",I17)))</formula>
    </cfRule>
    <cfRule type="containsText" dxfId="11387" priority="217" operator="containsText" text="TFO">
      <formula>NOT(ISERROR(SEARCH("TFO",I17)))</formula>
    </cfRule>
    <cfRule type="containsText" dxfId="11386" priority="218" operator="containsText" text="AA">
      <formula>NOT(ISERROR(SEARCH("AA",I17)))</formula>
    </cfRule>
    <cfRule type="containsText" dxfId="11385" priority="219" operator="containsText" text="RESIGNED">
      <formula>NOT(ISERROR(SEARCH("RESIGNED",I17)))</formula>
    </cfRule>
    <cfRule type="containsText" dxfId="11384" priority="220" operator="containsText" text="P">
      <formula>NOT(ISERROR(SEARCH("P",I17)))</formula>
    </cfRule>
    <cfRule type="containsText" dxfId="11383" priority="221" operator="containsText" text="TARDY">
      <formula>NOT(ISERROR(SEARCH("TARDY",I17)))</formula>
    </cfRule>
    <cfRule type="containsText" dxfId="11382" priority="222" operator="containsText" text="REST DAY">
      <formula>NOT(ISERROR(SEARCH("REST DAY",I17)))</formula>
    </cfRule>
    <cfRule type="containsText" dxfId="11381" priority="223" operator="containsText" text="UA">
      <formula>NOT(ISERROR(SEARCH("UA",I17)))</formula>
    </cfRule>
  </conditionalFormatting>
  <conditionalFormatting sqref="I34:J35">
    <cfRule type="containsText" dxfId="11380" priority="196" operator="containsText" text="LWOP UA">
      <formula>NOT(ISERROR(SEARCH("LWOP UA",I34)))</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98BC5-FE5C-444E-BBF3-446F0D90ED3A}">
  <dimension ref="A1:Y116"/>
  <sheetViews>
    <sheetView workbookViewId="0">
      <selection activeCell="G14" sqref="G14"/>
    </sheetView>
  </sheetViews>
  <sheetFormatPr defaultRowHeight="15"/>
  <cols>
    <col min="1" max="1" width="9.140625" style="6"/>
    <col min="2" max="2" width="21.42578125" style="6" bestFit="1" customWidth="1"/>
    <col min="3" max="3" width="12" style="6" bestFit="1" customWidth="1"/>
    <col min="4" max="4" width="9.85546875" style="6" bestFit="1" customWidth="1"/>
    <col min="5" max="5" width="11.85546875" style="6" bestFit="1" customWidth="1"/>
    <col min="6" max="6" width="9.85546875" style="6" bestFit="1" customWidth="1"/>
    <col min="7" max="7" width="14" style="6" bestFit="1" customWidth="1"/>
    <col min="8" max="8" width="12.7109375" style="6" bestFit="1" customWidth="1"/>
    <col min="9" max="9" width="10.42578125" style="6" bestFit="1" customWidth="1"/>
    <col min="10" max="10" width="12.7109375" style="6" bestFit="1" customWidth="1"/>
    <col min="11" max="12" width="12.7109375" style="6" customWidth="1"/>
    <col min="17" max="18" width="10" bestFit="1" customWidth="1"/>
    <col min="20" max="20" width="9.5703125" bestFit="1" customWidth="1"/>
    <col min="24" max="24" width="30.85546875" bestFit="1" customWidth="1"/>
    <col min="25" max="25" width="21.7109375" bestFit="1" customWidth="1"/>
  </cols>
  <sheetData>
    <row r="1" spans="1:25">
      <c r="A1" s="1" t="s">
        <v>0</v>
      </c>
      <c r="B1" s="1" t="s">
        <v>2</v>
      </c>
      <c r="C1" s="1" t="s">
        <v>3</v>
      </c>
      <c r="D1" s="8" t="s">
        <v>135</v>
      </c>
      <c r="E1" s="8" t="s">
        <v>136</v>
      </c>
      <c r="F1" s="8" t="s">
        <v>137</v>
      </c>
      <c r="G1" s="8" t="s">
        <v>138</v>
      </c>
      <c r="H1" s="8" t="s">
        <v>139</v>
      </c>
      <c r="I1" s="8" t="s">
        <v>140</v>
      </c>
      <c r="J1" s="8" t="s">
        <v>141</v>
      </c>
      <c r="K1" s="8" t="s">
        <v>135</v>
      </c>
      <c r="L1" s="8" t="s">
        <v>136</v>
      </c>
      <c r="M1" s="1" t="s">
        <v>4</v>
      </c>
      <c r="N1" s="1" t="s">
        <v>5</v>
      </c>
      <c r="O1" s="1" t="s">
        <v>6</v>
      </c>
      <c r="P1" s="1" t="s">
        <v>7</v>
      </c>
      <c r="Q1" s="1" t="s">
        <v>8</v>
      </c>
      <c r="R1" s="1" t="s">
        <v>9</v>
      </c>
      <c r="S1" s="2" t="s">
        <v>12</v>
      </c>
      <c r="T1" s="2" t="s">
        <v>14</v>
      </c>
      <c r="U1" s="41" t="s">
        <v>13</v>
      </c>
      <c r="V1" s="41" t="s">
        <v>180</v>
      </c>
    </row>
    <row r="2" spans="1:25">
      <c r="A2" s="5" t="s">
        <v>22</v>
      </c>
      <c r="B2" s="5" t="s">
        <v>24</v>
      </c>
      <c r="C2" s="5" t="s">
        <v>25</v>
      </c>
      <c r="D2" s="9" t="s">
        <v>147</v>
      </c>
      <c r="E2" s="9" t="s">
        <v>14</v>
      </c>
      <c r="F2" s="9" t="s">
        <v>14</v>
      </c>
      <c r="G2" s="9" t="s">
        <v>148</v>
      </c>
      <c r="H2" s="9" t="s">
        <v>148</v>
      </c>
      <c r="I2" s="9" t="s">
        <v>148</v>
      </c>
      <c r="J2" s="9" t="s">
        <v>147</v>
      </c>
      <c r="K2" s="9" t="s">
        <v>147</v>
      </c>
      <c r="L2" s="43" t="s">
        <v>148</v>
      </c>
      <c r="M2" s="4">
        <v>0</v>
      </c>
      <c r="N2" s="6">
        <f>SUMIF(D2:L2,"450")</f>
        <v>0</v>
      </c>
      <c r="O2" s="4">
        <f>SUM(M2:N2)</f>
        <v>0</v>
      </c>
      <c r="P2" s="4">
        <f>450*4</f>
        <v>1800</v>
      </c>
      <c r="Q2" s="4">
        <f>P2-O2</f>
        <v>1800</v>
      </c>
      <c r="R2" s="45">
        <f>Q2/P2*100%</f>
        <v>1</v>
      </c>
      <c r="S2" s="4"/>
      <c r="T2" s="4">
        <v>3</v>
      </c>
    </row>
    <row r="3" spans="1:25">
      <c r="A3" s="5" t="s">
        <v>26</v>
      </c>
      <c r="B3" s="7" t="s">
        <v>28</v>
      </c>
      <c r="C3" s="34" t="s">
        <v>25</v>
      </c>
      <c r="D3" s="9">
        <v>3</v>
      </c>
      <c r="E3" s="9" t="s">
        <v>148</v>
      </c>
      <c r="F3" s="9" t="s">
        <v>147</v>
      </c>
      <c r="G3" s="9" t="s">
        <v>147</v>
      </c>
      <c r="H3" s="9" t="s">
        <v>148</v>
      </c>
      <c r="I3" s="9" t="s">
        <v>148</v>
      </c>
      <c r="J3" s="9" t="s">
        <v>148</v>
      </c>
      <c r="K3" s="43" t="s">
        <v>148</v>
      </c>
      <c r="L3" s="43" t="s">
        <v>148</v>
      </c>
      <c r="M3" s="6">
        <f>SUM(D3:L3)</f>
        <v>3</v>
      </c>
      <c r="N3" s="6">
        <f t="shared" ref="N3:N66" si="0">SUMIF(D3:L3,"450")</f>
        <v>0</v>
      </c>
      <c r="O3" s="4">
        <f t="shared" ref="O3:O62" si="1">SUM(M3:N3)</f>
        <v>3</v>
      </c>
      <c r="P3" s="4">
        <f>450*7</f>
        <v>3150</v>
      </c>
      <c r="Q3" s="4">
        <f t="shared" ref="Q3:Q64" si="2">P3-O3</f>
        <v>3147</v>
      </c>
      <c r="R3" s="45">
        <f t="shared" ref="R3:R64" si="3">Q3/P3*100%</f>
        <v>0.99904761904761907</v>
      </c>
      <c r="S3" s="6"/>
      <c r="T3" s="6"/>
    </row>
    <row r="4" spans="1:25">
      <c r="A4" s="5" t="s">
        <v>26</v>
      </c>
      <c r="B4" s="7" t="s">
        <v>29</v>
      </c>
      <c r="C4" s="34" t="s">
        <v>30</v>
      </c>
      <c r="D4" s="9">
        <v>2</v>
      </c>
      <c r="E4" s="47">
        <v>16</v>
      </c>
      <c r="F4" s="47" t="s">
        <v>147</v>
      </c>
      <c r="G4" s="47" t="s">
        <v>147</v>
      </c>
      <c r="H4" s="47">
        <v>4</v>
      </c>
      <c r="I4" s="47" t="s">
        <v>148</v>
      </c>
      <c r="J4" s="47" t="s">
        <v>148</v>
      </c>
      <c r="K4" s="43" t="s">
        <v>148</v>
      </c>
      <c r="L4" s="43">
        <v>5</v>
      </c>
      <c r="M4" s="6">
        <f>SUM(D4:L4)</f>
        <v>27</v>
      </c>
      <c r="N4" s="6">
        <f t="shared" si="0"/>
        <v>0</v>
      </c>
      <c r="O4" s="4">
        <f t="shared" si="1"/>
        <v>27</v>
      </c>
      <c r="P4" s="4">
        <f>450*7</f>
        <v>3150</v>
      </c>
      <c r="Q4" s="4">
        <f t="shared" si="2"/>
        <v>3123</v>
      </c>
      <c r="R4" s="45">
        <f t="shared" si="3"/>
        <v>0.99142857142857144</v>
      </c>
      <c r="S4" s="6"/>
      <c r="T4" s="6"/>
      <c r="X4" s="13" t="s">
        <v>142</v>
      </c>
      <c r="Y4" t="s">
        <v>165</v>
      </c>
    </row>
    <row r="5" spans="1:25">
      <c r="A5" s="5" t="s">
        <v>22</v>
      </c>
      <c r="B5" s="5" t="s">
        <v>32</v>
      </c>
      <c r="C5" s="5" t="s">
        <v>33</v>
      </c>
      <c r="D5" s="9" t="s">
        <v>147</v>
      </c>
      <c r="E5" s="9">
        <v>2</v>
      </c>
      <c r="F5" s="9" t="s">
        <v>148</v>
      </c>
      <c r="G5" s="9" t="s">
        <v>148</v>
      </c>
      <c r="H5" s="9">
        <v>4</v>
      </c>
      <c r="I5" s="9" t="s">
        <v>148</v>
      </c>
      <c r="J5" s="9" t="s">
        <v>147</v>
      </c>
      <c r="K5" s="9" t="s">
        <v>147</v>
      </c>
      <c r="L5" s="9" t="s">
        <v>148</v>
      </c>
      <c r="M5" s="6">
        <f>E5+H5</f>
        <v>6</v>
      </c>
      <c r="N5" s="6">
        <f t="shared" si="0"/>
        <v>0</v>
      </c>
      <c r="O5" s="4">
        <f t="shared" si="1"/>
        <v>6</v>
      </c>
      <c r="P5" s="4">
        <f>450*6</f>
        <v>2700</v>
      </c>
      <c r="Q5" s="4">
        <f t="shared" si="2"/>
        <v>2694</v>
      </c>
      <c r="R5" s="45">
        <f t="shared" si="3"/>
        <v>0.99777777777777776</v>
      </c>
      <c r="S5" s="6"/>
      <c r="T5" s="6"/>
      <c r="X5" s="14" t="s">
        <v>111</v>
      </c>
      <c r="Y5" s="46">
        <v>1</v>
      </c>
    </row>
    <row r="6" spans="1:25">
      <c r="A6" s="5" t="s">
        <v>26</v>
      </c>
      <c r="B6" s="7" t="s">
        <v>35</v>
      </c>
      <c r="C6" s="5" t="s">
        <v>40</v>
      </c>
      <c r="D6" s="9" t="s">
        <v>147</v>
      </c>
      <c r="E6" s="48">
        <v>3</v>
      </c>
      <c r="F6" s="48" t="s">
        <v>148</v>
      </c>
      <c r="G6" s="48" t="s">
        <v>148</v>
      </c>
      <c r="H6" s="48" t="s">
        <v>148</v>
      </c>
      <c r="I6" s="48" t="s">
        <v>148</v>
      </c>
      <c r="J6" s="48" t="s">
        <v>147</v>
      </c>
      <c r="K6" s="43" t="s">
        <v>147</v>
      </c>
      <c r="L6" s="43" t="s">
        <v>148</v>
      </c>
      <c r="M6" s="6">
        <f>SUM(D6:L6)</f>
        <v>3</v>
      </c>
      <c r="N6" s="6">
        <f t="shared" si="0"/>
        <v>0</v>
      </c>
      <c r="O6" s="4">
        <f t="shared" si="1"/>
        <v>3</v>
      </c>
      <c r="P6" s="4">
        <f>450*6</f>
        <v>2700</v>
      </c>
      <c r="Q6" s="4">
        <f t="shared" si="2"/>
        <v>2697</v>
      </c>
      <c r="R6" s="45">
        <f t="shared" si="3"/>
        <v>0.99888888888888894</v>
      </c>
      <c r="S6" s="6"/>
      <c r="T6" s="6"/>
      <c r="X6" s="24" t="s">
        <v>40</v>
      </c>
      <c r="Y6" s="46">
        <v>1</v>
      </c>
    </row>
    <row r="7" spans="1:25">
      <c r="A7" s="5" t="s">
        <v>37</v>
      </c>
      <c r="B7" s="5" t="s">
        <v>39</v>
      </c>
      <c r="C7" s="5" t="s">
        <v>40</v>
      </c>
      <c r="D7" s="9" t="s">
        <v>148</v>
      </c>
      <c r="E7" s="47">
        <v>6</v>
      </c>
      <c r="F7" s="47" t="s">
        <v>148</v>
      </c>
      <c r="G7" s="47" t="s">
        <v>148</v>
      </c>
      <c r="H7" s="47" t="s">
        <v>148</v>
      </c>
      <c r="I7" s="47" t="s">
        <v>147</v>
      </c>
      <c r="J7" s="47" t="s">
        <v>147</v>
      </c>
      <c r="K7" s="43" t="s">
        <v>148</v>
      </c>
      <c r="L7" s="43">
        <v>3</v>
      </c>
      <c r="M7" s="6">
        <f>SUM(D7:L7)</f>
        <v>9</v>
      </c>
      <c r="N7" s="6">
        <f t="shared" si="0"/>
        <v>0</v>
      </c>
      <c r="O7" s="4">
        <f t="shared" si="1"/>
        <v>9</v>
      </c>
      <c r="P7" s="4">
        <f>450*8</f>
        <v>3600</v>
      </c>
      <c r="Q7" s="4">
        <f t="shared" si="2"/>
        <v>3591</v>
      </c>
      <c r="R7" s="45">
        <f t="shared" si="3"/>
        <v>0.99750000000000005</v>
      </c>
      <c r="S7" s="6"/>
      <c r="T7" s="6"/>
      <c r="X7" s="40" t="s">
        <v>110</v>
      </c>
      <c r="Y7" s="46">
        <v>1</v>
      </c>
    </row>
    <row r="8" spans="1:25">
      <c r="A8" s="5" t="s">
        <v>22</v>
      </c>
      <c r="B8" s="5" t="s">
        <v>41</v>
      </c>
      <c r="C8" s="5" t="s">
        <v>33</v>
      </c>
      <c r="D8" s="9" t="s">
        <v>147</v>
      </c>
      <c r="E8" s="9">
        <v>450</v>
      </c>
      <c r="F8" s="9" t="s">
        <v>148</v>
      </c>
      <c r="G8" s="9">
        <v>13</v>
      </c>
      <c r="H8" s="9" t="s">
        <v>148</v>
      </c>
      <c r="I8" s="9">
        <v>8</v>
      </c>
      <c r="J8" s="9" t="s">
        <v>147</v>
      </c>
      <c r="K8" s="9" t="s">
        <v>147</v>
      </c>
      <c r="L8" s="9">
        <v>9</v>
      </c>
      <c r="M8" s="6">
        <f>SUM(F8:I8)</f>
        <v>21</v>
      </c>
      <c r="N8" s="6">
        <f>SUMIF(D8:L8,"450")</f>
        <v>450</v>
      </c>
      <c r="O8" s="4">
        <f t="shared" si="1"/>
        <v>471</v>
      </c>
      <c r="P8" s="4">
        <f>450*5</f>
        <v>2250</v>
      </c>
      <c r="Q8" s="4">
        <f t="shared" si="2"/>
        <v>1779</v>
      </c>
      <c r="R8" s="45">
        <f t="shared" si="3"/>
        <v>0.79066666666666663</v>
      </c>
      <c r="S8" s="6"/>
      <c r="T8" s="6"/>
      <c r="V8">
        <v>1</v>
      </c>
      <c r="X8" s="14" t="s">
        <v>22</v>
      </c>
      <c r="Y8" s="46">
        <v>0.94288240740740736</v>
      </c>
    </row>
    <row r="9" spans="1:25">
      <c r="A9" s="5" t="s">
        <v>22</v>
      </c>
      <c r="B9" s="5" t="s">
        <v>42</v>
      </c>
      <c r="C9" s="5" t="s">
        <v>25</v>
      </c>
      <c r="D9" s="9" t="s">
        <v>147</v>
      </c>
      <c r="E9" s="48" t="s">
        <v>148</v>
      </c>
      <c r="F9" s="48">
        <v>4</v>
      </c>
      <c r="G9" s="48" t="s">
        <v>148</v>
      </c>
      <c r="H9" s="48" t="s">
        <v>148</v>
      </c>
      <c r="I9" s="48" t="s">
        <v>148</v>
      </c>
      <c r="J9" s="48" t="s">
        <v>147</v>
      </c>
      <c r="K9" s="48" t="s">
        <v>147</v>
      </c>
      <c r="L9" s="43" t="s">
        <v>148</v>
      </c>
      <c r="M9" s="6">
        <f>SUM(D9:I9)</f>
        <v>4</v>
      </c>
      <c r="N9" s="6">
        <f t="shared" si="0"/>
        <v>0</v>
      </c>
      <c r="O9" s="4">
        <f t="shared" si="1"/>
        <v>4</v>
      </c>
      <c r="P9" s="4">
        <f>450*6</f>
        <v>2700</v>
      </c>
      <c r="Q9" s="4">
        <f t="shared" si="2"/>
        <v>2696</v>
      </c>
      <c r="R9" s="45">
        <f t="shared" si="3"/>
        <v>0.99851851851851847</v>
      </c>
      <c r="S9" s="6"/>
      <c r="T9" s="6"/>
      <c r="X9" s="24" t="s">
        <v>30</v>
      </c>
      <c r="Y9" s="46">
        <v>0.99181481481481482</v>
      </c>
    </row>
    <row r="10" spans="1:25">
      <c r="A10" s="5" t="s">
        <v>22</v>
      </c>
      <c r="B10" s="5" t="s">
        <v>43</v>
      </c>
      <c r="C10" s="5" t="s">
        <v>25</v>
      </c>
      <c r="D10" s="9" t="s">
        <v>147</v>
      </c>
      <c r="E10" s="9">
        <v>3</v>
      </c>
      <c r="F10" s="9" t="s">
        <v>148</v>
      </c>
      <c r="G10" s="9" t="s">
        <v>148</v>
      </c>
      <c r="H10" s="9" t="s">
        <v>148</v>
      </c>
      <c r="I10" s="9" t="s">
        <v>148</v>
      </c>
      <c r="J10" s="9" t="s">
        <v>147</v>
      </c>
      <c r="K10" s="9" t="s">
        <v>147</v>
      </c>
      <c r="L10" s="43" t="s">
        <v>148</v>
      </c>
      <c r="M10" s="6">
        <f>SUM(D10:I10)</f>
        <v>3</v>
      </c>
      <c r="N10" s="6">
        <f t="shared" si="0"/>
        <v>0</v>
      </c>
      <c r="O10" s="4">
        <f t="shared" si="1"/>
        <v>3</v>
      </c>
      <c r="P10" s="4">
        <f>450*6</f>
        <v>2700</v>
      </c>
      <c r="Q10" s="4">
        <f t="shared" si="2"/>
        <v>2697</v>
      </c>
      <c r="R10" s="45">
        <f t="shared" si="3"/>
        <v>0.99888888888888894</v>
      </c>
      <c r="S10" s="6"/>
      <c r="T10" s="6"/>
      <c r="X10" s="40" t="s">
        <v>67</v>
      </c>
      <c r="Y10" s="46">
        <v>1</v>
      </c>
    </row>
    <row r="11" spans="1:25">
      <c r="A11" s="5" t="s">
        <v>37</v>
      </c>
      <c r="B11" s="5" t="s">
        <v>44</v>
      </c>
      <c r="C11" s="5" t="s">
        <v>40</v>
      </c>
      <c r="D11" s="9" t="s">
        <v>147</v>
      </c>
      <c r="E11" s="9" t="s">
        <v>147</v>
      </c>
      <c r="F11" s="9" t="s">
        <v>148</v>
      </c>
      <c r="G11" s="9" t="s">
        <v>148</v>
      </c>
      <c r="H11" s="9" t="s">
        <v>148</v>
      </c>
      <c r="I11" s="9" t="s">
        <v>148</v>
      </c>
      <c r="J11" s="9" t="s">
        <v>148</v>
      </c>
      <c r="K11" s="43" t="s">
        <v>147</v>
      </c>
      <c r="L11" s="43" t="s">
        <v>147</v>
      </c>
      <c r="M11" s="6">
        <f>SUM(D11:I11)</f>
        <v>0</v>
      </c>
      <c r="N11" s="6">
        <f t="shared" si="0"/>
        <v>0</v>
      </c>
      <c r="O11" s="4">
        <f t="shared" si="1"/>
        <v>0</v>
      </c>
      <c r="P11" s="4">
        <f t="shared" ref="P11:P56" si="4">450*5</f>
        <v>2250</v>
      </c>
      <c r="Q11" s="4">
        <f t="shared" si="2"/>
        <v>2250</v>
      </c>
      <c r="R11" s="45">
        <f t="shared" si="3"/>
        <v>1</v>
      </c>
      <c r="S11" s="6"/>
      <c r="T11" s="6"/>
      <c r="X11" s="40" t="s">
        <v>69</v>
      </c>
      <c r="Y11" s="46">
        <v>0.91851851851851851</v>
      </c>
    </row>
    <row r="12" spans="1:25">
      <c r="A12" s="5" t="s">
        <v>26</v>
      </c>
      <c r="B12" s="7" t="s">
        <v>45</v>
      </c>
      <c r="C12" s="34" t="s">
        <v>30</v>
      </c>
      <c r="D12" s="9" t="s">
        <v>148</v>
      </c>
      <c r="E12" s="47" t="s">
        <v>148</v>
      </c>
      <c r="F12" s="47" t="s">
        <v>148</v>
      </c>
      <c r="G12" s="47" t="s">
        <v>147</v>
      </c>
      <c r="H12" s="47" t="s">
        <v>147</v>
      </c>
      <c r="I12" s="47" t="s">
        <v>148</v>
      </c>
      <c r="J12" s="47" t="s">
        <v>148</v>
      </c>
      <c r="K12" s="43" t="s">
        <v>148</v>
      </c>
      <c r="L12" s="43" t="s">
        <v>14</v>
      </c>
      <c r="M12" s="6">
        <f t="shared" ref="M12:M18" si="5">SUM(D12:L12)</f>
        <v>0</v>
      </c>
      <c r="N12" s="6">
        <f t="shared" si="0"/>
        <v>0</v>
      </c>
      <c r="O12" s="4">
        <f t="shared" si="1"/>
        <v>0</v>
      </c>
      <c r="P12" s="4">
        <f>450*7</f>
        <v>3150</v>
      </c>
      <c r="Q12" s="4">
        <f t="shared" si="2"/>
        <v>3150</v>
      </c>
      <c r="R12" s="45">
        <f t="shared" si="3"/>
        <v>1</v>
      </c>
      <c r="S12" s="6"/>
      <c r="T12" s="6">
        <v>1</v>
      </c>
      <c r="X12" s="40" t="s">
        <v>72</v>
      </c>
      <c r="Y12" s="46">
        <v>1</v>
      </c>
    </row>
    <row r="13" spans="1:25">
      <c r="A13" s="5" t="s">
        <v>26</v>
      </c>
      <c r="B13" s="7" t="s">
        <v>47</v>
      </c>
      <c r="C13" s="34" t="s">
        <v>33</v>
      </c>
      <c r="D13" s="9" t="s">
        <v>147</v>
      </c>
      <c r="E13" s="9" t="s">
        <v>148</v>
      </c>
      <c r="F13" s="9" t="s">
        <v>148</v>
      </c>
      <c r="G13" s="9">
        <v>5</v>
      </c>
      <c r="H13" s="9" t="s">
        <v>148</v>
      </c>
      <c r="I13" s="9">
        <v>1</v>
      </c>
      <c r="J13" s="9" t="s">
        <v>147</v>
      </c>
      <c r="K13" s="9" t="s">
        <v>147</v>
      </c>
      <c r="L13" s="9">
        <v>18</v>
      </c>
      <c r="M13" s="6">
        <f t="shared" si="5"/>
        <v>24</v>
      </c>
      <c r="N13" s="6">
        <f t="shared" si="0"/>
        <v>0</v>
      </c>
      <c r="O13" s="4">
        <f t="shared" si="1"/>
        <v>24</v>
      </c>
      <c r="P13" s="4">
        <f>450*6</f>
        <v>2700</v>
      </c>
      <c r="Q13" s="4">
        <f t="shared" si="2"/>
        <v>2676</v>
      </c>
      <c r="R13" s="45">
        <f t="shared" si="3"/>
        <v>0.99111111111111116</v>
      </c>
      <c r="S13" s="6"/>
      <c r="T13" s="6">
        <v>1</v>
      </c>
      <c r="X13" s="40" t="s">
        <v>77</v>
      </c>
      <c r="Y13" s="46">
        <v>1</v>
      </c>
    </row>
    <row r="14" spans="1:25">
      <c r="A14" s="5" t="s">
        <v>26</v>
      </c>
      <c r="B14" s="7" t="s">
        <v>49</v>
      </c>
      <c r="C14" s="5" t="s">
        <v>40</v>
      </c>
      <c r="D14" s="9" t="s">
        <v>147</v>
      </c>
      <c r="E14" s="48" t="s">
        <v>148</v>
      </c>
      <c r="F14" s="48" t="s">
        <v>148</v>
      </c>
      <c r="G14" s="48" t="s">
        <v>148</v>
      </c>
      <c r="H14" s="48" t="s">
        <v>148</v>
      </c>
      <c r="I14" s="48" t="s">
        <v>148</v>
      </c>
      <c r="J14" s="48" t="s">
        <v>147</v>
      </c>
      <c r="K14" s="43" t="s">
        <v>147</v>
      </c>
      <c r="L14" s="43" t="s">
        <v>148</v>
      </c>
      <c r="M14" s="6">
        <f t="shared" si="5"/>
        <v>0</v>
      </c>
      <c r="N14" s="6">
        <f t="shared" si="0"/>
        <v>0</v>
      </c>
      <c r="O14" s="4">
        <f t="shared" si="1"/>
        <v>0</v>
      </c>
      <c r="P14" s="4">
        <f>450*6</f>
        <v>2700</v>
      </c>
      <c r="Q14" s="4">
        <f t="shared" si="2"/>
        <v>2700</v>
      </c>
      <c r="R14" s="45">
        <f t="shared" si="3"/>
        <v>1</v>
      </c>
      <c r="S14" s="6"/>
      <c r="T14" s="6"/>
      <c r="X14" s="40" t="s">
        <v>91</v>
      </c>
      <c r="Y14" s="46">
        <v>0.99962962962962965</v>
      </c>
    </row>
    <row r="15" spans="1:25">
      <c r="A15" s="5" t="s">
        <v>26</v>
      </c>
      <c r="B15" s="7" t="s">
        <v>51</v>
      </c>
      <c r="C15" s="34" t="s">
        <v>25</v>
      </c>
      <c r="D15" s="9" t="s">
        <v>147</v>
      </c>
      <c r="E15" s="9">
        <v>97</v>
      </c>
      <c r="F15" s="9" t="s">
        <v>148</v>
      </c>
      <c r="G15" s="9" t="s">
        <v>148</v>
      </c>
      <c r="H15" s="9">
        <v>15</v>
      </c>
      <c r="I15" s="9" t="s">
        <v>148</v>
      </c>
      <c r="J15" s="9" t="s">
        <v>147</v>
      </c>
      <c r="K15" s="43" t="s">
        <v>147</v>
      </c>
      <c r="L15" s="43" t="s">
        <v>148</v>
      </c>
      <c r="M15" s="6">
        <f t="shared" si="5"/>
        <v>112</v>
      </c>
      <c r="N15" s="6">
        <f t="shared" si="0"/>
        <v>0</v>
      </c>
      <c r="O15" s="4">
        <f t="shared" si="1"/>
        <v>112</v>
      </c>
      <c r="P15" s="4">
        <f>450*6</f>
        <v>2700</v>
      </c>
      <c r="Q15" s="4">
        <f t="shared" si="2"/>
        <v>2588</v>
      </c>
      <c r="R15" s="45">
        <f t="shared" si="3"/>
        <v>0.95851851851851855</v>
      </c>
      <c r="S15" s="6"/>
      <c r="T15" s="6"/>
      <c r="X15" s="40" t="s">
        <v>106</v>
      </c>
      <c r="Y15" s="46">
        <v>1</v>
      </c>
    </row>
    <row r="16" spans="1:25">
      <c r="A16" s="5" t="s">
        <v>37</v>
      </c>
      <c r="B16" s="5" t="s">
        <v>52</v>
      </c>
      <c r="C16" s="5" t="s">
        <v>40</v>
      </c>
      <c r="D16" s="9">
        <v>56</v>
      </c>
      <c r="E16" s="9" t="s">
        <v>148</v>
      </c>
      <c r="F16" s="9" t="s">
        <v>148</v>
      </c>
      <c r="G16" s="9" t="s">
        <v>148</v>
      </c>
      <c r="H16" s="9" t="s">
        <v>148</v>
      </c>
      <c r="I16" s="9" t="s">
        <v>147</v>
      </c>
      <c r="J16" s="9" t="s">
        <v>147</v>
      </c>
      <c r="K16" s="43" t="s">
        <v>148</v>
      </c>
      <c r="L16" s="43">
        <v>1</v>
      </c>
      <c r="M16" s="6">
        <f t="shared" si="5"/>
        <v>57</v>
      </c>
      <c r="N16" s="6">
        <f t="shared" si="0"/>
        <v>0</v>
      </c>
      <c r="O16" s="4">
        <f t="shared" si="1"/>
        <v>57</v>
      </c>
      <c r="P16" s="4">
        <f>450*7</f>
        <v>3150</v>
      </c>
      <c r="Q16" s="4">
        <f t="shared" si="2"/>
        <v>3093</v>
      </c>
      <c r="R16" s="45">
        <f t="shared" si="3"/>
        <v>0.98190476190476195</v>
      </c>
      <c r="S16" s="6"/>
      <c r="T16" s="6"/>
      <c r="X16" s="40" t="s">
        <v>66</v>
      </c>
      <c r="Y16" s="46">
        <v>1</v>
      </c>
    </row>
    <row r="17" spans="1:25">
      <c r="A17" s="5" t="s">
        <v>26</v>
      </c>
      <c r="B17" s="7" t="s">
        <v>53</v>
      </c>
      <c r="C17" s="34" t="s">
        <v>25</v>
      </c>
      <c r="D17" s="9" t="s">
        <v>147</v>
      </c>
      <c r="E17" s="9">
        <v>43</v>
      </c>
      <c r="F17" s="9">
        <v>5</v>
      </c>
      <c r="G17" s="9">
        <v>7</v>
      </c>
      <c r="H17" s="9" t="s">
        <v>148</v>
      </c>
      <c r="I17" s="9" t="s">
        <v>148</v>
      </c>
      <c r="J17" s="9" t="s">
        <v>147</v>
      </c>
      <c r="K17" s="43" t="s">
        <v>147</v>
      </c>
      <c r="L17" s="43" t="s">
        <v>14</v>
      </c>
      <c r="M17" s="6">
        <f t="shared" si="5"/>
        <v>55</v>
      </c>
      <c r="N17" s="6">
        <f t="shared" si="0"/>
        <v>0</v>
      </c>
      <c r="O17" s="4">
        <f t="shared" si="1"/>
        <v>55</v>
      </c>
      <c r="P17" s="4">
        <f>450*5</f>
        <v>2250</v>
      </c>
      <c r="Q17" s="4">
        <f t="shared" si="2"/>
        <v>2195</v>
      </c>
      <c r="R17" s="45">
        <f t="shared" si="3"/>
        <v>0.97555555555555551</v>
      </c>
      <c r="S17" s="6"/>
      <c r="T17" s="6">
        <v>1</v>
      </c>
      <c r="X17" s="40" t="s">
        <v>117</v>
      </c>
      <c r="Y17" s="46">
        <v>1</v>
      </c>
    </row>
    <row r="18" spans="1:25">
      <c r="A18" s="5" t="s">
        <v>26</v>
      </c>
      <c r="B18" s="5" t="s">
        <v>34</v>
      </c>
      <c r="C18" s="5" t="s">
        <v>40</v>
      </c>
      <c r="D18" s="47" t="s">
        <v>148</v>
      </c>
      <c r="E18" s="47" t="s">
        <v>148</v>
      </c>
      <c r="F18" s="47" t="s">
        <v>148</v>
      </c>
      <c r="G18" s="47" t="s">
        <v>147</v>
      </c>
      <c r="H18" s="47" t="s">
        <v>147</v>
      </c>
      <c r="I18" s="47" t="s">
        <v>148</v>
      </c>
      <c r="J18" s="47" t="s">
        <v>148</v>
      </c>
      <c r="K18" s="43" t="s">
        <v>148</v>
      </c>
      <c r="L18" s="43" t="s">
        <v>148</v>
      </c>
      <c r="M18" s="6">
        <f t="shared" si="5"/>
        <v>0</v>
      </c>
      <c r="N18" s="6">
        <f t="shared" si="0"/>
        <v>0</v>
      </c>
      <c r="O18" s="4">
        <f t="shared" si="1"/>
        <v>0</v>
      </c>
      <c r="P18" s="4">
        <f>450*7</f>
        <v>3150</v>
      </c>
      <c r="Q18" s="4">
        <f t="shared" si="2"/>
        <v>3150</v>
      </c>
      <c r="R18" s="45">
        <f t="shared" si="3"/>
        <v>1</v>
      </c>
      <c r="S18" s="6"/>
      <c r="T18" s="6"/>
      <c r="X18" s="40" t="s">
        <v>120</v>
      </c>
      <c r="Y18" s="46">
        <v>1</v>
      </c>
    </row>
    <row r="19" spans="1:25">
      <c r="A19" s="5" t="s">
        <v>22</v>
      </c>
      <c r="B19" s="5" t="s">
        <v>55</v>
      </c>
      <c r="C19" s="5" t="s">
        <v>56</v>
      </c>
      <c r="D19" s="9" t="s">
        <v>147</v>
      </c>
      <c r="E19" s="9" t="s">
        <v>148</v>
      </c>
      <c r="F19" s="9" t="s">
        <v>147</v>
      </c>
      <c r="G19" s="9" t="s">
        <v>148</v>
      </c>
      <c r="H19" s="9" t="s">
        <v>148</v>
      </c>
      <c r="I19" s="9" t="s">
        <v>148</v>
      </c>
      <c r="J19" s="9" t="s">
        <v>148</v>
      </c>
      <c r="K19" s="9" t="s">
        <v>147</v>
      </c>
      <c r="L19" s="9" t="s">
        <v>148</v>
      </c>
      <c r="M19" s="6">
        <f>SUM(D19:J19)</f>
        <v>0</v>
      </c>
      <c r="N19" s="6">
        <f t="shared" si="0"/>
        <v>0</v>
      </c>
      <c r="O19" s="4">
        <f t="shared" si="1"/>
        <v>0</v>
      </c>
      <c r="P19" s="4">
        <f>450*6</f>
        <v>2700</v>
      </c>
      <c r="Q19" s="4">
        <f t="shared" si="2"/>
        <v>2700</v>
      </c>
      <c r="R19" s="45">
        <f t="shared" si="3"/>
        <v>1</v>
      </c>
      <c r="S19" s="6"/>
      <c r="T19" s="6"/>
      <c r="U19" s="15"/>
      <c r="X19" s="40" t="s">
        <v>122</v>
      </c>
      <c r="Y19" s="46">
        <v>1</v>
      </c>
    </row>
    <row r="20" spans="1:25">
      <c r="A20" s="5" t="s">
        <v>60</v>
      </c>
      <c r="B20" s="5" t="s">
        <v>59</v>
      </c>
      <c r="C20" s="5" t="s">
        <v>40</v>
      </c>
      <c r="D20" s="48" t="s">
        <v>147</v>
      </c>
      <c r="E20" s="48">
        <v>4</v>
      </c>
      <c r="F20" s="48" t="s">
        <v>148</v>
      </c>
      <c r="G20" s="48" t="s">
        <v>148</v>
      </c>
      <c r="H20" s="48" t="s">
        <v>148</v>
      </c>
      <c r="I20" s="48" t="s">
        <v>148</v>
      </c>
      <c r="J20" s="48" t="s">
        <v>147</v>
      </c>
      <c r="K20" s="48" t="s">
        <v>147</v>
      </c>
      <c r="L20" s="43" t="s">
        <v>148</v>
      </c>
      <c r="M20" s="6">
        <f>SUM(E20:I20)</f>
        <v>4</v>
      </c>
      <c r="N20" s="6">
        <f t="shared" si="0"/>
        <v>0</v>
      </c>
      <c r="O20" s="4">
        <f t="shared" si="1"/>
        <v>4</v>
      </c>
      <c r="P20" s="4">
        <f t="shared" si="4"/>
        <v>2250</v>
      </c>
      <c r="Q20" s="4">
        <f t="shared" si="2"/>
        <v>2246</v>
      </c>
      <c r="R20" s="45">
        <f t="shared" si="3"/>
        <v>0.99822222222222223</v>
      </c>
      <c r="S20" s="6"/>
      <c r="T20" s="6"/>
      <c r="X20" s="24" t="s">
        <v>25</v>
      </c>
      <c r="Y20" s="46">
        <v>0.97282407407407412</v>
      </c>
    </row>
    <row r="21" spans="1:25">
      <c r="A21" s="5" t="s">
        <v>22</v>
      </c>
      <c r="B21" s="5" t="s">
        <v>62</v>
      </c>
      <c r="C21" s="5" t="s">
        <v>63</v>
      </c>
      <c r="D21" s="9" t="s">
        <v>147</v>
      </c>
      <c r="E21" s="9">
        <v>5</v>
      </c>
      <c r="F21" s="9">
        <v>3</v>
      </c>
      <c r="G21" s="9">
        <v>6</v>
      </c>
      <c r="H21" s="9" t="s">
        <v>148</v>
      </c>
      <c r="I21" s="9">
        <v>2</v>
      </c>
      <c r="J21" s="9" t="s">
        <v>147</v>
      </c>
      <c r="K21" s="9" t="s">
        <v>147</v>
      </c>
      <c r="L21" s="43">
        <v>3</v>
      </c>
      <c r="M21" s="6">
        <f>SUM(D21:I21)</f>
        <v>16</v>
      </c>
      <c r="N21" s="6">
        <f t="shared" si="0"/>
        <v>0</v>
      </c>
      <c r="O21" s="4">
        <f t="shared" si="1"/>
        <v>16</v>
      </c>
      <c r="P21" s="4">
        <f>450*6</f>
        <v>2700</v>
      </c>
      <c r="Q21" s="4">
        <f t="shared" si="2"/>
        <v>2684</v>
      </c>
      <c r="R21" s="45">
        <f t="shared" si="3"/>
        <v>0.99407407407407411</v>
      </c>
      <c r="S21" s="6"/>
      <c r="T21" s="6"/>
      <c r="X21" s="40" t="s">
        <v>24</v>
      </c>
      <c r="Y21" s="46">
        <v>1</v>
      </c>
    </row>
    <row r="22" spans="1:25">
      <c r="A22" s="5" t="s">
        <v>22</v>
      </c>
      <c r="B22" s="5" t="s">
        <v>64</v>
      </c>
      <c r="C22" s="5" t="s">
        <v>63</v>
      </c>
      <c r="D22" s="47" t="s">
        <v>147</v>
      </c>
      <c r="E22" s="47">
        <v>54</v>
      </c>
      <c r="F22" s="47" t="s">
        <v>148</v>
      </c>
      <c r="G22" s="47" t="s">
        <v>148</v>
      </c>
      <c r="H22" s="47" t="s">
        <v>148</v>
      </c>
      <c r="I22" s="47">
        <v>450</v>
      </c>
      <c r="J22" s="47" t="s">
        <v>147</v>
      </c>
      <c r="K22" s="47" t="s">
        <v>147</v>
      </c>
      <c r="L22" s="43" t="s">
        <v>148</v>
      </c>
      <c r="M22" s="6">
        <f>E22</f>
        <v>54</v>
      </c>
      <c r="N22" s="6">
        <f t="shared" si="0"/>
        <v>450</v>
      </c>
      <c r="O22" s="4">
        <f t="shared" si="1"/>
        <v>504</v>
      </c>
      <c r="P22" s="4">
        <f>450*6</f>
        <v>2700</v>
      </c>
      <c r="Q22" s="4">
        <f t="shared" si="2"/>
        <v>2196</v>
      </c>
      <c r="R22" s="45">
        <f t="shared" si="3"/>
        <v>0.81333333333333335</v>
      </c>
      <c r="S22" s="6"/>
      <c r="T22" s="6"/>
      <c r="V22">
        <v>1</v>
      </c>
      <c r="X22" s="40" t="s">
        <v>42</v>
      </c>
      <c r="Y22" s="46">
        <v>0.99851851851851847</v>
      </c>
    </row>
    <row r="23" spans="1:25">
      <c r="A23" s="5" t="s">
        <v>26</v>
      </c>
      <c r="B23" s="7" t="s">
        <v>65</v>
      </c>
      <c r="C23" s="34" t="s">
        <v>56</v>
      </c>
      <c r="D23" s="9" t="s">
        <v>147</v>
      </c>
      <c r="E23" s="9" t="s">
        <v>148</v>
      </c>
      <c r="F23" s="9" t="s">
        <v>148</v>
      </c>
      <c r="G23" s="9" t="s">
        <v>148</v>
      </c>
      <c r="H23" s="9" t="s">
        <v>148</v>
      </c>
      <c r="I23" s="9" t="s">
        <v>148</v>
      </c>
      <c r="J23" s="9" t="s">
        <v>147</v>
      </c>
      <c r="K23" s="9" t="s">
        <v>147</v>
      </c>
      <c r="L23" s="9" t="s">
        <v>148</v>
      </c>
      <c r="M23" s="6">
        <f>SUM(D23:L23)</f>
        <v>0</v>
      </c>
      <c r="N23" s="6">
        <f t="shared" si="0"/>
        <v>0</v>
      </c>
      <c r="O23" s="4">
        <f t="shared" si="1"/>
        <v>0</v>
      </c>
      <c r="P23" s="4">
        <f>450*6</f>
        <v>2700</v>
      </c>
      <c r="Q23" s="4">
        <f t="shared" si="2"/>
        <v>2700</v>
      </c>
      <c r="R23" s="45">
        <f t="shared" si="3"/>
        <v>1</v>
      </c>
      <c r="S23" s="6"/>
      <c r="T23" s="6"/>
      <c r="X23" s="40" t="s">
        <v>43</v>
      </c>
      <c r="Y23" s="46">
        <v>0.99888888888888894</v>
      </c>
    </row>
    <row r="24" spans="1:25">
      <c r="A24" s="5" t="s">
        <v>22</v>
      </c>
      <c r="B24" s="5" t="s">
        <v>67</v>
      </c>
      <c r="C24" s="5" t="s">
        <v>30</v>
      </c>
      <c r="D24" s="48" t="s">
        <v>147</v>
      </c>
      <c r="E24" s="48" t="s">
        <v>181</v>
      </c>
      <c r="F24" s="48" t="s">
        <v>148</v>
      </c>
      <c r="G24" s="48" t="s">
        <v>12</v>
      </c>
      <c r="H24" s="48" t="s">
        <v>12</v>
      </c>
      <c r="I24" s="48" t="s">
        <v>12</v>
      </c>
      <c r="J24" s="48" t="s">
        <v>147</v>
      </c>
      <c r="K24" s="48" t="s">
        <v>147</v>
      </c>
      <c r="L24" s="43" t="s">
        <v>12</v>
      </c>
      <c r="M24" s="6">
        <f>SUM(D24:J24)</f>
        <v>0</v>
      </c>
      <c r="N24" s="6">
        <f t="shared" si="0"/>
        <v>0</v>
      </c>
      <c r="O24" s="4">
        <f t="shared" si="1"/>
        <v>0</v>
      </c>
      <c r="P24" s="4">
        <f>450*2</f>
        <v>900</v>
      </c>
      <c r="Q24" s="4">
        <f t="shared" si="2"/>
        <v>900</v>
      </c>
      <c r="R24" s="45">
        <f t="shared" si="3"/>
        <v>1</v>
      </c>
      <c r="S24" s="6">
        <v>4</v>
      </c>
      <c r="T24" s="6"/>
      <c r="X24" s="40" t="s">
        <v>88</v>
      </c>
      <c r="Y24" s="46">
        <v>0.98851851851851846</v>
      </c>
    </row>
    <row r="25" spans="1:25">
      <c r="A25" s="5" t="s">
        <v>26</v>
      </c>
      <c r="B25" s="7" t="s">
        <v>68</v>
      </c>
      <c r="C25" s="5" t="s">
        <v>40</v>
      </c>
      <c r="D25" s="9" t="s">
        <v>147</v>
      </c>
      <c r="E25" s="9">
        <v>5</v>
      </c>
      <c r="F25" s="9" t="s">
        <v>148</v>
      </c>
      <c r="G25" s="9" t="s">
        <v>148</v>
      </c>
      <c r="H25" s="9" t="s">
        <v>148</v>
      </c>
      <c r="I25" s="9" t="s">
        <v>148</v>
      </c>
      <c r="J25" s="9" t="s">
        <v>147</v>
      </c>
      <c r="K25" s="43" t="s">
        <v>147</v>
      </c>
      <c r="L25" s="43">
        <v>5</v>
      </c>
      <c r="M25" s="6">
        <f>SUM(D25:L25)</f>
        <v>10</v>
      </c>
      <c r="N25" s="6">
        <f t="shared" si="0"/>
        <v>0</v>
      </c>
      <c r="O25" s="4">
        <f t="shared" si="1"/>
        <v>10</v>
      </c>
      <c r="P25" s="4">
        <f t="shared" ref="P25:P31" si="6">450*6</f>
        <v>2700</v>
      </c>
      <c r="Q25" s="4">
        <f t="shared" si="2"/>
        <v>2690</v>
      </c>
      <c r="R25" s="45">
        <f t="shared" si="3"/>
        <v>0.99629629629629635</v>
      </c>
      <c r="S25" s="6"/>
      <c r="T25" s="6"/>
      <c r="X25" s="40" t="s">
        <v>23</v>
      </c>
      <c r="Y25" s="46">
        <v>1</v>
      </c>
    </row>
    <row r="26" spans="1:25">
      <c r="A26" s="5" t="s">
        <v>22</v>
      </c>
      <c r="B26" s="5" t="s">
        <v>69</v>
      </c>
      <c r="C26" s="5" t="s">
        <v>30</v>
      </c>
      <c r="D26" s="9" t="s">
        <v>147</v>
      </c>
      <c r="E26" s="9" t="s">
        <v>148</v>
      </c>
      <c r="F26" s="9" t="s">
        <v>148</v>
      </c>
      <c r="G26" s="9" t="s">
        <v>148</v>
      </c>
      <c r="H26" s="9">
        <v>220</v>
      </c>
      <c r="I26" s="9" t="s">
        <v>148</v>
      </c>
      <c r="J26" s="9" t="s">
        <v>147</v>
      </c>
      <c r="K26" s="9" t="s">
        <v>147</v>
      </c>
      <c r="L26" s="43" t="s">
        <v>148</v>
      </c>
      <c r="M26" s="6">
        <f>H26</f>
        <v>220</v>
      </c>
      <c r="N26" s="6">
        <f t="shared" si="0"/>
        <v>0</v>
      </c>
      <c r="O26" s="4">
        <f t="shared" si="1"/>
        <v>220</v>
      </c>
      <c r="P26" s="4">
        <f t="shared" si="6"/>
        <v>2700</v>
      </c>
      <c r="Q26" s="4">
        <f t="shared" si="2"/>
        <v>2480</v>
      </c>
      <c r="R26" s="45">
        <f t="shared" si="3"/>
        <v>0.91851851851851851</v>
      </c>
      <c r="S26" s="6"/>
      <c r="T26" s="6"/>
      <c r="X26" s="40" t="s">
        <v>104</v>
      </c>
      <c r="Y26" s="46">
        <v>0.97592592592592597</v>
      </c>
    </row>
    <row r="27" spans="1:25">
      <c r="A27" s="5" t="s">
        <v>22</v>
      </c>
      <c r="B27" s="5" t="s">
        <v>70</v>
      </c>
      <c r="C27" s="5" t="s">
        <v>63</v>
      </c>
      <c r="D27" s="9" t="s">
        <v>147</v>
      </c>
      <c r="E27" s="9">
        <v>29</v>
      </c>
      <c r="F27" s="9" t="s">
        <v>148</v>
      </c>
      <c r="G27" s="9" t="s">
        <v>148</v>
      </c>
      <c r="H27" s="9" t="s">
        <v>148</v>
      </c>
      <c r="I27" s="9" t="s">
        <v>148</v>
      </c>
      <c r="J27" s="9" t="s">
        <v>147</v>
      </c>
      <c r="K27" s="9" t="s">
        <v>147</v>
      </c>
      <c r="L27" s="43" t="s">
        <v>148</v>
      </c>
      <c r="M27" s="6">
        <f>SUM(D27:I27)</f>
        <v>29</v>
      </c>
      <c r="N27" s="6">
        <f t="shared" si="0"/>
        <v>0</v>
      </c>
      <c r="O27" s="4">
        <f t="shared" si="1"/>
        <v>29</v>
      </c>
      <c r="P27" s="4">
        <f t="shared" si="6"/>
        <v>2700</v>
      </c>
      <c r="Q27" s="4">
        <f t="shared" si="2"/>
        <v>2671</v>
      </c>
      <c r="R27" s="45">
        <f t="shared" si="3"/>
        <v>0.98925925925925928</v>
      </c>
      <c r="S27" s="6"/>
      <c r="T27" s="6"/>
      <c r="X27" s="40" t="s">
        <v>112</v>
      </c>
      <c r="Y27" s="46">
        <v>0.9874074074074074</v>
      </c>
    </row>
    <row r="28" spans="1:25">
      <c r="A28" s="5" t="s">
        <v>26</v>
      </c>
      <c r="B28" s="7" t="s">
        <v>71</v>
      </c>
      <c r="C28" s="34" t="s">
        <v>25</v>
      </c>
      <c r="D28" s="9" t="s">
        <v>147</v>
      </c>
      <c r="E28" s="9" t="s">
        <v>148</v>
      </c>
      <c r="F28" s="9" t="s">
        <v>148</v>
      </c>
      <c r="G28" s="9" t="s">
        <v>148</v>
      </c>
      <c r="H28" s="9" t="s">
        <v>148</v>
      </c>
      <c r="I28" s="9" t="s">
        <v>148</v>
      </c>
      <c r="J28" s="9" t="s">
        <v>147</v>
      </c>
      <c r="K28" s="43" t="s">
        <v>147</v>
      </c>
      <c r="L28" s="43" t="s">
        <v>148</v>
      </c>
      <c r="M28" s="6">
        <f>SUM(D28:L28)</f>
        <v>0</v>
      </c>
      <c r="N28" s="6">
        <f t="shared" si="0"/>
        <v>0</v>
      </c>
      <c r="O28" s="4">
        <f t="shared" si="1"/>
        <v>0</v>
      </c>
      <c r="P28" s="4">
        <f t="shared" si="6"/>
        <v>2700</v>
      </c>
      <c r="Q28" s="4">
        <f t="shared" si="2"/>
        <v>2700</v>
      </c>
      <c r="R28" s="45">
        <f t="shared" si="3"/>
        <v>1</v>
      </c>
      <c r="S28" s="6"/>
      <c r="T28" s="6"/>
      <c r="X28" s="40" t="s">
        <v>125</v>
      </c>
      <c r="Y28" s="46">
        <v>0.83333333333333337</v>
      </c>
    </row>
    <row r="29" spans="1:25">
      <c r="A29" s="5" t="s">
        <v>22</v>
      </c>
      <c r="B29" s="5" t="s">
        <v>72</v>
      </c>
      <c r="C29" s="5" t="s">
        <v>30</v>
      </c>
      <c r="D29" s="9" t="s">
        <v>147</v>
      </c>
      <c r="E29" s="9" t="s">
        <v>148</v>
      </c>
      <c r="F29" s="9" t="s">
        <v>148</v>
      </c>
      <c r="G29" s="9" t="s">
        <v>148</v>
      </c>
      <c r="H29" s="9" t="s">
        <v>148</v>
      </c>
      <c r="I29" s="9" t="s">
        <v>148</v>
      </c>
      <c r="J29" s="9" t="s">
        <v>147</v>
      </c>
      <c r="K29" s="9" t="s">
        <v>147</v>
      </c>
      <c r="L29" s="43" t="s">
        <v>148</v>
      </c>
      <c r="M29" s="6">
        <f>SUM(D29:J29)</f>
        <v>0</v>
      </c>
      <c r="N29" s="6">
        <f t="shared" si="0"/>
        <v>0</v>
      </c>
      <c r="O29" s="4">
        <f t="shared" si="1"/>
        <v>0</v>
      </c>
      <c r="P29" s="4">
        <f t="shared" si="6"/>
        <v>2700</v>
      </c>
      <c r="Q29" s="4">
        <f t="shared" si="2"/>
        <v>2700</v>
      </c>
      <c r="R29" s="45">
        <f t="shared" si="3"/>
        <v>1</v>
      </c>
      <c r="S29" s="6"/>
      <c r="T29" s="6"/>
      <c r="X29" s="24" t="s">
        <v>63</v>
      </c>
      <c r="Y29" s="46">
        <v>0.87242798353909468</v>
      </c>
    </row>
    <row r="30" spans="1:25">
      <c r="A30" s="5" t="s">
        <v>26</v>
      </c>
      <c r="B30" s="7" t="s">
        <v>73</v>
      </c>
      <c r="C30" s="34" t="s">
        <v>25</v>
      </c>
      <c r="D30" s="9" t="s">
        <v>147</v>
      </c>
      <c r="E30" s="9" t="s">
        <v>148</v>
      </c>
      <c r="F30" s="9">
        <v>11</v>
      </c>
      <c r="G30" s="9" t="s">
        <v>148</v>
      </c>
      <c r="H30" s="9" t="s">
        <v>148</v>
      </c>
      <c r="I30" s="9" t="s">
        <v>148</v>
      </c>
      <c r="J30" s="9" t="s">
        <v>147</v>
      </c>
      <c r="K30" s="43" t="s">
        <v>147</v>
      </c>
      <c r="L30" s="43" t="s">
        <v>148</v>
      </c>
      <c r="M30" s="6">
        <f>SUM(D30:L30)</f>
        <v>11</v>
      </c>
      <c r="N30" s="6">
        <f t="shared" si="0"/>
        <v>0</v>
      </c>
      <c r="O30" s="4">
        <f t="shared" si="1"/>
        <v>11</v>
      </c>
      <c r="P30" s="4">
        <f t="shared" si="6"/>
        <v>2700</v>
      </c>
      <c r="Q30" s="4">
        <f t="shared" si="2"/>
        <v>2689</v>
      </c>
      <c r="R30" s="45">
        <f t="shared" si="3"/>
        <v>0.99592592592592588</v>
      </c>
      <c r="S30" s="6"/>
      <c r="T30" s="6"/>
      <c r="X30" s="40" t="s">
        <v>62</v>
      </c>
      <c r="Y30" s="46">
        <v>0.99407407407407411</v>
      </c>
    </row>
    <row r="31" spans="1:25">
      <c r="A31" s="5" t="s">
        <v>57</v>
      </c>
      <c r="B31" s="5" t="s">
        <v>58</v>
      </c>
      <c r="C31" s="5" t="s">
        <v>40</v>
      </c>
      <c r="D31" s="9" t="s">
        <v>147</v>
      </c>
      <c r="E31" s="9" t="s">
        <v>148</v>
      </c>
      <c r="F31" s="9" t="s">
        <v>148</v>
      </c>
      <c r="G31" s="9" t="s">
        <v>14</v>
      </c>
      <c r="H31" s="9" t="s">
        <v>148</v>
      </c>
      <c r="I31" s="9" t="s">
        <v>14</v>
      </c>
      <c r="J31" s="9" t="s">
        <v>147</v>
      </c>
      <c r="K31" s="9" t="s">
        <v>147</v>
      </c>
      <c r="L31" s="43" t="s">
        <v>148</v>
      </c>
      <c r="M31" s="6">
        <v>0</v>
      </c>
      <c r="N31" s="6">
        <f t="shared" si="0"/>
        <v>0</v>
      </c>
      <c r="O31" s="4">
        <f t="shared" si="1"/>
        <v>0</v>
      </c>
      <c r="P31" s="4">
        <f t="shared" si="6"/>
        <v>2700</v>
      </c>
      <c r="Q31" s="4">
        <f t="shared" si="2"/>
        <v>2700</v>
      </c>
      <c r="R31" s="45">
        <f t="shared" si="3"/>
        <v>1</v>
      </c>
      <c r="S31" s="6"/>
      <c r="T31" s="6"/>
      <c r="X31" s="40" t="s">
        <v>64</v>
      </c>
      <c r="Y31" s="46">
        <v>0.81333333333333335</v>
      </c>
    </row>
    <row r="32" spans="1:25">
      <c r="A32" s="5" t="s">
        <v>37</v>
      </c>
      <c r="B32" s="5" t="s">
        <v>74</v>
      </c>
      <c r="C32" s="5" t="s">
        <v>40</v>
      </c>
      <c r="D32" s="9">
        <v>80</v>
      </c>
      <c r="E32" s="9" t="s">
        <v>148</v>
      </c>
      <c r="F32" s="9" t="s">
        <v>147</v>
      </c>
      <c r="G32" s="9" t="s">
        <v>147</v>
      </c>
      <c r="H32" s="9" t="s">
        <v>148</v>
      </c>
      <c r="I32" s="9" t="s">
        <v>148</v>
      </c>
      <c r="J32" s="9" t="s">
        <v>148</v>
      </c>
      <c r="K32" s="9" t="s">
        <v>147</v>
      </c>
      <c r="L32" s="43">
        <v>26</v>
      </c>
      <c r="M32" s="6">
        <f>SUM(D32:L32)</f>
        <v>106</v>
      </c>
      <c r="N32" s="6">
        <f t="shared" si="0"/>
        <v>0</v>
      </c>
      <c r="O32" s="4">
        <f t="shared" si="1"/>
        <v>106</v>
      </c>
      <c r="P32" s="4">
        <f>450*7</f>
        <v>3150</v>
      </c>
      <c r="Q32" s="4">
        <f t="shared" si="2"/>
        <v>3044</v>
      </c>
      <c r="R32" s="45">
        <f t="shared" si="3"/>
        <v>0.9663492063492064</v>
      </c>
      <c r="S32" s="6"/>
      <c r="T32" s="6"/>
      <c r="X32" s="40" t="s">
        <v>70</v>
      </c>
      <c r="Y32" s="46">
        <v>0.98925925925925928</v>
      </c>
    </row>
    <row r="33" spans="1:25">
      <c r="A33" s="5" t="s">
        <v>26</v>
      </c>
      <c r="B33" s="7" t="s">
        <v>75</v>
      </c>
      <c r="C33" s="5" t="s">
        <v>40</v>
      </c>
      <c r="D33" s="9" t="s">
        <v>148</v>
      </c>
      <c r="E33" s="9">
        <v>2</v>
      </c>
      <c r="F33" s="9" t="s">
        <v>148</v>
      </c>
      <c r="G33" s="9" t="s">
        <v>147</v>
      </c>
      <c r="H33" s="9" t="s">
        <v>147</v>
      </c>
      <c r="I33" s="9" t="s">
        <v>148</v>
      </c>
      <c r="J33" s="9" t="s">
        <v>148</v>
      </c>
      <c r="K33" s="9" t="s">
        <v>148</v>
      </c>
      <c r="L33" s="43" t="s">
        <v>148</v>
      </c>
      <c r="M33" s="6">
        <f>SUM(D33:L33)</f>
        <v>2</v>
      </c>
      <c r="N33" s="6">
        <f t="shared" si="0"/>
        <v>0</v>
      </c>
      <c r="O33" s="4">
        <f t="shared" si="1"/>
        <v>2</v>
      </c>
      <c r="P33" s="4">
        <f>450*7</f>
        <v>3150</v>
      </c>
      <c r="Q33" s="4">
        <f t="shared" si="2"/>
        <v>3148</v>
      </c>
      <c r="R33" s="45">
        <f t="shared" si="3"/>
        <v>0.99936507936507935</v>
      </c>
      <c r="S33" s="6"/>
      <c r="T33" s="6"/>
      <c r="X33" s="40" t="s">
        <v>61</v>
      </c>
      <c r="Y33" s="46">
        <v>0.99037037037037035</v>
      </c>
    </row>
    <row r="34" spans="1:25">
      <c r="A34" s="5" t="s">
        <v>37</v>
      </c>
      <c r="B34" s="5" t="s">
        <v>76</v>
      </c>
      <c r="C34" s="5" t="s">
        <v>40</v>
      </c>
      <c r="D34" s="9" t="s">
        <v>148</v>
      </c>
      <c r="E34" s="9">
        <v>4</v>
      </c>
      <c r="F34" s="9" t="s">
        <v>148</v>
      </c>
      <c r="G34" s="9" t="s">
        <v>148</v>
      </c>
      <c r="H34" s="9" t="s">
        <v>148</v>
      </c>
      <c r="I34" s="9" t="s">
        <v>147</v>
      </c>
      <c r="J34" s="9" t="s">
        <v>147</v>
      </c>
      <c r="K34" s="9" t="s">
        <v>147</v>
      </c>
      <c r="L34" s="43" t="s">
        <v>148</v>
      </c>
      <c r="M34" s="6">
        <f>SUM(D34:L34)</f>
        <v>4</v>
      </c>
      <c r="N34" s="6">
        <f t="shared" si="0"/>
        <v>0</v>
      </c>
      <c r="O34" s="4">
        <f t="shared" si="1"/>
        <v>4</v>
      </c>
      <c r="P34" s="4">
        <f>450*8</f>
        <v>3600</v>
      </c>
      <c r="Q34" s="4">
        <f t="shared" si="2"/>
        <v>3596</v>
      </c>
      <c r="R34" s="45">
        <f t="shared" si="3"/>
        <v>0.99888888888888894</v>
      </c>
      <c r="S34" s="6"/>
      <c r="T34" s="6"/>
      <c r="X34" s="40" t="s">
        <v>85</v>
      </c>
      <c r="Y34" s="46">
        <v>0.82592592592592595</v>
      </c>
    </row>
    <row r="35" spans="1:25">
      <c r="A35" s="5" t="s">
        <v>22</v>
      </c>
      <c r="B35" s="5" t="s">
        <v>77</v>
      </c>
      <c r="C35" s="5" t="s">
        <v>30</v>
      </c>
      <c r="D35" s="9" t="s">
        <v>147</v>
      </c>
      <c r="E35" s="9" t="s">
        <v>148</v>
      </c>
      <c r="F35" s="9" t="s">
        <v>148</v>
      </c>
      <c r="G35" s="9" t="s">
        <v>148</v>
      </c>
      <c r="H35" s="9" t="s">
        <v>148</v>
      </c>
      <c r="I35" s="9" t="s">
        <v>148</v>
      </c>
      <c r="J35" s="9" t="s">
        <v>147</v>
      </c>
      <c r="K35" s="9" t="s">
        <v>147</v>
      </c>
      <c r="L35" s="43" t="s">
        <v>148</v>
      </c>
      <c r="M35" s="6">
        <v>0</v>
      </c>
      <c r="N35" s="6">
        <f t="shared" si="0"/>
        <v>0</v>
      </c>
      <c r="O35" s="4">
        <f t="shared" si="1"/>
        <v>0</v>
      </c>
      <c r="P35" s="4">
        <f>450*6</f>
        <v>2700</v>
      </c>
      <c r="Q35" s="4">
        <f t="shared" si="2"/>
        <v>2700</v>
      </c>
      <c r="R35" s="45">
        <f t="shared" si="3"/>
        <v>1</v>
      </c>
      <c r="S35" s="6"/>
      <c r="T35" s="6"/>
      <c r="X35" s="40" t="s">
        <v>92</v>
      </c>
      <c r="Y35" s="46">
        <v>1</v>
      </c>
    </row>
    <row r="36" spans="1:25">
      <c r="A36" s="5" t="s">
        <v>22</v>
      </c>
      <c r="B36" s="5" t="s">
        <v>61</v>
      </c>
      <c r="C36" s="5" t="s">
        <v>63</v>
      </c>
      <c r="D36" s="9" t="s">
        <v>147</v>
      </c>
      <c r="E36" s="9">
        <v>26</v>
      </c>
      <c r="F36" s="9" t="s">
        <v>148</v>
      </c>
      <c r="G36" s="9" t="s">
        <v>148</v>
      </c>
      <c r="H36" s="9" t="s">
        <v>148</v>
      </c>
      <c r="I36" s="9" t="s">
        <v>148</v>
      </c>
      <c r="J36" s="9" t="s">
        <v>147</v>
      </c>
      <c r="K36" s="9" t="s">
        <v>147</v>
      </c>
      <c r="L36" s="43" t="s">
        <v>148</v>
      </c>
      <c r="M36" s="6">
        <f>SUM(D36:I36)</f>
        <v>26</v>
      </c>
      <c r="N36" s="6">
        <f t="shared" si="0"/>
        <v>0</v>
      </c>
      <c r="O36" s="4">
        <f t="shared" si="1"/>
        <v>26</v>
      </c>
      <c r="P36" s="4">
        <f>450*6</f>
        <v>2700</v>
      </c>
      <c r="Q36" s="4">
        <f t="shared" si="2"/>
        <v>2674</v>
      </c>
      <c r="R36" s="45">
        <f t="shared" si="3"/>
        <v>0.99037037037037035</v>
      </c>
      <c r="S36" s="6"/>
      <c r="T36" s="6"/>
      <c r="X36" s="40" t="s">
        <v>99</v>
      </c>
      <c r="Y36" s="46">
        <v>0.90629629629629627</v>
      </c>
    </row>
    <row r="37" spans="1:25">
      <c r="A37" s="5" t="s">
        <v>26</v>
      </c>
      <c r="B37" s="7" t="s">
        <v>78</v>
      </c>
      <c r="C37" s="5" t="s">
        <v>40</v>
      </c>
      <c r="D37" s="9" t="s">
        <v>147</v>
      </c>
      <c r="E37" s="9" t="s">
        <v>148</v>
      </c>
      <c r="F37" s="9" t="s">
        <v>148</v>
      </c>
      <c r="G37" s="9" t="s">
        <v>148</v>
      </c>
      <c r="H37" s="9" t="s">
        <v>148</v>
      </c>
      <c r="I37" s="9" t="s">
        <v>148</v>
      </c>
      <c r="J37" s="9" t="s">
        <v>147</v>
      </c>
      <c r="K37" s="43" t="s">
        <v>147</v>
      </c>
      <c r="L37" s="43" t="s">
        <v>148</v>
      </c>
      <c r="M37" s="6">
        <f t="shared" ref="M37:M38" si="7">SUM(D37:L37)</f>
        <v>0</v>
      </c>
      <c r="N37" s="6">
        <f t="shared" si="0"/>
        <v>0</v>
      </c>
      <c r="O37" s="4">
        <f t="shared" si="1"/>
        <v>0</v>
      </c>
      <c r="P37" s="4">
        <f>450*6</f>
        <v>2700</v>
      </c>
      <c r="Q37" s="4">
        <f t="shared" si="2"/>
        <v>2700</v>
      </c>
      <c r="R37" s="45">
        <f t="shared" si="3"/>
        <v>1</v>
      </c>
      <c r="S37" s="6"/>
      <c r="T37" s="6"/>
      <c r="X37" s="40" t="s">
        <v>100</v>
      </c>
      <c r="Y37" s="46">
        <v>0.99925925925925929</v>
      </c>
    </row>
    <row r="38" spans="1:25">
      <c r="A38" s="5" t="s">
        <v>26</v>
      </c>
      <c r="B38" s="7" t="s">
        <v>80</v>
      </c>
      <c r="C38" s="5" t="s">
        <v>40</v>
      </c>
      <c r="D38" s="9" t="s">
        <v>148</v>
      </c>
      <c r="E38" s="47" t="s">
        <v>148</v>
      </c>
      <c r="F38" s="47" t="s">
        <v>147</v>
      </c>
      <c r="G38" s="47" t="s">
        <v>147</v>
      </c>
      <c r="H38" s="47" t="s">
        <v>148</v>
      </c>
      <c r="I38" s="47" t="s">
        <v>148</v>
      </c>
      <c r="J38" s="47" t="s">
        <v>148</v>
      </c>
      <c r="K38" s="43" t="s">
        <v>148</v>
      </c>
      <c r="L38" s="43" t="s">
        <v>148</v>
      </c>
      <c r="M38" s="6">
        <f t="shared" si="7"/>
        <v>0</v>
      </c>
      <c r="N38" s="6">
        <f t="shared" si="0"/>
        <v>0</v>
      </c>
      <c r="O38" s="4">
        <f t="shared" si="1"/>
        <v>0</v>
      </c>
      <c r="P38" s="4">
        <f>450*7</f>
        <v>3150</v>
      </c>
      <c r="Q38" s="4">
        <f t="shared" si="2"/>
        <v>3150</v>
      </c>
      <c r="R38" s="45">
        <f t="shared" si="3"/>
        <v>1</v>
      </c>
      <c r="S38" s="6"/>
      <c r="T38" s="6"/>
      <c r="X38" s="40" t="s">
        <v>116</v>
      </c>
      <c r="Y38" s="46">
        <v>0.33333333333333331</v>
      </c>
    </row>
    <row r="39" spans="1:25">
      <c r="A39" s="5" t="s">
        <v>26</v>
      </c>
      <c r="B39" s="7" t="s">
        <v>81</v>
      </c>
      <c r="C39" s="34" t="s">
        <v>33</v>
      </c>
      <c r="D39" s="9" t="s">
        <v>147</v>
      </c>
      <c r="E39" s="9" t="s">
        <v>148</v>
      </c>
      <c r="F39" s="9" t="s">
        <v>148</v>
      </c>
      <c r="G39" s="9" t="s">
        <v>148</v>
      </c>
      <c r="H39" s="9" t="s">
        <v>148</v>
      </c>
      <c r="I39" s="9" t="s">
        <v>148</v>
      </c>
      <c r="J39" s="9" t="s">
        <v>147</v>
      </c>
      <c r="K39" s="9" t="s">
        <v>147</v>
      </c>
      <c r="L39" s="9" t="s">
        <v>148</v>
      </c>
      <c r="M39" s="6">
        <f t="shared" ref="M39" si="8">SUM(D39:J39)</f>
        <v>0</v>
      </c>
      <c r="N39" s="6">
        <f t="shared" si="0"/>
        <v>0</v>
      </c>
      <c r="O39" s="4">
        <f t="shared" si="1"/>
        <v>0</v>
      </c>
      <c r="P39" s="4">
        <f>450*6</f>
        <v>2700</v>
      </c>
      <c r="Q39" s="4">
        <f t="shared" si="2"/>
        <v>2700</v>
      </c>
      <c r="R39" s="45">
        <f t="shared" si="3"/>
        <v>1</v>
      </c>
      <c r="S39" s="6"/>
      <c r="T39" s="6"/>
      <c r="X39" s="24" t="s">
        <v>33</v>
      </c>
      <c r="Y39" s="46">
        <v>0.94622633744855966</v>
      </c>
    </row>
    <row r="40" spans="1:25">
      <c r="A40" s="5" t="s">
        <v>22</v>
      </c>
      <c r="B40" s="5" t="s">
        <v>82</v>
      </c>
      <c r="C40" s="5" t="s">
        <v>33</v>
      </c>
      <c r="D40" s="9" t="s">
        <v>147</v>
      </c>
      <c r="E40" s="9" t="s">
        <v>148</v>
      </c>
      <c r="F40" s="9" t="s">
        <v>148</v>
      </c>
      <c r="G40" s="9" t="s">
        <v>148</v>
      </c>
      <c r="H40" s="9">
        <v>25</v>
      </c>
      <c r="I40" s="9" t="s">
        <v>148</v>
      </c>
      <c r="J40" s="9" t="s">
        <v>147</v>
      </c>
      <c r="K40" s="9" t="s">
        <v>147</v>
      </c>
      <c r="L40" s="9">
        <v>222</v>
      </c>
      <c r="M40" s="6">
        <f>SUM(E40:I40)</f>
        <v>25</v>
      </c>
      <c r="N40" s="6">
        <f t="shared" si="0"/>
        <v>0</v>
      </c>
      <c r="O40" s="4">
        <f t="shared" si="1"/>
        <v>25</v>
      </c>
      <c r="P40" s="4">
        <f>450*6</f>
        <v>2700</v>
      </c>
      <c r="Q40" s="4">
        <f t="shared" si="2"/>
        <v>2675</v>
      </c>
      <c r="R40" s="45">
        <f t="shared" si="3"/>
        <v>0.9907407407407407</v>
      </c>
      <c r="S40" s="6"/>
      <c r="T40" s="6"/>
      <c r="X40" s="40" t="s">
        <v>32</v>
      </c>
      <c r="Y40" s="46">
        <v>0.99777777777777776</v>
      </c>
    </row>
    <row r="41" spans="1:25">
      <c r="A41" s="5" t="s">
        <v>60</v>
      </c>
      <c r="B41" s="5" t="s">
        <v>84</v>
      </c>
      <c r="C41" s="5" t="s">
        <v>40</v>
      </c>
      <c r="D41" s="9" t="s">
        <v>147</v>
      </c>
      <c r="E41" s="48">
        <v>17</v>
      </c>
      <c r="F41" s="48" t="s">
        <v>148</v>
      </c>
      <c r="G41" s="48" t="s">
        <v>148</v>
      </c>
      <c r="H41" s="48" t="s">
        <v>148</v>
      </c>
      <c r="I41" s="48" t="s">
        <v>148</v>
      </c>
      <c r="J41" s="48" t="s">
        <v>147</v>
      </c>
      <c r="K41" s="48" t="s">
        <v>147</v>
      </c>
      <c r="L41" s="43" t="s">
        <v>148</v>
      </c>
      <c r="M41" s="6">
        <f>SUM(E41:I41)</f>
        <v>17</v>
      </c>
      <c r="N41" s="6">
        <f t="shared" si="0"/>
        <v>0</v>
      </c>
      <c r="O41" s="4">
        <f t="shared" si="1"/>
        <v>17</v>
      </c>
      <c r="P41" s="4">
        <f t="shared" si="4"/>
        <v>2250</v>
      </c>
      <c r="Q41" s="4">
        <f t="shared" si="2"/>
        <v>2233</v>
      </c>
      <c r="R41" s="45">
        <f t="shared" si="3"/>
        <v>0.99244444444444446</v>
      </c>
      <c r="S41" s="6"/>
      <c r="T41" s="6"/>
      <c r="X41" s="40" t="s">
        <v>41</v>
      </c>
      <c r="Y41" s="46">
        <v>0.79066666666666663</v>
      </c>
    </row>
    <row r="42" spans="1:25">
      <c r="A42" s="5" t="s">
        <v>22</v>
      </c>
      <c r="B42" s="5" t="s">
        <v>85</v>
      </c>
      <c r="C42" s="5" t="s">
        <v>63</v>
      </c>
      <c r="D42" s="47" t="s">
        <v>147</v>
      </c>
      <c r="E42" s="47">
        <v>20</v>
      </c>
      <c r="F42" s="47" t="s">
        <v>148</v>
      </c>
      <c r="G42" s="47" t="s">
        <v>148</v>
      </c>
      <c r="H42" s="47" t="s">
        <v>148</v>
      </c>
      <c r="I42" s="47">
        <v>450</v>
      </c>
      <c r="J42" s="47" t="s">
        <v>147</v>
      </c>
      <c r="K42" s="47" t="s">
        <v>147</v>
      </c>
      <c r="L42" s="43" t="s">
        <v>148</v>
      </c>
      <c r="M42" s="6">
        <f>E42</f>
        <v>20</v>
      </c>
      <c r="N42" s="6">
        <f t="shared" si="0"/>
        <v>450</v>
      </c>
      <c r="O42" s="4">
        <f t="shared" si="1"/>
        <v>470</v>
      </c>
      <c r="P42" s="4">
        <f>450*6</f>
        <v>2700</v>
      </c>
      <c r="Q42" s="4">
        <f t="shared" si="2"/>
        <v>2230</v>
      </c>
      <c r="R42" s="45">
        <f t="shared" si="3"/>
        <v>0.82592592592592595</v>
      </c>
      <c r="S42" s="6"/>
      <c r="T42" s="6"/>
      <c r="X42" s="40" t="s">
        <v>82</v>
      </c>
      <c r="Y42" s="46">
        <v>0.9907407407407407</v>
      </c>
    </row>
    <row r="43" spans="1:25">
      <c r="A43" s="5" t="s">
        <v>26</v>
      </c>
      <c r="B43" s="7" t="s">
        <v>86</v>
      </c>
      <c r="C43" s="34" t="s">
        <v>56</v>
      </c>
      <c r="D43" s="9" t="s">
        <v>147</v>
      </c>
      <c r="E43" s="9">
        <v>450</v>
      </c>
      <c r="F43" s="9">
        <v>450</v>
      </c>
      <c r="G43" s="9" t="s">
        <v>148</v>
      </c>
      <c r="H43" s="9" t="s">
        <v>148</v>
      </c>
      <c r="I43" s="9" t="s">
        <v>148</v>
      </c>
      <c r="J43" s="9" t="s">
        <v>147</v>
      </c>
      <c r="K43" s="9" t="s">
        <v>147</v>
      </c>
      <c r="L43" s="9">
        <v>5</v>
      </c>
      <c r="M43" s="6">
        <f>L43</f>
        <v>5</v>
      </c>
      <c r="N43" s="6">
        <f t="shared" si="0"/>
        <v>900</v>
      </c>
      <c r="O43" s="4">
        <f t="shared" si="1"/>
        <v>905</v>
      </c>
      <c r="P43" s="4">
        <f>450*4</f>
        <v>1800</v>
      </c>
      <c r="Q43" s="4">
        <f t="shared" si="2"/>
        <v>895</v>
      </c>
      <c r="R43" s="45">
        <f t="shared" si="3"/>
        <v>0.49722222222222223</v>
      </c>
      <c r="S43" s="6"/>
      <c r="T43" s="6"/>
      <c r="U43">
        <v>2</v>
      </c>
      <c r="X43" s="40" t="s">
        <v>178</v>
      </c>
      <c r="Y43" s="46">
        <v>1</v>
      </c>
    </row>
    <row r="44" spans="1:25">
      <c r="A44" s="5" t="s">
        <v>26</v>
      </c>
      <c r="B44" s="7" t="s">
        <v>87</v>
      </c>
      <c r="C44" s="34" t="s">
        <v>33</v>
      </c>
      <c r="D44" s="48" t="s">
        <v>147</v>
      </c>
      <c r="E44" s="48">
        <v>44</v>
      </c>
      <c r="F44" s="48">
        <v>450</v>
      </c>
      <c r="G44" s="48">
        <v>57</v>
      </c>
      <c r="H44" s="48" t="s">
        <v>148</v>
      </c>
      <c r="I44" s="48">
        <v>95</v>
      </c>
      <c r="J44" s="48" t="s">
        <v>147</v>
      </c>
      <c r="K44" s="48" t="s">
        <v>147</v>
      </c>
      <c r="L44" s="48" t="s">
        <v>148</v>
      </c>
      <c r="M44" s="6">
        <f>E44+G44+I44</f>
        <v>196</v>
      </c>
      <c r="N44" s="6">
        <f t="shared" si="0"/>
        <v>450</v>
      </c>
      <c r="O44" s="4">
        <f t="shared" si="1"/>
        <v>646</v>
      </c>
      <c r="P44" s="4">
        <f>450*6</f>
        <v>2700</v>
      </c>
      <c r="Q44" s="4">
        <f t="shared" si="2"/>
        <v>2054</v>
      </c>
      <c r="R44" s="45">
        <f t="shared" si="3"/>
        <v>0.76074074074074072</v>
      </c>
      <c r="S44" s="6"/>
      <c r="T44" s="6"/>
      <c r="U44">
        <v>1</v>
      </c>
      <c r="X44" s="40" t="s">
        <v>102</v>
      </c>
      <c r="Y44" s="46">
        <v>1</v>
      </c>
    </row>
    <row r="45" spans="1:25">
      <c r="A45" s="5" t="s">
        <v>22</v>
      </c>
      <c r="B45" s="5" t="s">
        <v>88</v>
      </c>
      <c r="C45" s="5" t="s">
        <v>25</v>
      </c>
      <c r="D45" s="9" t="s">
        <v>147</v>
      </c>
      <c r="E45" s="48">
        <v>20</v>
      </c>
      <c r="F45" s="48" t="s">
        <v>148</v>
      </c>
      <c r="G45" s="48" t="s">
        <v>148</v>
      </c>
      <c r="H45" s="48" t="s">
        <v>148</v>
      </c>
      <c r="I45" s="48">
        <v>11</v>
      </c>
      <c r="J45" s="48" t="s">
        <v>147</v>
      </c>
      <c r="K45" s="48" t="s">
        <v>147</v>
      </c>
      <c r="L45" s="43" t="s">
        <v>148</v>
      </c>
      <c r="M45" s="6">
        <f>E45+I45</f>
        <v>31</v>
      </c>
      <c r="N45" s="6">
        <f t="shared" si="0"/>
        <v>0</v>
      </c>
      <c r="O45" s="4">
        <f t="shared" si="1"/>
        <v>31</v>
      </c>
      <c r="P45" s="4">
        <f>450*6</f>
        <v>2700</v>
      </c>
      <c r="Q45" s="4">
        <f t="shared" si="2"/>
        <v>2669</v>
      </c>
      <c r="R45" s="45">
        <f t="shared" si="3"/>
        <v>0.98851851851851846</v>
      </c>
      <c r="S45" s="6"/>
      <c r="T45" s="6"/>
      <c r="X45" s="40" t="s">
        <v>31</v>
      </c>
      <c r="Y45" s="46">
        <v>1</v>
      </c>
    </row>
    <row r="46" spans="1:25">
      <c r="A46" s="5" t="s">
        <v>26</v>
      </c>
      <c r="B46" s="7" t="s">
        <v>89</v>
      </c>
      <c r="C46" s="5" t="s">
        <v>40</v>
      </c>
      <c r="D46" s="9" t="s">
        <v>147</v>
      </c>
      <c r="E46" s="9" t="s">
        <v>148</v>
      </c>
      <c r="F46" s="9" t="s">
        <v>148</v>
      </c>
      <c r="G46" s="9" t="s">
        <v>148</v>
      </c>
      <c r="H46" s="9" t="s">
        <v>148</v>
      </c>
      <c r="I46" s="9" t="s">
        <v>148</v>
      </c>
      <c r="J46" s="9" t="s">
        <v>147</v>
      </c>
      <c r="K46" s="43" t="s">
        <v>147</v>
      </c>
      <c r="L46" s="43" t="s">
        <v>148</v>
      </c>
      <c r="M46" s="6">
        <f>SUM(D46:L46)</f>
        <v>0</v>
      </c>
      <c r="N46" s="6">
        <f t="shared" si="0"/>
        <v>0</v>
      </c>
      <c r="O46" s="4">
        <f t="shared" si="1"/>
        <v>0</v>
      </c>
      <c r="P46" s="4">
        <f>450*6</f>
        <v>2700</v>
      </c>
      <c r="Q46" s="4">
        <f t="shared" si="2"/>
        <v>2700</v>
      </c>
      <c r="R46" s="45">
        <f t="shared" si="3"/>
        <v>1</v>
      </c>
      <c r="S46" s="6"/>
      <c r="T46" s="6"/>
      <c r="X46" s="40" t="s">
        <v>115</v>
      </c>
      <c r="Y46" s="46">
        <v>0.98962962962962964</v>
      </c>
    </row>
    <row r="47" spans="1:25">
      <c r="A47" s="5" t="s">
        <v>37</v>
      </c>
      <c r="B47" s="5" t="s">
        <v>90</v>
      </c>
      <c r="C47" s="5" t="s">
        <v>40</v>
      </c>
      <c r="D47" s="9" t="s">
        <v>147</v>
      </c>
      <c r="E47" s="9" t="s">
        <v>147</v>
      </c>
      <c r="F47" s="9" t="s">
        <v>148</v>
      </c>
      <c r="G47" s="9" t="s">
        <v>148</v>
      </c>
      <c r="H47" s="9" t="s">
        <v>148</v>
      </c>
      <c r="I47" s="9" t="s">
        <v>148</v>
      </c>
      <c r="J47" s="9" t="s">
        <v>148</v>
      </c>
      <c r="K47" s="43" t="s">
        <v>147</v>
      </c>
      <c r="L47" s="43" t="s">
        <v>147</v>
      </c>
      <c r="M47" s="6">
        <f>SUM(D47:L47)</f>
        <v>0</v>
      </c>
      <c r="N47" s="6">
        <f t="shared" si="0"/>
        <v>0</v>
      </c>
      <c r="O47" s="4">
        <f t="shared" si="1"/>
        <v>0</v>
      </c>
      <c r="P47" s="4">
        <f t="shared" si="4"/>
        <v>2250</v>
      </c>
      <c r="Q47" s="4">
        <f t="shared" si="2"/>
        <v>2250</v>
      </c>
      <c r="R47" s="45">
        <f t="shared" si="3"/>
        <v>1</v>
      </c>
      <c r="S47" s="6"/>
      <c r="T47" s="6"/>
      <c r="X47" s="40" t="s">
        <v>127</v>
      </c>
      <c r="Y47" s="46">
        <v>1</v>
      </c>
    </row>
    <row r="48" spans="1:25">
      <c r="A48" s="5" t="s">
        <v>22</v>
      </c>
      <c r="B48" s="5" t="s">
        <v>91</v>
      </c>
      <c r="C48" s="5" t="s">
        <v>30</v>
      </c>
      <c r="D48" s="9" t="s">
        <v>147</v>
      </c>
      <c r="E48" s="47" t="s">
        <v>148</v>
      </c>
      <c r="F48" s="47">
        <v>1</v>
      </c>
      <c r="G48" s="47" t="s">
        <v>148</v>
      </c>
      <c r="H48" s="47" t="s">
        <v>148</v>
      </c>
      <c r="I48" s="47" t="s">
        <v>148</v>
      </c>
      <c r="J48" s="47" t="s">
        <v>147</v>
      </c>
      <c r="K48" s="47" t="s">
        <v>147</v>
      </c>
      <c r="L48" s="43" t="s">
        <v>148</v>
      </c>
      <c r="M48" s="6">
        <f>F48</f>
        <v>1</v>
      </c>
      <c r="N48" s="6">
        <f t="shared" si="0"/>
        <v>0</v>
      </c>
      <c r="O48" s="4">
        <f t="shared" si="1"/>
        <v>1</v>
      </c>
      <c r="P48" s="4">
        <f t="shared" ref="P48:P53" si="9">450*6</f>
        <v>2700</v>
      </c>
      <c r="Q48" s="4">
        <f t="shared" si="2"/>
        <v>2699</v>
      </c>
      <c r="R48" s="45">
        <f t="shared" si="3"/>
        <v>0.99962962962962965</v>
      </c>
      <c r="S48" s="6"/>
      <c r="T48" s="6"/>
      <c r="X48" s="40" t="s">
        <v>128</v>
      </c>
      <c r="Y48" s="46">
        <v>0.74722222222222223</v>
      </c>
    </row>
    <row r="49" spans="1:25">
      <c r="A49" s="5" t="s">
        <v>22</v>
      </c>
      <c r="B49" s="5" t="s">
        <v>178</v>
      </c>
      <c r="C49" s="5" t="s">
        <v>33</v>
      </c>
      <c r="D49" s="9" t="s">
        <v>147</v>
      </c>
      <c r="E49" s="9" t="s">
        <v>148</v>
      </c>
      <c r="F49" s="9" t="s">
        <v>148</v>
      </c>
      <c r="G49" s="9" t="s">
        <v>148</v>
      </c>
      <c r="H49" s="9" t="s">
        <v>148</v>
      </c>
      <c r="I49" s="9" t="s">
        <v>148</v>
      </c>
      <c r="J49" s="9" t="s">
        <v>147</v>
      </c>
      <c r="K49" s="9" t="s">
        <v>147</v>
      </c>
      <c r="L49" s="9" t="s">
        <v>148</v>
      </c>
      <c r="M49" s="6">
        <f>SUM(E49:I49)</f>
        <v>0</v>
      </c>
      <c r="N49" s="6">
        <f t="shared" si="0"/>
        <v>0</v>
      </c>
      <c r="O49" s="4">
        <f t="shared" si="1"/>
        <v>0</v>
      </c>
      <c r="P49" s="4">
        <f t="shared" si="9"/>
        <v>2700</v>
      </c>
      <c r="Q49" s="4">
        <f t="shared" si="2"/>
        <v>2700</v>
      </c>
      <c r="R49" s="45">
        <f t="shared" si="3"/>
        <v>1</v>
      </c>
      <c r="S49" s="6"/>
      <c r="T49" s="6"/>
      <c r="X49" s="24" t="s">
        <v>56</v>
      </c>
      <c r="Y49" s="46">
        <v>0.91166666666666663</v>
      </c>
    </row>
    <row r="50" spans="1:25">
      <c r="A50" s="5" t="s">
        <v>22</v>
      </c>
      <c r="B50" s="5" t="s">
        <v>92</v>
      </c>
      <c r="C50" s="5" t="s">
        <v>63</v>
      </c>
      <c r="D50" s="47" t="s">
        <v>147</v>
      </c>
      <c r="E50" s="49" t="s">
        <v>148</v>
      </c>
      <c r="F50" s="49" t="s">
        <v>148</v>
      </c>
      <c r="G50" s="49" t="s">
        <v>148</v>
      </c>
      <c r="H50" s="49" t="s">
        <v>148</v>
      </c>
      <c r="I50" s="49" t="s">
        <v>148</v>
      </c>
      <c r="J50" s="49" t="s">
        <v>147</v>
      </c>
      <c r="K50" s="49" t="s">
        <v>147</v>
      </c>
      <c r="L50" s="43" t="s">
        <v>148</v>
      </c>
      <c r="M50" s="6">
        <f>SUM(D50:I50)</f>
        <v>0</v>
      </c>
      <c r="N50" s="6">
        <f t="shared" si="0"/>
        <v>0</v>
      </c>
      <c r="O50" s="4">
        <f t="shared" si="1"/>
        <v>0</v>
      </c>
      <c r="P50" s="4">
        <f t="shared" si="9"/>
        <v>2700</v>
      </c>
      <c r="Q50" s="4">
        <f t="shared" si="2"/>
        <v>2700</v>
      </c>
      <c r="R50" s="45">
        <f t="shared" si="3"/>
        <v>1</v>
      </c>
      <c r="S50" s="6"/>
      <c r="T50" s="6"/>
      <c r="X50" s="40" t="s">
        <v>55</v>
      </c>
      <c r="Y50" s="46">
        <v>1</v>
      </c>
    </row>
    <row r="51" spans="1:25">
      <c r="A51" s="5" t="s">
        <v>26</v>
      </c>
      <c r="B51" s="7" t="s">
        <v>93</v>
      </c>
      <c r="C51" s="34" t="s">
        <v>56</v>
      </c>
      <c r="D51" s="9" t="s">
        <v>147</v>
      </c>
      <c r="E51" s="9" t="s">
        <v>148</v>
      </c>
      <c r="F51" s="9" t="s">
        <v>148</v>
      </c>
      <c r="G51" s="9" t="s">
        <v>148</v>
      </c>
      <c r="H51" s="9" t="s">
        <v>148</v>
      </c>
      <c r="I51" s="9" t="s">
        <v>148</v>
      </c>
      <c r="J51" s="9" t="s">
        <v>147</v>
      </c>
      <c r="K51" s="9" t="s">
        <v>147</v>
      </c>
      <c r="L51" s="9" t="s">
        <v>148</v>
      </c>
      <c r="M51" s="6">
        <f>SUM(D51:J51)</f>
        <v>0</v>
      </c>
      <c r="N51" s="6">
        <f t="shared" si="0"/>
        <v>0</v>
      </c>
      <c r="O51" s="4">
        <f t="shared" si="1"/>
        <v>0</v>
      </c>
      <c r="P51" s="4">
        <f t="shared" si="9"/>
        <v>2700</v>
      </c>
      <c r="Q51" s="4">
        <f t="shared" si="2"/>
        <v>2700</v>
      </c>
      <c r="R51" s="45">
        <f t="shared" si="3"/>
        <v>1</v>
      </c>
      <c r="S51" s="6"/>
      <c r="T51" s="6"/>
      <c r="X51" s="40" t="s">
        <v>105</v>
      </c>
      <c r="Y51" s="46">
        <v>0.81703703703703701</v>
      </c>
    </row>
    <row r="52" spans="1:25">
      <c r="A52" s="5" t="s">
        <v>57</v>
      </c>
      <c r="B52" s="7" t="s">
        <v>94</v>
      </c>
      <c r="C52" s="5" t="s">
        <v>40</v>
      </c>
      <c r="D52" s="48" t="s">
        <v>147</v>
      </c>
      <c r="E52" s="48">
        <v>13</v>
      </c>
      <c r="F52" s="48" t="s">
        <v>148</v>
      </c>
      <c r="G52" s="48">
        <v>2</v>
      </c>
      <c r="H52" s="48" t="s">
        <v>148</v>
      </c>
      <c r="I52" s="48" t="s">
        <v>148</v>
      </c>
      <c r="J52" s="48" t="s">
        <v>147</v>
      </c>
      <c r="K52" s="48" t="s">
        <v>147</v>
      </c>
      <c r="L52" s="43">
        <v>42</v>
      </c>
      <c r="M52" s="6">
        <f>SUM(E52:L52)</f>
        <v>57</v>
      </c>
      <c r="N52" s="6">
        <f t="shared" si="0"/>
        <v>0</v>
      </c>
      <c r="O52" s="4">
        <f t="shared" si="1"/>
        <v>57</v>
      </c>
      <c r="P52" s="4">
        <f t="shared" si="9"/>
        <v>2700</v>
      </c>
      <c r="Q52" s="4">
        <f t="shared" si="2"/>
        <v>2643</v>
      </c>
      <c r="R52" s="45">
        <f t="shared" si="3"/>
        <v>0.97888888888888892</v>
      </c>
      <c r="S52" s="6"/>
      <c r="T52" s="6"/>
      <c r="X52" s="40" t="s">
        <v>129</v>
      </c>
      <c r="Y52" s="46">
        <v>1</v>
      </c>
    </row>
    <row r="53" spans="1:25">
      <c r="A53" s="5" t="s">
        <v>22</v>
      </c>
      <c r="B53" s="5" t="s">
        <v>23</v>
      </c>
      <c r="C53" s="5" t="s">
        <v>25</v>
      </c>
      <c r="D53" s="9" t="s">
        <v>147</v>
      </c>
      <c r="E53" s="9" t="s">
        <v>148</v>
      </c>
      <c r="F53" s="9" t="s">
        <v>148</v>
      </c>
      <c r="G53" s="9" t="s">
        <v>148</v>
      </c>
      <c r="H53" s="9" t="s">
        <v>148</v>
      </c>
      <c r="I53" s="9" t="s">
        <v>148</v>
      </c>
      <c r="J53" s="9" t="s">
        <v>147</v>
      </c>
      <c r="K53" s="9" t="s">
        <v>147</v>
      </c>
      <c r="L53" s="43" t="s">
        <v>148</v>
      </c>
      <c r="M53" s="6">
        <f>SUM(D53:I53)</f>
        <v>0</v>
      </c>
      <c r="N53" s="6">
        <f t="shared" si="0"/>
        <v>0</v>
      </c>
      <c r="O53" s="4">
        <f t="shared" si="1"/>
        <v>0</v>
      </c>
      <c r="P53" s="4">
        <f t="shared" si="9"/>
        <v>2700</v>
      </c>
      <c r="Q53" s="4">
        <f t="shared" si="2"/>
        <v>2700</v>
      </c>
      <c r="R53" s="45">
        <f t="shared" si="3"/>
        <v>1</v>
      </c>
      <c r="S53" s="6"/>
      <c r="T53" s="6"/>
      <c r="X53" s="40" t="s">
        <v>134</v>
      </c>
      <c r="Y53" s="46">
        <v>0.82962962962962961</v>
      </c>
    </row>
    <row r="54" spans="1:25">
      <c r="A54" s="5" t="s">
        <v>37</v>
      </c>
      <c r="B54" s="5" t="s">
        <v>96</v>
      </c>
      <c r="C54" s="5" t="s">
        <v>40</v>
      </c>
      <c r="D54" s="47" t="s">
        <v>147</v>
      </c>
      <c r="E54" s="47" t="s">
        <v>147</v>
      </c>
      <c r="F54" s="47" t="s">
        <v>148</v>
      </c>
      <c r="G54" s="47" t="s">
        <v>148</v>
      </c>
      <c r="H54" s="47" t="s">
        <v>148</v>
      </c>
      <c r="I54" s="47" t="s">
        <v>148</v>
      </c>
      <c r="J54" s="47" t="s">
        <v>148</v>
      </c>
      <c r="K54" s="43" t="s">
        <v>147</v>
      </c>
      <c r="L54" s="43" t="s">
        <v>147</v>
      </c>
      <c r="M54" s="6">
        <f>SUM(D54:L54)</f>
        <v>0</v>
      </c>
      <c r="N54" s="6">
        <f t="shared" si="0"/>
        <v>0</v>
      </c>
      <c r="O54" s="4">
        <f t="shared" si="1"/>
        <v>0</v>
      </c>
      <c r="P54" s="4">
        <f t="shared" si="4"/>
        <v>2250</v>
      </c>
      <c r="Q54" s="4">
        <f t="shared" si="2"/>
        <v>2250</v>
      </c>
      <c r="R54" s="45">
        <f t="shared" si="3"/>
        <v>1</v>
      </c>
      <c r="S54" s="6"/>
      <c r="T54" s="6"/>
      <c r="X54" s="14" t="s">
        <v>37</v>
      </c>
      <c r="Y54" s="46">
        <v>0.98056058201058194</v>
      </c>
    </row>
    <row r="55" spans="1:25">
      <c r="A55" s="5" t="s">
        <v>26</v>
      </c>
      <c r="B55" s="7" t="s">
        <v>97</v>
      </c>
      <c r="C55" s="34" t="s">
        <v>56</v>
      </c>
      <c r="D55" s="9" t="s">
        <v>147</v>
      </c>
      <c r="E55" s="9">
        <v>3</v>
      </c>
      <c r="F55" s="9">
        <v>2</v>
      </c>
      <c r="G55" s="9">
        <v>7</v>
      </c>
      <c r="H55" s="9" t="s">
        <v>148</v>
      </c>
      <c r="I55" s="9" t="s">
        <v>148</v>
      </c>
      <c r="J55" s="9" t="s">
        <v>147</v>
      </c>
      <c r="K55" s="9" t="s">
        <v>147</v>
      </c>
      <c r="L55" s="9" t="s">
        <v>148</v>
      </c>
      <c r="M55" s="6">
        <f>SUM(D55:J55)</f>
        <v>12</v>
      </c>
      <c r="N55" s="6">
        <f t="shared" si="0"/>
        <v>0</v>
      </c>
      <c r="O55" s="4">
        <f t="shared" si="1"/>
        <v>12</v>
      </c>
      <c r="P55" s="4">
        <f>450*6</f>
        <v>2700</v>
      </c>
      <c r="Q55" s="4">
        <f t="shared" si="2"/>
        <v>2688</v>
      </c>
      <c r="R55" s="45">
        <f t="shared" si="3"/>
        <v>0.99555555555555553</v>
      </c>
      <c r="S55" s="6"/>
      <c r="T55" s="6"/>
      <c r="X55" s="24" t="s">
        <v>40</v>
      </c>
      <c r="Y55" s="46">
        <v>0.98056058201058194</v>
      </c>
    </row>
    <row r="56" spans="1:25">
      <c r="A56" s="5" t="s">
        <v>37</v>
      </c>
      <c r="B56" s="5" t="s">
        <v>38</v>
      </c>
      <c r="C56" s="5" t="s">
        <v>40</v>
      </c>
      <c r="D56" s="48" t="s">
        <v>147</v>
      </c>
      <c r="E56" s="48" t="s">
        <v>147</v>
      </c>
      <c r="F56" s="48" t="s">
        <v>147</v>
      </c>
      <c r="G56" s="48" t="s">
        <v>148</v>
      </c>
      <c r="H56" s="48" t="s">
        <v>148</v>
      </c>
      <c r="I56" s="48" t="s">
        <v>148</v>
      </c>
      <c r="J56" s="48" t="s">
        <v>148</v>
      </c>
      <c r="K56" s="43" t="s">
        <v>148</v>
      </c>
      <c r="L56" s="43" t="s">
        <v>147</v>
      </c>
      <c r="M56" s="6">
        <f>SUM(D56:L56)</f>
        <v>0</v>
      </c>
      <c r="N56" s="6">
        <f t="shared" si="0"/>
        <v>0</v>
      </c>
      <c r="O56" s="4">
        <f t="shared" si="1"/>
        <v>0</v>
      </c>
      <c r="P56" s="4">
        <f t="shared" si="4"/>
        <v>2250</v>
      </c>
      <c r="Q56" s="4">
        <f t="shared" si="2"/>
        <v>2250</v>
      </c>
      <c r="R56" s="45">
        <f t="shared" si="3"/>
        <v>1</v>
      </c>
      <c r="S56" s="6"/>
      <c r="T56" s="6"/>
      <c r="X56" s="40" t="s">
        <v>39</v>
      </c>
      <c r="Y56" s="46">
        <v>0.99750000000000005</v>
      </c>
    </row>
    <row r="57" spans="1:25">
      <c r="A57" s="5" t="s">
        <v>26</v>
      </c>
      <c r="B57" s="7" t="s">
        <v>98</v>
      </c>
      <c r="C57" s="34" t="s">
        <v>30</v>
      </c>
      <c r="D57" s="9" t="s">
        <v>147</v>
      </c>
      <c r="E57" s="9" t="s">
        <v>148</v>
      </c>
      <c r="F57" s="9" t="s">
        <v>148</v>
      </c>
      <c r="G57" s="9" t="s">
        <v>148</v>
      </c>
      <c r="H57" s="9" t="s">
        <v>148</v>
      </c>
      <c r="I57" s="9" t="s">
        <v>148</v>
      </c>
      <c r="J57" s="9" t="s">
        <v>147</v>
      </c>
      <c r="K57" s="43" t="s">
        <v>147</v>
      </c>
      <c r="L57" s="43">
        <v>75</v>
      </c>
      <c r="M57" s="6">
        <f>SUM(D57:L57)</f>
        <v>75</v>
      </c>
      <c r="N57" s="6">
        <f t="shared" si="0"/>
        <v>0</v>
      </c>
      <c r="O57" s="4">
        <f t="shared" si="1"/>
        <v>75</v>
      </c>
      <c r="P57" s="4">
        <f>450*6</f>
        <v>2700</v>
      </c>
      <c r="Q57" s="4">
        <f t="shared" si="2"/>
        <v>2625</v>
      </c>
      <c r="R57" s="45">
        <f t="shared" si="3"/>
        <v>0.97222222222222221</v>
      </c>
      <c r="S57" s="6"/>
      <c r="T57" s="6"/>
      <c r="X57" s="40" t="s">
        <v>44</v>
      </c>
      <c r="Y57" s="46">
        <v>1</v>
      </c>
    </row>
    <row r="58" spans="1:25">
      <c r="A58" s="5" t="s">
        <v>22</v>
      </c>
      <c r="B58" s="5" t="s">
        <v>99</v>
      </c>
      <c r="C58" s="5" t="s">
        <v>63</v>
      </c>
      <c r="D58" s="9" t="s">
        <v>147</v>
      </c>
      <c r="E58" s="9" t="s">
        <v>148</v>
      </c>
      <c r="F58" s="9">
        <v>253</v>
      </c>
      <c r="G58" s="9" t="s">
        <v>148</v>
      </c>
      <c r="H58" s="9" t="s">
        <v>148</v>
      </c>
      <c r="I58" s="9" t="s">
        <v>148</v>
      </c>
      <c r="J58" s="9" t="s">
        <v>147</v>
      </c>
      <c r="K58" s="9" t="s">
        <v>147</v>
      </c>
      <c r="L58" s="43" t="s">
        <v>148</v>
      </c>
      <c r="M58" s="6">
        <f t="shared" ref="M58:M59" si="10">SUM(D58:I58)</f>
        <v>253</v>
      </c>
      <c r="N58" s="6">
        <f t="shared" si="0"/>
        <v>0</v>
      </c>
      <c r="O58" s="4">
        <f t="shared" si="1"/>
        <v>253</v>
      </c>
      <c r="P58" s="4">
        <f t="shared" ref="P58:P59" si="11">450*6</f>
        <v>2700</v>
      </c>
      <c r="Q58" s="4">
        <f t="shared" si="2"/>
        <v>2447</v>
      </c>
      <c r="R58" s="45">
        <f t="shared" si="3"/>
        <v>0.90629629629629627</v>
      </c>
      <c r="S58" s="6"/>
      <c r="T58" s="6"/>
      <c r="X58" s="40" t="s">
        <v>52</v>
      </c>
      <c r="Y58" s="46">
        <v>0.98190476190476195</v>
      </c>
    </row>
    <row r="59" spans="1:25">
      <c r="A59" s="5" t="s">
        <v>22</v>
      </c>
      <c r="B59" s="32" t="s">
        <v>100</v>
      </c>
      <c r="C59" s="35" t="s">
        <v>63</v>
      </c>
      <c r="D59" s="9" t="s">
        <v>147</v>
      </c>
      <c r="E59" s="9" t="s">
        <v>148</v>
      </c>
      <c r="F59" s="9" t="s">
        <v>148</v>
      </c>
      <c r="G59" s="9" t="s">
        <v>148</v>
      </c>
      <c r="H59" s="9" t="s">
        <v>148</v>
      </c>
      <c r="I59" s="9">
        <v>2</v>
      </c>
      <c r="J59" s="9" t="s">
        <v>147</v>
      </c>
      <c r="K59" s="9" t="s">
        <v>147</v>
      </c>
      <c r="L59" s="43" t="s">
        <v>148</v>
      </c>
      <c r="M59" s="6">
        <f t="shared" si="10"/>
        <v>2</v>
      </c>
      <c r="N59" s="6">
        <f t="shared" si="0"/>
        <v>0</v>
      </c>
      <c r="O59" s="4">
        <f t="shared" si="1"/>
        <v>2</v>
      </c>
      <c r="P59" s="4">
        <f t="shared" si="11"/>
        <v>2700</v>
      </c>
      <c r="Q59" s="4">
        <f t="shared" si="2"/>
        <v>2698</v>
      </c>
      <c r="R59" s="45">
        <f t="shared" si="3"/>
        <v>0.99925925925925929</v>
      </c>
      <c r="S59" s="6"/>
      <c r="T59" s="6"/>
      <c r="X59" s="40" t="s">
        <v>74</v>
      </c>
      <c r="Y59" s="46">
        <v>0.9663492063492064</v>
      </c>
    </row>
    <row r="60" spans="1:25">
      <c r="A60" s="5" t="s">
        <v>57</v>
      </c>
      <c r="B60" s="10" t="s">
        <v>101</v>
      </c>
      <c r="C60" s="35" t="s">
        <v>40</v>
      </c>
      <c r="D60" s="9" t="s">
        <v>147</v>
      </c>
      <c r="E60" s="47" t="s">
        <v>148</v>
      </c>
      <c r="F60" s="47" t="s">
        <v>148</v>
      </c>
      <c r="G60" s="47" t="s">
        <v>148</v>
      </c>
      <c r="H60" s="47" t="s">
        <v>148</v>
      </c>
      <c r="I60" s="47" t="s">
        <v>148</v>
      </c>
      <c r="J60" s="47" t="s">
        <v>147</v>
      </c>
      <c r="K60" s="47" t="s">
        <v>147</v>
      </c>
      <c r="L60" s="43" t="s">
        <v>148</v>
      </c>
      <c r="M60" s="6">
        <v>0</v>
      </c>
      <c r="N60" s="6">
        <f t="shared" si="0"/>
        <v>0</v>
      </c>
      <c r="O60" s="4">
        <f t="shared" si="1"/>
        <v>0</v>
      </c>
      <c r="P60" s="4">
        <f>450*6</f>
        <v>2700</v>
      </c>
      <c r="Q60" s="4">
        <f t="shared" si="2"/>
        <v>2700</v>
      </c>
      <c r="R60" s="45">
        <f t="shared" si="3"/>
        <v>1</v>
      </c>
      <c r="S60" s="6"/>
      <c r="T60" s="6"/>
      <c r="X60" s="40" t="s">
        <v>76</v>
      </c>
      <c r="Y60" s="46">
        <v>0.99888888888888894</v>
      </c>
    </row>
    <row r="61" spans="1:25">
      <c r="A61" s="5" t="s">
        <v>22</v>
      </c>
      <c r="B61" s="32" t="s">
        <v>102</v>
      </c>
      <c r="C61" s="35" t="s">
        <v>33</v>
      </c>
      <c r="D61" s="9" t="s">
        <v>147</v>
      </c>
      <c r="E61" s="9" t="s">
        <v>148</v>
      </c>
      <c r="F61" s="9" t="s">
        <v>148</v>
      </c>
      <c r="G61" s="9" t="s">
        <v>148</v>
      </c>
      <c r="H61" s="9" t="s">
        <v>148</v>
      </c>
      <c r="I61" s="9" t="s">
        <v>148</v>
      </c>
      <c r="J61" s="9" t="s">
        <v>147</v>
      </c>
      <c r="K61" s="9" t="s">
        <v>147</v>
      </c>
      <c r="L61" s="9" t="s">
        <v>148</v>
      </c>
      <c r="M61" s="6">
        <v>0</v>
      </c>
      <c r="N61" s="6">
        <f t="shared" si="0"/>
        <v>0</v>
      </c>
      <c r="O61" s="4">
        <f t="shared" si="1"/>
        <v>0</v>
      </c>
      <c r="P61" s="4">
        <f t="shared" ref="P61:P62" si="12">450*6</f>
        <v>2700</v>
      </c>
      <c r="Q61" s="4">
        <f t="shared" si="2"/>
        <v>2700</v>
      </c>
      <c r="R61" s="45">
        <f t="shared" si="3"/>
        <v>1</v>
      </c>
      <c r="S61" s="6"/>
      <c r="T61" s="6"/>
      <c r="X61" s="40" t="s">
        <v>90</v>
      </c>
      <c r="Y61" s="46">
        <v>1</v>
      </c>
    </row>
    <row r="62" spans="1:25">
      <c r="A62" s="5" t="s">
        <v>22</v>
      </c>
      <c r="B62" s="32" t="s">
        <v>31</v>
      </c>
      <c r="C62" s="35" t="s">
        <v>33</v>
      </c>
      <c r="D62" s="9" t="s">
        <v>147</v>
      </c>
      <c r="E62" s="9" t="s">
        <v>148</v>
      </c>
      <c r="F62" s="9" t="s">
        <v>148</v>
      </c>
      <c r="G62" s="9" t="s">
        <v>148</v>
      </c>
      <c r="H62" s="9" t="s">
        <v>148</v>
      </c>
      <c r="I62" s="9" t="s">
        <v>148</v>
      </c>
      <c r="J62" s="9" t="s">
        <v>147</v>
      </c>
      <c r="K62" s="9" t="s">
        <v>147</v>
      </c>
      <c r="L62" s="9" t="s">
        <v>148</v>
      </c>
      <c r="M62" s="6">
        <f t="shared" ref="M62" si="13">SUM(E62:I62)</f>
        <v>0</v>
      </c>
      <c r="N62" s="6">
        <f t="shared" si="0"/>
        <v>0</v>
      </c>
      <c r="O62" s="4">
        <f t="shared" si="1"/>
        <v>0</v>
      </c>
      <c r="P62" s="4">
        <f t="shared" si="12"/>
        <v>2700</v>
      </c>
      <c r="Q62" s="4">
        <f t="shared" si="2"/>
        <v>2700</v>
      </c>
      <c r="R62" s="45">
        <f t="shared" si="3"/>
        <v>1</v>
      </c>
      <c r="S62" s="6"/>
      <c r="T62" s="6"/>
      <c r="X62" s="40" t="s">
        <v>96</v>
      </c>
      <c r="Y62" s="46">
        <v>1</v>
      </c>
    </row>
    <row r="63" spans="1:25">
      <c r="A63" s="5" t="s">
        <v>26</v>
      </c>
      <c r="B63" s="10" t="s">
        <v>103</v>
      </c>
      <c r="C63" s="5" t="s">
        <v>40</v>
      </c>
      <c r="D63" s="9">
        <v>11</v>
      </c>
      <c r="E63" s="48" t="s">
        <v>148</v>
      </c>
      <c r="F63" s="48" t="s">
        <v>147</v>
      </c>
      <c r="G63" s="48" t="s">
        <v>147</v>
      </c>
      <c r="H63" s="48">
        <v>7</v>
      </c>
      <c r="I63" s="48">
        <v>12</v>
      </c>
      <c r="J63" s="48" t="s">
        <v>148</v>
      </c>
      <c r="K63" s="43" t="s">
        <v>12</v>
      </c>
      <c r="L63" s="43">
        <v>24</v>
      </c>
      <c r="M63" s="6">
        <f>SUM(D63:L63)</f>
        <v>54</v>
      </c>
      <c r="N63" s="6">
        <f t="shared" si="0"/>
        <v>0</v>
      </c>
      <c r="O63" s="4">
        <f t="shared" ref="O63:O92" si="14">SUM(M63:N63)</f>
        <v>54</v>
      </c>
      <c r="P63" s="4">
        <f t="shared" ref="P63:P71" si="15">450*6</f>
        <v>2700</v>
      </c>
      <c r="Q63" s="4">
        <f t="shared" si="2"/>
        <v>2646</v>
      </c>
      <c r="R63" s="45">
        <f t="shared" si="3"/>
        <v>0.98</v>
      </c>
      <c r="S63" s="6">
        <v>1</v>
      </c>
      <c r="T63" s="6"/>
      <c r="X63" s="40" t="s">
        <v>38</v>
      </c>
      <c r="Y63" s="46">
        <v>1</v>
      </c>
    </row>
    <row r="64" spans="1:25">
      <c r="A64" s="5" t="s">
        <v>22</v>
      </c>
      <c r="B64" s="32" t="s">
        <v>104</v>
      </c>
      <c r="C64" s="35" t="s">
        <v>25</v>
      </c>
      <c r="D64" s="47" t="s">
        <v>147</v>
      </c>
      <c r="E64" s="47">
        <v>65</v>
      </c>
      <c r="F64" s="47" t="s">
        <v>148</v>
      </c>
      <c r="G64" s="47" t="s">
        <v>148</v>
      </c>
      <c r="H64" s="47" t="s">
        <v>148</v>
      </c>
      <c r="I64" s="47" t="s">
        <v>148</v>
      </c>
      <c r="J64" s="47" t="s">
        <v>147</v>
      </c>
      <c r="K64" s="47" t="s">
        <v>147</v>
      </c>
      <c r="L64" s="43" t="s">
        <v>148</v>
      </c>
      <c r="M64" s="6">
        <f>E64</f>
        <v>65</v>
      </c>
      <c r="N64" s="6">
        <f t="shared" si="0"/>
        <v>0</v>
      </c>
      <c r="O64" s="4">
        <f t="shared" si="14"/>
        <v>65</v>
      </c>
      <c r="P64" s="4">
        <f t="shared" si="15"/>
        <v>2700</v>
      </c>
      <c r="Q64" s="4">
        <f t="shared" si="2"/>
        <v>2635</v>
      </c>
      <c r="R64" s="45">
        <f t="shared" si="3"/>
        <v>0.97592592592592597</v>
      </c>
      <c r="S64" s="6"/>
      <c r="T64" s="6"/>
      <c r="X64" s="40" t="s">
        <v>114</v>
      </c>
      <c r="Y64" s="46">
        <v>0.87022222222222223</v>
      </c>
    </row>
    <row r="65" spans="1:25">
      <c r="A65" s="5" t="s">
        <v>22</v>
      </c>
      <c r="B65" s="32" t="s">
        <v>105</v>
      </c>
      <c r="C65" s="35" t="s">
        <v>56</v>
      </c>
      <c r="D65" s="9" t="s">
        <v>147</v>
      </c>
      <c r="E65" s="9" t="s">
        <v>148</v>
      </c>
      <c r="F65" s="9">
        <v>450</v>
      </c>
      <c r="G65" s="9">
        <v>35</v>
      </c>
      <c r="H65" s="9" t="s">
        <v>148</v>
      </c>
      <c r="I65" s="9" t="s">
        <v>148</v>
      </c>
      <c r="J65" s="9" t="s">
        <v>147</v>
      </c>
      <c r="K65" s="9" t="s">
        <v>147</v>
      </c>
      <c r="L65" s="9">
        <v>9</v>
      </c>
      <c r="M65" s="6">
        <f>SUM(G65:L65)</f>
        <v>44</v>
      </c>
      <c r="N65" s="6">
        <f t="shared" si="0"/>
        <v>450</v>
      </c>
      <c r="O65" s="4">
        <f t="shared" si="14"/>
        <v>494</v>
      </c>
      <c r="P65" s="4">
        <f t="shared" si="15"/>
        <v>2700</v>
      </c>
      <c r="Q65" s="4">
        <f t="shared" ref="Q65:Q92" si="16">P65-O65</f>
        <v>2206</v>
      </c>
      <c r="R65" s="45">
        <f t="shared" ref="R65:R92" si="17">Q65/P65*100%</f>
        <v>0.81703703703703701</v>
      </c>
      <c r="S65" s="6"/>
      <c r="T65" s="6"/>
      <c r="U65" s="15">
        <v>1</v>
      </c>
      <c r="X65" s="40" t="s">
        <v>118</v>
      </c>
      <c r="Y65" s="46">
        <v>0.9907407407407407</v>
      </c>
    </row>
    <row r="66" spans="1:25">
      <c r="A66" s="5" t="s">
        <v>22</v>
      </c>
      <c r="B66" s="32" t="s">
        <v>106</v>
      </c>
      <c r="C66" s="35" t="s">
        <v>30</v>
      </c>
      <c r="D66" s="48" t="s">
        <v>147</v>
      </c>
      <c r="E66" s="48" t="s">
        <v>148</v>
      </c>
      <c r="F66" s="48" t="s">
        <v>148</v>
      </c>
      <c r="G66" s="48" t="s">
        <v>148</v>
      </c>
      <c r="H66" s="48" t="s">
        <v>148</v>
      </c>
      <c r="I66" s="48" t="s">
        <v>148</v>
      </c>
      <c r="J66" s="48" t="s">
        <v>147</v>
      </c>
      <c r="K66" s="48" t="s">
        <v>147</v>
      </c>
      <c r="L66" s="43" t="s">
        <v>148</v>
      </c>
      <c r="M66" s="6">
        <f>SUM(D66:J66)</f>
        <v>0</v>
      </c>
      <c r="N66" s="6">
        <f t="shared" si="0"/>
        <v>0</v>
      </c>
      <c r="O66" s="4">
        <f t="shared" si="14"/>
        <v>0</v>
      </c>
      <c r="P66" s="4">
        <f t="shared" si="15"/>
        <v>2700</v>
      </c>
      <c r="Q66" s="4">
        <f t="shared" si="16"/>
        <v>2700</v>
      </c>
      <c r="R66" s="45">
        <f t="shared" si="17"/>
        <v>1</v>
      </c>
      <c r="S66" s="6"/>
      <c r="T66" s="6"/>
      <c r="X66" s="14" t="s">
        <v>57</v>
      </c>
      <c r="Y66" s="46">
        <v>0.99472222222222229</v>
      </c>
    </row>
    <row r="67" spans="1:25">
      <c r="A67" s="5" t="s">
        <v>57</v>
      </c>
      <c r="B67" s="10" t="s">
        <v>107</v>
      </c>
      <c r="C67" s="35" t="s">
        <v>40</v>
      </c>
      <c r="D67" s="9" t="s">
        <v>147</v>
      </c>
      <c r="E67" s="9">
        <v>32</v>
      </c>
      <c r="F67" s="9" t="s">
        <v>148</v>
      </c>
      <c r="G67" s="9" t="s">
        <v>148</v>
      </c>
      <c r="H67" s="9" t="s">
        <v>148</v>
      </c>
      <c r="I67" s="9" t="s">
        <v>148</v>
      </c>
      <c r="J67" s="9" t="s">
        <v>147</v>
      </c>
      <c r="K67" s="9" t="s">
        <v>147</v>
      </c>
      <c r="L67" s="43" t="s">
        <v>148</v>
      </c>
      <c r="M67" s="6" t="str">
        <f>F67</f>
        <v>P</v>
      </c>
      <c r="N67" s="6">
        <f t="shared" ref="N67:N92" si="18">SUMIF(D67:L67,"450")</f>
        <v>0</v>
      </c>
      <c r="O67" s="4">
        <f t="shared" si="14"/>
        <v>0</v>
      </c>
      <c r="P67" s="4">
        <f t="shared" si="15"/>
        <v>2700</v>
      </c>
      <c r="Q67" s="4">
        <f t="shared" si="16"/>
        <v>2700</v>
      </c>
      <c r="R67" s="45">
        <f t="shared" si="17"/>
        <v>1</v>
      </c>
      <c r="S67" s="6"/>
      <c r="T67" s="6"/>
      <c r="X67" s="24" t="s">
        <v>40</v>
      </c>
      <c r="Y67" s="46">
        <v>0.99472222222222229</v>
      </c>
    </row>
    <row r="68" spans="1:25">
      <c r="A68" s="5" t="s">
        <v>26</v>
      </c>
      <c r="B68" s="10" t="s">
        <v>108</v>
      </c>
      <c r="C68" s="11" t="s">
        <v>30</v>
      </c>
      <c r="D68" s="9" t="s">
        <v>147</v>
      </c>
      <c r="E68" s="9" t="s">
        <v>148</v>
      </c>
      <c r="F68" s="9" t="s">
        <v>148</v>
      </c>
      <c r="G68" s="9" t="s">
        <v>148</v>
      </c>
      <c r="H68" s="9" t="s">
        <v>148</v>
      </c>
      <c r="I68" s="9" t="s">
        <v>148</v>
      </c>
      <c r="J68" s="9" t="s">
        <v>147</v>
      </c>
      <c r="K68" s="43" t="s">
        <v>147</v>
      </c>
      <c r="L68" s="43" t="s">
        <v>148</v>
      </c>
      <c r="M68" s="6">
        <f>SUM(D68:L68)</f>
        <v>0</v>
      </c>
      <c r="N68" s="6">
        <f t="shared" si="18"/>
        <v>0</v>
      </c>
      <c r="O68" s="4">
        <f t="shared" si="14"/>
        <v>0</v>
      </c>
      <c r="P68" s="4">
        <f t="shared" si="15"/>
        <v>2700</v>
      </c>
      <c r="Q68" s="4">
        <f t="shared" si="16"/>
        <v>2700</v>
      </c>
      <c r="R68" s="45">
        <f t="shared" si="17"/>
        <v>1</v>
      </c>
      <c r="S68" s="6"/>
      <c r="T68" s="6"/>
      <c r="X68" s="40" t="s">
        <v>58</v>
      </c>
      <c r="Y68" s="46">
        <v>1</v>
      </c>
    </row>
    <row r="69" spans="1:25">
      <c r="A69" s="5" t="s">
        <v>26</v>
      </c>
      <c r="B69" s="10" t="s">
        <v>109</v>
      </c>
      <c r="C69" s="5" t="s">
        <v>40</v>
      </c>
      <c r="D69" s="9" t="s">
        <v>147</v>
      </c>
      <c r="E69" s="9" t="s">
        <v>148</v>
      </c>
      <c r="F69" s="9" t="s">
        <v>148</v>
      </c>
      <c r="G69" s="9" t="s">
        <v>148</v>
      </c>
      <c r="H69" s="9" t="s">
        <v>148</v>
      </c>
      <c r="I69" s="9" t="s">
        <v>148</v>
      </c>
      <c r="J69" s="9" t="s">
        <v>147</v>
      </c>
      <c r="K69" s="43" t="s">
        <v>147</v>
      </c>
      <c r="L69" s="43" t="s">
        <v>148</v>
      </c>
      <c r="M69" s="6">
        <f>SUM(D69:L69)</f>
        <v>0</v>
      </c>
      <c r="N69" s="6">
        <f t="shared" si="18"/>
        <v>0</v>
      </c>
      <c r="O69" s="4">
        <f t="shared" si="14"/>
        <v>0</v>
      </c>
      <c r="P69" s="4">
        <f t="shared" si="15"/>
        <v>2700</v>
      </c>
      <c r="Q69" s="4">
        <f t="shared" si="16"/>
        <v>2700</v>
      </c>
      <c r="R69" s="45">
        <f t="shared" si="17"/>
        <v>1</v>
      </c>
      <c r="S69" s="6"/>
      <c r="T69" s="6"/>
      <c r="X69" s="40" t="s">
        <v>94</v>
      </c>
      <c r="Y69" s="46">
        <v>0.97888888888888892</v>
      </c>
    </row>
    <row r="70" spans="1:25">
      <c r="A70" s="5" t="s">
        <v>111</v>
      </c>
      <c r="B70" s="10" t="s">
        <v>110</v>
      </c>
      <c r="C70" s="35" t="s">
        <v>40</v>
      </c>
      <c r="D70" s="9" t="s">
        <v>147</v>
      </c>
      <c r="E70" s="9" t="s">
        <v>148</v>
      </c>
      <c r="F70" s="9" t="s">
        <v>148</v>
      </c>
      <c r="G70" s="9" t="s">
        <v>148</v>
      </c>
      <c r="H70" s="9" t="s">
        <v>148</v>
      </c>
      <c r="I70" s="9" t="s">
        <v>148</v>
      </c>
      <c r="J70" s="9" t="s">
        <v>147</v>
      </c>
      <c r="K70" s="43" t="s">
        <v>147</v>
      </c>
      <c r="L70" s="43" t="s">
        <v>148</v>
      </c>
      <c r="M70" s="6">
        <f>SUM(E70:I70)</f>
        <v>0</v>
      </c>
      <c r="N70" s="6">
        <f t="shared" si="18"/>
        <v>0</v>
      </c>
      <c r="O70" s="4">
        <f t="shared" si="14"/>
        <v>0</v>
      </c>
      <c r="P70" s="4">
        <f t="shared" si="15"/>
        <v>2700</v>
      </c>
      <c r="Q70" s="4">
        <f t="shared" si="16"/>
        <v>2700</v>
      </c>
      <c r="R70" s="45">
        <f t="shared" si="17"/>
        <v>1</v>
      </c>
      <c r="S70" s="6"/>
      <c r="T70" s="6"/>
      <c r="X70" s="40" t="s">
        <v>101</v>
      </c>
      <c r="Y70" s="46">
        <v>1</v>
      </c>
    </row>
    <row r="71" spans="1:25">
      <c r="A71" s="5" t="s">
        <v>22</v>
      </c>
      <c r="B71" s="32" t="s">
        <v>112</v>
      </c>
      <c r="C71" s="35" t="s">
        <v>25</v>
      </c>
      <c r="D71" s="9" t="s">
        <v>147</v>
      </c>
      <c r="E71" s="9">
        <v>4</v>
      </c>
      <c r="F71" s="9">
        <v>3</v>
      </c>
      <c r="G71" s="9" t="s">
        <v>148</v>
      </c>
      <c r="H71" s="9" t="s">
        <v>148</v>
      </c>
      <c r="I71" s="9">
        <v>27</v>
      </c>
      <c r="J71" s="9" t="s">
        <v>147</v>
      </c>
      <c r="K71" s="9" t="s">
        <v>147</v>
      </c>
      <c r="L71" s="43" t="s">
        <v>148</v>
      </c>
      <c r="M71" s="6">
        <f>SUM(D71:I71)</f>
        <v>34</v>
      </c>
      <c r="N71" s="6">
        <f t="shared" si="18"/>
        <v>0</v>
      </c>
      <c r="O71" s="4">
        <f t="shared" si="14"/>
        <v>34</v>
      </c>
      <c r="P71" s="4">
        <f t="shared" si="15"/>
        <v>2700</v>
      </c>
      <c r="Q71" s="4">
        <f t="shared" si="16"/>
        <v>2666</v>
      </c>
      <c r="R71" s="45">
        <f t="shared" si="17"/>
        <v>0.9874074074074074</v>
      </c>
      <c r="S71" s="6"/>
      <c r="T71" s="6"/>
      <c r="X71" s="40" t="s">
        <v>107</v>
      </c>
      <c r="Y71" s="46">
        <v>1</v>
      </c>
    </row>
    <row r="72" spans="1:25">
      <c r="A72" s="5" t="s">
        <v>26</v>
      </c>
      <c r="B72" s="10" t="s">
        <v>113</v>
      </c>
      <c r="C72" s="5" t="s">
        <v>40</v>
      </c>
      <c r="D72" s="9" t="s">
        <v>148</v>
      </c>
      <c r="E72" s="9" t="s">
        <v>148</v>
      </c>
      <c r="F72" s="9" t="s">
        <v>147</v>
      </c>
      <c r="G72" s="9" t="s">
        <v>147</v>
      </c>
      <c r="H72" s="9" t="s">
        <v>148</v>
      </c>
      <c r="I72" s="9" t="s">
        <v>148</v>
      </c>
      <c r="J72" s="9" t="s">
        <v>148</v>
      </c>
      <c r="K72" s="43" t="s">
        <v>148</v>
      </c>
      <c r="L72" s="43" t="s">
        <v>148</v>
      </c>
      <c r="M72" s="6">
        <f>SUM(D72:L72)</f>
        <v>0</v>
      </c>
      <c r="N72" s="6">
        <f t="shared" si="18"/>
        <v>0</v>
      </c>
      <c r="O72" s="4">
        <f t="shared" si="14"/>
        <v>0</v>
      </c>
      <c r="P72" s="4">
        <f>450*7</f>
        <v>3150</v>
      </c>
      <c r="Q72" s="4">
        <f t="shared" si="16"/>
        <v>3150</v>
      </c>
      <c r="R72" s="45">
        <f t="shared" si="17"/>
        <v>1</v>
      </c>
      <c r="S72" s="6"/>
      <c r="T72" s="6"/>
      <c r="X72" s="14" t="s">
        <v>60</v>
      </c>
      <c r="Y72" s="46">
        <v>0.9953333333333334</v>
      </c>
    </row>
    <row r="73" spans="1:25">
      <c r="A73" s="5" t="s">
        <v>37</v>
      </c>
      <c r="B73" s="32" t="s">
        <v>114</v>
      </c>
      <c r="C73" s="35" t="s">
        <v>40</v>
      </c>
      <c r="D73" s="9" t="s">
        <v>147</v>
      </c>
      <c r="E73" s="9" t="s">
        <v>147</v>
      </c>
      <c r="F73" s="9" t="s">
        <v>148</v>
      </c>
      <c r="G73" s="9" t="s">
        <v>148</v>
      </c>
      <c r="H73" s="9">
        <v>265</v>
      </c>
      <c r="I73" s="9">
        <v>11</v>
      </c>
      <c r="J73" s="9">
        <v>16</v>
      </c>
      <c r="K73" s="43" t="s">
        <v>147</v>
      </c>
      <c r="L73" s="43" t="s">
        <v>147</v>
      </c>
      <c r="M73" s="6">
        <f>SUM(D73:L73)</f>
        <v>292</v>
      </c>
      <c r="N73" s="6">
        <f t="shared" si="18"/>
        <v>0</v>
      </c>
      <c r="O73" s="4">
        <f t="shared" si="14"/>
        <v>292</v>
      </c>
      <c r="P73" s="4">
        <f>450*5</f>
        <v>2250</v>
      </c>
      <c r="Q73" s="4">
        <f t="shared" si="16"/>
        <v>1958</v>
      </c>
      <c r="R73" s="45">
        <f t="shared" si="17"/>
        <v>0.87022222222222223</v>
      </c>
      <c r="S73" s="6"/>
      <c r="T73" s="6">
        <v>1</v>
      </c>
      <c r="X73" s="24" t="s">
        <v>40</v>
      </c>
      <c r="Y73" s="46">
        <v>0.9953333333333334</v>
      </c>
    </row>
    <row r="74" spans="1:25">
      <c r="A74" s="5" t="s">
        <v>22</v>
      </c>
      <c r="B74" s="32" t="s">
        <v>66</v>
      </c>
      <c r="C74" s="35" t="s">
        <v>30</v>
      </c>
      <c r="D74" s="9" t="s">
        <v>147</v>
      </c>
      <c r="E74" s="47" t="s">
        <v>148</v>
      </c>
      <c r="F74" s="47" t="s">
        <v>148</v>
      </c>
      <c r="G74" s="47" t="s">
        <v>148</v>
      </c>
      <c r="H74" s="47" t="s">
        <v>148</v>
      </c>
      <c r="I74" s="47" t="s">
        <v>148</v>
      </c>
      <c r="J74" s="47" t="s">
        <v>147</v>
      </c>
      <c r="K74" s="47" t="s">
        <v>147</v>
      </c>
      <c r="L74" s="43" t="s">
        <v>148</v>
      </c>
      <c r="M74" s="6">
        <f>SUM(D74:J74)</f>
        <v>0</v>
      </c>
      <c r="N74" s="6">
        <f t="shared" si="18"/>
        <v>0</v>
      </c>
      <c r="O74" s="4">
        <f t="shared" si="14"/>
        <v>0</v>
      </c>
      <c r="P74" s="4">
        <f>450*6</f>
        <v>2700</v>
      </c>
      <c r="Q74" s="4">
        <f t="shared" si="16"/>
        <v>2700</v>
      </c>
      <c r="R74" s="45">
        <f t="shared" si="17"/>
        <v>1</v>
      </c>
      <c r="S74" s="6"/>
      <c r="T74" s="6"/>
      <c r="X74" s="40" t="s">
        <v>59</v>
      </c>
      <c r="Y74" s="46">
        <v>0.99822222222222223</v>
      </c>
    </row>
    <row r="75" spans="1:25">
      <c r="A75" s="5" t="s">
        <v>22</v>
      </c>
      <c r="B75" s="32" t="s">
        <v>115</v>
      </c>
      <c r="C75" s="35" t="s">
        <v>33</v>
      </c>
      <c r="D75" s="9" t="s">
        <v>147</v>
      </c>
      <c r="E75" s="9" t="s">
        <v>148</v>
      </c>
      <c r="F75" s="9" t="s">
        <v>148</v>
      </c>
      <c r="G75" s="9" t="s">
        <v>148</v>
      </c>
      <c r="H75" s="9" t="s">
        <v>148</v>
      </c>
      <c r="I75" s="9" t="s">
        <v>148</v>
      </c>
      <c r="J75" s="9" t="s">
        <v>147</v>
      </c>
      <c r="K75" s="9" t="s">
        <v>147</v>
      </c>
      <c r="L75" s="9">
        <v>28</v>
      </c>
      <c r="M75" s="6">
        <f>L75</f>
        <v>28</v>
      </c>
      <c r="N75" s="6">
        <f t="shared" si="18"/>
        <v>0</v>
      </c>
      <c r="O75" s="4">
        <f t="shared" si="14"/>
        <v>28</v>
      </c>
      <c r="P75" s="4">
        <f>450*6</f>
        <v>2700</v>
      </c>
      <c r="Q75" s="4">
        <f t="shared" si="16"/>
        <v>2672</v>
      </c>
      <c r="R75" s="45">
        <f t="shared" si="17"/>
        <v>0.98962962962962964</v>
      </c>
      <c r="S75" s="6"/>
      <c r="T75" s="6"/>
      <c r="X75" s="40" t="s">
        <v>84</v>
      </c>
      <c r="Y75" s="46">
        <v>0.99244444444444446</v>
      </c>
    </row>
    <row r="76" spans="1:25">
      <c r="A76" s="5" t="s">
        <v>22</v>
      </c>
      <c r="B76" s="32" t="s">
        <v>116</v>
      </c>
      <c r="C76" s="35" t="s">
        <v>63</v>
      </c>
      <c r="D76" s="9" t="s">
        <v>147</v>
      </c>
      <c r="E76" s="48">
        <v>450</v>
      </c>
      <c r="F76" s="48">
        <v>450</v>
      </c>
      <c r="G76" s="48" t="s">
        <v>12</v>
      </c>
      <c r="H76" s="48" t="s">
        <v>12</v>
      </c>
      <c r="I76" s="48" t="s">
        <v>12</v>
      </c>
      <c r="J76" s="48" t="s">
        <v>147</v>
      </c>
      <c r="K76" s="48" t="s">
        <v>147</v>
      </c>
      <c r="L76" s="43" t="s">
        <v>148</v>
      </c>
      <c r="M76" s="6">
        <v>0</v>
      </c>
      <c r="N76" s="6">
        <f t="shared" si="18"/>
        <v>900</v>
      </c>
      <c r="O76" s="4">
        <f t="shared" si="14"/>
        <v>900</v>
      </c>
      <c r="P76" s="4">
        <f>450*3</f>
        <v>1350</v>
      </c>
      <c r="Q76" s="4">
        <f t="shared" si="16"/>
        <v>450</v>
      </c>
      <c r="R76" s="45">
        <f t="shared" si="17"/>
        <v>0.33333333333333331</v>
      </c>
      <c r="S76" s="6">
        <v>3</v>
      </c>
      <c r="T76" s="6">
        <v>2</v>
      </c>
      <c r="X76" s="14" t="s">
        <v>26</v>
      </c>
      <c r="Y76" s="46">
        <v>0.95785262994086529</v>
      </c>
    </row>
    <row r="77" spans="1:25">
      <c r="A77" s="5" t="s">
        <v>22</v>
      </c>
      <c r="B77" s="32" t="s">
        <v>117</v>
      </c>
      <c r="C77" s="35" t="s">
        <v>30</v>
      </c>
      <c r="D77" s="9" t="s">
        <v>147</v>
      </c>
      <c r="E77" s="9" t="s">
        <v>148</v>
      </c>
      <c r="F77" s="9" t="s">
        <v>148</v>
      </c>
      <c r="G77" s="9" t="s">
        <v>148</v>
      </c>
      <c r="H77" s="9" t="s">
        <v>148</v>
      </c>
      <c r="I77" s="9" t="s">
        <v>148</v>
      </c>
      <c r="J77" s="9" t="s">
        <v>147</v>
      </c>
      <c r="K77" s="9" t="s">
        <v>147</v>
      </c>
      <c r="L77" s="43" t="s">
        <v>148</v>
      </c>
      <c r="M77" s="6">
        <v>0</v>
      </c>
      <c r="N77" s="6">
        <f t="shared" si="18"/>
        <v>0</v>
      </c>
      <c r="O77" s="4">
        <f t="shared" si="14"/>
        <v>0</v>
      </c>
      <c r="P77" s="4">
        <f>450*6</f>
        <v>2700</v>
      </c>
      <c r="Q77" s="4">
        <f t="shared" si="16"/>
        <v>2700</v>
      </c>
      <c r="R77" s="45">
        <f t="shared" si="17"/>
        <v>1</v>
      </c>
      <c r="S77" s="6"/>
      <c r="T77" s="6"/>
      <c r="X77" s="24" t="s">
        <v>30</v>
      </c>
      <c r="Y77" s="46">
        <v>0.99130793650793658</v>
      </c>
    </row>
    <row r="78" spans="1:25">
      <c r="A78" s="5" t="s">
        <v>37</v>
      </c>
      <c r="B78" s="32" t="s">
        <v>118</v>
      </c>
      <c r="C78" s="35" t="s">
        <v>40</v>
      </c>
      <c r="D78" s="9" t="s">
        <v>147</v>
      </c>
      <c r="E78" s="9" t="s">
        <v>148</v>
      </c>
      <c r="F78" s="9">
        <v>25</v>
      </c>
      <c r="G78" s="9" t="s">
        <v>148</v>
      </c>
      <c r="H78" s="9" t="s">
        <v>148</v>
      </c>
      <c r="I78" s="9" t="s">
        <v>148</v>
      </c>
      <c r="J78" s="9" t="s">
        <v>147</v>
      </c>
      <c r="K78" s="43" t="s">
        <v>147</v>
      </c>
      <c r="L78" s="43" t="s">
        <v>148</v>
      </c>
      <c r="M78" s="6">
        <f>SUM(D78:L78)</f>
        <v>25</v>
      </c>
      <c r="N78" s="6">
        <f t="shared" si="18"/>
        <v>0</v>
      </c>
      <c r="O78" s="4">
        <f t="shared" si="14"/>
        <v>25</v>
      </c>
      <c r="P78" s="4">
        <f>450*6</f>
        <v>2700</v>
      </c>
      <c r="Q78" s="4">
        <f t="shared" si="16"/>
        <v>2675</v>
      </c>
      <c r="R78" s="45">
        <f t="shared" si="17"/>
        <v>0.9907407407407407</v>
      </c>
      <c r="S78" s="6"/>
      <c r="T78" s="6"/>
      <c r="X78" s="40" t="s">
        <v>29</v>
      </c>
      <c r="Y78" s="46">
        <v>0.99142857142857144</v>
      </c>
    </row>
    <row r="79" spans="1:25">
      <c r="A79" s="5" t="s">
        <v>26</v>
      </c>
      <c r="B79" s="10" t="s">
        <v>119</v>
      </c>
      <c r="C79" s="11" t="s">
        <v>25</v>
      </c>
      <c r="D79" s="9" t="s">
        <v>148</v>
      </c>
      <c r="E79" s="9" t="s">
        <v>148</v>
      </c>
      <c r="F79" s="9" t="s">
        <v>147</v>
      </c>
      <c r="G79" s="9" t="s">
        <v>147</v>
      </c>
      <c r="H79" s="9" t="s">
        <v>148</v>
      </c>
      <c r="I79" s="9" t="s">
        <v>148</v>
      </c>
      <c r="J79" s="9" t="s">
        <v>148</v>
      </c>
      <c r="K79" s="43" t="s">
        <v>148</v>
      </c>
      <c r="L79" s="43" t="s">
        <v>148</v>
      </c>
      <c r="M79" s="6">
        <f>SUM(D79:L79)</f>
        <v>0</v>
      </c>
      <c r="N79" s="6">
        <f t="shared" si="18"/>
        <v>0</v>
      </c>
      <c r="O79" s="4">
        <f t="shared" si="14"/>
        <v>0</v>
      </c>
      <c r="P79" s="4">
        <f>450*7</f>
        <v>3150</v>
      </c>
      <c r="Q79" s="4">
        <f t="shared" si="16"/>
        <v>3150</v>
      </c>
      <c r="R79" s="45">
        <f t="shared" si="17"/>
        <v>1</v>
      </c>
      <c r="S79" s="6"/>
      <c r="T79" s="6"/>
      <c r="X79" s="40" t="s">
        <v>45</v>
      </c>
      <c r="Y79" s="46">
        <v>1</v>
      </c>
    </row>
    <row r="80" spans="1:25">
      <c r="A80" s="5" t="s">
        <v>22</v>
      </c>
      <c r="B80" s="32" t="s">
        <v>120</v>
      </c>
      <c r="C80" s="35" t="s">
        <v>30</v>
      </c>
      <c r="D80" s="9" t="s">
        <v>147</v>
      </c>
      <c r="E80" s="9" t="s">
        <v>148</v>
      </c>
      <c r="F80" s="9" t="s">
        <v>148</v>
      </c>
      <c r="G80" s="9" t="s">
        <v>148</v>
      </c>
      <c r="H80" s="9" t="s">
        <v>148</v>
      </c>
      <c r="I80" s="9" t="s">
        <v>148</v>
      </c>
      <c r="J80" s="9" t="s">
        <v>147</v>
      </c>
      <c r="K80" s="9" t="s">
        <v>147</v>
      </c>
      <c r="L80" s="43" t="s">
        <v>148</v>
      </c>
      <c r="M80" s="6">
        <v>0</v>
      </c>
      <c r="N80" s="6">
        <f t="shared" si="18"/>
        <v>0</v>
      </c>
      <c r="O80" s="4">
        <f t="shared" si="14"/>
        <v>0</v>
      </c>
      <c r="P80" s="4">
        <f t="shared" ref="P80:P81" si="19">450*6</f>
        <v>2700</v>
      </c>
      <c r="Q80" s="4">
        <f t="shared" si="16"/>
        <v>2700</v>
      </c>
      <c r="R80" s="45">
        <f t="shared" si="17"/>
        <v>1</v>
      </c>
      <c r="S80" s="6"/>
      <c r="T80" s="6"/>
      <c r="X80" s="40" t="s">
        <v>98</v>
      </c>
      <c r="Y80" s="46">
        <v>0.97222222222222221</v>
      </c>
    </row>
    <row r="81" spans="1:25">
      <c r="A81" s="5" t="s">
        <v>22</v>
      </c>
      <c r="B81" s="32" t="s">
        <v>122</v>
      </c>
      <c r="C81" s="35" t="s">
        <v>30</v>
      </c>
      <c r="D81" s="9" t="s">
        <v>147</v>
      </c>
      <c r="E81" s="9" t="s">
        <v>148</v>
      </c>
      <c r="F81" s="9" t="s">
        <v>148</v>
      </c>
      <c r="G81" s="9" t="s">
        <v>148</v>
      </c>
      <c r="H81" s="9" t="s">
        <v>148</v>
      </c>
      <c r="I81" s="9" t="s">
        <v>148</v>
      </c>
      <c r="J81" s="9" t="s">
        <v>147</v>
      </c>
      <c r="K81" s="9" t="s">
        <v>147</v>
      </c>
      <c r="L81" s="43" t="s">
        <v>148</v>
      </c>
      <c r="M81" s="6">
        <f t="shared" ref="M81" si="20">SUM(D81:J81)</f>
        <v>0</v>
      </c>
      <c r="N81" s="6">
        <f t="shared" si="18"/>
        <v>0</v>
      </c>
      <c r="O81" s="4">
        <f t="shared" si="14"/>
        <v>0</v>
      </c>
      <c r="P81" s="4">
        <f t="shared" si="19"/>
        <v>2700</v>
      </c>
      <c r="Q81" s="4">
        <f t="shared" si="16"/>
        <v>2700</v>
      </c>
      <c r="R81" s="45">
        <f t="shared" si="17"/>
        <v>1</v>
      </c>
      <c r="S81" s="6"/>
      <c r="T81" s="6"/>
      <c r="X81" s="40" t="s">
        <v>108</v>
      </c>
      <c r="Y81" s="46">
        <v>1</v>
      </c>
    </row>
    <row r="82" spans="1:25">
      <c r="A82" s="5" t="s">
        <v>26</v>
      </c>
      <c r="B82" s="10" t="s">
        <v>123</v>
      </c>
      <c r="C82" s="5" t="s">
        <v>40</v>
      </c>
      <c r="D82" s="9" t="s">
        <v>147</v>
      </c>
      <c r="E82" s="9" t="s">
        <v>148</v>
      </c>
      <c r="F82" s="9" t="s">
        <v>148</v>
      </c>
      <c r="G82" s="9" t="s">
        <v>148</v>
      </c>
      <c r="H82" s="9" t="s">
        <v>148</v>
      </c>
      <c r="I82" s="9" t="s">
        <v>148</v>
      </c>
      <c r="J82" s="9" t="s">
        <v>147</v>
      </c>
      <c r="K82" s="43" t="s">
        <v>147</v>
      </c>
      <c r="L82" s="43">
        <v>8</v>
      </c>
      <c r="M82" s="6">
        <f t="shared" ref="M82:M83" si="21">SUM(D82:L82)</f>
        <v>8</v>
      </c>
      <c r="N82" s="6">
        <f t="shared" si="18"/>
        <v>0</v>
      </c>
      <c r="O82" s="4">
        <f t="shared" si="14"/>
        <v>8</v>
      </c>
      <c r="P82" s="4">
        <f>450*6</f>
        <v>2700</v>
      </c>
      <c r="Q82" s="4">
        <f t="shared" si="16"/>
        <v>2692</v>
      </c>
      <c r="R82" s="45">
        <f t="shared" si="17"/>
        <v>0.99703703703703705</v>
      </c>
      <c r="S82" s="6"/>
      <c r="T82" s="6"/>
      <c r="X82" s="40" t="s">
        <v>126</v>
      </c>
      <c r="Y82" s="46">
        <v>0.99288888888888893</v>
      </c>
    </row>
    <row r="83" spans="1:25">
      <c r="A83" s="5" t="s">
        <v>26</v>
      </c>
      <c r="B83" s="10" t="s">
        <v>124</v>
      </c>
      <c r="C83" s="5" t="s">
        <v>40</v>
      </c>
      <c r="D83" s="9" t="s">
        <v>147</v>
      </c>
      <c r="E83" s="9" t="s">
        <v>148</v>
      </c>
      <c r="F83" s="9" t="s">
        <v>148</v>
      </c>
      <c r="G83" s="9" t="s">
        <v>148</v>
      </c>
      <c r="H83" s="9" t="s">
        <v>148</v>
      </c>
      <c r="I83" s="9" t="s">
        <v>148</v>
      </c>
      <c r="J83" s="9" t="s">
        <v>147</v>
      </c>
      <c r="K83" s="43" t="s">
        <v>147</v>
      </c>
      <c r="L83" s="43" t="s">
        <v>148</v>
      </c>
      <c r="M83" s="6">
        <f t="shared" si="21"/>
        <v>0</v>
      </c>
      <c r="N83" s="6">
        <f t="shared" si="18"/>
        <v>0</v>
      </c>
      <c r="O83" s="4">
        <f t="shared" si="14"/>
        <v>0</v>
      </c>
      <c r="P83" s="4">
        <f>450*6</f>
        <v>2700</v>
      </c>
      <c r="Q83" s="4">
        <f t="shared" si="16"/>
        <v>2700</v>
      </c>
      <c r="R83" s="45">
        <f t="shared" si="17"/>
        <v>1</v>
      </c>
      <c r="S83" s="6"/>
      <c r="T83" s="6"/>
      <c r="X83" s="24" t="s">
        <v>25</v>
      </c>
      <c r="Y83" s="46">
        <v>0.98817460317460315</v>
      </c>
    </row>
    <row r="84" spans="1:25">
      <c r="A84" s="5" t="s">
        <v>22</v>
      </c>
      <c r="B84" s="32" t="s">
        <v>125</v>
      </c>
      <c r="C84" s="35" t="s">
        <v>25</v>
      </c>
      <c r="D84" s="9" t="s">
        <v>147</v>
      </c>
      <c r="E84" s="9" t="s">
        <v>148</v>
      </c>
      <c r="F84" s="9">
        <v>450</v>
      </c>
      <c r="G84" s="9" t="s">
        <v>148</v>
      </c>
      <c r="H84" s="9" t="s">
        <v>148</v>
      </c>
      <c r="I84" s="9" t="s">
        <v>148</v>
      </c>
      <c r="J84" s="9" t="s">
        <v>147</v>
      </c>
      <c r="K84" s="9" t="s">
        <v>147</v>
      </c>
      <c r="L84" s="43" t="s">
        <v>148</v>
      </c>
      <c r="M84" s="6">
        <v>0</v>
      </c>
      <c r="N84" s="6">
        <f t="shared" si="18"/>
        <v>450</v>
      </c>
      <c r="O84" s="4">
        <f t="shared" si="14"/>
        <v>450</v>
      </c>
      <c r="P84" s="4">
        <f>450*6</f>
        <v>2700</v>
      </c>
      <c r="Q84" s="4">
        <f t="shared" si="16"/>
        <v>2250</v>
      </c>
      <c r="R84" s="45">
        <f t="shared" si="17"/>
        <v>0.83333333333333337</v>
      </c>
      <c r="S84" s="6"/>
      <c r="T84" s="6"/>
      <c r="U84">
        <v>1</v>
      </c>
      <c r="X84" s="40" t="s">
        <v>28</v>
      </c>
      <c r="Y84" s="46">
        <v>0.99904761904761907</v>
      </c>
    </row>
    <row r="85" spans="1:25">
      <c r="A85" s="5" t="s">
        <v>26</v>
      </c>
      <c r="B85" s="10" t="s">
        <v>126</v>
      </c>
      <c r="C85" s="11" t="s">
        <v>30</v>
      </c>
      <c r="D85" s="9" t="s">
        <v>147</v>
      </c>
      <c r="E85" s="47" t="s">
        <v>148</v>
      </c>
      <c r="F85" s="47">
        <v>16</v>
      </c>
      <c r="G85" s="47" t="s">
        <v>148</v>
      </c>
      <c r="H85" s="47" t="s">
        <v>148</v>
      </c>
      <c r="I85" s="47" t="s">
        <v>14</v>
      </c>
      <c r="J85" s="47" t="s">
        <v>147</v>
      </c>
      <c r="K85" s="43" t="s">
        <v>147</v>
      </c>
      <c r="L85" s="43" t="s">
        <v>148</v>
      </c>
      <c r="M85" s="6">
        <f>SUM(D85:L85)</f>
        <v>16</v>
      </c>
      <c r="N85" s="6">
        <f t="shared" si="18"/>
        <v>0</v>
      </c>
      <c r="O85" s="4">
        <f t="shared" si="14"/>
        <v>16</v>
      </c>
      <c r="P85" s="4">
        <f>450*5</f>
        <v>2250</v>
      </c>
      <c r="Q85" s="4">
        <f t="shared" si="16"/>
        <v>2234</v>
      </c>
      <c r="R85" s="45">
        <f t="shared" si="17"/>
        <v>0.99288888888888893</v>
      </c>
      <c r="S85" s="6"/>
      <c r="T85" s="6">
        <v>1</v>
      </c>
      <c r="X85" s="40" t="s">
        <v>51</v>
      </c>
      <c r="Y85" s="46">
        <v>0.95851851851851855</v>
      </c>
    </row>
    <row r="86" spans="1:25">
      <c r="A86" s="5" t="s">
        <v>22</v>
      </c>
      <c r="B86" s="32" t="s">
        <v>127</v>
      </c>
      <c r="C86" s="35" t="s">
        <v>33</v>
      </c>
      <c r="D86" s="9" t="s">
        <v>147</v>
      </c>
      <c r="E86" s="9" t="s">
        <v>148</v>
      </c>
      <c r="F86" s="9" t="s">
        <v>148</v>
      </c>
      <c r="G86" s="9" t="s">
        <v>148</v>
      </c>
      <c r="H86" s="9" t="s">
        <v>148</v>
      </c>
      <c r="I86" s="9" t="s">
        <v>148</v>
      </c>
      <c r="J86" s="9" t="s">
        <v>147</v>
      </c>
      <c r="K86" s="9" t="s">
        <v>147</v>
      </c>
      <c r="L86" s="9">
        <v>21</v>
      </c>
      <c r="M86" s="6">
        <f t="shared" ref="M86" si="22">SUM(E86:I86)</f>
        <v>0</v>
      </c>
      <c r="N86" s="6">
        <f t="shared" si="18"/>
        <v>0</v>
      </c>
      <c r="O86" s="4">
        <f t="shared" si="14"/>
        <v>0</v>
      </c>
      <c r="P86" s="4">
        <f t="shared" ref="P86" si="23">450*6</f>
        <v>2700</v>
      </c>
      <c r="Q86" s="4">
        <f t="shared" si="16"/>
        <v>2700</v>
      </c>
      <c r="R86" s="45">
        <f t="shared" si="17"/>
        <v>1</v>
      </c>
      <c r="S86" s="6"/>
      <c r="T86" s="6"/>
      <c r="X86" s="40" t="s">
        <v>53</v>
      </c>
      <c r="Y86" s="46">
        <v>0.97555555555555551</v>
      </c>
    </row>
    <row r="87" spans="1:25">
      <c r="A87" s="5" t="s">
        <v>22</v>
      </c>
      <c r="B87" s="32" t="s">
        <v>128</v>
      </c>
      <c r="C87" s="35" t="s">
        <v>33</v>
      </c>
      <c r="D87" s="47" t="s">
        <v>147</v>
      </c>
      <c r="E87" s="47" t="s">
        <v>12</v>
      </c>
      <c r="F87" s="47" t="s">
        <v>12</v>
      </c>
      <c r="G87" s="47">
        <v>450</v>
      </c>
      <c r="H87" s="47" t="s">
        <v>148</v>
      </c>
      <c r="I87" s="47" t="s">
        <v>148</v>
      </c>
      <c r="J87" s="47" t="s">
        <v>147</v>
      </c>
      <c r="K87" s="47" t="s">
        <v>147</v>
      </c>
      <c r="L87" s="47">
        <v>5</v>
      </c>
      <c r="M87" s="6">
        <f>L87</f>
        <v>5</v>
      </c>
      <c r="N87" s="6">
        <f t="shared" si="18"/>
        <v>450</v>
      </c>
      <c r="O87" s="4">
        <f t="shared" si="14"/>
        <v>455</v>
      </c>
      <c r="P87" s="4">
        <f>450*4</f>
        <v>1800</v>
      </c>
      <c r="Q87" s="4">
        <f t="shared" si="16"/>
        <v>1345</v>
      </c>
      <c r="R87" s="45">
        <f t="shared" si="17"/>
        <v>0.74722222222222223</v>
      </c>
      <c r="S87" s="6">
        <v>2</v>
      </c>
      <c r="T87" s="6"/>
      <c r="U87">
        <v>1</v>
      </c>
      <c r="X87" s="40" t="s">
        <v>71</v>
      </c>
      <c r="Y87" s="46">
        <v>1</v>
      </c>
    </row>
    <row r="88" spans="1:25">
      <c r="A88" s="5" t="s">
        <v>22</v>
      </c>
      <c r="B88" s="32" t="s">
        <v>129</v>
      </c>
      <c r="C88" s="35" t="s">
        <v>56</v>
      </c>
      <c r="D88" s="9" t="s">
        <v>147</v>
      </c>
      <c r="E88" s="9" t="s">
        <v>148</v>
      </c>
      <c r="F88" s="9" t="s">
        <v>14</v>
      </c>
      <c r="G88" s="9" t="s">
        <v>14</v>
      </c>
      <c r="H88" s="9" t="s">
        <v>148</v>
      </c>
      <c r="I88" s="9" t="s">
        <v>148</v>
      </c>
      <c r="J88" s="9" t="s">
        <v>147</v>
      </c>
      <c r="K88" s="9" t="s">
        <v>147</v>
      </c>
      <c r="L88" s="9" t="s">
        <v>148</v>
      </c>
      <c r="M88" s="4">
        <f>SUM(D88:J88)</f>
        <v>0</v>
      </c>
      <c r="N88" s="6">
        <f t="shared" si="18"/>
        <v>0</v>
      </c>
      <c r="O88" s="4">
        <f t="shared" si="14"/>
        <v>0</v>
      </c>
      <c r="P88" s="4">
        <f>450*4</f>
        <v>1800</v>
      </c>
      <c r="Q88" s="4">
        <f t="shared" si="16"/>
        <v>1800</v>
      </c>
      <c r="R88" s="45">
        <f t="shared" si="17"/>
        <v>1</v>
      </c>
      <c r="S88" s="6"/>
      <c r="T88" s="6">
        <v>2</v>
      </c>
      <c r="U88" s="15"/>
      <c r="X88" s="40" t="s">
        <v>73</v>
      </c>
      <c r="Y88" s="46">
        <v>0.99592592592592588</v>
      </c>
    </row>
    <row r="89" spans="1:25">
      <c r="A89" s="5" t="s">
        <v>26</v>
      </c>
      <c r="B89" s="10" t="s">
        <v>131</v>
      </c>
      <c r="C89" s="11" t="s">
        <v>33</v>
      </c>
      <c r="D89" s="48" t="s">
        <v>147</v>
      </c>
      <c r="E89" s="48">
        <v>3</v>
      </c>
      <c r="F89" s="48" t="s">
        <v>148</v>
      </c>
      <c r="G89" s="48">
        <v>15</v>
      </c>
      <c r="H89" s="48" t="s">
        <v>148</v>
      </c>
      <c r="I89" s="48">
        <v>11</v>
      </c>
      <c r="J89" s="48" t="s">
        <v>147</v>
      </c>
      <c r="K89" s="48" t="s">
        <v>147</v>
      </c>
      <c r="L89" s="48">
        <v>14</v>
      </c>
      <c r="M89" s="6">
        <f>SUM(D89:L89)</f>
        <v>43</v>
      </c>
      <c r="N89" s="6">
        <f t="shared" si="18"/>
        <v>0</v>
      </c>
      <c r="O89" s="4">
        <f t="shared" si="14"/>
        <v>43</v>
      </c>
      <c r="P89" s="4">
        <f>450*6</f>
        <v>2700</v>
      </c>
      <c r="Q89" s="4">
        <f t="shared" si="16"/>
        <v>2657</v>
      </c>
      <c r="R89" s="45">
        <f t="shared" si="17"/>
        <v>0.9840740740740741</v>
      </c>
      <c r="S89" s="6"/>
      <c r="T89" s="6"/>
      <c r="X89" s="40" t="s">
        <v>119</v>
      </c>
      <c r="Y89" s="46">
        <v>1</v>
      </c>
    </row>
    <row r="90" spans="1:25">
      <c r="A90" s="5" t="s">
        <v>26</v>
      </c>
      <c r="B90" s="10" t="s">
        <v>133</v>
      </c>
      <c r="C90" s="5" t="s">
        <v>40</v>
      </c>
      <c r="D90" s="9" t="s">
        <v>147</v>
      </c>
      <c r="E90" s="48">
        <v>450</v>
      </c>
      <c r="F90" s="48">
        <v>450</v>
      </c>
      <c r="G90" s="48" t="s">
        <v>148</v>
      </c>
      <c r="H90" s="48">
        <v>34</v>
      </c>
      <c r="I90" s="48" t="s">
        <v>148</v>
      </c>
      <c r="J90" s="48" t="s">
        <v>147</v>
      </c>
      <c r="K90" s="43" t="s">
        <v>147</v>
      </c>
      <c r="L90" s="43" t="s">
        <v>148</v>
      </c>
      <c r="M90" s="6">
        <f>H90</f>
        <v>34</v>
      </c>
      <c r="N90" s="6">
        <f t="shared" si="18"/>
        <v>900</v>
      </c>
      <c r="O90" s="4">
        <f t="shared" si="14"/>
        <v>934</v>
      </c>
      <c r="P90" s="4">
        <f>450*4</f>
        <v>1800</v>
      </c>
      <c r="Q90" s="4">
        <f t="shared" si="16"/>
        <v>866</v>
      </c>
      <c r="R90" s="45">
        <f t="shared" si="17"/>
        <v>0.4811111111111111</v>
      </c>
      <c r="S90" s="6"/>
      <c r="T90" s="6"/>
      <c r="U90">
        <v>2</v>
      </c>
      <c r="X90" s="24" t="s">
        <v>40</v>
      </c>
      <c r="Y90" s="46">
        <v>0.96351322751322754</v>
      </c>
    </row>
    <row r="91" spans="1:25">
      <c r="A91" s="12" t="s">
        <v>26</v>
      </c>
      <c r="B91" s="33" t="s">
        <v>27</v>
      </c>
      <c r="C91" s="5" t="s">
        <v>40</v>
      </c>
      <c r="D91" s="47" t="s">
        <v>147</v>
      </c>
      <c r="E91" s="47" t="s">
        <v>148</v>
      </c>
      <c r="F91" s="47" t="s">
        <v>148</v>
      </c>
      <c r="G91" s="47" t="s">
        <v>148</v>
      </c>
      <c r="H91" s="47" t="s">
        <v>148</v>
      </c>
      <c r="I91" s="47" t="s">
        <v>148</v>
      </c>
      <c r="J91" s="47" t="s">
        <v>147</v>
      </c>
      <c r="K91" s="43" t="s">
        <v>147</v>
      </c>
      <c r="L91" s="43" t="s">
        <v>148</v>
      </c>
      <c r="M91" s="6">
        <f t="shared" ref="M91" si="24">SUM(D91:L91)</f>
        <v>0</v>
      </c>
      <c r="N91" s="6">
        <f t="shared" si="18"/>
        <v>0</v>
      </c>
      <c r="O91" s="4">
        <f t="shared" si="14"/>
        <v>0</v>
      </c>
      <c r="P91" s="4">
        <f>450*4</f>
        <v>1800</v>
      </c>
      <c r="Q91" s="4">
        <f t="shared" si="16"/>
        <v>1800</v>
      </c>
      <c r="R91" s="45">
        <f t="shared" si="17"/>
        <v>1</v>
      </c>
      <c r="S91" s="6"/>
      <c r="T91" s="6"/>
      <c r="X91" s="40" t="s">
        <v>35</v>
      </c>
      <c r="Y91" s="46">
        <v>0.99888888888888894</v>
      </c>
    </row>
    <row r="92" spans="1:25">
      <c r="A92" s="5" t="s">
        <v>22</v>
      </c>
      <c r="B92" s="5" t="s">
        <v>134</v>
      </c>
      <c r="C92" s="5" t="s">
        <v>56</v>
      </c>
      <c r="D92" s="9" t="s">
        <v>147</v>
      </c>
      <c r="E92" s="9">
        <v>450</v>
      </c>
      <c r="F92" s="9" t="s">
        <v>148</v>
      </c>
      <c r="G92" s="9">
        <v>10</v>
      </c>
      <c r="H92" s="9" t="s">
        <v>148</v>
      </c>
      <c r="I92" s="9" t="s">
        <v>148</v>
      </c>
      <c r="J92" s="9" t="s">
        <v>147</v>
      </c>
      <c r="K92" s="9" t="s">
        <v>147</v>
      </c>
      <c r="L92" s="9" t="s">
        <v>148</v>
      </c>
      <c r="M92" s="4">
        <f>G92</f>
        <v>10</v>
      </c>
      <c r="N92" s="6">
        <f t="shared" si="18"/>
        <v>450</v>
      </c>
      <c r="O92" s="4">
        <f t="shared" si="14"/>
        <v>460</v>
      </c>
      <c r="P92" s="4">
        <f>450*6</f>
        <v>2700</v>
      </c>
      <c r="Q92" s="4">
        <f t="shared" si="16"/>
        <v>2240</v>
      </c>
      <c r="R92" s="45">
        <f t="shared" si="17"/>
        <v>0.82962962962962961</v>
      </c>
      <c r="S92" s="6"/>
      <c r="T92" s="6"/>
      <c r="V92" s="15">
        <v>1</v>
      </c>
      <c r="X92" s="40" t="s">
        <v>49</v>
      </c>
      <c r="Y92" s="46">
        <v>1</v>
      </c>
    </row>
    <row r="93" spans="1:25">
      <c r="M93" s="6">
        <f>SUM(M2:M92)</f>
        <v>2158</v>
      </c>
      <c r="N93" s="6">
        <f>SUM(N2:N92)</f>
        <v>6300</v>
      </c>
      <c r="O93" s="6">
        <f>SUM(O2:O92)</f>
        <v>8458</v>
      </c>
      <c r="P93" s="6">
        <f>SUM(P2:P92)</f>
        <v>238950</v>
      </c>
      <c r="Q93" s="6">
        <f>SUM(Q2:Q92)</f>
        <v>230492</v>
      </c>
      <c r="R93" s="44">
        <f>AVERAGE(R2:R92)</f>
        <v>0.95667524274667115</v>
      </c>
      <c r="X93" s="40" t="s">
        <v>34</v>
      </c>
      <c r="Y93" s="46">
        <v>1</v>
      </c>
    </row>
    <row r="94" spans="1:25">
      <c r="R94" s="29"/>
      <c r="X94" s="40" t="s">
        <v>68</v>
      </c>
      <c r="Y94" s="46">
        <v>0.99629629629629635</v>
      </c>
    </row>
    <row r="95" spans="1:25">
      <c r="M95">
        <f>M93/P93*100%</f>
        <v>9.0311780707260925E-3</v>
      </c>
      <c r="N95">
        <f>N93/P93*100%</f>
        <v>2.6365348399246705E-2</v>
      </c>
      <c r="O95">
        <f>O93/P93*100%</f>
        <v>3.5396526469972794E-2</v>
      </c>
      <c r="X95" s="40" t="s">
        <v>75</v>
      </c>
      <c r="Y95" s="46">
        <v>0.99936507936507935</v>
      </c>
    </row>
    <row r="96" spans="1:25">
      <c r="X96" s="40" t="s">
        <v>78</v>
      </c>
      <c r="Y96" s="46">
        <v>1</v>
      </c>
    </row>
    <row r="97" spans="24:25">
      <c r="X97" s="40" t="s">
        <v>80</v>
      </c>
      <c r="Y97" s="46">
        <v>1</v>
      </c>
    </row>
    <row r="98" spans="24:25">
      <c r="X98" s="40" t="s">
        <v>89</v>
      </c>
      <c r="Y98" s="46">
        <v>1</v>
      </c>
    </row>
    <row r="99" spans="24:25">
      <c r="X99" s="40" t="s">
        <v>103</v>
      </c>
      <c r="Y99" s="46">
        <v>0.98</v>
      </c>
    </row>
    <row r="100" spans="24:25">
      <c r="X100" s="40" t="s">
        <v>109</v>
      </c>
      <c r="Y100" s="46">
        <v>1</v>
      </c>
    </row>
    <row r="101" spans="24:25">
      <c r="X101" s="40" t="s">
        <v>113</v>
      </c>
      <c r="Y101" s="46">
        <v>1</v>
      </c>
    </row>
    <row r="102" spans="24:25">
      <c r="X102" s="40" t="s">
        <v>123</v>
      </c>
      <c r="Y102" s="46">
        <v>0.99703703703703705</v>
      </c>
    </row>
    <row r="103" spans="24:25">
      <c r="X103" s="40" t="s">
        <v>124</v>
      </c>
      <c r="Y103" s="46">
        <v>1</v>
      </c>
    </row>
    <row r="104" spans="24:25">
      <c r="X104" s="40" t="s">
        <v>133</v>
      </c>
      <c r="Y104" s="46">
        <v>0.4811111111111111</v>
      </c>
    </row>
    <row r="105" spans="24:25">
      <c r="X105" s="40" t="s">
        <v>27</v>
      </c>
      <c r="Y105" s="46">
        <v>1</v>
      </c>
    </row>
    <row r="106" spans="24:25">
      <c r="X106" s="24" t="s">
        <v>33</v>
      </c>
      <c r="Y106" s="46">
        <v>0.93398148148148141</v>
      </c>
    </row>
    <row r="107" spans="24:25">
      <c r="X107" s="40" t="s">
        <v>47</v>
      </c>
      <c r="Y107" s="46">
        <v>0.99111111111111116</v>
      </c>
    </row>
    <row r="108" spans="24:25">
      <c r="X108" s="40" t="s">
        <v>81</v>
      </c>
      <c r="Y108" s="46">
        <v>1</v>
      </c>
    </row>
    <row r="109" spans="24:25">
      <c r="X109" s="40" t="s">
        <v>87</v>
      </c>
      <c r="Y109" s="46">
        <v>0.76074074074074072</v>
      </c>
    </row>
    <row r="110" spans="24:25">
      <c r="X110" s="40" t="s">
        <v>131</v>
      </c>
      <c r="Y110" s="46">
        <v>0.9840740740740741</v>
      </c>
    </row>
    <row r="111" spans="24:25">
      <c r="X111" s="24" t="s">
        <v>56</v>
      </c>
      <c r="Y111" s="46">
        <v>0.87319444444444438</v>
      </c>
    </row>
    <row r="112" spans="24:25">
      <c r="X112" s="40" t="s">
        <v>65</v>
      </c>
      <c r="Y112" s="46">
        <v>1</v>
      </c>
    </row>
    <row r="113" spans="24:25">
      <c r="X113" s="40" t="s">
        <v>86</v>
      </c>
      <c r="Y113" s="46">
        <v>0.49722222222222223</v>
      </c>
    </row>
    <row r="114" spans="24:25">
      <c r="X114" s="40" t="s">
        <v>93</v>
      </c>
      <c r="Y114" s="46">
        <v>1</v>
      </c>
    </row>
    <row r="115" spans="24:25">
      <c r="X115" s="40" t="s">
        <v>97</v>
      </c>
      <c r="Y115" s="46">
        <v>0.99555555555555553</v>
      </c>
    </row>
    <row r="116" spans="24:25">
      <c r="X116" s="14" t="s">
        <v>149</v>
      </c>
      <c r="Y116" s="46">
        <v>0.95667524274667126</v>
      </c>
    </row>
  </sheetData>
  <autoFilter ref="A1:U93" xr:uid="{9B898BC5-FE5C-444E-BBF3-446F0D90ED3A}"/>
  <phoneticPr fontId="9" type="noConversion"/>
  <conditionalFormatting sqref="D19 D65 D88">
    <cfRule type="containsText" dxfId="11379" priority="267" operator="containsText" text="P">
      <formula>NOT(ISERROR(SEARCH("P",D19)))</formula>
    </cfRule>
    <cfRule type="containsText" dxfId="11378" priority="268" operator="containsText" text="TFO">
      <formula>NOT(ISERROR(SEARCH("TFO",D19)))</formula>
    </cfRule>
    <cfRule type="containsText" dxfId="11377" priority="269" operator="containsText" text="AA">
      <formula>NOT(ISERROR(SEARCH("AA",D19)))</formula>
    </cfRule>
    <cfRule type="containsText" dxfId="11376" priority="270" operator="containsText" text="RESIGNED">
      <formula>NOT(ISERROR(SEARCH("RESIGNED",D19)))</formula>
    </cfRule>
    <cfRule type="containsText" dxfId="11375" priority="271" operator="containsText" text="P">
      <formula>NOT(ISERROR(SEARCH("P",D19)))</formula>
    </cfRule>
    <cfRule type="containsText" dxfId="11374" priority="272" operator="containsText" text="TARDY">
      <formula>NOT(ISERROR(SEARCH("TARDY",D19)))</formula>
    </cfRule>
    <cfRule type="containsText" dxfId="11373" priority="273" operator="containsText" text="REST DAY">
      <formula>NOT(ISERROR(SEARCH("REST DAY",D19)))</formula>
    </cfRule>
    <cfRule type="containsText" dxfId="11372" priority="274" operator="containsText" text="UA">
      <formula>NOT(ISERROR(SEARCH("UA",D19)))</formula>
    </cfRule>
    <cfRule type="containsText" dxfId="11371" priority="275" operator="containsText" text="LWOP UA">
      <formula>NOT(ISERROR(SEARCH("LWOP UA",D19)))</formula>
    </cfRule>
  </conditionalFormatting>
  <conditionalFormatting sqref="D55">
    <cfRule type="containsText" dxfId="11370" priority="103" operator="containsText" text="LWOP UA">
      <formula>NOT(ISERROR(SEARCH("LWOP UA",D55)))</formula>
    </cfRule>
    <cfRule type="containsText" dxfId="11369" priority="104" operator="containsText" text="P">
      <formula>NOT(ISERROR(SEARCH("P",D55)))</formula>
    </cfRule>
    <cfRule type="containsText" dxfId="11368" priority="105" operator="containsText" text="TFO">
      <formula>NOT(ISERROR(SEARCH("TFO",D55)))</formula>
    </cfRule>
    <cfRule type="containsText" dxfId="11367" priority="106" operator="containsText" text="AA">
      <formula>NOT(ISERROR(SEARCH("AA",D55)))</formula>
    </cfRule>
    <cfRule type="containsText" dxfId="11366" priority="107" operator="containsText" text="RESIGNED">
      <formula>NOT(ISERROR(SEARCH("RESIGNED",D55)))</formula>
    </cfRule>
    <cfRule type="containsText" dxfId="11365" priority="108" operator="containsText" text="P">
      <formula>NOT(ISERROR(SEARCH("P",D55)))</formula>
    </cfRule>
    <cfRule type="containsText" dxfId="11364" priority="109" operator="containsText" text="TARDY">
      <formula>NOT(ISERROR(SEARCH("TARDY",D55)))</formula>
    </cfRule>
    <cfRule type="containsText" dxfId="11363" priority="110" operator="containsText" text="REST DAY">
      <formula>NOT(ISERROR(SEARCH("REST DAY",D55)))</formula>
    </cfRule>
    <cfRule type="containsText" dxfId="11362" priority="111" operator="containsText" text="UA">
      <formula>NOT(ISERROR(SEARCH("UA",D55)))</formula>
    </cfRule>
  </conditionalFormatting>
  <conditionalFormatting sqref="D57">
    <cfRule type="containsText" dxfId="11361" priority="89" operator="containsText" text="LWOP UA">
      <formula>NOT(ISERROR(SEARCH("LWOP UA",D57)))</formula>
    </cfRule>
    <cfRule type="containsText" dxfId="11360" priority="90" operator="containsText" text="P">
      <formula>NOT(ISERROR(SEARCH("P",D57)))</formula>
    </cfRule>
    <cfRule type="containsText" dxfId="11359" priority="91" operator="containsText" text="TFO">
      <formula>NOT(ISERROR(SEARCH("TFO",D57)))</formula>
    </cfRule>
    <cfRule type="containsText" dxfId="11358" priority="92" operator="containsText" text="AA">
      <formula>NOT(ISERROR(SEARCH("AA",D57)))</formula>
    </cfRule>
    <cfRule type="containsText" dxfId="11357" priority="93" operator="containsText" text="RESIGNED">
      <formula>NOT(ISERROR(SEARCH("RESIGNED",D57)))</formula>
    </cfRule>
    <cfRule type="containsText" dxfId="11356" priority="94" operator="containsText" text="P">
      <formula>NOT(ISERROR(SEARCH("P",D57)))</formula>
    </cfRule>
    <cfRule type="containsText" dxfId="11355" priority="95" operator="containsText" text="TARDY">
      <formula>NOT(ISERROR(SEARCH("TARDY",D57)))</formula>
    </cfRule>
    <cfRule type="containsText" dxfId="11354" priority="96" operator="containsText" text="REST DAY">
      <formula>NOT(ISERROR(SEARCH("REST DAY",D57)))</formula>
    </cfRule>
    <cfRule type="containsText" dxfId="11353" priority="97" operator="containsText" text="UA">
      <formula>NOT(ISERROR(SEARCH("UA",D57)))</formula>
    </cfRule>
  </conditionalFormatting>
  <conditionalFormatting sqref="D91">
    <cfRule type="containsText" dxfId="11352" priority="276" operator="containsText" text="LWOP UA">
      <formula>NOT(ISERROR(SEARCH("LWOP UA",D91)))</formula>
    </cfRule>
    <cfRule type="containsText" dxfId="11351" priority="277" operator="containsText" text="P">
      <formula>NOT(ISERROR(SEARCH("P",D91)))</formula>
    </cfRule>
    <cfRule type="containsText" dxfId="11350" priority="278" operator="containsText" text="TFO">
      <formula>NOT(ISERROR(SEARCH("TFO",D91)))</formula>
    </cfRule>
    <cfRule type="containsText" dxfId="11349" priority="279" operator="containsText" text="AA">
      <formula>NOT(ISERROR(SEARCH("AA",D91)))</formula>
    </cfRule>
    <cfRule type="containsText" dxfId="11348" priority="280" operator="containsText" text="RESIGNED">
      <formula>NOT(ISERROR(SEARCH("RESIGNED",D91)))</formula>
    </cfRule>
    <cfRule type="containsText" dxfId="11347" priority="281" operator="containsText" text="P">
      <formula>NOT(ISERROR(SEARCH("P",D91)))</formula>
    </cfRule>
    <cfRule type="containsText" dxfId="11346" priority="282" operator="containsText" text="TARDY">
      <formula>NOT(ISERROR(SEARCH("TARDY",D91)))</formula>
    </cfRule>
    <cfRule type="containsText" dxfId="11345" priority="283" operator="containsText" text="REST DAY">
      <formula>NOT(ISERROR(SEARCH("REST DAY",D91)))</formula>
    </cfRule>
    <cfRule type="containsText" dxfId="11344" priority="284" operator="containsText" text="UA">
      <formula>NOT(ISERROR(SEARCH("UA",D91)))</formula>
    </cfRule>
    <cfRule type="containsText" dxfId="11343" priority="285" operator="containsText" text="LWOP UA">
      <formula>NOT(ISERROR(SEARCH("LWOP UA",D91)))</formula>
    </cfRule>
  </conditionalFormatting>
  <conditionalFormatting sqref="D91:D92 J91:L92 D19:L31 D64:L71 D80:L90 D5:L6 D7:H7 D8:L10 F11:L11 D13:L15 D16:H16 D17:L17 D32:E32 H32:L32 D34:H34 D39:L46 F47:L47 E48:L48 F49:L50 D51:L53 H56:L56 F57:L57 D72:E72 E74:L74 F75:L76 D77:L78 D2:L2 D3:E4 H3:L4 D12:F12 I12:L12 D18:F18 I18:L18 F54:L55 D33:F33 I33:L33 D35:L37 D38:E38 H38:L38 D58:L62 D63:E63 H63:L63 H72:L72 D79:E79 H79:L79">
    <cfRule type="containsText" dxfId="11342" priority="309" operator="containsText" text="P">
      <formula>NOT(ISERROR(SEARCH("P",D2)))</formula>
    </cfRule>
  </conditionalFormatting>
  <conditionalFormatting sqref="D11:E11">
    <cfRule type="containsText" dxfId="11341" priority="243" operator="containsText" text="LWOP UA">
      <formula>NOT(ISERROR(SEARCH("LWOP UA",D11)))</formula>
    </cfRule>
    <cfRule type="containsText" dxfId="11340" priority="244" operator="containsText" text="P">
      <formula>NOT(ISERROR(SEARCH("P",D11)))</formula>
    </cfRule>
    <cfRule type="containsText" dxfId="11339" priority="245" operator="containsText" text="TFO">
      <formula>NOT(ISERROR(SEARCH("TFO",D11)))</formula>
    </cfRule>
    <cfRule type="containsText" dxfId="11338" priority="246" operator="containsText" text="AA">
      <formula>NOT(ISERROR(SEARCH("AA",D11)))</formula>
    </cfRule>
    <cfRule type="containsText" dxfId="11337" priority="247" operator="containsText" text="RESIGNED">
      <formula>NOT(ISERROR(SEARCH("RESIGNED",D11)))</formula>
    </cfRule>
    <cfRule type="containsText" dxfId="11336" priority="248" operator="containsText" text="P">
      <formula>NOT(ISERROR(SEARCH("P",D11)))</formula>
    </cfRule>
    <cfRule type="containsText" dxfId="11335" priority="249" operator="containsText" text="TARDY">
      <formula>NOT(ISERROR(SEARCH("TARDY",D11)))</formula>
    </cfRule>
    <cfRule type="containsText" dxfId="11334" priority="250" operator="containsText" text="REST DAY">
      <formula>NOT(ISERROR(SEARCH("REST DAY",D11)))</formula>
    </cfRule>
    <cfRule type="containsText" dxfId="11333" priority="251" operator="containsText" text="UA">
      <formula>NOT(ISERROR(SEARCH("UA",D11)))</formula>
    </cfRule>
  </conditionalFormatting>
  <conditionalFormatting sqref="D47:E47 D48 D49:E50">
    <cfRule type="containsText" dxfId="11332" priority="187" operator="containsText" text="LWOP UA">
      <formula>NOT(ISERROR(SEARCH("LWOP UA",D47)))</formula>
    </cfRule>
    <cfRule type="containsText" dxfId="11331" priority="188" operator="containsText" text="P">
      <formula>NOT(ISERROR(SEARCH("P",D47)))</formula>
    </cfRule>
    <cfRule type="containsText" dxfId="11330" priority="189" operator="containsText" text="TFO">
      <formula>NOT(ISERROR(SEARCH("TFO",D47)))</formula>
    </cfRule>
    <cfRule type="containsText" dxfId="11329" priority="190" operator="containsText" text="AA">
      <formula>NOT(ISERROR(SEARCH("AA",D47)))</formula>
    </cfRule>
    <cfRule type="containsText" dxfId="11328" priority="191" operator="containsText" text="RESIGNED">
      <formula>NOT(ISERROR(SEARCH("RESIGNED",D47)))</formula>
    </cfRule>
    <cfRule type="containsText" dxfId="11327" priority="192" operator="containsText" text="P">
      <formula>NOT(ISERROR(SEARCH("P",D47)))</formula>
    </cfRule>
    <cfRule type="containsText" dxfId="11326" priority="193" operator="containsText" text="TARDY">
      <formula>NOT(ISERROR(SEARCH("TARDY",D47)))</formula>
    </cfRule>
    <cfRule type="containsText" dxfId="11325" priority="194" operator="containsText" text="REST DAY">
      <formula>NOT(ISERROR(SEARCH("REST DAY",D47)))</formula>
    </cfRule>
    <cfRule type="containsText" dxfId="11324" priority="195" operator="containsText" text="UA">
      <formula>NOT(ISERROR(SEARCH("UA",D47)))</formula>
    </cfRule>
  </conditionalFormatting>
  <conditionalFormatting sqref="D54:E54 E55 D56:G56 E57">
    <cfRule type="containsText" dxfId="11323" priority="175" operator="containsText" text="TFO">
      <formula>NOT(ISERROR(SEARCH("TFO",D54)))</formula>
    </cfRule>
    <cfRule type="containsText" dxfId="11322" priority="176" operator="containsText" text="AA">
      <formula>NOT(ISERROR(SEARCH("AA",D54)))</formula>
    </cfRule>
    <cfRule type="containsText" dxfId="11321" priority="177" operator="containsText" text="RESIGNED">
      <formula>NOT(ISERROR(SEARCH("RESIGNED",D54)))</formula>
    </cfRule>
    <cfRule type="containsText" dxfId="11320" priority="178" operator="containsText" text="P">
      <formula>NOT(ISERROR(SEARCH("P",D54)))</formula>
    </cfRule>
    <cfRule type="containsText" dxfId="11319" priority="179" operator="containsText" text="TARDY">
      <formula>NOT(ISERROR(SEARCH("TARDY",D54)))</formula>
    </cfRule>
    <cfRule type="containsText" dxfId="11318" priority="180" operator="containsText" text="REST DAY">
      <formula>NOT(ISERROR(SEARCH("REST DAY",D54)))</formula>
    </cfRule>
    <cfRule type="containsText" dxfId="11317" priority="181" operator="containsText" text="UA">
      <formula>NOT(ISERROR(SEARCH("UA",D54)))</formula>
    </cfRule>
  </conditionalFormatting>
  <conditionalFormatting sqref="D54:E54 E55 D56:L56 E57:L57">
    <cfRule type="containsText" dxfId="11316" priority="182" operator="containsText" text="LWOP UA">
      <formula>NOT(ISERROR(SEARCH("LWOP UA",D54)))</formula>
    </cfRule>
  </conditionalFormatting>
  <conditionalFormatting sqref="D57:E57">
    <cfRule type="containsText" dxfId="11315" priority="98" operator="containsText" text="LWOP UA">
      <formula>NOT(ISERROR(SEARCH("LWOP UA",D57)))</formula>
    </cfRule>
  </conditionalFormatting>
  <conditionalFormatting sqref="D72:E73 D74:L78">
    <cfRule type="containsText" dxfId="11314" priority="168" operator="containsText" text="LWOP UA">
      <formula>NOT(ISERROR(SEARCH("LWOP UA",D72)))</formula>
    </cfRule>
  </conditionalFormatting>
  <conditionalFormatting sqref="D91:E91 H91:L91 D92:L92">
    <cfRule type="containsText" dxfId="11313" priority="300" operator="containsText" text="P">
      <formula>NOT(ISERROR(SEARCH("P",D91)))</formula>
    </cfRule>
    <cfRule type="containsText" dxfId="11312" priority="301" operator="containsText" text="TFO">
      <formula>NOT(ISERROR(SEARCH("TFO",D91)))</formula>
    </cfRule>
    <cfRule type="containsText" dxfId="11311" priority="302" operator="containsText" text="AA">
      <formula>NOT(ISERROR(SEARCH("AA",D91)))</formula>
    </cfRule>
    <cfRule type="containsText" dxfId="11310" priority="303" operator="containsText" text="RESIGNED">
      <formula>NOT(ISERROR(SEARCH("RESIGNED",D91)))</formula>
    </cfRule>
    <cfRule type="containsText" dxfId="11309" priority="304" operator="containsText" text="P">
      <formula>NOT(ISERROR(SEARCH("P",D91)))</formula>
    </cfRule>
    <cfRule type="containsText" dxfId="11308" priority="305" operator="containsText" text="TARDY">
      <formula>NOT(ISERROR(SEARCH("TARDY",D91)))</formula>
    </cfRule>
    <cfRule type="containsText" dxfId="11307" priority="306" operator="containsText" text="REST DAY">
      <formula>NOT(ISERROR(SEARCH("REST DAY",D91)))</formula>
    </cfRule>
    <cfRule type="containsText" dxfId="11306" priority="307" operator="containsText" text="UA">
      <formula>NOT(ISERROR(SEARCH("UA",D91)))</formula>
    </cfRule>
    <cfRule type="containsText" dxfId="11305" priority="308" operator="containsText" text="LWOP UA">
      <formula>NOT(ISERROR(SEARCH("LWOP UA",D91)))</formula>
    </cfRule>
  </conditionalFormatting>
  <conditionalFormatting sqref="D56:G56 D54:E54 E55 E57">
    <cfRule type="containsText" dxfId="11304" priority="174" operator="containsText" text="P">
      <formula>NOT(ISERROR(SEARCH("P",D54)))</formula>
    </cfRule>
  </conditionalFormatting>
  <conditionalFormatting sqref="D56:G56">
    <cfRule type="containsText" dxfId="11303" priority="173" operator="containsText" text="LWOP UA">
      <formula>NOT(ISERROR(SEARCH("LWOP UA",D56)))</formula>
    </cfRule>
  </conditionalFormatting>
  <conditionalFormatting sqref="D34:J34 L34">
    <cfRule type="containsText" dxfId="11302" priority="210" operator="containsText" text="LWOP UA">
      <formula>NOT(ISERROR(SEARCH("LWOP UA",D34)))</formula>
    </cfRule>
  </conditionalFormatting>
  <conditionalFormatting sqref="D2:L2 D3:E4 H3:L4 D5:L6 D7:H7 D8:L10 F11:L11 D12:F12 I12:L12 D13:L15 D16:H16 D17:L17 D18:F18 I18:L18 D19:L31 D32:E32 H32:L32 D33:F33 I33:L33 D34:H34 D35:L37 D38:E38 H38:L38 D39:L46 F47:L47 E48:L48 F49:L50 D51:L53 F54:L55 H56:L56 F57:L57 D58:L62 D63:E63 H63:L63 D64:L71 D72:E72 H72:L72 E74:L74 F75:L76 D77:L78 D79:E79 H79:L79 D80:L90 D91:D92 J91:L92 F73:L73">
    <cfRule type="containsText" dxfId="11301" priority="317" operator="containsText" text="LWOP UA">
      <formula>NOT(ISERROR(SEARCH("LWOP UA",D2)))</formula>
    </cfRule>
  </conditionalFormatting>
  <conditionalFormatting sqref="D2:L2 D3:E4 H3:L4 D5:L6 D7:H7 D8:L10 F11:L11 D12:F12 I12:L12 D13:L15 D16:H16 D17:L17 D18:F18 I18:L18 D19:L31 D32:E32 H32:L32 D33:F33 I33:L33 D34:H34 D35:L37 D38:E38 H38:L38 D39:L46 F47:L47 E48:L48 F49:L50 D51:L53 F54:L55 H56:L56 F57:L57 D58:L62 D63:E63 H63:L63 D64:L71 D72:E72 H72:L72 E74:L74 F75:L76 D77:L78 D79:E79 H79:L79 D80:L90 D91:D92 J91:L92">
    <cfRule type="containsText" dxfId="11300" priority="310" operator="containsText" text="TFO">
      <formula>NOT(ISERROR(SEARCH("TFO",D2)))</formula>
    </cfRule>
    <cfRule type="containsText" dxfId="11299" priority="311" operator="containsText" text="AA">
      <formula>NOT(ISERROR(SEARCH("AA",D2)))</formula>
    </cfRule>
    <cfRule type="containsText" dxfId="11298" priority="312" operator="containsText" text="RESIGNED">
      <formula>NOT(ISERROR(SEARCH("RESIGNED",D2)))</formula>
    </cfRule>
    <cfRule type="containsText" dxfId="11297" priority="313" operator="containsText" text="P">
      <formula>NOT(ISERROR(SEARCH("P",D2)))</formula>
    </cfRule>
    <cfRule type="containsText" dxfId="11296" priority="314" operator="containsText" text="TARDY">
      <formula>NOT(ISERROR(SEARCH("TARDY",D2)))</formula>
    </cfRule>
    <cfRule type="containsText" dxfId="11295" priority="315" operator="containsText" text="REST DAY">
      <formula>NOT(ISERROR(SEARCH("REST DAY",D2)))</formula>
    </cfRule>
    <cfRule type="containsText" dxfId="11294" priority="316" operator="containsText" text="UA">
      <formula>NOT(ISERROR(SEARCH("UA",D2)))</formula>
    </cfRule>
  </conditionalFormatting>
  <conditionalFormatting sqref="D2:L4">
    <cfRule type="containsText" dxfId="11293" priority="154" operator="containsText" text="LWOP UA">
      <formula>NOT(ISERROR(SEARCH("LWOP UA",D2)))</formula>
    </cfRule>
  </conditionalFormatting>
  <conditionalFormatting sqref="D2:L18">
    <cfRule type="containsText" dxfId="11292" priority="113" operator="containsText" text="VL">
      <formula>NOT(ISERROR(SEARCH("VL",D2)))</formula>
    </cfRule>
    <cfRule type="containsText" dxfId="11291" priority="114" operator="containsText" text="RD">
      <formula>NOT(ISERROR(SEARCH("RD",D2)))</formula>
    </cfRule>
    <cfRule type="containsText" dxfId="11290" priority="115" operator="containsText" text="540">
      <formula>NOT(ISERROR(SEARCH("540",D2)))</formula>
    </cfRule>
    <cfRule type="cellIs" dxfId="11289" priority="116" operator="between">
      <formula>1</formula>
      <formula>400</formula>
    </cfRule>
  </conditionalFormatting>
  <conditionalFormatting sqref="D5:L10">
    <cfRule type="containsText" dxfId="11288" priority="266" operator="containsText" text="LWOP UA">
      <formula>NOT(ISERROR(SEARCH("LWOP UA",D5)))</formula>
    </cfRule>
  </conditionalFormatting>
  <conditionalFormatting sqref="D11:L11">
    <cfRule type="containsText" dxfId="11287" priority="252" operator="containsText" text="LWOP UA">
      <formula>NOT(ISERROR(SEARCH("LWOP UA",D11)))</formula>
    </cfRule>
  </conditionalFormatting>
  <conditionalFormatting sqref="D12:L12">
    <cfRule type="containsText" dxfId="11286" priority="140" operator="containsText" text="LWOP UA">
      <formula>NOT(ISERROR(SEARCH("LWOP UA",D12)))</formula>
    </cfRule>
  </conditionalFormatting>
  <conditionalFormatting sqref="D13:L17">
    <cfRule type="containsText" dxfId="11285" priority="238" operator="containsText" text="LWOP UA">
      <formula>NOT(ISERROR(SEARCH("LWOP UA",D13)))</formula>
    </cfRule>
  </conditionalFormatting>
  <conditionalFormatting sqref="D18:L18">
    <cfRule type="containsText" dxfId="11284" priority="126" operator="containsText" text="LWOP UA">
      <formula>NOT(ISERROR(SEARCH("LWOP UA",D18)))</formula>
    </cfRule>
  </conditionalFormatting>
  <conditionalFormatting sqref="D19:L31 D64:L71 D80:L92">
    <cfRule type="containsText" dxfId="11283" priority="287" operator="containsText" text="RD">
      <formula>NOT(ISERROR(SEARCH("RD",D19)))</formula>
    </cfRule>
    <cfRule type="containsText" dxfId="11282" priority="288" operator="containsText" text="540">
      <formula>NOT(ISERROR(SEARCH("540",D19)))</formula>
    </cfRule>
    <cfRule type="cellIs" dxfId="11281" priority="289" operator="between">
      <formula>1</formula>
      <formula>400</formula>
    </cfRule>
  </conditionalFormatting>
  <conditionalFormatting sqref="D32:L32">
    <cfRule type="containsText" dxfId="11280" priority="224" operator="containsText" text="LWOP UA">
      <formula>NOT(ISERROR(SEARCH("LWOP UA",D32)))</formula>
    </cfRule>
  </conditionalFormatting>
  <conditionalFormatting sqref="D32:L63">
    <cfRule type="containsText" dxfId="11279" priority="1" operator="containsText" text="VL">
      <formula>NOT(ISERROR(SEARCH("VL",D32)))</formula>
    </cfRule>
    <cfRule type="containsText" dxfId="11278" priority="2" operator="containsText" text="RD">
      <formula>NOT(ISERROR(SEARCH("RD",D32)))</formula>
    </cfRule>
    <cfRule type="containsText" dxfId="11277" priority="3" operator="containsText" text="540">
      <formula>NOT(ISERROR(SEARCH("540",D32)))</formula>
    </cfRule>
    <cfRule type="cellIs" dxfId="11276" priority="4" operator="between">
      <formula>1</formula>
      <formula>400</formula>
    </cfRule>
  </conditionalFormatting>
  <conditionalFormatting sqref="D33:L33">
    <cfRule type="containsText" dxfId="11275" priority="84" operator="containsText" text="LWOP UA">
      <formula>NOT(ISERROR(SEARCH("LWOP UA",D33)))</formula>
    </cfRule>
  </conditionalFormatting>
  <conditionalFormatting sqref="D35:L38">
    <cfRule type="containsText" dxfId="11274" priority="70" operator="containsText" text="LWOP UA">
      <formula>NOT(ISERROR(SEARCH("LWOP UA",D35)))</formula>
    </cfRule>
  </conditionalFormatting>
  <conditionalFormatting sqref="D39:L53">
    <cfRule type="containsText" dxfId="11273" priority="196" operator="containsText" text="LWOP UA">
      <formula>NOT(ISERROR(SEARCH("LWOP UA",D39)))</formula>
    </cfRule>
  </conditionalFormatting>
  <conditionalFormatting sqref="D54:L55">
    <cfRule type="containsText" dxfId="11272" priority="112" operator="containsText" text="LWOP UA">
      <formula>NOT(ISERROR(SEARCH("LWOP UA",D54)))</formula>
    </cfRule>
  </conditionalFormatting>
  <conditionalFormatting sqref="D58:L63">
    <cfRule type="containsText" dxfId="11271" priority="56" operator="containsText" text="LWOP UA">
      <formula>NOT(ISERROR(SEARCH("LWOP UA",D58)))</formula>
    </cfRule>
  </conditionalFormatting>
  <conditionalFormatting sqref="D72:L79">
    <cfRule type="containsText" dxfId="11270" priority="15" operator="containsText" text="VL">
      <formula>NOT(ISERROR(SEARCH("VL",D72)))</formula>
    </cfRule>
    <cfRule type="containsText" dxfId="11269" priority="16" operator="containsText" text="RD">
      <formula>NOT(ISERROR(SEARCH("RD",D72)))</formula>
    </cfRule>
    <cfRule type="containsText" dxfId="11268" priority="17" operator="containsText" text="540">
      <formula>NOT(ISERROR(SEARCH("540",D72)))</formula>
    </cfRule>
    <cfRule type="cellIs" dxfId="11267" priority="18" operator="between">
      <formula>1</formula>
      <formula>400</formula>
    </cfRule>
  </conditionalFormatting>
  <conditionalFormatting sqref="D73:L73 D74 D75:E76">
    <cfRule type="containsText" dxfId="11266" priority="159" operator="containsText" text="LWOP UA">
      <formula>NOT(ISERROR(SEARCH("LWOP UA",D73)))</formula>
    </cfRule>
    <cfRule type="containsText" dxfId="11265" priority="160" operator="containsText" text="P">
      <formula>NOT(ISERROR(SEARCH("P",D73)))</formula>
    </cfRule>
    <cfRule type="containsText" dxfId="11264" priority="161" operator="containsText" text="TFO">
      <formula>NOT(ISERROR(SEARCH("TFO",D73)))</formula>
    </cfRule>
    <cfRule type="containsText" dxfId="11263" priority="162" operator="containsText" text="AA">
      <formula>NOT(ISERROR(SEARCH("AA",D73)))</formula>
    </cfRule>
    <cfRule type="containsText" dxfId="11262" priority="163" operator="containsText" text="RESIGNED">
      <formula>NOT(ISERROR(SEARCH("RESIGNED",D73)))</formula>
    </cfRule>
    <cfRule type="containsText" dxfId="11261" priority="164" operator="containsText" text="P">
      <formula>NOT(ISERROR(SEARCH("P",D73)))</formula>
    </cfRule>
    <cfRule type="containsText" dxfId="11260" priority="165" operator="containsText" text="TARDY">
      <formula>NOT(ISERROR(SEARCH("TARDY",D73)))</formula>
    </cfRule>
    <cfRule type="containsText" dxfId="11259" priority="166" operator="containsText" text="REST DAY">
      <formula>NOT(ISERROR(SEARCH("REST DAY",D73)))</formula>
    </cfRule>
    <cfRule type="containsText" dxfId="11258" priority="167" operator="containsText" text="UA">
      <formula>NOT(ISERROR(SEARCH("UA",D73)))</formula>
    </cfRule>
  </conditionalFormatting>
  <conditionalFormatting sqref="D79:L79">
    <cfRule type="containsText" dxfId="11257" priority="28" operator="containsText" text="LWOP UA">
      <formula>NOT(ISERROR(SEARCH("LWOP UA",D79)))</formula>
    </cfRule>
  </conditionalFormatting>
  <conditionalFormatting sqref="D80:L92 D19:L31 D64:L71">
    <cfRule type="containsText" dxfId="11256" priority="286" operator="containsText" text="VL">
      <formula>NOT(ISERROR(SEARCH("VL",D19)))</formula>
    </cfRule>
    <cfRule type="containsText" dxfId="11255" priority="299" operator="containsText" text="LWOP UA">
      <formula>NOT(ISERROR(SEARCH("LWOP UA",D19)))</formula>
    </cfRule>
  </conditionalFormatting>
  <conditionalFormatting sqref="F3:G4">
    <cfRule type="containsText" dxfId="11254" priority="145" operator="containsText" text="LWOP UA">
      <formula>NOT(ISERROR(SEARCH("LWOP UA",F3)))</formula>
    </cfRule>
    <cfRule type="containsText" dxfId="11253" priority="146" operator="containsText" text="P">
      <formula>NOT(ISERROR(SEARCH("P",F3)))</formula>
    </cfRule>
    <cfRule type="containsText" dxfId="11252" priority="147" operator="containsText" text="TFO">
      <formula>NOT(ISERROR(SEARCH("TFO",F3)))</formula>
    </cfRule>
    <cfRule type="containsText" dxfId="11251" priority="148" operator="containsText" text="AA">
      <formula>NOT(ISERROR(SEARCH("AA",F3)))</formula>
    </cfRule>
    <cfRule type="containsText" dxfId="11250" priority="149" operator="containsText" text="RESIGNED">
      <formula>NOT(ISERROR(SEARCH("RESIGNED",F3)))</formula>
    </cfRule>
    <cfRule type="containsText" dxfId="11249" priority="150" operator="containsText" text="P">
      <formula>NOT(ISERROR(SEARCH("P",F3)))</formula>
    </cfRule>
    <cfRule type="containsText" dxfId="11248" priority="151" operator="containsText" text="TARDY">
      <formula>NOT(ISERROR(SEARCH("TARDY",F3)))</formula>
    </cfRule>
    <cfRule type="containsText" dxfId="11247" priority="152" operator="containsText" text="REST DAY">
      <formula>NOT(ISERROR(SEARCH("REST DAY",F3)))</formula>
    </cfRule>
    <cfRule type="containsText" dxfId="11246" priority="153" operator="containsText" text="UA">
      <formula>NOT(ISERROR(SEARCH("UA",F3)))</formula>
    </cfRule>
  </conditionalFormatting>
  <conditionalFormatting sqref="F32:G32">
    <cfRule type="containsText" dxfId="11245" priority="215" operator="containsText" text="LWOP UA">
      <formula>NOT(ISERROR(SEARCH("LWOP UA",F32)))</formula>
    </cfRule>
    <cfRule type="containsText" dxfId="11244" priority="216" operator="containsText" text="P">
      <formula>NOT(ISERROR(SEARCH("P",F32)))</formula>
    </cfRule>
    <cfRule type="containsText" dxfId="11243" priority="217" operator="containsText" text="TFO">
      <formula>NOT(ISERROR(SEARCH("TFO",F32)))</formula>
    </cfRule>
    <cfRule type="containsText" dxfId="11242" priority="218" operator="containsText" text="AA">
      <formula>NOT(ISERROR(SEARCH("AA",F32)))</formula>
    </cfRule>
    <cfRule type="containsText" dxfId="11241" priority="219" operator="containsText" text="RESIGNED">
      <formula>NOT(ISERROR(SEARCH("RESIGNED",F32)))</formula>
    </cfRule>
    <cfRule type="containsText" dxfId="11240" priority="220" operator="containsText" text="P">
      <formula>NOT(ISERROR(SEARCH("P",F32)))</formula>
    </cfRule>
    <cfRule type="containsText" dxfId="11239" priority="221" operator="containsText" text="TARDY">
      <formula>NOT(ISERROR(SEARCH("TARDY",F32)))</formula>
    </cfRule>
    <cfRule type="containsText" dxfId="11238" priority="222" operator="containsText" text="REST DAY">
      <formula>NOT(ISERROR(SEARCH("REST DAY",F32)))</formula>
    </cfRule>
    <cfRule type="containsText" dxfId="11237" priority="223" operator="containsText" text="UA">
      <formula>NOT(ISERROR(SEARCH("UA",F32)))</formula>
    </cfRule>
  </conditionalFormatting>
  <conditionalFormatting sqref="F38:G38">
    <cfRule type="containsText" dxfId="11236" priority="61" operator="containsText" text="LWOP UA">
      <formula>NOT(ISERROR(SEARCH("LWOP UA",F38)))</formula>
    </cfRule>
    <cfRule type="containsText" dxfId="11235" priority="62" operator="containsText" text="P">
      <formula>NOT(ISERROR(SEARCH("P",F38)))</formula>
    </cfRule>
    <cfRule type="containsText" dxfId="11234" priority="63" operator="containsText" text="TFO">
      <formula>NOT(ISERROR(SEARCH("TFO",F38)))</formula>
    </cfRule>
    <cfRule type="containsText" dxfId="11233" priority="64" operator="containsText" text="AA">
      <formula>NOT(ISERROR(SEARCH("AA",F38)))</formula>
    </cfRule>
    <cfRule type="containsText" dxfId="11232" priority="65" operator="containsText" text="RESIGNED">
      <formula>NOT(ISERROR(SEARCH("RESIGNED",F38)))</formula>
    </cfRule>
    <cfRule type="containsText" dxfId="11231" priority="66" operator="containsText" text="P">
      <formula>NOT(ISERROR(SEARCH("P",F38)))</formula>
    </cfRule>
    <cfRule type="containsText" dxfId="11230" priority="67" operator="containsText" text="TARDY">
      <formula>NOT(ISERROR(SEARCH("TARDY",F38)))</formula>
    </cfRule>
    <cfRule type="containsText" dxfId="11229" priority="68" operator="containsText" text="REST DAY">
      <formula>NOT(ISERROR(SEARCH("REST DAY",F38)))</formula>
    </cfRule>
    <cfRule type="containsText" dxfId="11228" priority="69" operator="containsText" text="UA">
      <formula>NOT(ISERROR(SEARCH("UA",F38)))</formula>
    </cfRule>
  </conditionalFormatting>
  <conditionalFormatting sqref="F63:G63">
    <cfRule type="containsText" dxfId="11227" priority="47" operator="containsText" text="LWOP UA">
      <formula>NOT(ISERROR(SEARCH("LWOP UA",F63)))</formula>
    </cfRule>
    <cfRule type="containsText" dxfId="11226" priority="48" operator="containsText" text="P">
      <formula>NOT(ISERROR(SEARCH("P",F63)))</formula>
    </cfRule>
    <cfRule type="containsText" dxfId="11225" priority="49" operator="containsText" text="TFO">
      <formula>NOT(ISERROR(SEARCH("TFO",F63)))</formula>
    </cfRule>
    <cfRule type="containsText" dxfId="11224" priority="50" operator="containsText" text="AA">
      <formula>NOT(ISERROR(SEARCH("AA",F63)))</formula>
    </cfRule>
    <cfRule type="containsText" dxfId="11223" priority="51" operator="containsText" text="RESIGNED">
      <formula>NOT(ISERROR(SEARCH("RESIGNED",F63)))</formula>
    </cfRule>
    <cfRule type="containsText" dxfId="11222" priority="52" operator="containsText" text="P">
      <formula>NOT(ISERROR(SEARCH("P",F63)))</formula>
    </cfRule>
    <cfRule type="containsText" dxfId="11221" priority="53" operator="containsText" text="TARDY">
      <formula>NOT(ISERROR(SEARCH("TARDY",F63)))</formula>
    </cfRule>
    <cfRule type="containsText" dxfId="11220" priority="54" operator="containsText" text="REST DAY">
      <formula>NOT(ISERROR(SEARCH("REST DAY",F63)))</formula>
    </cfRule>
    <cfRule type="containsText" dxfId="11219" priority="55" operator="containsText" text="UA">
      <formula>NOT(ISERROR(SEARCH("UA",F63)))</formula>
    </cfRule>
  </conditionalFormatting>
  <conditionalFormatting sqref="F72:G72">
    <cfRule type="containsText" dxfId="11218" priority="33" operator="containsText" text="LWOP UA">
      <formula>NOT(ISERROR(SEARCH("LWOP UA",F72)))</formula>
    </cfRule>
    <cfRule type="containsText" dxfId="11217" priority="34" operator="containsText" text="P">
      <formula>NOT(ISERROR(SEARCH("P",F72)))</formula>
    </cfRule>
    <cfRule type="containsText" dxfId="11216" priority="35" operator="containsText" text="TFO">
      <formula>NOT(ISERROR(SEARCH("TFO",F72)))</formula>
    </cfRule>
    <cfRule type="containsText" dxfId="11215" priority="36" operator="containsText" text="AA">
      <formula>NOT(ISERROR(SEARCH("AA",F72)))</formula>
    </cfRule>
    <cfRule type="containsText" dxfId="11214" priority="37" operator="containsText" text="RESIGNED">
      <formula>NOT(ISERROR(SEARCH("RESIGNED",F72)))</formula>
    </cfRule>
    <cfRule type="containsText" dxfId="11213" priority="38" operator="containsText" text="P">
      <formula>NOT(ISERROR(SEARCH("P",F72)))</formula>
    </cfRule>
    <cfRule type="containsText" dxfId="11212" priority="39" operator="containsText" text="TARDY">
      <formula>NOT(ISERROR(SEARCH("TARDY",F72)))</formula>
    </cfRule>
    <cfRule type="containsText" dxfId="11211" priority="40" operator="containsText" text="REST DAY">
      <formula>NOT(ISERROR(SEARCH("REST DAY",F72)))</formula>
    </cfRule>
    <cfRule type="containsText" dxfId="11210" priority="41" operator="containsText" text="UA">
      <formula>NOT(ISERROR(SEARCH("UA",F72)))</formula>
    </cfRule>
  </conditionalFormatting>
  <conditionalFormatting sqref="F79:G79">
    <cfRule type="containsText" dxfId="11209" priority="19" operator="containsText" text="LWOP UA">
      <formula>NOT(ISERROR(SEARCH("LWOP UA",F79)))</formula>
    </cfRule>
    <cfRule type="containsText" dxfId="11208" priority="20" operator="containsText" text="P">
      <formula>NOT(ISERROR(SEARCH("P",F79)))</formula>
    </cfRule>
    <cfRule type="containsText" dxfId="11207" priority="21" operator="containsText" text="TFO">
      <formula>NOT(ISERROR(SEARCH("TFO",F79)))</formula>
    </cfRule>
    <cfRule type="containsText" dxfId="11206" priority="22" operator="containsText" text="AA">
      <formula>NOT(ISERROR(SEARCH("AA",F79)))</formula>
    </cfRule>
    <cfRule type="containsText" dxfId="11205" priority="23" operator="containsText" text="RESIGNED">
      <formula>NOT(ISERROR(SEARCH("RESIGNED",F79)))</formula>
    </cfRule>
    <cfRule type="containsText" dxfId="11204" priority="24" operator="containsText" text="P">
      <formula>NOT(ISERROR(SEARCH("P",F79)))</formula>
    </cfRule>
    <cfRule type="containsText" dxfId="11203" priority="25" operator="containsText" text="TARDY">
      <formula>NOT(ISERROR(SEARCH("TARDY",F79)))</formula>
    </cfRule>
    <cfRule type="containsText" dxfId="11202" priority="26" operator="containsText" text="REST DAY">
      <formula>NOT(ISERROR(SEARCH("REST DAY",F79)))</formula>
    </cfRule>
    <cfRule type="containsText" dxfId="11201" priority="27" operator="containsText" text="UA">
      <formula>NOT(ISERROR(SEARCH("UA",F79)))</formula>
    </cfRule>
  </conditionalFormatting>
  <conditionalFormatting sqref="F91:G91">
    <cfRule type="containsText" dxfId="11200" priority="290" operator="containsText" text="LWOP UA">
      <formula>NOT(ISERROR(SEARCH("LWOP UA",F91)))</formula>
    </cfRule>
    <cfRule type="containsText" dxfId="11199" priority="291" operator="containsText" text="P">
      <formula>NOT(ISERROR(SEARCH("P",F91)))</formula>
    </cfRule>
    <cfRule type="containsText" dxfId="11198" priority="292" operator="containsText" text="TFO">
      <formula>NOT(ISERROR(SEARCH("TFO",F91)))</formula>
    </cfRule>
    <cfRule type="containsText" dxfId="11197" priority="293" operator="containsText" text="AA">
      <formula>NOT(ISERROR(SEARCH("AA",F91)))</formula>
    </cfRule>
    <cfRule type="containsText" dxfId="11196" priority="294" operator="containsText" text="RESIGNED">
      <formula>NOT(ISERROR(SEARCH("RESIGNED",F91)))</formula>
    </cfRule>
    <cfRule type="containsText" dxfId="11195" priority="295" operator="containsText" text="P">
      <formula>NOT(ISERROR(SEARCH("P",F91)))</formula>
    </cfRule>
    <cfRule type="containsText" dxfId="11194" priority="296" operator="containsText" text="TARDY">
      <formula>NOT(ISERROR(SEARCH("TARDY",F91)))</formula>
    </cfRule>
    <cfRule type="containsText" dxfId="11193" priority="297" operator="containsText" text="REST DAY">
      <formula>NOT(ISERROR(SEARCH("REST DAY",F91)))</formula>
    </cfRule>
    <cfRule type="containsText" dxfId="11192" priority="298" operator="containsText" text="UA">
      <formula>NOT(ISERROR(SEARCH("UA",F91)))</formula>
    </cfRule>
  </conditionalFormatting>
  <conditionalFormatting sqref="F72:L72">
    <cfRule type="containsText" dxfId="11191" priority="42" operator="containsText" text="LWOP UA">
      <formula>NOT(ISERROR(SEARCH("LWOP UA",F72)))</formula>
    </cfRule>
  </conditionalFormatting>
  <conditionalFormatting sqref="G12:H12">
    <cfRule type="containsText" dxfId="11190" priority="131" operator="containsText" text="LWOP UA">
      <formula>NOT(ISERROR(SEARCH("LWOP UA",G12)))</formula>
    </cfRule>
    <cfRule type="containsText" dxfId="11189" priority="132" operator="containsText" text="P">
      <formula>NOT(ISERROR(SEARCH("P",G12)))</formula>
    </cfRule>
    <cfRule type="containsText" dxfId="11188" priority="133" operator="containsText" text="TFO">
      <formula>NOT(ISERROR(SEARCH("TFO",G12)))</formula>
    </cfRule>
    <cfRule type="containsText" dxfId="11187" priority="134" operator="containsText" text="AA">
      <formula>NOT(ISERROR(SEARCH("AA",G12)))</formula>
    </cfRule>
    <cfRule type="containsText" dxfId="11186" priority="135" operator="containsText" text="RESIGNED">
      <formula>NOT(ISERROR(SEARCH("RESIGNED",G12)))</formula>
    </cfRule>
    <cfRule type="containsText" dxfId="11185" priority="136" operator="containsText" text="P">
      <formula>NOT(ISERROR(SEARCH("P",G12)))</formula>
    </cfRule>
    <cfRule type="containsText" dxfId="11184" priority="137" operator="containsText" text="TARDY">
      <formula>NOT(ISERROR(SEARCH("TARDY",G12)))</formula>
    </cfRule>
    <cfRule type="containsText" dxfId="11183" priority="138" operator="containsText" text="REST DAY">
      <formula>NOT(ISERROR(SEARCH("REST DAY",G12)))</formula>
    </cfRule>
    <cfRule type="containsText" dxfId="11182" priority="139" operator="containsText" text="UA">
      <formula>NOT(ISERROR(SEARCH("UA",G12)))</formula>
    </cfRule>
  </conditionalFormatting>
  <conditionalFormatting sqref="G18:H18">
    <cfRule type="containsText" dxfId="11181" priority="117" operator="containsText" text="LWOP UA">
      <formula>NOT(ISERROR(SEARCH("LWOP UA",G18)))</formula>
    </cfRule>
    <cfRule type="containsText" dxfId="11180" priority="118" operator="containsText" text="P">
      <formula>NOT(ISERROR(SEARCH("P",G18)))</formula>
    </cfRule>
    <cfRule type="containsText" dxfId="11179" priority="119" operator="containsText" text="TFO">
      <formula>NOT(ISERROR(SEARCH("TFO",G18)))</formula>
    </cfRule>
    <cfRule type="containsText" dxfId="11178" priority="120" operator="containsText" text="AA">
      <formula>NOT(ISERROR(SEARCH("AA",G18)))</formula>
    </cfRule>
    <cfRule type="containsText" dxfId="11177" priority="121" operator="containsText" text="RESIGNED">
      <formula>NOT(ISERROR(SEARCH("RESIGNED",G18)))</formula>
    </cfRule>
    <cfRule type="containsText" dxfId="11176" priority="122" operator="containsText" text="P">
      <formula>NOT(ISERROR(SEARCH("P",G18)))</formula>
    </cfRule>
    <cfRule type="containsText" dxfId="11175" priority="123" operator="containsText" text="TARDY">
      <formula>NOT(ISERROR(SEARCH("TARDY",G18)))</formula>
    </cfRule>
    <cfRule type="containsText" dxfId="11174" priority="124" operator="containsText" text="REST DAY">
      <formula>NOT(ISERROR(SEARCH("REST DAY",G18)))</formula>
    </cfRule>
    <cfRule type="containsText" dxfId="11173" priority="125" operator="containsText" text="UA">
      <formula>NOT(ISERROR(SEARCH("UA",G18)))</formula>
    </cfRule>
  </conditionalFormatting>
  <conditionalFormatting sqref="G33:H33">
    <cfRule type="containsText" dxfId="11172" priority="75" operator="containsText" text="LWOP UA">
      <formula>NOT(ISERROR(SEARCH("LWOP UA",G33)))</formula>
    </cfRule>
    <cfRule type="containsText" dxfId="11171" priority="76" operator="containsText" text="P">
      <formula>NOT(ISERROR(SEARCH("P",G33)))</formula>
    </cfRule>
    <cfRule type="containsText" dxfId="11170" priority="77" operator="containsText" text="TFO">
      <formula>NOT(ISERROR(SEARCH("TFO",G33)))</formula>
    </cfRule>
    <cfRule type="containsText" dxfId="11169" priority="78" operator="containsText" text="AA">
      <formula>NOT(ISERROR(SEARCH("AA",G33)))</formula>
    </cfRule>
    <cfRule type="containsText" dxfId="11168" priority="79" operator="containsText" text="RESIGNED">
      <formula>NOT(ISERROR(SEARCH("RESIGNED",G33)))</formula>
    </cfRule>
    <cfRule type="containsText" dxfId="11167" priority="80" operator="containsText" text="P">
      <formula>NOT(ISERROR(SEARCH("P",G33)))</formula>
    </cfRule>
    <cfRule type="containsText" dxfId="11166" priority="81" operator="containsText" text="TARDY">
      <formula>NOT(ISERROR(SEARCH("TARDY",G33)))</formula>
    </cfRule>
    <cfRule type="containsText" dxfId="11165" priority="82" operator="containsText" text="REST DAY">
      <formula>NOT(ISERROR(SEARCH("REST DAY",G33)))</formula>
    </cfRule>
    <cfRule type="containsText" dxfId="11164" priority="83" operator="containsText" text="UA">
      <formula>NOT(ISERROR(SEARCH("UA",G33)))</formula>
    </cfRule>
  </conditionalFormatting>
  <conditionalFormatting sqref="I34:J34 L34">
    <cfRule type="containsText" dxfId="11163" priority="202" operator="containsText" text="P">
      <formula>NOT(ISERROR(SEARCH("P",I34)))</formula>
    </cfRule>
    <cfRule type="containsText" dxfId="11162" priority="203" operator="containsText" text="TFO">
      <formula>NOT(ISERROR(SEARCH("TFO",I34)))</formula>
    </cfRule>
    <cfRule type="containsText" dxfId="11161" priority="204" operator="containsText" text="AA">
      <formula>NOT(ISERROR(SEARCH("AA",I34)))</formula>
    </cfRule>
    <cfRule type="containsText" dxfId="11160" priority="205" operator="containsText" text="RESIGNED">
      <formula>NOT(ISERROR(SEARCH("RESIGNED",I34)))</formula>
    </cfRule>
    <cfRule type="containsText" dxfId="11159" priority="206" operator="containsText" text="P">
      <formula>NOT(ISERROR(SEARCH("P",I34)))</formula>
    </cfRule>
    <cfRule type="containsText" dxfId="11158" priority="207" operator="containsText" text="TARDY">
      <formula>NOT(ISERROR(SEARCH("TARDY",I34)))</formula>
    </cfRule>
    <cfRule type="containsText" dxfId="11157" priority="208" operator="containsText" text="REST DAY">
      <formula>NOT(ISERROR(SEARCH("REST DAY",I34)))</formula>
    </cfRule>
    <cfRule type="containsText" dxfId="11156" priority="209" operator="containsText" text="UA">
      <formula>NOT(ISERROR(SEARCH("UA",I34)))</formula>
    </cfRule>
  </conditionalFormatting>
  <conditionalFormatting sqref="I7:L7">
    <cfRule type="containsText" dxfId="11155" priority="257" operator="containsText" text="LWOP UA">
      <formula>NOT(ISERROR(SEARCH("LWOP UA",I7)))</formula>
    </cfRule>
    <cfRule type="containsText" dxfId="11154" priority="258" operator="containsText" text="P">
      <formula>NOT(ISERROR(SEARCH("P",I7)))</formula>
    </cfRule>
    <cfRule type="containsText" dxfId="11153" priority="259" operator="containsText" text="TFO">
      <formula>NOT(ISERROR(SEARCH("TFO",I7)))</formula>
    </cfRule>
    <cfRule type="containsText" dxfId="11152" priority="260" operator="containsText" text="AA">
      <formula>NOT(ISERROR(SEARCH("AA",I7)))</formula>
    </cfRule>
    <cfRule type="containsText" dxfId="11151" priority="261" operator="containsText" text="RESIGNED">
      <formula>NOT(ISERROR(SEARCH("RESIGNED",I7)))</formula>
    </cfRule>
    <cfRule type="containsText" dxfId="11150" priority="262" operator="containsText" text="P">
      <formula>NOT(ISERROR(SEARCH("P",I7)))</formula>
    </cfRule>
    <cfRule type="containsText" dxfId="11149" priority="263" operator="containsText" text="TARDY">
      <formula>NOT(ISERROR(SEARCH("TARDY",I7)))</formula>
    </cfRule>
    <cfRule type="containsText" dxfId="11148" priority="264" operator="containsText" text="REST DAY">
      <formula>NOT(ISERROR(SEARCH("REST DAY",I7)))</formula>
    </cfRule>
    <cfRule type="containsText" dxfId="11147" priority="265" operator="containsText" text="UA">
      <formula>NOT(ISERROR(SEARCH("UA",I7)))</formula>
    </cfRule>
  </conditionalFormatting>
  <conditionalFormatting sqref="I16:L16">
    <cfRule type="containsText" dxfId="11146" priority="229" operator="containsText" text="LWOP UA">
      <formula>NOT(ISERROR(SEARCH("LWOP UA",I16)))</formula>
    </cfRule>
    <cfRule type="containsText" dxfId="11145" priority="230" operator="containsText" text="P">
      <formula>NOT(ISERROR(SEARCH("P",I16)))</formula>
    </cfRule>
    <cfRule type="containsText" dxfId="11144" priority="231" operator="containsText" text="TFO">
      <formula>NOT(ISERROR(SEARCH("TFO",I16)))</formula>
    </cfRule>
    <cfRule type="containsText" dxfId="11143" priority="232" operator="containsText" text="AA">
      <formula>NOT(ISERROR(SEARCH("AA",I16)))</formula>
    </cfRule>
    <cfRule type="containsText" dxfId="11142" priority="233" operator="containsText" text="RESIGNED">
      <formula>NOT(ISERROR(SEARCH("RESIGNED",I16)))</formula>
    </cfRule>
    <cfRule type="containsText" dxfId="11141" priority="234" operator="containsText" text="P">
      <formula>NOT(ISERROR(SEARCH("P",I16)))</formula>
    </cfRule>
    <cfRule type="containsText" dxfId="11140" priority="235" operator="containsText" text="TARDY">
      <formula>NOT(ISERROR(SEARCH("TARDY",I16)))</formula>
    </cfRule>
    <cfRule type="containsText" dxfId="11139" priority="236" operator="containsText" text="REST DAY">
      <formula>NOT(ISERROR(SEARCH("REST DAY",I16)))</formula>
    </cfRule>
    <cfRule type="containsText" dxfId="11138" priority="237" operator="containsText" text="UA">
      <formula>NOT(ISERROR(SEARCH("UA",I16)))</formula>
    </cfRule>
  </conditionalFormatting>
  <conditionalFormatting sqref="I34:L34">
    <cfRule type="containsText" dxfId="11137" priority="14" operator="containsText" text="LWOP UA">
      <formula>NOT(ISERROR(SEARCH("LWOP UA",I34)))</formula>
    </cfRule>
  </conditionalFormatting>
  <conditionalFormatting sqref="K34">
    <cfRule type="containsText" dxfId="11136" priority="5" operator="containsText" text="LWOP UA">
      <formula>NOT(ISERROR(SEARCH("LWOP UA",K34)))</formula>
    </cfRule>
    <cfRule type="containsText" dxfId="11135" priority="6" operator="containsText" text="P">
      <formula>NOT(ISERROR(SEARCH("P",K34)))</formula>
    </cfRule>
    <cfRule type="containsText" dxfId="11134" priority="7" operator="containsText" text="TFO">
      <formula>NOT(ISERROR(SEARCH("TFO",K34)))</formula>
    </cfRule>
    <cfRule type="containsText" dxfId="11133" priority="8" operator="containsText" text="AA">
      <formula>NOT(ISERROR(SEARCH("AA",K34)))</formula>
    </cfRule>
    <cfRule type="containsText" dxfId="11132" priority="9" operator="containsText" text="RESIGNED">
      <formula>NOT(ISERROR(SEARCH("RESIGNED",K34)))</formula>
    </cfRule>
    <cfRule type="containsText" dxfId="11131" priority="10" operator="containsText" text="P">
      <formula>NOT(ISERROR(SEARCH("P",K34)))</formula>
    </cfRule>
    <cfRule type="containsText" dxfId="11130" priority="11" operator="containsText" text="TARDY">
      <formula>NOT(ISERROR(SEARCH("TARDY",K34)))</formula>
    </cfRule>
    <cfRule type="containsText" dxfId="11129" priority="12" operator="containsText" text="REST DAY">
      <formula>NOT(ISERROR(SEARCH("REST DAY",K34)))</formula>
    </cfRule>
    <cfRule type="containsText" dxfId="11128" priority="13" operator="containsText" text="UA">
      <formula>NOT(ISERROR(SEARCH("UA",K34)))</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895B8-10F6-416A-AE02-5CFBFC0B0E8B}">
  <dimension ref="A1:AU94"/>
  <sheetViews>
    <sheetView workbookViewId="0">
      <pane xSplit="1" topLeftCell="B1" activePane="topRight" state="frozen"/>
      <selection pane="topRight" activeCell="K113" sqref="K113"/>
    </sheetView>
  </sheetViews>
  <sheetFormatPr defaultRowHeight="15"/>
  <cols>
    <col min="1" max="1" width="19.140625" bestFit="1" customWidth="1"/>
    <col min="4" max="33" width="10.42578125" bestFit="1" customWidth="1"/>
    <col min="40" max="40" width="13.85546875" bestFit="1" customWidth="1"/>
  </cols>
  <sheetData>
    <row r="1" spans="1:47">
      <c r="D1" s="50">
        <v>45809</v>
      </c>
      <c r="E1" s="50">
        <v>45810</v>
      </c>
      <c r="F1" s="50">
        <v>45811</v>
      </c>
      <c r="G1" s="50">
        <v>45812</v>
      </c>
      <c r="H1" s="50">
        <v>45813</v>
      </c>
      <c r="I1" s="50">
        <v>45814</v>
      </c>
      <c r="J1" s="50">
        <v>45815</v>
      </c>
      <c r="K1" s="50">
        <v>45816</v>
      </c>
      <c r="L1" s="50">
        <v>45817</v>
      </c>
      <c r="M1" s="50">
        <v>45818</v>
      </c>
      <c r="N1" s="50">
        <v>45819</v>
      </c>
      <c r="O1" s="50">
        <v>45820</v>
      </c>
      <c r="P1" s="50">
        <v>45821</v>
      </c>
      <c r="Q1" s="50">
        <v>45822</v>
      </c>
      <c r="R1" s="50">
        <v>45823</v>
      </c>
      <c r="S1" s="50">
        <v>45824</v>
      </c>
      <c r="T1" s="50">
        <v>45825</v>
      </c>
      <c r="U1" s="50">
        <v>45826</v>
      </c>
      <c r="V1" s="50">
        <v>45827</v>
      </c>
      <c r="W1" s="50">
        <v>45828</v>
      </c>
      <c r="X1" s="50">
        <v>45829</v>
      </c>
      <c r="Y1" s="50">
        <v>45830</v>
      </c>
      <c r="Z1" s="50">
        <v>45831</v>
      </c>
      <c r="AA1" s="50">
        <v>45832</v>
      </c>
      <c r="AB1" s="50">
        <v>45833</v>
      </c>
      <c r="AC1" s="50">
        <v>45834</v>
      </c>
      <c r="AD1" s="50">
        <v>45835</v>
      </c>
      <c r="AE1" s="50">
        <v>45836</v>
      </c>
      <c r="AF1" s="50">
        <v>45837</v>
      </c>
      <c r="AG1" s="50">
        <v>45838</v>
      </c>
    </row>
    <row r="2" spans="1:47">
      <c r="A2" s="1" t="s">
        <v>2</v>
      </c>
      <c r="B2" s="1" t="s">
        <v>0</v>
      </c>
      <c r="C2" s="1" t="s">
        <v>3</v>
      </c>
      <c r="D2" s="8" t="s">
        <v>135</v>
      </c>
      <c r="E2" s="8" t="s">
        <v>136</v>
      </c>
      <c r="F2" s="8" t="s">
        <v>137</v>
      </c>
      <c r="G2" s="8" t="s">
        <v>138</v>
      </c>
      <c r="H2" s="8" t="s">
        <v>139</v>
      </c>
      <c r="I2" s="8" t="s">
        <v>140</v>
      </c>
      <c r="J2" s="8" t="s">
        <v>141</v>
      </c>
      <c r="K2" s="8" t="s">
        <v>135</v>
      </c>
      <c r="L2" s="8" t="s">
        <v>136</v>
      </c>
      <c r="M2" s="8" t="s">
        <v>137</v>
      </c>
      <c r="N2" s="8" t="s">
        <v>138</v>
      </c>
      <c r="O2" s="8" t="s">
        <v>139</v>
      </c>
      <c r="P2" s="8" t="s">
        <v>140</v>
      </c>
      <c r="Q2" s="8" t="s">
        <v>141</v>
      </c>
      <c r="R2" s="8" t="s">
        <v>135</v>
      </c>
      <c r="S2" s="8" t="s">
        <v>136</v>
      </c>
      <c r="T2" s="8" t="s">
        <v>137</v>
      </c>
      <c r="U2" s="8" t="s">
        <v>138</v>
      </c>
      <c r="V2" s="8" t="s">
        <v>139</v>
      </c>
      <c r="W2" s="8" t="s">
        <v>140</v>
      </c>
      <c r="X2" s="8" t="s">
        <v>141</v>
      </c>
      <c r="Y2" s="8" t="s">
        <v>135</v>
      </c>
      <c r="Z2" s="8" t="s">
        <v>136</v>
      </c>
      <c r="AA2" s="8" t="s">
        <v>137</v>
      </c>
      <c r="AB2" s="8" t="s">
        <v>138</v>
      </c>
      <c r="AC2" s="8" t="s">
        <v>139</v>
      </c>
      <c r="AD2" s="8" t="s">
        <v>140</v>
      </c>
      <c r="AE2" s="8" t="s">
        <v>141</v>
      </c>
      <c r="AF2" s="8" t="s">
        <v>135</v>
      </c>
      <c r="AG2" s="8" t="s">
        <v>136</v>
      </c>
      <c r="AH2" s="1" t="s">
        <v>4</v>
      </c>
      <c r="AI2" s="1" t="s">
        <v>5</v>
      </c>
      <c r="AJ2" s="1" t="s">
        <v>6</v>
      </c>
      <c r="AK2" s="1" t="s">
        <v>7</v>
      </c>
      <c r="AL2" s="1" t="s">
        <v>8</v>
      </c>
      <c r="AM2" s="1" t="s">
        <v>9</v>
      </c>
      <c r="AN2" s="1" t="s">
        <v>182</v>
      </c>
      <c r="AO2" s="1" t="s">
        <v>183</v>
      </c>
      <c r="AP2" s="1"/>
      <c r="AQ2" s="1" t="s">
        <v>147</v>
      </c>
      <c r="AR2" s="2" t="s">
        <v>12</v>
      </c>
      <c r="AS2" s="2" t="s">
        <v>14</v>
      </c>
      <c r="AT2" s="3" t="s">
        <v>184</v>
      </c>
      <c r="AU2" s="3" t="s">
        <v>185</v>
      </c>
    </row>
    <row r="3" spans="1:47">
      <c r="A3" s="5" t="s">
        <v>24</v>
      </c>
      <c r="B3" s="5" t="s">
        <v>22</v>
      </c>
      <c r="C3" s="5" t="s">
        <v>25</v>
      </c>
      <c r="D3" s="9" t="s">
        <v>147</v>
      </c>
      <c r="E3" s="9">
        <v>450</v>
      </c>
      <c r="F3" s="9">
        <v>5</v>
      </c>
      <c r="G3" s="9" t="s">
        <v>148</v>
      </c>
      <c r="H3" s="9">
        <v>19</v>
      </c>
      <c r="I3" s="9" t="s">
        <v>148</v>
      </c>
      <c r="J3" s="9" t="s">
        <v>147</v>
      </c>
      <c r="K3" s="9" t="s">
        <v>147</v>
      </c>
      <c r="L3" s="9" t="s">
        <v>148</v>
      </c>
      <c r="M3" s="9">
        <v>106</v>
      </c>
      <c r="N3" s="9" t="s">
        <v>148</v>
      </c>
      <c r="O3" s="9" t="s">
        <v>148</v>
      </c>
      <c r="P3" s="9" t="s">
        <v>14</v>
      </c>
      <c r="Q3" s="9" t="s">
        <v>147</v>
      </c>
      <c r="R3" s="9" t="s">
        <v>147</v>
      </c>
      <c r="S3" s="9">
        <v>42</v>
      </c>
      <c r="T3" s="9" t="s">
        <v>14</v>
      </c>
      <c r="U3" s="9" t="s">
        <v>14</v>
      </c>
      <c r="V3" s="9" t="s">
        <v>148</v>
      </c>
      <c r="W3" s="9" t="s">
        <v>148</v>
      </c>
      <c r="X3" s="9" t="s">
        <v>147</v>
      </c>
      <c r="Y3" s="9" t="s">
        <v>147</v>
      </c>
      <c r="Z3" s="9" t="s">
        <v>14</v>
      </c>
      <c r="AA3" s="9" t="s">
        <v>14</v>
      </c>
      <c r="AB3" s="9" t="s">
        <v>148</v>
      </c>
      <c r="AC3" s="9" t="s">
        <v>148</v>
      </c>
      <c r="AD3" s="9" t="s">
        <v>148</v>
      </c>
      <c r="AE3" s="9" t="s">
        <v>147</v>
      </c>
      <c r="AF3" s="9" t="s">
        <v>147</v>
      </c>
      <c r="AG3" s="9" t="s">
        <v>148</v>
      </c>
      <c r="AH3" s="16">
        <v>68</v>
      </c>
      <c r="AI3" s="5">
        <f t="shared" ref="AI3:AI66" si="0">SUMIF(C3:AG3,"450")</f>
        <v>450</v>
      </c>
      <c r="AJ3" s="16">
        <f>AH3+AI3</f>
        <v>518</v>
      </c>
      <c r="AK3">
        <f>AN3*450</f>
        <v>7200</v>
      </c>
      <c r="AL3">
        <f>AK3-AJ3</f>
        <v>6682</v>
      </c>
      <c r="AM3">
        <f>AL3/AK3</f>
        <v>0.92805555555555552</v>
      </c>
      <c r="AN3">
        <f>AO3-(AR3+AS3)</f>
        <v>16</v>
      </c>
      <c r="AO3">
        <f>30-AQ3</f>
        <v>21</v>
      </c>
      <c r="AQ3" s="5">
        <f>COUNTIF(D3:AF3,"RD")</f>
        <v>9</v>
      </c>
      <c r="AR3" s="5">
        <f>COUNTIF(D3:AG3,"VL")</f>
        <v>0</v>
      </c>
      <c r="AS3" s="5">
        <f>COUNTIF(D3:AG3,"LWOP")</f>
        <v>5</v>
      </c>
      <c r="AT3" s="5">
        <f>COUNTIF(D3:AH3,"450")</f>
        <v>1</v>
      </c>
    </row>
    <row r="4" spans="1:47">
      <c r="A4" s="7" t="s">
        <v>28</v>
      </c>
      <c r="B4" s="5" t="s">
        <v>26</v>
      </c>
      <c r="C4" s="34" t="s">
        <v>25</v>
      </c>
      <c r="D4" s="9" t="s">
        <v>148</v>
      </c>
      <c r="E4" s="9">
        <v>17</v>
      </c>
      <c r="F4" s="9" t="s">
        <v>147</v>
      </c>
      <c r="G4" s="9" t="s">
        <v>147</v>
      </c>
      <c r="H4" s="9">
        <v>4</v>
      </c>
      <c r="I4" s="9" t="s">
        <v>148</v>
      </c>
      <c r="J4" s="9" t="s">
        <v>148</v>
      </c>
      <c r="K4" s="9" t="s">
        <v>148</v>
      </c>
      <c r="L4" s="9" t="s">
        <v>148</v>
      </c>
      <c r="M4" s="9" t="s">
        <v>147</v>
      </c>
      <c r="N4" s="9" t="s">
        <v>147</v>
      </c>
      <c r="O4" s="9" t="s">
        <v>148</v>
      </c>
      <c r="P4" s="9" t="s">
        <v>148</v>
      </c>
      <c r="Q4" s="9" t="s">
        <v>148</v>
      </c>
      <c r="R4" s="9" t="s">
        <v>14</v>
      </c>
      <c r="S4" s="9" t="s">
        <v>148</v>
      </c>
      <c r="T4" s="9" t="s">
        <v>147</v>
      </c>
      <c r="U4" s="9" t="s">
        <v>147</v>
      </c>
      <c r="V4" s="9" t="s">
        <v>148</v>
      </c>
      <c r="W4" s="9" t="s">
        <v>148</v>
      </c>
      <c r="X4" s="9" t="s">
        <v>148</v>
      </c>
      <c r="Y4" s="9">
        <v>3</v>
      </c>
      <c r="Z4" s="9" t="s">
        <v>148</v>
      </c>
      <c r="AA4" s="9" t="s">
        <v>147</v>
      </c>
      <c r="AB4" s="9" t="s">
        <v>147</v>
      </c>
      <c r="AC4" s="9" t="s">
        <v>148</v>
      </c>
      <c r="AD4" s="9" t="s">
        <v>148</v>
      </c>
      <c r="AE4" s="9" t="s">
        <v>148</v>
      </c>
      <c r="AF4" s="9" t="s">
        <v>148</v>
      </c>
      <c r="AG4" s="9" t="s">
        <v>148</v>
      </c>
      <c r="AH4" s="16">
        <f t="shared" ref="AH4:AH65" si="1">SUM(D4:AG4)</f>
        <v>24</v>
      </c>
      <c r="AI4" s="5">
        <f t="shared" si="0"/>
        <v>0</v>
      </c>
      <c r="AJ4" s="16">
        <f t="shared" ref="AJ4:AJ67" si="2">AH4+AI4</f>
        <v>24</v>
      </c>
      <c r="AK4">
        <f t="shared" ref="AK4:AK67" si="3">AN4*450</f>
        <v>9450</v>
      </c>
      <c r="AL4">
        <f t="shared" ref="AL4:AL67" si="4">AK4-AJ4</f>
        <v>9426</v>
      </c>
      <c r="AM4">
        <f t="shared" ref="AM4:AM67" si="5">AL4/AK4</f>
        <v>0.99746031746031749</v>
      </c>
      <c r="AN4">
        <f t="shared" ref="AN4:AN67" si="6">AO4-(AR4+AS4)</f>
        <v>21</v>
      </c>
      <c r="AO4">
        <f t="shared" ref="AO4:AO67" si="7">30-AQ4</f>
        <v>22</v>
      </c>
      <c r="AQ4" s="5">
        <f t="shared" ref="AQ4:AQ67" si="8">COUNTIF(D4:AF4,"RD")</f>
        <v>8</v>
      </c>
      <c r="AR4" s="5">
        <f t="shared" ref="AR4:AR67" si="9">COUNTIF(D4:AG4,"VL")</f>
        <v>0</v>
      </c>
      <c r="AS4" s="5">
        <f t="shared" ref="AS4:AS67" si="10">COUNTIF(D4:AG4,"LWOP")</f>
        <v>1</v>
      </c>
      <c r="AT4" s="5">
        <f t="shared" ref="AT4:AT67" si="11">COUNTIF(D4:AH4,"450")</f>
        <v>0</v>
      </c>
    </row>
    <row r="5" spans="1:47">
      <c r="A5" s="7" t="s">
        <v>29</v>
      </c>
      <c r="B5" s="5" t="s">
        <v>26</v>
      </c>
      <c r="C5" s="34" t="s">
        <v>30</v>
      </c>
      <c r="D5" s="9">
        <v>25</v>
      </c>
      <c r="E5" s="9">
        <v>4</v>
      </c>
      <c r="F5" s="9" t="s">
        <v>147</v>
      </c>
      <c r="G5" s="9" t="s">
        <v>147</v>
      </c>
      <c r="H5" s="9" t="s">
        <v>148</v>
      </c>
      <c r="I5" s="9" t="s">
        <v>148</v>
      </c>
      <c r="J5" s="9" t="s">
        <v>148</v>
      </c>
      <c r="K5" s="9" t="s">
        <v>148</v>
      </c>
      <c r="L5" s="9" t="s">
        <v>148</v>
      </c>
      <c r="M5" s="9" t="s">
        <v>147</v>
      </c>
      <c r="N5" s="9" t="s">
        <v>147</v>
      </c>
      <c r="O5" s="9" t="s">
        <v>148</v>
      </c>
      <c r="P5" s="9">
        <v>2</v>
      </c>
      <c r="Q5" s="9" t="s">
        <v>148</v>
      </c>
      <c r="R5" s="9" t="s">
        <v>148</v>
      </c>
      <c r="S5" s="9">
        <v>4</v>
      </c>
      <c r="T5" s="9" t="s">
        <v>147</v>
      </c>
      <c r="U5" s="9" t="s">
        <v>147</v>
      </c>
      <c r="V5" s="9" t="s">
        <v>14</v>
      </c>
      <c r="W5" s="9" t="s">
        <v>148</v>
      </c>
      <c r="X5" s="9" t="s">
        <v>148</v>
      </c>
      <c r="Y5" s="9">
        <v>2</v>
      </c>
      <c r="Z5" s="9">
        <v>16</v>
      </c>
      <c r="AA5" s="9" t="s">
        <v>147</v>
      </c>
      <c r="AB5" s="9" t="s">
        <v>147</v>
      </c>
      <c r="AC5" s="9">
        <v>4</v>
      </c>
      <c r="AD5" s="9" t="s">
        <v>148</v>
      </c>
      <c r="AE5" s="9" t="s">
        <v>148</v>
      </c>
      <c r="AF5" s="9" t="s">
        <v>148</v>
      </c>
      <c r="AG5" s="9">
        <v>5</v>
      </c>
      <c r="AH5" s="16">
        <f t="shared" si="1"/>
        <v>62</v>
      </c>
      <c r="AI5" s="5">
        <f t="shared" si="0"/>
        <v>0</v>
      </c>
      <c r="AJ5" s="16">
        <f t="shared" si="2"/>
        <v>62</v>
      </c>
      <c r="AK5">
        <f t="shared" si="3"/>
        <v>9450</v>
      </c>
      <c r="AL5">
        <f t="shared" si="4"/>
        <v>9388</v>
      </c>
      <c r="AM5">
        <f t="shared" si="5"/>
        <v>0.99343915343915346</v>
      </c>
      <c r="AN5">
        <f t="shared" si="6"/>
        <v>21</v>
      </c>
      <c r="AO5">
        <f t="shared" si="7"/>
        <v>22</v>
      </c>
      <c r="AQ5" s="5">
        <f t="shared" si="8"/>
        <v>8</v>
      </c>
      <c r="AR5" s="5">
        <f t="shared" si="9"/>
        <v>0</v>
      </c>
      <c r="AS5" s="5">
        <f t="shared" si="10"/>
        <v>1</v>
      </c>
      <c r="AT5" s="5">
        <f t="shared" si="11"/>
        <v>0</v>
      </c>
    </row>
    <row r="6" spans="1:47">
      <c r="A6" s="5" t="s">
        <v>32</v>
      </c>
      <c r="B6" s="5" t="s">
        <v>22</v>
      </c>
      <c r="C6" s="5" t="s">
        <v>33</v>
      </c>
      <c r="D6" s="9" t="s">
        <v>147</v>
      </c>
      <c r="E6" s="9">
        <v>9</v>
      </c>
      <c r="F6" s="9">
        <v>4</v>
      </c>
      <c r="G6" s="9" t="s">
        <v>148</v>
      </c>
      <c r="H6" s="9">
        <v>8</v>
      </c>
      <c r="I6" s="9">
        <v>9</v>
      </c>
      <c r="J6" s="9" t="s">
        <v>147</v>
      </c>
      <c r="K6" s="9" t="s">
        <v>147</v>
      </c>
      <c r="L6" s="9">
        <v>6</v>
      </c>
      <c r="M6" s="9">
        <v>4</v>
      </c>
      <c r="N6" s="9">
        <v>48</v>
      </c>
      <c r="O6" s="9" t="s">
        <v>148</v>
      </c>
      <c r="P6" s="9" t="s">
        <v>148</v>
      </c>
      <c r="Q6" s="9" t="s">
        <v>147</v>
      </c>
      <c r="R6" s="9" t="s">
        <v>147</v>
      </c>
      <c r="S6" s="9">
        <v>7</v>
      </c>
      <c r="T6" s="9" t="s">
        <v>148</v>
      </c>
      <c r="U6" s="9" t="s">
        <v>148</v>
      </c>
      <c r="V6" s="9">
        <v>4</v>
      </c>
      <c r="W6" s="9">
        <v>450</v>
      </c>
      <c r="X6" s="9" t="s">
        <v>147</v>
      </c>
      <c r="Y6" s="9" t="s">
        <v>147</v>
      </c>
      <c r="Z6" s="9">
        <v>2</v>
      </c>
      <c r="AA6" s="9" t="s">
        <v>148</v>
      </c>
      <c r="AB6" s="9" t="s">
        <v>148</v>
      </c>
      <c r="AC6" s="9">
        <v>4</v>
      </c>
      <c r="AD6" s="9" t="s">
        <v>148</v>
      </c>
      <c r="AE6" s="9" t="s">
        <v>147</v>
      </c>
      <c r="AF6" s="9" t="s">
        <v>147</v>
      </c>
      <c r="AG6" s="9" t="s">
        <v>148</v>
      </c>
      <c r="AH6" s="16">
        <v>105</v>
      </c>
      <c r="AI6" s="5">
        <f t="shared" si="0"/>
        <v>450</v>
      </c>
      <c r="AJ6" s="16">
        <f t="shared" si="2"/>
        <v>555</v>
      </c>
      <c r="AK6">
        <f t="shared" si="3"/>
        <v>9450</v>
      </c>
      <c r="AL6">
        <f t="shared" si="4"/>
        <v>8895</v>
      </c>
      <c r="AM6">
        <f t="shared" si="5"/>
        <v>0.94126984126984126</v>
      </c>
      <c r="AN6">
        <f t="shared" si="6"/>
        <v>21</v>
      </c>
      <c r="AO6">
        <f t="shared" si="7"/>
        <v>21</v>
      </c>
      <c r="AQ6" s="5">
        <f t="shared" si="8"/>
        <v>9</v>
      </c>
      <c r="AR6" s="5">
        <f t="shared" si="9"/>
        <v>0</v>
      </c>
      <c r="AS6" s="5">
        <f t="shared" si="10"/>
        <v>0</v>
      </c>
      <c r="AT6" s="5">
        <f t="shared" si="11"/>
        <v>1</v>
      </c>
    </row>
    <row r="7" spans="1:47">
      <c r="A7" s="7" t="s">
        <v>35</v>
      </c>
      <c r="B7" s="5" t="s">
        <v>26</v>
      </c>
      <c r="C7" s="34" t="s">
        <v>40</v>
      </c>
      <c r="D7" s="9" t="s">
        <v>147</v>
      </c>
      <c r="E7" s="9">
        <v>450</v>
      </c>
      <c r="F7" s="9" t="s">
        <v>148</v>
      </c>
      <c r="G7" s="9">
        <v>13</v>
      </c>
      <c r="H7" s="9" t="s">
        <v>148</v>
      </c>
      <c r="I7" s="9" t="s">
        <v>148</v>
      </c>
      <c r="J7" s="9" t="s">
        <v>147</v>
      </c>
      <c r="K7" s="9" t="s">
        <v>147</v>
      </c>
      <c r="L7" s="9">
        <v>16</v>
      </c>
      <c r="M7" s="9" t="s">
        <v>148</v>
      </c>
      <c r="N7" s="9" t="s">
        <v>148</v>
      </c>
      <c r="O7" s="9">
        <v>5</v>
      </c>
      <c r="P7" s="9">
        <v>11</v>
      </c>
      <c r="Q7" s="9" t="s">
        <v>147</v>
      </c>
      <c r="R7" s="9" t="s">
        <v>147</v>
      </c>
      <c r="S7" s="9" t="s">
        <v>148</v>
      </c>
      <c r="T7" s="9" t="s">
        <v>148</v>
      </c>
      <c r="U7" s="9" t="s">
        <v>148</v>
      </c>
      <c r="V7" s="9" t="s">
        <v>148</v>
      </c>
      <c r="W7" s="9" t="s">
        <v>148</v>
      </c>
      <c r="X7" s="9" t="s">
        <v>147</v>
      </c>
      <c r="Y7" s="9" t="s">
        <v>147</v>
      </c>
      <c r="Z7" s="9">
        <v>3</v>
      </c>
      <c r="AA7" s="9" t="s">
        <v>148</v>
      </c>
      <c r="AB7" s="9" t="s">
        <v>148</v>
      </c>
      <c r="AC7" s="9" t="s">
        <v>148</v>
      </c>
      <c r="AD7" s="9" t="s">
        <v>148</v>
      </c>
      <c r="AE7" s="9" t="s">
        <v>147</v>
      </c>
      <c r="AF7" s="9" t="s">
        <v>147</v>
      </c>
      <c r="AG7" s="9" t="s">
        <v>148</v>
      </c>
      <c r="AH7" s="16">
        <v>48</v>
      </c>
      <c r="AI7" s="5">
        <f t="shared" si="0"/>
        <v>450</v>
      </c>
      <c r="AJ7" s="16">
        <f t="shared" si="2"/>
        <v>498</v>
      </c>
      <c r="AK7">
        <f t="shared" si="3"/>
        <v>9450</v>
      </c>
      <c r="AL7">
        <f t="shared" si="4"/>
        <v>8952</v>
      </c>
      <c r="AM7">
        <f t="shared" si="5"/>
        <v>0.94730158730158731</v>
      </c>
      <c r="AN7">
        <f t="shared" si="6"/>
        <v>21</v>
      </c>
      <c r="AO7">
        <f t="shared" si="7"/>
        <v>21</v>
      </c>
      <c r="AQ7" s="5">
        <f t="shared" si="8"/>
        <v>9</v>
      </c>
      <c r="AR7" s="5">
        <f t="shared" si="9"/>
        <v>0</v>
      </c>
      <c r="AS7" s="5">
        <f t="shared" si="10"/>
        <v>0</v>
      </c>
      <c r="AT7" s="5">
        <f t="shared" si="11"/>
        <v>1</v>
      </c>
    </row>
    <row r="8" spans="1:47">
      <c r="A8" s="5" t="s">
        <v>39</v>
      </c>
      <c r="B8" s="5" t="s">
        <v>37</v>
      </c>
      <c r="C8" s="5" t="s">
        <v>40</v>
      </c>
      <c r="D8" s="9" t="s">
        <v>148</v>
      </c>
      <c r="E8" s="9">
        <v>1</v>
      </c>
      <c r="F8" s="9">
        <v>1</v>
      </c>
      <c r="G8" s="9" t="s">
        <v>148</v>
      </c>
      <c r="H8" s="9" t="s">
        <v>148</v>
      </c>
      <c r="I8" s="9" t="s">
        <v>147</v>
      </c>
      <c r="J8" s="9" t="s">
        <v>147</v>
      </c>
      <c r="K8" s="9" t="s">
        <v>148</v>
      </c>
      <c r="L8" s="9" t="s">
        <v>148</v>
      </c>
      <c r="M8" s="9" t="s">
        <v>148</v>
      </c>
      <c r="N8" s="9" t="s">
        <v>148</v>
      </c>
      <c r="O8" s="9" t="s">
        <v>148</v>
      </c>
      <c r="P8" s="9" t="s">
        <v>147</v>
      </c>
      <c r="Q8" s="9" t="s">
        <v>147</v>
      </c>
      <c r="R8" s="9" t="s">
        <v>14</v>
      </c>
      <c r="S8" s="9" t="s">
        <v>148</v>
      </c>
      <c r="T8" s="9">
        <v>8</v>
      </c>
      <c r="U8" s="9">
        <v>1</v>
      </c>
      <c r="V8" s="9" t="s">
        <v>148</v>
      </c>
      <c r="W8" s="9" t="s">
        <v>147</v>
      </c>
      <c r="X8" s="9" t="s">
        <v>147</v>
      </c>
      <c r="Y8" s="9" t="s">
        <v>148</v>
      </c>
      <c r="Z8" s="47">
        <v>6</v>
      </c>
      <c r="AA8" s="47" t="s">
        <v>148</v>
      </c>
      <c r="AB8" s="47" t="s">
        <v>148</v>
      </c>
      <c r="AC8" s="47" t="s">
        <v>148</v>
      </c>
      <c r="AD8" s="47" t="s">
        <v>147</v>
      </c>
      <c r="AE8" s="9" t="s">
        <v>147</v>
      </c>
      <c r="AF8" s="9" t="s">
        <v>148</v>
      </c>
      <c r="AG8" s="9">
        <v>3</v>
      </c>
      <c r="AH8" s="16">
        <f t="shared" si="1"/>
        <v>20</v>
      </c>
      <c r="AI8" s="5">
        <f t="shared" si="0"/>
        <v>0</v>
      </c>
      <c r="AJ8" s="16">
        <f t="shared" si="2"/>
        <v>20</v>
      </c>
      <c r="AK8">
        <f t="shared" si="3"/>
        <v>9450</v>
      </c>
      <c r="AL8">
        <f t="shared" si="4"/>
        <v>9430</v>
      </c>
      <c r="AM8">
        <f t="shared" si="5"/>
        <v>0.99788359788359793</v>
      </c>
      <c r="AN8">
        <f t="shared" si="6"/>
        <v>21</v>
      </c>
      <c r="AO8">
        <f t="shared" si="7"/>
        <v>22</v>
      </c>
      <c r="AQ8" s="5">
        <f t="shared" si="8"/>
        <v>8</v>
      </c>
      <c r="AR8" s="5">
        <f t="shared" si="9"/>
        <v>0</v>
      </c>
      <c r="AS8" s="5">
        <f t="shared" si="10"/>
        <v>1</v>
      </c>
      <c r="AT8" s="5">
        <f t="shared" si="11"/>
        <v>0</v>
      </c>
    </row>
    <row r="9" spans="1:47">
      <c r="A9" s="5" t="s">
        <v>41</v>
      </c>
      <c r="B9" s="5" t="s">
        <v>22</v>
      </c>
      <c r="C9" s="5" t="s">
        <v>33</v>
      </c>
      <c r="D9" s="9" t="s">
        <v>148</v>
      </c>
      <c r="E9" s="9" t="s">
        <v>148</v>
      </c>
      <c r="F9" s="9" t="s">
        <v>148</v>
      </c>
      <c r="G9" s="9">
        <v>2</v>
      </c>
      <c r="H9" s="9" t="s">
        <v>148</v>
      </c>
      <c r="I9" s="9" t="s">
        <v>148</v>
      </c>
      <c r="J9" s="9" t="s">
        <v>147</v>
      </c>
      <c r="K9" s="9" t="s">
        <v>147</v>
      </c>
      <c r="L9" s="9">
        <v>13</v>
      </c>
      <c r="M9" s="9" t="s">
        <v>14</v>
      </c>
      <c r="N9" s="9" t="s">
        <v>148</v>
      </c>
      <c r="O9" s="9" t="s">
        <v>148</v>
      </c>
      <c r="P9" s="9" t="s">
        <v>148</v>
      </c>
      <c r="Q9" s="9" t="s">
        <v>147</v>
      </c>
      <c r="R9" s="9" t="s">
        <v>147</v>
      </c>
      <c r="S9" s="9" t="s">
        <v>148</v>
      </c>
      <c r="T9" s="9" t="s">
        <v>148</v>
      </c>
      <c r="U9" s="9" t="s">
        <v>14</v>
      </c>
      <c r="V9" s="9" t="s">
        <v>148</v>
      </c>
      <c r="W9" s="9">
        <v>7</v>
      </c>
      <c r="X9" s="9" t="s">
        <v>147</v>
      </c>
      <c r="Y9" s="9" t="s">
        <v>147</v>
      </c>
      <c r="Z9" s="9">
        <v>450</v>
      </c>
      <c r="AA9" s="9" t="s">
        <v>148</v>
      </c>
      <c r="AB9" s="9">
        <v>13</v>
      </c>
      <c r="AC9" s="9" t="s">
        <v>148</v>
      </c>
      <c r="AD9" s="9">
        <v>8</v>
      </c>
      <c r="AE9" s="9" t="s">
        <v>147</v>
      </c>
      <c r="AF9" s="9" t="s">
        <v>147</v>
      </c>
      <c r="AG9" s="9">
        <v>9</v>
      </c>
      <c r="AH9" s="16">
        <v>52</v>
      </c>
      <c r="AI9" s="5">
        <f t="shared" si="0"/>
        <v>450</v>
      </c>
      <c r="AJ9" s="16">
        <f t="shared" si="2"/>
        <v>502</v>
      </c>
      <c r="AK9">
        <f t="shared" si="3"/>
        <v>9000</v>
      </c>
      <c r="AL9">
        <f t="shared" si="4"/>
        <v>8498</v>
      </c>
      <c r="AM9">
        <f t="shared" si="5"/>
        <v>0.94422222222222219</v>
      </c>
      <c r="AN9">
        <f t="shared" si="6"/>
        <v>20</v>
      </c>
      <c r="AO9">
        <f t="shared" si="7"/>
        <v>22</v>
      </c>
      <c r="AQ9" s="5">
        <f t="shared" si="8"/>
        <v>8</v>
      </c>
      <c r="AR9" s="5">
        <f t="shared" si="9"/>
        <v>0</v>
      </c>
      <c r="AS9" s="5">
        <f t="shared" si="10"/>
        <v>2</v>
      </c>
      <c r="AT9" s="5">
        <f t="shared" si="11"/>
        <v>1</v>
      </c>
    </row>
    <row r="10" spans="1:47">
      <c r="A10" s="5" t="s">
        <v>42</v>
      </c>
      <c r="B10" s="5" t="s">
        <v>22</v>
      </c>
      <c r="C10" s="5" t="s">
        <v>25</v>
      </c>
      <c r="D10" s="9" t="s">
        <v>148</v>
      </c>
      <c r="E10" s="9">
        <v>5</v>
      </c>
      <c r="F10" s="9" t="s">
        <v>148</v>
      </c>
      <c r="G10" s="9" t="s">
        <v>148</v>
      </c>
      <c r="H10" s="9">
        <v>7</v>
      </c>
      <c r="I10" s="9">
        <v>17</v>
      </c>
      <c r="J10" s="9" t="s">
        <v>147</v>
      </c>
      <c r="K10" s="9" t="s">
        <v>147</v>
      </c>
      <c r="L10" s="9" t="s">
        <v>148</v>
      </c>
      <c r="M10" s="9">
        <v>6</v>
      </c>
      <c r="N10" s="9" t="s">
        <v>148</v>
      </c>
      <c r="O10" s="9" t="s">
        <v>148</v>
      </c>
      <c r="P10" s="9">
        <v>115</v>
      </c>
      <c r="Q10" s="9" t="s">
        <v>147</v>
      </c>
      <c r="R10" s="9" t="s">
        <v>147</v>
      </c>
      <c r="S10" s="9" t="s">
        <v>148</v>
      </c>
      <c r="T10" s="9" t="s">
        <v>148</v>
      </c>
      <c r="U10" s="9" t="s">
        <v>148</v>
      </c>
      <c r="V10" s="9" t="s">
        <v>148</v>
      </c>
      <c r="W10" s="9" t="s">
        <v>148</v>
      </c>
      <c r="X10" s="9" t="s">
        <v>147</v>
      </c>
      <c r="Y10" s="9" t="s">
        <v>147</v>
      </c>
      <c r="Z10" s="9" t="s">
        <v>148</v>
      </c>
      <c r="AA10" s="9">
        <v>4</v>
      </c>
      <c r="AB10" s="9" t="s">
        <v>148</v>
      </c>
      <c r="AC10" s="9" t="s">
        <v>148</v>
      </c>
      <c r="AD10" s="9" t="s">
        <v>148</v>
      </c>
      <c r="AE10" s="9" t="s">
        <v>147</v>
      </c>
      <c r="AF10" s="9" t="s">
        <v>147</v>
      </c>
      <c r="AG10" s="9" t="s">
        <v>148</v>
      </c>
      <c r="AH10" s="16">
        <f t="shared" si="1"/>
        <v>154</v>
      </c>
      <c r="AI10" s="5">
        <f t="shared" si="0"/>
        <v>0</v>
      </c>
      <c r="AJ10" s="16">
        <f t="shared" si="2"/>
        <v>154</v>
      </c>
      <c r="AK10">
        <f t="shared" si="3"/>
        <v>9900</v>
      </c>
      <c r="AL10">
        <f t="shared" si="4"/>
        <v>9746</v>
      </c>
      <c r="AM10">
        <f t="shared" si="5"/>
        <v>0.98444444444444446</v>
      </c>
      <c r="AN10">
        <f t="shared" si="6"/>
        <v>22</v>
      </c>
      <c r="AO10">
        <f t="shared" si="7"/>
        <v>22</v>
      </c>
      <c r="AQ10" s="5">
        <f t="shared" si="8"/>
        <v>8</v>
      </c>
      <c r="AR10" s="5">
        <f t="shared" si="9"/>
        <v>0</v>
      </c>
      <c r="AS10" s="5">
        <f t="shared" si="10"/>
        <v>0</v>
      </c>
      <c r="AT10" s="5">
        <f t="shared" si="11"/>
        <v>0</v>
      </c>
    </row>
    <row r="11" spans="1:47">
      <c r="A11" s="5" t="s">
        <v>43</v>
      </c>
      <c r="B11" s="5" t="s">
        <v>22</v>
      </c>
      <c r="C11" s="5" t="s">
        <v>25</v>
      </c>
      <c r="D11" s="9" t="s">
        <v>148</v>
      </c>
      <c r="E11" s="9" t="s">
        <v>148</v>
      </c>
      <c r="F11" s="9" t="s">
        <v>148</v>
      </c>
      <c r="G11" s="9" t="s">
        <v>148</v>
      </c>
      <c r="H11" s="9" t="s">
        <v>148</v>
      </c>
      <c r="I11" s="9" t="s">
        <v>148</v>
      </c>
      <c r="J11" s="9" t="s">
        <v>147</v>
      </c>
      <c r="K11" s="9" t="s">
        <v>147</v>
      </c>
      <c r="L11" s="9" t="s">
        <v>148</v>
      </c>
      <c r="M11" s="9" t="s">
        <v>148</v>
      </c>
      <c r="N11" s="9" t="s">
        <v>148</v>
      </c>
      <c r="O11" s="9" t="s">
        <v>148</v>
      </c>
      <c r="P11" s="9" t="s">
        <v>148</v>
      </c>
      <c r="Q11" s="9" t="s">
        <v>147</v>
      </c>
      <c r="R11" s="9" t="s">
        <v>147</v>
      </c>
      <c r="S11" s="9" t="s">
        <v>148</v>
      </c>
      <c r="T11" s="9" t="s">
        <v>148</v>
      </c>
      <c r="U11" s="9">
        <v>1</v>
      </c>
      <c r="V11" s="9" t="s">
        <v>148</v>
      </c>
      <c r="W11" s="9" t="s">
        <v>148</v>
      </c>
      <c r="X11" s="9" t="s">
        <v>147</v>
      </c>
      <c r="Y11" s="9" t="s">
        <v>147</v>
      </c>
      <c r="Z11" s="9">
        <v>3</v>
      </c>
      <c r="AA11" s="9" t="s">
        <v>148</v>
      </c>
      <c r="AB11" s="9" t="s">
        <v>148</v>
      </c>
      <c r="AC11" s="9" t="s">
        <v>148</v>
      </c>
      <c r="AD11" s="9" t="s">
        <v>148</v>
      </c>
      <c r="AE11" s="9" t="s">
        <v>147</v>
      </c>
      <c r="AF11" s="9" t="s">
        <v>147</v>
      </c>
      <c r="AG11" s="9" t="s">
        <v>148</v>
      </c>
      <c r="AH11" s="16">
        <f t="shared" si="1"/>
        <v>4</v>
      </c>
      <c r="AI11" s="5">
        <f t="shared" si="0"/>
        <v>0</v>
      </c>
      <c r="AJ11" s="16">
        <f t="shared" si="2"/>
        <v>4</v>
      </c>
      <c r="AK11">
        <f t="shared" si="3"/>
        <v>9900</v>
      </c>
      <c r="AL11">
        <f t="shared" si="4"/>
        <v>9896</v>
      </c>
      <c r="AM11">
        <f t="shared" si="5"/>
        <v>0.99959595959595959</v>
      </c>
      <c r="AN11">
        <f t="shared" si="6"/>
        <v>22</v>
      </c>
      <c r="AO11">
        <f t="shared" si="7"/>
        <v>22</v>
      </c>
      <c r="AQ11" s="5">
        <f t="shared" si="8"/>
        <v>8</v>
      </c>
      <c r="AR11" s="5">
        <f t="shared" si="9"/>
        <v>0</v>
      </c>
      <c r="AS11" s="5">
        <f t="shared" si="10"/>
        <v>0</v>
      </c>
      <c r="AT11" s="5">
        <f t="shared" si="11"/>
        <v>0</v>
      </c>
    </row>
    <row r="12" spans="1:47">
      <c r="A12" s="5" t="s">
        <v>44</v>
      </c>
      <c r="B12" s="5" t="s">
        <v>37</v>
      </c>
      <c r="C12" s="5" t="s">
        <v>40</v>
      </c>
      <c r="D12" s="9" t="s">
        <v>147</v>
      </c>
      <c r="E12" s="9" t="s">
        <v>147</v>
      </c>
      <c r="F12" s="9" t="s">
        <v>148</v>
      </c>
      <c r="G12" s="9" t="s">
        <v>148</v>
      </c>
      <c r="H12" s="9" t="s">
        <v>148</v>
      </c>
      <c r="I12" s="9" t="s">
        <v>148</v>
      </c>
      <c r="J12" s="9" t="s">
        <v>148</v>
      </c>
      <c r="K12" s="9" t="s">
        <v>147</v>
      </c>
      <c r="L12" s="9" t="s">
        <v>147</v>
      </c>
      <c r="M12" s="9" t="s">
        <v>148</v>
      </c>
      <c r="N12" s="9" t="s">
        <v>148</v>
      </c>
      <c r="O12" s="9" t="s">
        <v>148</v>
      </c>
      <c r="P12" s="9" t="s">
        <v>148</v>
      </c>
      <c r="Q12" s="9" t="s">
        <v>148</v>
      </c>
      <c r="R12" s="9" t="s">
        <v>148</v>
      </c>
      <c r="S12" s="9" t="s">
        <v>148</v>
      </c>
      <c r="T12" s="9" t="s">
        <v>148</v>
      </c>
      <c r="U12" s="9">
        <v>19</v>
      </c>
      <c r="V12" s="9" t="s">
        <v>148</v>
      </c>
      <c r="W12" s="9" t="s">
        <v>148</v>
      </c>
      <c r="X12" s="9">
        <v>1</v>
      </c>
      <c r="Y12" s="9" t="s">
        <v>147</v>
      </c>
      <c r="Z12" s="9" t="s">
        <v>147</v>
      </c>
      <c r="AA12" s="9" t="s">
        <v>148</v>
      </c>
      <c r="AB12" s="9" t="s">
        <v>148</v>
      </c>
      <c r="AC12" s="9" t="s">
        <v>148</v>
      </c>
      <c r="AD12" s="9" t="s">
        <v>148</v>
      </c>
      <c r="AE12" s="9" t="s">
        <v>148</v>
      </c>
      <c r="AF12" s="9" t="s">
        <v>147</v>
      </c>
      <c r="AG12" s="9" t="s">
        <v>147</v>
      </c>
      <c r="AH12" s="16">
        <f t="shared" si="1"/>
        <v>20</v>
      </c>
      <c r="AI12" s="5">
        <f t="shared" si="0"/>
        <v>0</v>
      </c>
      <c r="AJ12" s="16">
        <f t="shared" si="2"/>
        <v>20</v>
      </c>
      <c r="AK12">
        <f t="shared" si="3"/>
        <v>10350</v>
      </c>
      <c r="AL12">
        <f t="shared" si="4"/>
        <v>10330</v>
      </c>
      <c r="AM12">
        <f t="shared" si="5"/>
        <v>0.99806763285024158</v>
      </c>
      <c r="AN12">
        <f t="shared" si="6"/>
        <v>23</v>
      </c>
      <c r="AO12">
        <f t="shared" si="7"/>
        <v>23</v>
      </c>
      <c r="AQ12" s="5">
        <f t="shared" si="8"/>
        <v>7</v>
      </c>
      <c r="AR12" s="5">
        <f t="shared" si="9"/>
        <v>0</v>
      </c>
      <c r="AS12" s="5">
        <f t="shared" si="10"/>
        <v>0</v>
      </c>
      <c r="AT12" s="5">
        <f t="shared" si="11"/>
        <v>0</v>
      </c>
    </row>
    <row r="13" spans="1:47">
      <c r="A13" s="7" t="s">
        <v>45</v>
      </c>
      <c r="B13" s="5" t="s">
        <v>26</v>
      </c>
      <c r="C13" s="34" t="s">
        <v>30</v>
      </c>
      <c r="D13" s="9" t="s">
        <v>148</v>
      </c>
      <c r="E13" s="9" t="s">
        <v>148</v>
      </c>
      <c r="F13" s="9">
        <v>6</v>
      </c>
      <c r="G13" s="9" t="s">
        <v>147</v>
      </c>
      <c r="H13" s="9" t="s">
        <v>147</v>
      </c>
      <c r="I13" s="9" t="s">
        <v>148</v>
      </c>
      <c r="J13" s="9" t="s">
        <v>148</v>
      </c>
      <c r="K13" s="9" t="s">
        <v>148</v>
      </c>
      <c r="L13" s="9" t="s">
        <v>148</v>
      </c>
      <c r="M13" s="9" t="s">
        <v>148</v>
      </c>
      <c r="N13" s="9" t="s">
        <v>147</v>
      </c>
      <c r="O13" s="9" t="s">
        <v>147</v>
      </c>
      <c r="P13" s="9" t="s">
        <v>148</v>
      </c>
      <c r="Q13" s="9" t="s">
        <v>148</v>
      </c>
      <c r="R13" s="9" t="s">
        <v>148</v>
      </c>
      <c r="S13" s="9" t="s">
        <v>148</v>
      </c>
      <c r="T13" s="9" t="s">
        <v>148</v>
      </c>
      <c r="U13" s="9" t="s">
        <v>147</v>
      </c>
      <c r="V13" s="9" t="s">
        <v>147</v>
      </c>
      <c r="W13" s="9" t="s">
        <v>148</v>
      </c>
      <c r="X13" s="9" t="s">
        <v>148</v>
      </c>
      <c r="Y13" s="9" t="s">
        <v>148</v>
      </c>
      <c r="Z13" s="9" t="s">
        <v>148</v>
      </c>
      <c r="AA13" s="9" t="s">
        <v>148</v>
      </c>
      <c r="AB13" s="9" t="s">
        <v>147</v>
      </c>
      <c r="AC13" s="9" t="s">
        <v>147</v>
      </c>
      <c r="AD13" s="9" t="s">
        <v>148</v>
      </c>
      <c r="AE13" s="9" t="s">
        <v>148</v>
      </c>
      <c r="AF13" s="9" t="s">
        <v>148</v>
      </c>
      <c r="AG13" s="9" t="s">
        <v>14</v>
      </c>
      <c r="AH13" s="16">
        <f t="shared" si="1"/>
        <v>6</v>
      </c>
      <c r="AI13" s="5">
        <f t="shared" si="0"/>
        <v>0</v>
      </c>
      <c r="AJ13" s="16">
        <f t="shared" si="2"/>
        <v>6</v>
      </c>
      <c r="AK13">
        <f t="shared" si="3"/>
        <v>9450</v>
      </c>
      <c r="AL13">
        <f t="shared" si="4"/>
        <v>9444</v>
      </c>
      <c r="AM13">
        <f t="shared" si="5"/>
        <v>0.99936507936507935</v>
      </c>
      <c r="AN13">
        <f t="shared" si="6"/>
        <v>21</v>
      </c>
      <c r="AO13">
        <f t="shared" si="7"/>
        <v>22</v>
      </c>
      <c r="AQ13" s="5">
        <f t="shared" si="8"/>
        <v>8</v>
      </c>
      <c r="AR13" s="5">
        <f t="shared" si="9"/>
        <v>0</v>
      </c>
      <c r="AS13" s="5">
        <f t="shared" si="10"/>
        <v>1</v>
      </c>
      <c r="AT13" s="5">
        <f t="shared" si="11"/>
        <v>0</v>
      </c>
    </row>
    <row r="14" spans="1:47">
      <c r="A14" s="7" t="s">
        <v>47</v>
      </c>
      <c r="B14" s="5" t="s">
        <v>26</v>
      </c>
      <c r="C14" s="34" t="s">
        <v>33</v>
      </c>
      <c r="D14" s="9" t="s">
        <v>147</v>
      </c>
      <c r="E14" s="9">
        <v>450</v>
      </c>
      <c r="F14" s="9" t="s">
        <v>148</v>
      </c>
      <c r="G14" s="9" t="s">
        <v>148</v>
      </c>
      <c r="H14" s="9" t="s">
        <v>148</v>
      </c>
      <c r="I14" s="9" t="s">
        <v>148</v>
      </c>
      <c r="J14" s="9" t="s">
        <v>147</v>
      </c>
      <c r="K14" s="9" t="s">
        <v>147</v>
      </c>
      <c r="L14" s="9">
        <v>16</v>
      </c>
      <c r="M14" s="9" t="s">
        <v>148</v>
      </c>
      <c r="N14" s="9">
        <v>26</v>
      </c>
      <c r="O14" s="9" t="s">
        <v>148</v>
      </c>
      <c r="P14" s="9">
        <v>6</v>
      </c>
      <c r="Q14" s="9" t="s">
        <v>147</v>
      </c>
      <c r="R14" s="9" t="s">
        <v>147</v>
      </c>
      <c r="S14" s="9" t="s">
        <v>148</v>
      </c>
      <c r="T14" s="9" t="s">
        <v>14</v>
      </c>
      <c r="U14" s="9">
        <v>6</v>
      </c>
      <c r="V14" s="9">
        <v>9</v>
      </c>
      <c r="W14" s="9" t="s">
        <v>148</v>
      </c>
      <c r="X14" s="9" t="s">
        <v>147</v>
      </c>
      <c r="Y14" s="9" t="s">
        <v>147</v>
      </c>
      <c r="Z14" s="9" t="s">
        <v>148</v>
      </c>
      <c r="AA14" s="9" t="s">
        <v>148</v>
      </c>
      <c r="AB14" s="9">
        <v>5</v>
      </c>
      <c r="AC14" s="9" t="s">
        <v>148</v>
      </c>
      <c r="AD14" s="9">
        <v>1</v>
      </c>
      <c r="AE14" s="9" t="s">
        <v>147</v>
      </c>
      <c r="AF14" s="9" t="s">
        <v>147</v>
      </c>
      <c r="AG14" s="9">
        <v>18</v>
      </c>
      <c r="AH14" s="16">
        <v>87</v>
      </c>
      <c r="AI14" s="5">
        <f t="shared" si="0"/>
        <v>450</v>
      </c>
      <c r="AJ14" s="16">
        <f t="shared" si="2"/>
        <v>537</v>
      </c>
      <c r="AK14">
        <f t="shared" si="3"/>
        <v>9000</v>
      </c>
      <c r="AL14">
        <f t="shared" si="4"/>
        <v>8463</v>
      </c>
      <c r="AM14">
        <f t="shared" si="5"/>
        <v>0.94033333333333335</v>
      </c>
      <c r="AN14">
        <f t="shared" si="6"/>
        <v>20</v>
      </c>
      <c r="AO14">
        <f t="shared" si="7"/>
        <v>21</v>
      </c>
      <c r="AQ14" s="5">
        <f t="shared" si="8"/>
        <v>9</v>
      </c>
      <c r="AR14" s="5">
        <f t="shared" si="9"/>
        <v>0</v>
      </c>
      <c r="AS14" s="5">
        <f t="shared" si="10"/>
        <v>1</v>
      </c>
      <c r="AT14" s="5">
        <f t="shared" si="11"/>
        <v>1</v>
      </c>
    </row>
    <row r="15" spans="1:47">
      <c r="A15" s="7" t="s">
        <v>49</v>
      </c>
      <c r="B15" s="5" t="s">
        <v>26</v>
      </c>
      <c r="C15" s="34" t="s">
        <v>40</v>
      </c>
      <c r="D15" s="9" t="s">
        <v>147</v>
      </c>
      <c r="E15" s="9" t="s">
        <v>148</v>
      </c>
      <c r="F15" s="9" t="s">
        <v>148</v>
      </c>
      <c r="G15" s="9">
        <v>3</v>
      </c>
      <c r="H15" s="9" t="s">
        <v>148</v>
      </c>
      <c r="I15" s="9" t="s">
        <v>148</v>
      </c>
      <c r="J15" s="9" t="s">
        <v>147</v>
      </c>
      <c r="K15" s="9" t="s">
        <v>147</v>
      </c>
      <c r="L15" s="9" t="s">
        <v>148</v>
      </c>
      <c r="M15" s="9" t="s">
        <v>148</v>
      </c>
      <c r="N15" s="9" t="s">
        <v>148</v>
      </c>
      <c r="O15" s="9" t="s">
        <v>148</v>
      </c>
      <c r="P15" s="9" t="s">
        <v>148</v>
      </c>
      <c r="Q15" s="9" t="s">
        <v>147</v>
      </c>
      <c r="R15" s="9" t="s">
        <v>147</v>
      </c>
      <c r="S15" s="9" t="s">
        <v>14</v>
      </c>
      <c r="T15" s="9" t="s">
        <v>148</v>
      </c>
      <c r="U15" s="9" t="s">
        <v>148</v>
      </c>
      <c r="V15" s="9" t="s">
        <v>148</v>
      </c>
      <c r="W15" s="9" t="s">
        <v>148</v>
      </c>
      <c r="X15" s="9" t="s">
        <v>147</v>
      </c>
      <c r="Y15" s="9" t="s">
        <v>147</v>
      </c>
      <c r="Z15" s="9" t="s">
        <v>148</v>
      </c>
      <c r="AA15" s="9" t="s">
        <v>148</v>
      </c>
      <c r="AB15" s="9" t="s">
        <v>148</v>
      </c>
      <c r="AC15" s="9" t="s">
        <v>148</v>
      </c>
      <c r="AD15" s="9" t="s">
        <v>148</v>
      </c>
      <c r="AE15" s="9" t="s">
        <v>147</v>
      </c>
      <c r="AF15" s="9" t="s">
        <v>147</v>
      </c>
      <c r="AG15" s="9" t="s">
        <v>148</v>
      </c>
      <c r="AH15" s="16">
        <f t="shared" si="1"/>
        <v>3</v>
      </c>
      <c r="AI15" s="5">
        <f t="shared" si="0"/>
        <v>0</v>
      </c>
      <c r="AJ15" s="16">
        <f t="shared" si="2"/>
        <v>3</v>
      </c>
      <c r="AK15">
        <f t="shared" si="3"/>
        <v>9000</v>
      </c>
      <c r="AL15">
        <f t="shared" si="4"/>
        <v>8997</v>
      </c>
      <c r="AM15">
        <f t="shared" si="5"/>
        <v>0.9996666666666667</v>
      </c>
      <c r="AN15">
        <f t="shared" si="6"/>
        <v>20</v>
      </c>
      <c r="AO15">
        <f t="shared" si="7"/>
        <v>21</v>
      </c>
      <c r="AQ15" s="5">
        <f t="shared" si="8"/>
        <v>9</v>
      </c>
      <c r="AR15" s="5">
        <f t="shared" si="9"/>
        <v>0</v>
      </c>
      <c r="AS15" s="5">
        <f t="shared" si="10"/>
        <v>1</v>
      </c>
      <c r="AT15" s="5">
        <f t="shared" si="11"/>
        <v>0</v>
      </c>
    </row>
    <row r="16" spans="1:47">
      <c r="A16" s="7" t="s">
        <v>51</v>
      </c>
      <c r="B16" s="5" t="s">
        <v>26</v>
      </c>
      <c r="C16" s="34" t="s">
        <v>25</v>
      </c>
      <c r="D16" s="9" t="s">
        <v>147</v>
      </c>
      <c r="E16" s="9">
        <v>5</v>
      </c>
      <c r="F16" s="9" t="s">
        <v>148</v>
      </c>
      <c r="G16" s="9" t="s">
        <v>148</v>
      </c>
      <c r="H16" s="9" t="s">
        <v>148</v>
      </c>
      <c r="I16" s="9" t="s">
        <v>148</v>
      </c>
      <c r="J16" s="9" t="s">
        <v>147</v>
      </c>
      <c r="K16" s="9" t="s">
        <v>147</v>
      </c>
      <c r="L16" s="9">
        <v>4</v>
      </c>
      <c r="M16" s="9">
        <v>9</v>
      </c>
      <c r="N16" s="9" t="s">
        <v>148</v>
      </c>
      <c r="O16" s="9" t="s">
        <v>148</v>
      </c>
      <c r="P16" s="9">
        <v>1</v>
      </c>
      <c r="Q16" s="9" t="s">
        <v>147</v>
      </c>
      <c r="R16" s="9" t="s">
        <v>147</v>
      </c>
      <c r="S16" s="9">
        <v>4</v>
      </c>
      <c r="T16" s="9">
        <v>7</v>
      </c>
      <c r="U16" s="9" t="s">
        <v>148</v>
      </c>
      <c r="V16" s="9" t="s">
        <v>148</v>
      </c>
      <c r="W16" s="9" t="s">
        <v>148</v>
      </c>
      <c r="X16" s="9" t="s">
        <v>147</v>
      </c>
      <c r="Y16" s="9" t="s">
        <v>147</v>
      </c>
      <c r="Z16" s="9">
        <v>97</v>
      </c>
      <c r="AA16" s="9" t="s">
        <v>148</v>
      </c>
      <c r="AB16" s="9" t="s">
        <v>148</v>
      </c>
      <c r="AC16" s="9">
        <v>15</v>
      </c>
      <c r="AD16" s="9" t="s">
        <v>148</v>
      </c>
      <c r="AE16" s="9" t="s">
        <v>147</v>
      </c>
      <c r="AF16" s="9" t="s">
        <v>147</v>
      </c>
      <c r="AG16" s="9" t="s">
        <v>148</v>
      </c>
      <c r="AH16" s="16">
        <f t="shared" si="1"/>
        <v>142</v>
      </c>
      <c r="AI16" s="5">
        <f t="shared" si="0"/>
        <v>0</v>
      </c>
      <c r="AJ16" s="16">
        <f t="shared" si="2"/>
        <v>142</v>
      </c>
      <c r="AK16">
        <f t="shared" si="3"/>
        <v>9450</v>
      </c>
      <c r="AL16">
        <f t="shared" si="4"/>
        <v>9308</v>
      </c>
      <c r="AM16">
        <f t="shared" si="5"/>
        <v>0.98497354497354495</v>
      </c>
      <c r="AN16">
        <f t="shared" si="6"/>
        <v>21</v>
      </c>
      <c r="AO16">
        <f t="shared" si="7"/>
        <v>21</v>
      </c>
      <c r="AQ16" s="5">
        <f t="shared" si="8"/>
        <v>9</v>
      </c>
      <c r="AR16" s="5">
        <f t="shared" si="9"/>
        <v>0</v>
      </c>
      <c r="AS16" s="5">
        <f t="shared" si="10"/>
        <v>0</v>
      </c>
      <c r="AT16" s="5">
        <f t="shared" si="11"/>
        <v>0</v>
      </c>
    </row>
    <row r="17" spans="1:46">
      <c r="A17" s="5" t="s">
        <v>52</v>
      </c>
      <c r="B17" s="5" t="s">
        <v>37</v>
      </c>
      <c r="C17" s="5" t="s">
        <v>40</v>
      </c>
      <c r="D17" s="9">
        <v>5</v>
      </c>
      <c r="E17" s="9" t="s">
        <v>148</v>
      </c>
      <c r="F17" s="9" t="s">
        <v>148</v>
      </c>
      <c r="G17" s="9" t="s">
        <v>148</v>
      </c>
      <c r="H17" s="9" t="s">
        <v>148</v>
      </c>
      <c r="I17" s="9" t="s">
        <v>147</v>
      </c>
      <c r="J17" s="9" t="s">
        <v>147</v>
      </c>
      <c r="K17" s="9" t="s">
        <v>148</v>
      </c>
      <c r="L17" s="9" t="s">
        <v>148</v>
      </c>
      <c r="M17" s="9" t="s">
        <v>148</v>
      </c>
      <c r="N17" s="9" t="s">
        <v>148</v>
      </c>
      <c r="O17" s="9" t="s">
        <v>148</v>
      </c>
      <c r="P17" s="9" t="s">
        <v>147</v>
      </c>
      <c r="Q17" s="9" t="s">
        <v>147</v>
      </c>
      <c r="R17" s="9" t="s">
        <v>148</v>
      </c>
      <c r="S17" s="9">
        <v>8</v>
      </c>
      <c r="T17" s="9" t="s">
        <v>148</v>
      </c>
      <c r="U17" s="9">
        <v>20</v>
      </c>
      <c r="V17" s="9" t="s">
        <v>148</v>
      </c>
      <c r="W17" s="9" t="s">
        <v>147</v>
      </c>
      <c r="X17" s="9" t="s">
        <v>147</v>
      </c>
      <c r="Y17" s="9">
        <v>56</v>
      </c>
      <c r="Z17" s="9" t="s">
        <v>148</v>
      </c>
      <c r="AA17" s="9" t="s">
        <v>148</v>
      </c>
      <c r="AB17" s="9" t="s">
        <v>148</v>
      </c>
      <c r="AC17" s="9" t="s">
        <v>148</v>
      </c>
      <c r="AD17" s="9" t="s">
        <v>147</v>
      </c>
      <c r="AE17" s="9" t="s">
        <v>147</v>
      </c>
      <c r="AF17" s="9" t="s">
        <v>148</v>
      </c>
      <c r="AG17" s="9">
        <v>1</v>
      </c>
      <c r="AH17" s="16">
        <f t="shared" si="1"/>
        <v>90</v>
      </c>
      <c r="AI17" s="5">
        <f t="shared" si="0"/>
        <v>0</v>
      </c>
      <c r="AJ17" s="16">
        <f t="shared" si="2"/>
        <v>90</v>
      </c>
      <c r="AK17">
        <f t="shared" si="3"/>
        <v>9900</v>
      </c>
      <c r="AL17">
        <f t="shared" si="4"/>
        <v>9810</v>
      </c>
      <c r="AM17">
        <f t="shared" si="5"/>
        <v>0.99090909090909096</v>
      </c>
      <c r="AN17">
        <f t="shared" si="6"/>
        <v>22</v>
      </c>
      <c r="AO17">
        <f t="shared" si="7"/>
        <v>22</v>
      </c>
      <c r="AQ17" s="5">
        <f t="shared" si="8"/>
        <v>8</v>
      </c>
      <c r="AR17" s="5">
        <f t="shared" si="9"/>
        <v>0</v>
      </c>
      <c r="AS17" s="5">
        <f t="shared" si="10"/>
        <v>0</v>
      </c>
      <c r="AT17" s="5">
        <f t="shared" si="11"/>
        <v>0</v>
      </c>
    </row>
    <row r="18" spans="1:46">
      <c r="A18" s="7" t="s">
        <v>53</v>
      </c>
      <c r="B18" s="5" t="s">
        <v>26</v>
      </c>
      <c r="C18" s="34" t="s">
        <v>25</v>
      </c>
      <c r="D18" s="9" t="s">
        <v>147</v>
      </c>
      <c r="E18" s="9" t="s">
        <v>148</v>
      </c>
      <c r="F18" s="9" t="s">
        <v>148</v>
      </c>
      <c r="G18" s="9">
        <v>8</v>
      </c>
      <c r="H18" s="9">
        <v>6</v>
      </c>
      <c r="I18" s="9" t="s">
        <v>148</v>
      </c>
      <c r="J18" s="9" t="s">
        <v>147</v>
      </c>
      <c r="K18" s="9" t="s">
        <v>147</v>
      </c>
      <c r="L18" s="9" t="s">
        <v>148</v>
      </c>
      <c r="M18" s="9">
        <v>40</v>
      </c>
      <c r="N18" s="9">
        <v>11</v>
      </c>
      <c r="O18" s="9" t="s">
        <v>148</v>
      </c>
      <c r="P18" s="9">
        <v>83</v>
      </c>
      <c r="Q18" s="9" t="s">
        <v>147</v>
      </c>
      <c r="R18" s="9" t="s">
        <v>147</v>
      </c>
      <c r="S18" s="9" t="s">
        <v>14</v>
      </c>
      <c r="T18" s="9">
        <v>15</v>
      </c>
      <c r="U18" s="9" t="s">
        <v>148</v>
      </c>
      <c r="V18" s="9" t="s">
        <v>148</v>
      </c>
      <c r="W18" s="9">
        <v>26</v>
      </c>
      <c r="X18" s="9" t="s">
        <v>147</v>
      </c>
      <c r="Y18" s="9" t="s">
        <v>147</v>
      </c>
      <c r="Z18" s="9">
        <v>43</v>
      </c>
      <c r="AA18" s="9">
        <v>5</v>
      </c>
      <c r="AB18" s="9">
        <v>7</v>
      </c>
      <c r="AC18" s="9" t="s">
        <v>148</v>
      </c>
      <c r="AD18" s="9" t="s">
        <v>148</v>
      </c>
      <c r="AE18" s="9" t="s">
        <v>147</v>
      </c>
      <c r="AF18" s="9" t="s">
        <v>147</v>
      </c>
      <c r="AG18" s="9" t="s">
        <v>14</v>
      </c>
      <c r="AH18" s="16">
        <f t="shared" si="1"/>
        <v>244</v>
      </c>
      <c r="AI18" s="5">
        <f t="shared" si="0"/>
        <v>0</v>
      </c>
      <c r="AJ18" s="16">
        <f t="shared" si="2"/>
        <v>244</v>
      </c>
      <c r="AK18">
        <f t="shared" si="3"/>
        <v>8550</v>
      </c>
      <c r="AL18">
        <f t="shared" si="4"/>
        <v>8306</v>
      </c>
      <c r="AM18">
        <f t="shared" si="5"/>
        <v>0.97146198830409358</v>
      </c>
      <c r="AN18">
        <f t="shared" si="6"/>
        <v>19</v>
      </c>
      <c r="AO18">
        <f t="shared" si="7"/>
        <v>21</v>
      </c>
      <c r="AQ18" s="5">
        <f t="shared" si="8"/>
        <v>9</v>
      </c>
      <c r="AR18" s="5">
        <f t="shared" si="9"/>
        <v>0</v>
      </c>
      <c r="AS18" s="5">
        <f t="shared" si="10"/>
        <v>2</v>
      </c>
      <c r="AT18" s="5">
        <f t="shared" si="11"/>
        <v>0</v>
      </c>
    </row>
    <row r="19" spans="1:46">
      <c r="A19" s="5" t="s">
        <v>34</v>
      </c>
      <c r="B19" s="5" t="s">
        <v>26</v>
      </c>
      <c r="C19" s="5" t="s">
        <v>40</v>
      </c>
      <c r="D19" s="9" t="s">
        <v>147</v>
      </c>
      <c r="E19" s="9" t="s">
        <v>148</v>
      </c>
      <c r="F19" s="9" t="s">
        <v>148</v>
      </c>
      <c r="G19" s="9" t="s">
        <v>147</v>
      </c>
      <c r="H19" s="9" t="s">
        <v>147</v>
      </c>
      <c r="I19" s="9" t="s">
        <v>148</v>
      </c>
      <c r="J19" s="9" t="s">
        <v>148</v>
      </c>
      <c r="K19" s="9" t="s">
        <v>148</v>
      </c>
      <c r="L19" s="9">
        <v>2</v>
      </c>
      <c r="M19" s="9" t="s">
        <v>148</v>
      </c>
      <c r="N19" s="9" t="s">
        <v>147</v>
      </c>
      <c r="O19" s="9" t="s">
        <v>147</v>
      </c>
      <c r="P19" s="9">
        <v>450</v>
      </c>
      <c r="Q19" s="9">
        <v>450</v>
      </c>
      <c r="R19" s="9">
        <v>450</v>
      </c>
      <c r="S19" s="9" t="s">
        <v>148</v>
      </c>
      <c r="T19" s="9" t="s">
        <v>148</v>
      </c>
      <c r="U19" s="9" t="s">
        <v>147</v>
      </c>
      <c r="V19" s="9" t="s">
        <v>147</v>
      </c>
      <c r="W19" s="9" t="s">
        <v>148</v>
      </c>
      <c r="X19" s="9" t="s">
        <v>148</v>
      </c>
      <c r="Y19" s="47" t="s">
        <v>148</v>
      </c>
      <c r="Z19" s="47" t="s">
        <v>148</v>
      </c>
      <c r="AA19" s="47" t="s">
        <v>148</v>
      </c>
      <c r="AB19" s="47" t="s">
        <v>147</v>
      </c>
      <c r="AC19" s="47" t="s">
        <v>147</v>
      </c>
      <c r="AD19" s="47" t="s">
        <v>148</v>
      </c>
      <c r="AE19" s="9" t="s">
        <v>148</v>
      </c>
      <c r="AF19" s="9" t="s">
        <v>148</v>
      </c>
      <c r="AG19" s="9" t="s">
        <v>148</v>
      </c>
      <c r="AH19" s="16">
        <v>2</v>
      </c>
      <c r="AI19" s="5">
        <f t="shared" si="0"/>
        <v>1350</v>
      </c>
      <c r="AJ19" s="16">
        <f t="shared" si="2"/>
        <v>1352</v>
      </c>
      <c r="AK19">
        <f t="shared" si="3"/>
        <v>9450</v>
      </c>
      <c r="AL19">
        <f t="shared" si="4"/>
        <v>8098</v>
      </c>
      <c r="AM19">
        <f t="shared" si="5"/>
        <v>0.85693121693121688</v>
      </c>
      <c r="AN19">
        <f t="shared" si="6"/>
        <v>21</v>
      </c>
      <c r="AO19">
        <f t="shared" si="7"/>
        <v>21</v>
      </c>
      <c r="AQ19" s="5">
        <f t="shared" si="8"/>
        <v>9</v>
      </c>
      <c r="AR19" s="5">
        <f t="shared" si="9"/>
        <v>0</v>
      </c>
      <c r="AS19" s="5">
        <f t="shared" si="10"/>
        <v>0</v>
      </c>
      <c r="AT19" s="5">
        <f t="shared" si="11"/>
        <v>3</v>
      </c>
    </row>
    <row r="20" spans="1:46">
      <c r="A20" s="5" t="s">
        <v>55</v>
      </c>
      <c r="B20" s="5" t="s">
        <v>22</v>
      </c>
      <c r="C20" s="5" t="s">
        <v>56</v>
      </c>
      <c r="D20" s="9" t="s">
        <v>148</v>
      </c>
      <c r="E20" s="9" t="s">
        <v>148</v>
      </c>
      <c r="F20" s="9" t="s">
        <v>148</v>
      </c>
      <c r="G20" s="9" t="s">
        <v>148</v>
      </c>
      <c r="H20" s="9" t="s">
        <v>148</v>
      </c>
      <c r="I20" s="9" t="s">
        <v>148</v>
      </c>
      <c r="J20" s="9" t="s">
        <v>147</v>
      </c>
      <c r="K20" s="9" t="s">
        <v>147</v>
      </c>
      <c r="L20" s="9" t="s">
        <v>148</v>
      </c>
      <c r="M20" s="9" t="s">
        <v>148</v>
      </c>
      <c r="N20" s="9" t="s">
        <v>148</v>
      </c>
      <c r="O20" s="9" t="s">
        <v>148</v>
      </c>
      <c r="P20" s="9">
        <v>450</v>
      </c>
      <c r="Q20" s="9" t="s">
        <v>147</v>
      </c>
      <c r="R20" s="9" t="s">
        <v>147</v>
      </c>
      <c r="S20" s="9" t="s">
        <v>14</v>
      </c>
      <c r="T20" s="9" t="s">
        <v>148</v>
      </c>
      <c r="U20" s="9" t="s">
        <v>148</v>
      </c>
      <c r="V20" s="9" t="s">
        <v>148</v>
      </c>
      <c r="W20" s="9" t="s">
        <v>148</v>
      </c>
      <c r="X20" s="9" t="s">
        <v>147</v>
      </c>
      <c r="Y20" s="9" t="s">
        <v>147</v>
      </c>
      <c r="Z20" s="9" t="s">
        <v>148</v>
      </c>
      <c r="AA20" s="9" t="s">
        <v>147</v>
      </c>
      <c r="AB20" s="9" t="s">
        <v>148</v>
      </c>
      <c r="AC20" s="9" t="s">
        <v>148</v>
      </c>
      <c r="AD20" s="9" t="s">
        <v>148</v>
      </c>
      <c r="AE20" s="9" t="s">
        <v>148</v>
      </c>
      <c r="AF20" s="9" t="s">
        <v>147</v>
      </c>
      <c r="AG20" s="9" t="s">
        <v>148</v>
      </c>
      <c r="AH20" s="16">
        <v>0</v>
      </c>
      <c r="AI20" s="5">
        <f t="shared" si="0"/>
        <v>450</v>
      </c>
      <c r="AJ20" s="16">
        <f t="shared" si="2"/>
        <v>450</v>
      </c>
      <c r="AK20">
        <f t="shared" si="3"/>
        <v>9450</v>
      </c>
      <c r="AL20">
        <f t="shared" si="4"/>
        <v>9000</v>
      </c>
      <c r="AM20">
        <f t="shared" si="5"/>
        <v>0.95238095238095233</v>
      </c>
      <c r="AN20">
        <f t="shared" si="6"/>
        <v>21</v>
      </c>
      <c r="AO20">
        <f t="shared" si="7"/>
        <v>22</v>
      </c>
      <c r="AQ20" s="5">
        <f t="shared" si="8"/>
        <v>8</v>
      </c>
      <c r="AR20" s="5">
        <f t="shared" si="9"/>
        <v>0</v>
      </c>
      <c r="AS20" s="5">
        <f t="shared" si="10"/>
        <v>1</v>
      </c>
      <c r="AT20" s="5">
        <f t="shared" si="11"/>
        <v>1</v>
      </c>
    </row>
    <row r="21" spans="1:46">
      <c r="A21" s="5" t="s">
        <v>59</v>
      </c>
      <c r="B21" s="5" t="s">
        <v>60</v>
      </c>
      <c r="C21" s="5" t="s">
        <v>40</v>
      </c>
      <c r="D21" s="9" t="s">
        <v>147</v>
      </c>
      <c r="E21" s="9">
        <v>12</v>
      </c>
      <c r="F21" s="9" t="s">
        <v>148</v>
      </c>
      <c r="G21" s="9" t="s">
        <v>148</v>
      </c>
      <c r="H21" s="9" t="s">
        <v>148</v>
      </c>
      <c r="I21" s="9" t="s">
        <v>148</v>
      </c>
      <c r="J21" s="9" t="s">
        <v>147</v>
      </c>
      <c r="K21" s="9" t="s">
        <v>147</v>
      </c>
      <c r="L21" s="9" t="s">
        <v>148</v>
      </c>
      <c r="M21" s="9" t="s">
        <v>148</v>
      </c>
      <c r="N21" s="9" t="s">
        <v>148</v>
      </c>
      <c r="O21" s="9" t="s">
        <v>148</v>
      </c>
      <c r="P21" s="9" t="s">
        <v>148</v>
      </c>
      <c r="Q21" s="9" t="s">
        <v>147</v>
      </c>
      <c r="R21" s="9" t="s">
        <v>147</v>
      </c>
      <c r="S21" s="9" t="s">
        <v>148</v>
      </c>
      <c r="T21" s="9" t="s">
        <v>148</v>
      </c>
      <c r="U21" s="9" t="s">
        <v>148</v>
      </c>
      <c r="V21" s="9" t="s">
        <v>148</v>
      </c>
      <c r="W21" s="9" t="s">
        <v>148</v>
      </c>
      <c r="X21" s="9" t="s">
        <v>147</v>
      </c>
      <c r="Y21" s="48" t="s">
        <v>147</v>
      </c>
      <c r="Z21" s="48">
        <v>4</v>
      </c>
      <c r="AA21" s="48" t="s">
        <v>148</v>
      </c>
      <c r="AB21" s="48" t="s">
        <v>148</v>
      </c>
      <c r="AC21" s="48" t="s">
        <v>148</v>
      </c>
      <c r="AD21" s="48" t="s">
        <v>148</v>
      </c>
      <c r="AE21" s="9" t="s">
        <v>147</v>
      </c>
      <c r="AF21" s="9" t="s">
        <v>147</v>
      </c>
      <c r="AG21" s="9" t="s">
        <v>148</v>
      </c>
      <c r="AH21" s="16">
        <f t="shared" si="1"/>
        <v>16</v>
      </c>
      <c r="AI21" s="5">
        <f t="shared" si="0"/>
        <v>0</v>
      </c>
      <c r="AJ21" s="16">
        <f t="shared" si="2"/>
        <v>16</v>
      </c>
      <c r="AK21">
        <f t="shared" si="3"/>
        <v>9450</v>
      </c>
      <c r="AL21">
        <f t="shared" si="4"/>
        <v>9434</v>
      </c>
      <c r="AM21">
        <f t="shared" si="5"/>
        <v>0.99830687830687825</v>
      </c>
      <c r="AN21">
        <f t="shared" si="6"/>
        <v>21</v>
      </c>
      <c r="AO21">
        <f t="shared" si="7"/>
        <v>21</v>
      </c>
      <c r="AQ21" s="5">
        <f t="shared" si="8"/>
        <v>9</v>
      </c>
      <c r="AR21" s="5">
        <f t="shared" si="9"/>
        <v>0</v>
      </c>
      <c r="AS21" s="5">
        <f t="shared" si="10"/>
        <v>0</v>
      </c>
      <c r="AT21" s="5">
        <f t="shared" si="11"/>
        <v>0</v>
      </c>
    </row>
    <row r="22" spans="1:46">
      <c r="A22" s="5" t="s">
        <v>62</v>
      </c>
      <c r="B22" s="5" t="s">
        <v>22</v>
      </c>
      <c r="C22" s="5" t="s">
        <v>63</v>
      </c>
      <c r="D22" s="9" t="s">
        <v>148</v>
      </c>
      <c r="E22" s="9">
        <v>26</v>
      </c>
      <c r="F22" s="9">
        <v>13</v>
      </c>
      <c r="G22" s="9">
        <v>143</v>
      </c>
      <c r="H22" s="9">
        <v>11</v>
      </c>
      <c r="I22" s="9" t="s">
        <v>148</v>
      </c>
      <c r="J22" s="9" t="s">
        <v>147</v>
      </c>
      <c r="K22" s="9" t="s">
        <v>147</v>
      </c>
      <c r="L22" s="9">
        <v>17</v>
      </c>
      <c r="M22" s="9">
        <v>18</v>
      </c>
      <c r="N22" s="9">
        <v>2</v>
      </c>
      <c r="O22" s="9">
        <v>3</v>
      </c>
      <c r="P22" s="9">
        <v>11</v>
      </c>
      <c r="Q22" s="9" t="s">
        <v>147</v>
      </c>
      <c r="R22" s="9" t="s">
        <v>147</v>
      </c>
      <c r="S22" s="9">
        <v>39</v>
      </c>
      <c r="T22" s="9">
        <v>1</v>
      </c>
      <c r="U22" s="9" t="s">
        <v>14</v>
      </c>
      <c r="V22" s="9">
        <v>147</v>
      </c>
      <c r="W22" s="9" t="s">
        <v>148</v>
      </c>
      <c r="X22" s="9" t="s">
        <v>147</v>
      </c>
      <c r="Y22" s="9" t="s">
        <v>147</v>
      </c>
      <c r="Z22" s="9">
        <v>5</v>
      </c>
      <c r="AA22" s="9">
        <v>3</v>
      </c>
      <c r="AB22" s="9">
        <v>6</v>
      </c>
      <c r="AC22" s="9" t="s">
        <v>148</v>
      </c>
      <c r="AD22" s="9">
        <v>2</v>
      </c>
      <c r="AE22" s="9" t="s">
        <v>147</v>
      </c>
      <c r="AF22" s="9" t="s">
        <v>147</v>
      </c>
      <c r="AG22" s="9">
        <v>3</v>
      </c>
      <c r="AH22" s="16">
        <f t="shared" si="1"/>
        <v>450</v>
      </c>
      <c r="AI22" s="5">
        <f t="shared" si="0"/>
        <v>0</v>
      </c>
      <c r="AJ22" s="16">
        <f t="shared" si="2"/>
        <v>450</v>
      </c>
      <c r="AK22">
        <f t="shared" si="3"/>
        <v>9450</v>
      </c>
      <c r="AL22">
        <f t="shared" si="4"/>
        <v>9000</v>
      </c>
      <c r="AM22">
        <f t="shared" si="5"/>
        <v>0.95238095238095233</v>
      </c>
      <c r="AN22">
        <f t="shared" si="6"/>
        <v>21</v>
      </c>
      <c r="AO22">
        <f t="shared" si="7"/>
        <v>22</v>
      </c>
      <c r="AQ22" s="5">
        <f t="shared" si="8"/>
        <v>8</v>
      </c>
      <c r="AR22" s="5">
        <f>COUNTIF(D22:AG22,"VL")</f>
        <v>0</v>
      </c>
      <c r="AS22" s="5">
        <f t="shared" si="10"/>
        <v>1</v>
      </c>
      <c r="AT22" s="5">
        <f t="shared" si="11"/>
        <v>1</v>
      </c>
    </row>
    <row r="23" spans="1:46">
      <c r="A23" s="5" t="s">
        <v>64</v>
      </c>
      <c r="B23" s="5" t="s">
        <v>22</v>
      </c>
      <c r="C23" s="5" t="s">
        <v>63</v>
      </c>
      <c r="D23" s="9" t="s">
        <v>147</v>
      </c>
      <c r="E23" s="9" t="s">
        <v>148</v>
      </c>
      <c r="F23" s="9" t="s">
        <v>148</v>
      </c>
      <c r="G23" s="9" t="s">
        <v>148</v>
      </c>
      <c r="H23" s="9" t="s">
        <v>148</v>
      </c>
      <c r="I23" s="9" t="s">
        <v>148</v>
      </c>
      <c r="J23" s="9" t="s">
        <v>147</v>
      </c>
      <c r="K23" s="9" t="s">
        <v>147</v>
      </c>
      <c r="L23" s="9">
        <v>1</v>
      </c>
      <c r="M23" s="9">
        <v>14</v>
      </c>
      <c r="N23" s="9" t="s">
        <v>148</v>
      </c>
      <c r="O23" s="9" t="s">
        <v>148</v>
      </c>
      <c r="P23" s="9" t="s">
        <v>148</v>
      </c>
      <c r="Q23" s="9" t="s">
        <v>147</v>
      </c>
      <c r="R23" s="9" t="s">
        <v>147</v>
      </c>
      <c r="S23" s="9" t="s">
        <v>148</v>
      </c>
      <c r="T23" s="9" t="s">
        <v>148</v>
      </c>
      <c r="U23" s="9">
        <v>12</v>
      </c>
      <c r="V23" s="9" t="s">
        <v>148</v>
      </c>
      <c r="W23" s="9">
        <v>1</v>
      </c>
      <c r="X23" s="9" t="s">
        <v>147</v>
      </c>
      <c r="Y23" s="9" t="s">
        <v>147</v>
      </c>
      <c r="Z23" s="9">
        <v>54</v>
      </c>
      <c r="AA23" s="9" t="s">
        <v>148</v>
      </c>
      <c r="AB23" s="9" t="s">
        <v>148</v>
      </c>
      <c r="AC23" s="9" t="s">
        <v>148</v>
      </c>
      <c r="AD23" s="9">
        <v>450</v>
      </c>
      <c r="AE23" s="9" t="s">
        <v>147</v>
      </c>
      <c r="AF23" s="9" t="s">
        <v>147</v>
      </c>
      <c r="AG23" s="9" t="s">
        <v>148</v>
      </c>
      <c r="AH23" s="16">
        <v>82</v>
      </c>
      <c r="AI23" s="5">
        <f t="shared" si="0"/>
        <v>450</v>
      </c>
      <c r="AJ23" s="16">
        <f t="shared" si="2"/>
        <v>532</v>
      </c>
      <c r="AK23">
        <f t="shared" si="3"/>
        <v>9450</v>
      </c>
      <c r="AL23">
        <f t="shared" si="4"/>
        <v>8918</v>
      </c>
      <c r="AM23">
        <f t="shared" si="5"/>
        <v>0.94370370370370371</v>
      </c>
      <c r="AN23">
        <f t="shared" si="6"/>
        <v>21</v>
      </c>
      <c r="AO23">
        <f t="shared" si="7"/>
        <v>21</v>
      </c>
      <c r="AQ23" s="5">
        <f t="shared" si="8"/>
        <v>9</v>
      </c>
      <c r="AR23" s="5">
        <f t="shared" si="9"/>
        <v>0</v>
      </c>
      <c r="AS23" s="5">
        <f t="shared" si="10"/>
        <v>0</v>
      </c>
      <c r="AT23" s="5">
        <f t="shared" si="11"/>
        <v>1</v>
      </c>
    </row>
    <row r="24" spans="1:46">
      <c r="A24" s="7" t="s">
        <v>65</v>
      </c>
      <c r="B24" s="5" t="s">
        <v>26</v>
      </c>
      <c r="C24" s="34" t="s">
        <v>56</v>
      </c>
      <c r="D24" s="9" t="s">
        <v>147</v>
      </c>
      <c r="E24" s="9" t="s">
        <v>148</v>
      </c>
      <c r="F24" s="9" t="s">
        <v>148</v>
      </c>
      <c r="G24" s="9" t="s">
        <v>148</v>
      </c>
      <c r="H24" s="9" t="s">
        <v>148</v>
      </c>
      <c r="I24" s="9" t="s">
        <v>148</v>
      </c>
      <c r="J24" s="9" t="s">
        <v>147</v>
      </c>
      <c r="K24" s="9" t="s">
        <v>147</v>
      </c>
      <c r="L24" s="9" t="s">
        <v>148</v>
      </c>
      <c r="M24" s="9" t="s">
        <v>148</v>
      </c>
      <c r="N24" s="9" t="s">
        <v>148</v>
      </c>
      <c r="O24" s="9" t="s">
        <v>148</v>
      </c>
      <c r="P24" s="9" t="s">
        <v>148</v>
      </c>
      <c r="Q24" s="9" t="s">
        <v>147</v>
      </c>
      <c r="R24" s="9" t="s">
        <v>147</v>
      </c>
      <c r="S24" s="9" t="s">
        <v>148</v>
      </c>
      <c r="T24" s="9" t="s">
        <v>148</v>
      </c>
      <c r="U24" s="9" t="s">
        <v>148</v>
      </c>
      <c r="V24" s="9" t="s">
        <v>148</v>
      </c>
      <c r="W24" s="9" t="s">
        <v>148</v>
      </c>
      <c r="X24" s="9" t="s">
        <v>147</v>
      </c>
      <c r="Y24" s="9" t="s">
        <v>147</v>
      </c>
      <c r="Z24" s="9" t="s">
        <v>148</v>
      </c>
      <c r="AA24" s="9" t="s">
        <v>148</v>
      </c>
      <c r="AB24" s="9" t="s">
        <v>148</v>
      </c>
      <c r="AC24" s="9" t="s">
        <v>148</v>
      </c>
      <c r="AD24" s="9" t="s">
        <v>148</v>
      </c>
      <c r="AE24" s="9" t="s">
        <v>147</v>
      </c>
      <c r="AF24" s="9" t="s">
        <v>147</v>
      </c>
      <c r="AG24" s="9" t="s">
        <v>148</v>
      </c>
      <c r="AH24" s="16">
        <f t="shared" si="1"/>
        <v>0</v>
      </c>
      <c r="AI24" s="5">
        <f t="shared" si="0"/>
        <v>0</v>
      </c>
      <c r="AJ24" s="16">
        <f t="shared" si="2"/>
        <v>0</v>
      </c>
      <c r="AK24">
        <f t="shared" si="3"/>
        <v>9450</v>
      </c>
      <c r="AL24">
        <f t="shared" si="4"/>
        <v>9450</v>
      </c>
      <c r="AM24">
        <f t="shared" si="5"/>
        <v>1</v>
      </c>
      <c r="AN24">
        <f t="shared" si="6"/>
        <v>21</v>
      </c>
      <c r="AO24">
        <f t="shared" si="7"/>
        <v>21</v>
      </c>
      <c r="AQ24" s="5">
        <f t="shared" si="8"/>
        <v>9</v>
      </c>
      <c r="AR24" s="5">
        <f t="shared" si="9"/>
        <v>0</v>
      </c>
      <c r="AS24" s="5">
        <f t="shared" si="10"/>
        <v>0</v>
      </c>
      <c r="AT24" s="5">
        <f t="shared" si="11"/>
        <v>0</v>
      </c>
    </row>
    <row r="25" spans="1:46">
      <c r="A25" s="5" t="s">
        <v>67</v>
      </c>
      <c r="B25" s="5" t="s">
        <v>22</v>
      </c>
      <c r="C25" s="5" t="s">
        <v>30</v>
      </c>
      <c r="D25" s="9" t="s">
        <v>148</v>
      </c>
      <c r="E25" s="9" t="s">
        <v>148</v>
      </c>
      <c r="F25" s="9" t="s">
        <v>148</v>
      </c>
      <c r="G25" s="9" t="s">
        <v>148</v>
      </c>
      <c r="H25" s="9" t="s">
        <v>148</v>
      </c>
      <c r="I25" s="9" t="s">
        <v>148</v>
      </c>
      <c r="J25" s="9" t="s">
        <v>147</v>
      </c>
      <c r="K25" s="9" t="s">
        <v>147</v>
      </c>
      <c r="L25" s="9">
        <v>9</v>
      </c>
      <c r="M25" s="9" t="s">
        <v>148</v>
      </c>
      <c r="N25" s="9" t="s">
        <v>148</v>
      </c>
      <c r="O25" s="9" t="s">
        <v>148</v>
      </c>
      <c r="P25" s="9" t="s">
        <v>148</v>
      </c>
      <c r="Q25" s="9" t="s">
        <v>147</v>
      </c>
      <c r="R25" s="9" t="s">
        <v>147</v>
      </c>
      <c r="S25" s="9" t="s">
        <v>148</v>
      </c>
      <c r="T25" s="9" t="s">
        <v>148</v>
      </c>
      <c r="U25" s="9" t="s">
        <v>148</v>
      </c>
      <c r="V25" s="9" t="s">
        <v>148</v>
      </c>
      <c r="W25" s="9" t="s">
        <v>148</v>
      </c>
      <c r="X25" s="9" t="s">
        <v>147</v>
      </c>
      <c r="Y25" s="9" t="s">
        <v>147</v>
      </c>
      <c r="Z25" s="9" t="s">
        <v>181</v>
      </c>
      <c r="AA25" s="9" t="s">
        <v>148</v>
      </c>
      <c r="AB25" s="9" t="s">
        <v>12</v>
      </c>
      <c r="AC25" s="9" t="s">
        <v>12</v>
      </c>
      <c r="AD25" s="9" t="s">
        <v>12</v>
      </c>
      <c r="AE25" s="9" t="s">
        <v>147</v>
      </c>
      <c r="AF25" s="9" t="s">
        <v>147</v>
      </c>
      <c r="AG25" s="9" t="s">
        <v>12</v>
      </c>
      <c r="AH25" s="16">
        <f t="shared" si="1"/>
        <v>9</v>
      </c>
      <c r="AI25" s="5">
        <f t="shared" si="0"/>
        <v>0</v>
      </c>
      <c r="AJ25" s="16">
        <f t="shared" si="2"/>
        <v>9</v>
      </c>
      <c r="AK25">
        <f t="shared" si="3"/>
        <v>8100</v>
      </c>
      <c r="AL25">
        <f t="shared" si="4"/>
        <v>8091</v>
      </c>
      <c r="AM25">
        <f t="shared" si="5"/>
        <v>0.99888888888888894</v>
      </c>
      <c r="AN25">
        <f t="shared" si="6"/>
        <v>18</v>
      </c>
      <c r="AO25">
        <f t="shared" si="7"/>
        <v>22</v>
      </c>
      <c r="AQ25" s="5">
        <f t="shared" si="8"/>
        <v>8</v>
      </c>
      <c r="AR25" s="5">
        <f t="shared" si="9"/>
        <v>4</v>
      </c>
      <c r="AS25" s="5">
        <f t="shared" si="10"/>
        <v>0</v>
      </c>
      <c r="AT25" s="5">
        <f t="shared" si="11"/>
        <v>0</v>
      </c>
    </row>
    <row r="26" spans="1:46">
      <c r="A26" s="7" t="s">
        <v>68</v>
      </c>
      <c r="B26" s="5" t="s">
        <v>26</v>
      </c>
      <c r="C26" s="34" t="s">
        <v>40</v>
      </c>
      <c r="D26" s="9" t="s">
        <v>147</v>
      </c>
      <c r="E26" s="9" t="s">
        <v>148</v>
      </c>
      <c r="F26" s="9" t="s">
        <v>148</v>
      </c>
      <c r="G26" s="9" t="s">
        <v>148</v>
      </c>
      <c r="H26" s="9">
        <v>34</v>
      </c>
      <c r="I26" s="9" t="s">
        <v>148</v>
      </c>
      <c r="J26" s="9" t="s">
        <v>147</v>
      </c>
      <c r="K26" s="9" t="s">
        <v>147</v>
      </c>
      <c r="L26" s="9" t="s">
        <v>148</v>
      </c>
      <c r="M26" s="9" t="s">
        <v>148</v>
      </c>
      <c r="N26" s="9" t="s">
        <v>148</v>
      </c>
      <c r="O26" s="9" t="s">
        <v>148</v>
      </c>
      <c r="P26" s="9" t="s">
        <v>12</v>
      </c>
      <c r="Q26" s="9" t="s">
        <v>147</v>
      </c>
      <c r="R26" s="9" t="s">
        <v>147</v>
      </c>
      <c r="S26" s="9" t="s">
        <v>148</v>
      </c>
      <c r="T26" s="9" t="s">
        <v>148</v>
      </c>
      <c r="U26" s="9" t="s">
        <v>148</v>
      </c>
      <c r="V26" s="9" t="s">
        <v>148</v>
      </c>
      <c r="W26" s="9" t="s">
        <v>148</v>
      </c>
      <c r="X26" s="9" t="s">
        <v>147</v>
      </c>
      <c r="Y26" s="9" t="s">
        <v>147</v>
      </c>
      <c r="Z26" s="9">
        <v>5</v>
      </c>
      <c r="AA26" s="9" t="s">
        <v>148</v>
      </c>
      <c r="AB26" s="9" t="s">
        <v>148</v>
      </c>
      <c r="AC26" s="9" t="s">
        <v>148</v>
      </c>
      <c r="AD26" s="9" t="s">
        <v>148</v>
      </c>
      <c r="AE26" s="9" t="s">
        <v>147</v>
      </c>
      <c r="AF26" s="9" t="s">
        <v>147</v>
      </c>
      <c r="AG26" s="9">
        <v>5</v>
      </c>
      <c r="AH26" s="16">
        <f t="shared" si="1"/>
        <v>44</v>
      </c>
      <c r="AI26" s="5">
        <f t="shared" si="0"/>
        <v>0</v>
      </c>
      <c r="AJ26" s="16">
        <f t="shared" si="2"/>
        <v>44</v>
      </c>
      <c r="AK26">
        <f t="shared" si="3"/>
        <v>9000</v>
      </c>
      <c r="AL26">
        <f t="shared" si="4"/>
        <v>8956</v>
      </c>
      <c r="AM26">
        <f t="shared" si="5"/>
        <v>0.99511111111111106</v>
      </c>
      <c r="AN26">
        <f t="shared" si="6"/>
        <v>20</v>
      </c>
      <c r="AO26">
        <f t="shared" si="7"/>
        <v>21</v>
      </c>
      <c r="AQ26" s="5">
        <f t="shared" si="8"/>
        <v>9</v>
      </c>
      <c r="AR26" s="5">
        <f t="shared" si="9"/>
        <v>1</v>
      </c>
      <c r="AS26" s="5">
        <f t="shared" si="10"/>
        <v>0</v>
      </c>
      <c r="AT26" s="5">
        <f t="shared" si="11"/>
        <v>0</v>
      </c>
    </row>
    <row r="27" spans="1:46">
      <c r="A27" s="5" t="s">
        <v>69</v>
      </c>
      <c r="B27" s="5" t="s">
        <v>22</v>
      </c>
      <c r="C27" s="5" t="s">
        <v>30</v>
      </c>
      <c r="D27" s="9" t="s">
        <v>147</v>
      </c>
      <c r="E27" s="9">
        <v>450</v>
      </c>
      <c r="F27" s="9">
        <v>8</v>
      </c>
      <c r="G27" s="9" t="s">
        <v>148</v>
      </c>
      <c r="H27" s="9">
        <v>3</v>
      </c>
      <c r="I27" s="9" t="s">
        <v>148</v>
      </c>
      <c r="J27" s="9" t="s">
        <v>147</v>
      </c>
      <c r="K27" s="9" t="s">
        <v>147</v>
      </c>
      <c r="L27" s="9" t="s">
        <v>148</v>
      </c>
      <c r="M27" s="9">
        <v>232</v>
      </c>
      <c r="N27" s="9">
        <v>450</v>
      </c>
      <c r="O27" s="9">
        <v>240</v>
      </c>
      <c r="P27" s="9" t="s">
        <v>148</v>
      </c>
      <c r="Q27" s="9" t="s">
        <v>147</v>
      </c>
      <c r="R27" s="9" t="s">
        <v>147</v>
      </c>
      <c r="S27" s="9">
        <v>34</v>
      </c>
      <c r="T27" s="9">
        <v>450</v>
      </c>
      <c r="U27" s="9" t="s">
        <v>148</v>
      </c>
      <c r="V27" s="9" t="s">
        <v>148</v>
      </c>
      <c r="W27" s="9">
        <v>450</v>
      </c>
      <c r="X27" s="9" t="s">
        <v>147</v>
      </c>
      <c r="Y27" s="9" t="s">
        <v>147</v>
      </c>
      <c r="Z27" s="9" t="s">
        <v>148</v>
      </c>
      <c r="AA27" s="9" t="s">
        <v>148</v>
      </c>
      <c r="AB27" s="9" t="s">
        <v>148</v>
      </c>
      <c r="AC27" s="9">
        <v>220</v>
      </c>
      <c r="AD27" s="9" t="s">
        <v>148</v>
      </c>
      <c r="AE27" s="9" t="s">
        <v>147</v>
      </c>
      <c r="AF27" s="9" t="s">
        <v>147</v>
      </c>
      <c r="AG27" s="9" t="s">
        <v>148</v>
      </c>
      <c r="AH27" s="16">
        <v>737</v>
      </c>
      <c r="AI27" s="5">
        <f t="shared" si="0"/>
        <v>1800</v>
      </c>
      <c r="AJ27" s="16">
        <f t="shared" si="2"/>
        <v>2537</v>
      </c>
      <c r="AK27">
        <f t="shared" si="3"/>
        <v>9450</v>
      </c>
      <c r="AL27">
        <f t="shared" si="4"/>
        <v>6913</v>
      </c>
      <c r="AM27">
        <f t="shared" si="5"/>
        <v>0.73153439153439148</v>
      </c>
      <c r="AN27">
        <f t="shared" si="6"/>
        <v>21</v>
      </c>
      <c r="AO27">
        <f t="shared" si="7"/>
        <v>21</v>
      </c>
      <c r="AQ27" s="5">
        <f t="shared" si="8"/>
        <v>9</v>
      </c>
      <c r="AR27" s="5">
        <f t="shared" si="9"/>
        <v>0</v>
      </c>
      <c r="AS27" s="5">
        <f t="shared" si="10"/>
        <v>0</v>
      </c>
      <c r="AT27" s="5">
        <f t="shared" si="11"/>
        <v>4</v>
      </c>
    </row>
    <row r="28" spans="1:46">
      <c r="A28" s="5" t="s">
        <v>70</v>
      </c>
      <c r="B28" s="5" t="s">
        <v>22</v>
      </c>
      <c r="C28" s="5" t="s">
        <v>63</v>
      </c>
      <c r="D28" s="9" t="s">
        <v>148</v>
      </c>
      <c r="E28" s="9" t="s">
        <v>148</v>
      </c>
      <c r="F28" s="9" t="s">
        <v>148</v>
      </c>
      <c r="G28" s="9">
        <v>9</v>
      </c>
      <c r="H28" s="9" t="s">
        <v>148</v>
      </c>
      <c r="I28" s="9" t="s">
        <v>148</v>
      </c>
      <c r="J28" s="9" t="s">
        <v>147</v>
      </c>
      <c r="K28" s="9" t="s">
        <v>147</v>
      </c>
      <c r="L28" s="9">
        <v>8</v>
      </c>
      <c r="M28" s="9" t="s">
        <v>148</v>
      </c>
      <c r="N28" s="9" t="s">
        <v>148</v>
      </c>
      <c r="O28" s="9" t="s">
        <v>148</v>
      </c>
      <c r="P28" s="9" t="s">
        <v>12</v>
      </c>
      <c r="Q28" s="9" t="s">
        <v>147</v>
      </c>
      <c r="R28" s="9" t="s">
        <v>147</v>
      </c>
      <c r="S28" s="9" t="s">
        <v>148</v>
      </c>
      <c r="T28" s="9" t="s">
        <v>148</v>
      </c>
      <c r="U28" s="9" t="s">
        <v>148</v>
      </c>
      <c r="V28" s="9" t="s">
        <v>148</v>
      </c>
      <c r="W28" s="9" t="s">
        <v>148</v>
      </c>
      <c r="X28" s="9" t="s">
        <v>147</v>
      </c>
      <c r="Y28" s="9" t="s">
        <v>147</v>
      </c>
      <c r="Z28" s="9">
        <v>29</v>
      </c>
      <c r="AA28" s="9" t="s">
        <v>148</v>
      </c>
      <c r="AB28" s="9" t="s">
        <v>148</v>
      </c>
      <c r="AC28" s="9" t="s">
        <v>148</v>
      </c>
      <c r="AD28" s="9" t="s">
        <v>148</v>
      </c>
      <c r="AE28" s="9" t="s">
        <v>147</v>
      </c>
      <c r="AF28" s="9" t="s">
        <v>147</v>
      </c>
      <c r="AG28" s="9" t="s">
        <v>148</v>
      </c>
      <c r="AH28" s="16">
        <f t="shared" si="1"/>
        <v>46</v>
      </c>
      <c r="AI28" s="5">
        <f t="shared" si="0"/>
        <v>0</v>
      </c>
      <c r="AJ28" s="16">
        <f t="shared" si="2"/>
        <v>46</v>
      </c>
      <c r="AK28">
        <f t="shared" si="3"/>
        <v>9450</v>
      </c>
      <c r="AL28">
        <f t="shared" si="4"/>
        <v>9404</v>
      </c>
      <c r="AM28">
        <f t="shared" si="5"/>
        <v>0.99513227513227509</v>
      </c>
      <c r="AN28">
        <f t="shared" si="6"/>
        <v>21</v>
      </c>
      <c r="AO28">
        <f t="shared" si="7"/>
        <v>22</v>
      </c>
      <c r="AQ28" s="5">
        <f t="shared" si="8"/>
        <v>8</v>
      </c>
      <c r="AR28" s="5">
        <f t="shared" si="9"/>
        <v>1</v>
      </c>
      <c r="AS28" s="5">
        <f t="shared" si="10"/>
        <v>0</v>
      </c>
      <c r="AT28" s="5">
        <f t="shared" si="11"/>
        <v>0</v>
      </c>
    </row>
    <row r="29" spans="1:46">
      <c r="A29" s="7" t="s">
        <v>71</v>
      </c>
      <c r="B29" s="5" t="s">
        <v>26</v>
      </c>
      <c r="C29" s="34" t="s">
        <v>25</v>
      </c>
      <c r="D29" s="9" t="s">
        <v>147</v>
      </c>
      <c r="E29" s="9" t="s">
        <v>148</v>
      </c>
      <c r="F29" s="9" t="s">
        <v>148</v>
      </c>
      <c r="G29" s="9" t="s">
        <v>148</v>
      </c>
      <c r="H29" s="9" t="s">
        <v>148</v>
      </c>
      <c r="I29" s="9" t="s">
        <v>148</v>
      </c>
      <c r="J29" s="9" t="s">
        <v>147</v>
      </c>
      <c r="K29" s="9" t="s">
        <v>147</v>
      </c>
      <c r="L29" s="9" t="s">
        <v>148</v>
      </c>
      <c r="M29" s="9" t="s">
        <v>148</v>
      </c>
      <c r="N29" s="9" t="s">
        <v>148</v>
      </c>
      <c r="O29" s="9" t="s">
        <v>148</v>
      </c>
      <c r="P29" s="9" t="s">
        <v>148</v>
      </c>
      <c r="Q29" s="9" t="s">
        <v>147</v>
      </c>
      <c r="R29" s="9" t="s">
        <v>147</v>
      </c>
      <c r="S29" s="9">
        <v>31</v>
      </c>
      <c r="T29" s="9" t="s">
        <v>148</v>
      </c>
      <c r="U29" s="9" t="s">
        <v>148</v>
      </c>
      <c r="V29" s="9" t="s">
        <v>148</v>
      </c>
      <c r="W29" s="9" t="s">
        <v>148</v>
      </c>
      <c r="X29" s="9" t="s">
        <v>147</v>
      </c>
      <c r="Y29" s="9" t="s">
        <v>147</v>
      </c>
      <c r="Z29" s="9" t="s">
        <v>148</v>
      </c>
      <c r="AA29" s="9" t="s">
        <v>148</v>
      </c>
      <c r="AB29" s="9" t="s">
        <v>148</v>
      </c>
      <c r="AC29" s="9" t="s">
        <v>148</v>
      </c>
      <c r="AD29" s="9" t="s">
        <v>148</v>
      </c>
      <c r="AE29" s="9" t="s">
        <v>147</v>
      </c>
      <c r="AF29" s="9" t="s">
        <v>147</v>
      </c>
      <c r="AG29" s="9" t="s">
        <v>148</v>
      </c>
      <c r="AH29" s="16">
        <f t="shared" si="1"/>
        <v>31</v>
      </c>
      <c r="AI29" s="5">
        <f t="shared" si="0"/>
        <v>0</v>
      </c>
      <c r="AJ29" s="16">
        <f t="shared" si="2"/>
        <v>31</v>
      </c>
      <c r="AK29">
        <f t="shared" si="3"/>
        <v>9450</v>
      </c>
      <c r="AL29">
        <f t="shared" si="4"/>
        <v>9419</v>
      </c>
      <c r="AM29">
        <f t="shared" si="5"/>
        <v>0.99671957671957667</v>
      </c>
      <c r="AN29">
        <f t="shared" si="6"/>
        <v>21</v>
      </c>
      <c r="AO29">
        <f t="shared" si="7"/>
        <v>21</v>
      </c>
      <c r="AQ29" s="5">
        <f t="shared" si="8"/>
        <v>9</v>
      </c>
      <c r="AR29" s="5">
        <f t="shared" si="9"/>
        <v>0</v>
      </c>
      <c r="AS29" s="5">
        <f t="shared" si="10"/>
        <v>0</v>
      </c>
      <c r="AT29" s="5">
        <f t="shared" si="11"/>
        <v>0</v>
      </c>
    </row>
    <row r="30" spans="1:46">
      <c r="A30" s="5" t="s">
        <v>72</v>
      </c>
      <c r="B30" s="5" t="s">
        <v>22</v>
      </c>
      <c r="C30" s="5" t="s">
        <v>30</v>
      </c>
      <c r="D30" s="9" t="s">
        <v>148</v>
      </c>
      <c r="E30" s="9">
        <v>4</v>
      </c>
      <c r="F30" s="9" t="s">
        <v>148</v>
      </c>
      <c r="G30" s="9" t="s">
        <v>148</v>
      </c>
      <c r="H30" s="9">
        <v>5</v>
      </c>
      <c r="I30" s="9" t="s">
        <v>148</v>
      </c>
      <c r="J30" s="9" t="s">
        <v>147</v>
      </c>
      <c r="K30" s="9" t="s">
        <v>147</v>
      </c>
      <c r="L30" s="9" t="s">
        <v>148</v>
      </c>
      <c r="M30" s="9" t="s">
        <v>148</v>
      </c>
      <c r="N30" s="9" t="s">
        <v>148</v>
      </c>
      <c r="O30" s="9" t="s">
        <v>148</v>
      </c>
      <c r="P30" s="9">
        <v>45</v>
      </c>
      <c r="Q30" s="9" t="s">
        <v>147</v>
      </c>
      <c r="R30" s="9" t="s">
        <v>147</v>
      </c>
      <c r="S30" s="9" t="s">
        <v>148</v>
      </c>
      <c r="T30" s="9">
        <v>4</v>
      </c>
      <c r="U30" s="9" t="s">
        <v>148</v>
      </c>
      <c r="V30" s="9" t="s">
        <v>148</v>
      </c>
      <c r="W30" s="9">
        <v>7</v>
      </c>
      <c r="X30" s="9" t="s">
        <v>147</v>
      </c>
      <c r="Y30" s="9" t="s">
        <v>147</v>
      </c>
      <c r="Z30" s="9" t="s">
        <v>148</v>
      </c>
      <c r="AA30" s="9" t="s">
        <v>148</v>
      </c>
      <c r="AB30" s="9" t="s">
        <v>148</v>
      </c>
      <c r="AC30" s="9" t="s">
        <v>148</v>
      </c>
      <c r="AD30" s="9" t="s">
        <v>148</v>
      </c>
      <c r="AE30" s="9" t="s">
        <v>147</v>
      </c>
      <c r="AF30" s="9" t="s">
        <v>147</v>
      </c>
      <c r="AG30" s="9" t="s">
        <v>148</v>
      </c>
      <c r="AH30" s="16">
        <f t="shared" si="1"/>
        <v>65</v>
      </c>
      <c r="AI30" s="5">
        <f t="shared" si="0"/>
        <v>0</v>
      </c>
      <c r="AJ30" s="16">
        <f t="shared" si="2"/>
        <v>65</v>
      </c>
      <c r="AK30">
        <f t="shared" si="3"/>
        <v>9900</v>
      </c>
      <c r="AL30">
        <f t="shared" si="4"/>
        <v>9835</v>
      </c>
      <c r="AM30">
        <f t="shared" si="5"/>
        <v>0.99343434343434345</v>
      </c>
      <c r="AN30">
        <f t="shared" si="6"/>
        <v>22</v>
      </c>
      <c r="AO30">
        <f t="shared" si="7"/>
        <v>22</v>
      </c>
      <c r="AQ30" s="5">
        <f t="shared" si="8"/>
        <v>8</v>
      </c>
      <c r="AR30" s="5">
        <f t="shared" si="9"/>
        <v>0</v>
      </c>
      <c r="AS30" s="5">
        <f t="shared" si="10"/>
        <v>0</v>
      </c>
      <c r="AT30" s="5">
        <f t="shared" si="11"/>
        <v>0</v>
      </c>
    </row>
    <row r="31" spans="1:46">
      <c r="A31" s="7" t="s">
        <v>73</v>
      </c>
      <c r="B31" s="5" t="s">
        <v>26</v>
      </c>
      <c r="C31" s="34" t="s">
        <v>25</v>
      </c>
      <c r="D31" s="9" t="s">
        <v>147</v>
      </c>
      <c r="E31" s="9">
        <v>6</v>
      </c>
      <c r="F31" s="9" t="s">
        <v>148</v>
      </c>
      <c r="G31" s="9" t="s">
        <v>148</v>
      </c>
      <c r="H31" s="9" t="s">
        <v>148</v>
      </c>
      <c r="I31" s="9">
        <v>13</v>
      </c>
      <c r="J31" s="9" t="s">
        <v>147</v>
      </c>
      <c r="K31" s="9" t="s">
        <v>147</v>
      </c>
      <c r="L31" s="9" t="s">
        <v>148</v>
      </c>
      <c r="M31" s="9">
        <v>13</v>
      </c>
      <c r="N31" s="9">
        <v>115</v>
      </c>
      <c r="O31" s="9">
        <v>2</v>
      </c>
      <c r="P31" s="9">
        <v>17</v>
      </c>
      <c r="Q31" s="9" t="s">
        <v>147</v>
      </c>
      <c r="R31" s="9" t="s">
        <v>147</v>
      </c>
      <c r="S31" s="9" t="s">
        <v>148</v>
      </c>
      <c r="T31" s="9">
        <v>450</v>
      </c>
      <c r="U31" s="9">
        <v>67</v>
      </c>
      <c r="V31" s="9" t="s">
        <v>148</v>
      </c>
      <c r="W31" s="9">
        <v>12</v>
      </c>
      <c r="X31" s="9" t="s">
        <v>147</v>
      </c>
      <c r="Y31" s="9" t="s">
        <v>147</v>
      </c>
      <c r="Z31" s="9" t="s">
        <v>148</v>
      </c>
      <c r="AA31" s="9">
        <v>11</v>
      </c>
      <c r="AB31" s="9" t="s">
        <v>148</v>
      </c>
      <c r="AC31" s="9" t="s">
        <v>148</v>
      </c>
      <c r="AD31" s="9" t="s">
        <v>148</v>
      </c>
      <c r="AE31" s="9" t="s">
        <v>147</v>
      </c>
      <c r="AF31" s="9" t="s">
        <v>147</v>
      </c>
      <c r="AG31" s="9" t="s">
        <v>148</v>
      </c>
      <c r="AH31" s="16">
        <v>256</v>
      </c>
      <c r="AI31" s="5">
        <f t="shared" si="0"/>
        <v>450</v>
      </c>
      <c r="AJ31" s="16">
        <f t="shared" si="2"/>
        <v>706</v>
      </c>
      <c r="AK31">
        <f t="shared" si="3"/>
        <v>9450</v>
      </c>
      <c r="AL31">
        <f t="shared" si="4"/>
        <v>8744</v>
      </c>
      <c r="AM31">
        <f t="shared" si="5"/>
        <v>0.92529100529100528</v>
      </c>
      <c r="AN31">
        <f t="shared" si="6"/>
        <v>21</v>
      </c>
      <c r="AO31">
        <f t="shared" si="7"/>
        <v>21</v>
      </c>
      <c r="AQ31" s="5">
        <f t="shared" si="8"/>
        <v>9</v>
      </c>
      <c r="AR31" s="5">
        <f t="shared" si="9"/>
        <v>0</v>
      </c>
      <c r="AS31" s="5">
        <f t="shared" si="10"/>
        <v>0</v>
      </c>
      <c r="AT31" s="5">
        <f t="shared" si="11"/>
        <v>1</v>
      </c>
    </row>
    <row r="32" spans="1:46">
      <c r="A32" s="5" t="s">
        <v>58</v>
      </c>
      <c r="B32" s="5" t="s">
        <v>57</v>
      </c>
      <c r="C32" s="5" t="s">
        <v>40</v>
      </c>
      <c r="D32" s="9" t="s">
        <v>147</v>
      </c>
      <c r="E32" s="9" t="s">
        <v>148</v>
      </c>
      <c r="F32" s="9" t="s">
        <v>148</v>
      </c>
      <c r="G32" s="9" t="s">
        <v>148</v>
      </c>
      <c r="H32" s="9" t="s">
        <v>148</v>
      </c>
      <c r="I32" s="9" t="s">
        <v>148</v>
      </c>
      <c r="J32" s="9" t="s">
        <v>147</v>
      </c>
      <c r="K32" s="9" t="s">
        <v>147</v>
      </c>
      <c r="L32" s="9" t="s">
        <v>147</v>
      </c>
      <c r="M32" s="9" t="s">
        <v>12</v>
      </c>
      <c r="N32" s="9" t="s">
        <v>148</v>
      </c>
      <c r="O32" s="9" t="s">
        <v>148</v>
      </c>
      <c r="P32" s="9" t="s">
        <v>148</v>
      </c>
      <c r="Q32" s="9" t="s">
        <v>148</v>
      </c>
      <c r="R32" s="9" t="s">
        <v>147</v>
      </c>
      <c r="S32" s="9" t="s">
        <v>148</v>
      </c>
      <c r="T32" s="9" t="s">
        <v>148</v>
      </c>
      <c r="U32" s="9" t="s">
        <v>148</v>
      </c>
      <c r="V32" s="9" t="s">
        <v>148</v>
      </c>
      <c r="W32" s="9" t="s">
        <v>148</v>
      </c>
      <c r="X32" s="9" t="s">
        <v>147</v>
      </c>
      <c r="Y32" s="9" t="s">
        <v>147</v>
      </c>
      <c r="Z32" s="9" t="s">
        <v>148</v>
      </c>
      <c r="AA32" s="9" t="s">
        <v>148</v>
      </c>
      <c r="AB32" s="9" t="s">
        <v>14</v>
      </c>
      <c r="AC32" s="9" t="s">
        <v>148</v>
      </c>
      <c r="AD32" s="9" t="s">
        <v>14</v>
      </c>
      <c r="AE32" s="9" t="s">
        <v>147</v>
      </c>
      <c r="AF32" s="9" t="s">
        <v>147</v>
      </c>
      <c r="AG32" s="9" t="s">
        <v>148</v>
      </c>
      <c r="AH32" s="16">
        <f t="shared" si="1"/>
        <v>0</v>
      </c>
      <c r="AI32" s="5">
        <f t="shared" si="0"/>
        <v>0</v>
      </c>
      <c r="AJ32" s="16">
        <f t="shared" si="2"/>
        <v>0</v>
      </c>
      <c r="AK32">
        <f t="shared" si="3"/>
        <v>8100</v>
      </c>
      <c r="AL32">
        <f t="shared" si="4"/>
        <v>8100</v>
      </c>
      <c r="AM32">
        <f t="shared" si="5"/>
        <v>1</v>
      </c>
      <c r="AN32">
        <f t="shared" si="6"/>
        <v>18</v>
      </c>
      <c r="AO32">
        <f t="shared" si="7"/>
        <v>21</v>
      </c>
      <c r="AQ32" s="5">
        <f t="shared" si="8"/>
        <v>9</v>
      </c>
      <c r="AR32" s="5">
        <f t="shared" si="9"/>
        <v>1</v>
      </c>
      <c r="AS32" s="5">
        <f t="shared" si="10"/>
        <v>2</v>
      </c>
      <c r="AT32" s="5">
        <f t="shared" si="11"/>
        <v>0</v>
      </c>
    </row>
    <row r="33" spans="1:46">
      <c r="A33" s="5" t="s">
        <v>74</v>
      </c>
      <c r="B33" s="5" t="s">
        <v>37</v>
      </c>
      <c r="C33" s="5" t="s">
        <v>40</v>
      </c>
      <c r="D33" s="9">
        <v>7</v>
      </c>
      <c r="E33" s="9">
        <v>5</v>
      </c>
      <c r="F33" s="9" t="s">
        <v>147</v>
      </c>
      <c r="G33" s="9" t="s">
        <v>147</v>
      </c>
      <c r="H33" s="9" t="s">
        <v>148</v>
      </c>
      <c r="I33" s="9">
        <v>13</v>
      </c>
      <c r="J33" s="9" t="s">
        <v>148</v>
      </c>
      <c r="K33" s="9">
        <v>19</v>
      </c>
      <c r="L33" s="9">
        <v>18</v>
      </c>
      <c r="M33" s="9" t="s">
        <v>147</v>
      </c>
      <c r="N33" s="9" t="s">
        <v>147</v>
      </c>
      <c r="O33" s="9" t="s">
        <v>148</v>
      </c>
      <c r="P33" s="9" t="s">
        <v>148</v>
      </c>
      <c r="Q33" s="9">
        <v>202</v>
      </c>
      <c r="R33" s="9">
        <v>32</v>
      </c>
      <c r="S33" s="9" t="s">
        <v>148</v>
      </c>
      <c r="T33" s="9" t="s">
        <v>147</v>
      </c>
      <c r="U33" s="9" t="s">
        <v>147</v>
      </c>
      <c r="V33" s="9" t="s">
        <v>148</v>
      </c>
      <c r="W33" s="9" t="s">
        <v>148</v>
      </c>
      <c r="X33" s="9" t="s">
        <v>148</v>
      </c>
      <c r="Y33" s="9">
        <v>80</v>
      </c>
      <c r="Z33" s="9" t="s">
        <v>148</v>
      </c>
      <c r="AA33" s="9" t="s">
        <v>147</v>
      </c>
      <c r="AB33" s="9" t="s">
        <v>147</v>
      </c>
      <c r="AC33" s="9" t="s">
        <v>148</v>
      </c>
      <c r="AD33" s="9" t="s">
        <v>148</v>
      </c>
      <c r="AE33" s="9" t="s">
        <v>148</v>
      </c>
      <c r="AF33" s="9" t="s">
        <v>147</v>
      </c>
      <c r="AG33" s="9">
        <v>26</v>
      </c>
      <c r="AH33" s="16">
        <f t="shared" si="1"/>
        <v>402</v>
      </c>
      <c r="AI33" s="5">
        <f t="shared" si="0"/>
        <v>0</v>
      </c>
      <c r="AJ33" s="16">
        <f t="shared" si="2"/>
        <v>402</v>
      </c>
      <c r="AK33">
        <f t="shared" si="3"/>
        <v>9450</v>
      </c>
      <c r="AL33">
        <f t="shared" si="4"/>
        <v>9048</v>
      </c>
      <c r="AM33">
        <f t="shared" si="5"/>
        <v>0.95746031746031746</v>
      </c>
      <c r="AN33">
        <f t="shared" si="6"/>
        <v>21</v>
      </c>
      <c r="AO33">
        <f t="shared" si="7"/>
        <v>21</v>
      </c>
      <c r="AQ33" s="5">
        <f t="shared" si="8"/>
        <v>9</v>
      </c>
      <c r="AR33" s="5">
        <f t="shared" si="9"/>
        <v>0</v>
      </c>
      <c r="AS33" s="5">
        <f t="shared" si="10"/>
        <v>0</v>
      </c>
      <c r="AT33" s="5">
        <f t="shared" si="11"/>
        <v>0</v>
      </c>
    </row>
    <row r="34" spans="1:46">
      <c r="A34" s="7" t="s">
        <v>75</v>
      </c>
      <c r="B34" s="5" t="s">
        <v>26</v>
      </c>
      <c r="C34" s="34" t="s">
        <v>40</v>
      </c>
      <c r="D34" s="9" t="s">
        <v>148</v>
      </c>
      <c r="E34" s="9" t="s">
        <v>148</v>
      </c>
      <c r="F34" s="9">
        <v>3</v>
      </c>
      <c r="G34" s="9" t="s">
        <v>147</v>
      </c>
      <c r="H34" s="9" t="s">
        <v>147</v>
      </c>
      <c r="I34" s="9" t="s">
        <v>148</v>
      </c>
      <c r="J34" s="9" t="s">
        <v>148</v>
      </c>
      <c r="K34" s="9" t="s">
        <v>148</v>
      </c>
      <c r="L34" s="9" t="s">
        <v>148</v>
      </c>
      <c r="M34" s="9" t="s">
        <v>148</v>
      </c>
      <c r="N34" s="9" t="s">
        <v>147</v>
      </c>
      <c r="O34" s="9" t="s">
        <v>147</v>
      </c>
      <c r="P34" s="9" t="s">
        <v>148</v>
      </c>
      <c r="Q34" s="9" t="s">
        <v>148</v>
      </c>
      <c r="R34" s="9" t="s">
        <v>148</v>
      </c>
      <c r="S34" s="9" t="s">
        <v>148</v>
      </c>
      <c r="T34" s="9" t="s">
        <v>148</v>
      </c>
      <c r="U34" s="9" t="s">
        <v>147</v>
      </c>
      <c r="V34" s="9" t="s">
        <v>147</v>
      </c>
      <c r="W34" s="9" t="s">
        <v>148</v>
      </c>
      <c r="X34" s="9" t="s">
        <v>148</v>
      </c>
      <c r="Y34" s="9" t="s">
        <v>148</v>
      </c>
      <c r="Z34" s="9">
        <v>2</v>
      </c>
      <c r="AA34" s="9" t="s">
        <v>148</v>
      </c>
      <c r="AB34" s="9" t="s">
        <v>147</v>
      </c>
      <c r="AC34" s="9" t="s">
        <v>147</v>
      </c>
      <c r="AD34" s="9" t="s">
        <v>148</v>
      </c>
      <c r="AE34" s="9" t="s">
        <v>148</v>
      </c>
      <c r="AF34" s="9" t="s">
        <v>148</v>
      </c>
      <c r="AG34" s="9" t="s">
        <v>148</v>
      </c>
      <c r="AH34" s="16">
        <f t="shared" si="1"/>
        <v>5</v>
      </c>
      <c r="AI34" s="5">
        <f t="shared" si="0"/>
        <v>0</v>
      </c>
      <c r="AJ34" s="16">
        <f t="shared" si="2"/>
        <v>5</v>
      </c>
      <c r="AK34">
        <f t="shared" si="3"/>
        <v>9900</v>
      </c>
      <c r="AL34">
        <f t="shared" si="4"/>
        <v>9895</v>
      </c>
      <c r="AM34">
        <f t="shared" si="5"/>
        <v>0.99949494949494955</v>
      </c>
      <c r="AN34">
        <f t="shared" si="6"/>
        <v>22</v>
      </c>
      <c r="AO34">
        <f t="shared" si="7"/>
        <v>22</v>
      </c>
      <c r="AQ34" s="5">
        <f t="shared" si="8"/>
        <v>8</v>
      </c>
      <c r="AR34" s="5">
        <f t="shared" si="9"/>
        <v>0</v>
      </c>
      <c r="AS34" s="5">
        <f t="shared" si="10"/>
        <v>0</v>
      </c>
      <c r="AT34" s="5">
        <f t="shared" si="11"/>
        <v>0</v>
      </c>
    </row>
    <row r="35" spans="1:46">
      <c r="A35" s="5" t="s">
        <v>76</v>
      </c>
      <c r="B35" s="5" t="s">
        <v>37</v>
      </c>
      <c r="C35" s="5" t="s">
        <v>40</v>
      </c>
      <c r="D35" s="9" t="s">
        <v>148</v>
      </c>
      <c r="E35" s="9" t="s">
        <v>148</v>
      </c>
      <c r="F35" s="9" t="s">
        <v>148</v>
      </c>
      <c r="G35" s="9" t="s">
        <v>148</v>
      </c>
      <c r="H35" s="9">
        <v>7</v>
      </c>
      <c r="I35" s="9" t="s">
        <v>147</v>
      </c>
      <c r="J35" s="9" t="s">
        <v>147</v>
      </c>
      <c r="K35" s="9" t="s">
        <v>148</v>
      </c>
      <c r="L35" s="9" t="s">
        <v>148</v>
      </c>
      <c r="M35" s="9" t="s">
        <v>148</v>
      </c>
      <c r="N35" s="9" t="s">
        <v>148</v>
      </c>
      <c r="O35" s="9" t="s">
        <v>148</v>
      </c>
      <c r="P35" s="9" t="s">
        <v>147</v>
      </c>
      <c r="Q35" s="9" t="s">
        <v>147</v>
      </c>
      <c r="R35" s="9">
        <v>3</v>
      </c>
      <c r="S35" s="9" t="s">
        <v>148</v>
      </c>
      <c r="T35" s="9" t="s">
        <v>148</v>
      </c>
      <c r="U35" s="9" t="s">
        <v>14</v>
      </c>
      <c r="V35" s="9" t="s">
        <v>148</v>
      </c>
      <c r="W35" s="9" t="s">
        <v>147</v>
      </c>
      <c r="X35" s="9" t="s">
        <v>147</v>
      </c>
      <c r="Y35" s="9" t="s">
        <v>148</v>
      </c>
      <c r="Z35" s="9">
        <v>4</v>
      </c>
      <c r="AA35" s="9" t="s">
        <v>148</v>
      </c>
      <c r="AB35" s="9" t="s">
        <v>148</v>
      </c>
      <c r="AC35" s="9" t="s">
        <v>148</v>
      </c>
      <c r="AD35" s="9" t="s">
        <v>147</v>
      </c>
      <c r="AE35" s="9" t="s">
        <v>147</v>
      </c>
      <c r="AF35" s="9" t="s">
        <v>147</v>
      </c>
      <c r="AG35" s="9" t="s">
        <v>148</v>
      </c>
      <c r="AH35" s="16">
        <f t="shared" si="1"/>
        <v>14</v>
      </c>
      <c r="AI35" s="5">
        <f t="shared" si="0"/>
        <v>0</v>
      </c>
      <c r="AJ35" s="16">
        <f t="shared" si="2"/>
        <v>14</v>
      </c>
      <c r="AK35">
        <f t="shared" si="3"/>
        <v>9000</v>
      </c>
      <c r="AL35">
        <f t="shared" si="4"/>
        <v>8986</v>
      </c>
      <c r="AM35">
        <f t="shared" si="5"/>
        <v>0.99844444444444447</v>
      </c>
      <c r="AN35">
        <f t="shared" si="6"/>
        <v>20</v>
      </c>
      <c r="AO35">
        <f t="shared" si="7"/>
        <v>21</v>
      </c>
      <c r="AQ35" s="5">
        <f t="shared" si="8"/>
        <v>9</v>
      </c>
      <c r="AR35" s="5">
        <f t="shared" si="9"/>
        <v>0</v>
      </c>
      <c r="AS35" s="5">
        <f t="shared" si="10"/>
        <v>1</v>
      </c>
      <c r="AT35" s="5">
        <f t="shared" si="11"/>
        <v>0</v>
      </c>
    </row>
    <row r="36" spans="1:46">
      <c r="A36" s="5" t="s">
        <v>77</v>
      </c>
      <c r="B36" s="5" t="s">
        <v>22</v>
      </c>
      <c r="C36" s="5" t="s">
        <v>30</v>
      </c>
      <c r="D36" s="9" t="s">
        <v>147</v>
      </c>
      <c r="E36" s="9" t="s">
        <v>14</v>
      </c>
      <c r="F36" s="9" t="s">
        <v>148</v>
      </c>
      <c r="G36" s="9">
        <v>28</v>
      </c>
      <c r="H36" s="9" t="s">
        <v>148</v>
      </c>
      <c r="I36" s="9" t="s">
        <v>148</v>
      </c>
      <c r="J36" s="9" t="s">
        <v>147</v>
      </c>
      <c r="K36" s="9" t="s">
        <v>147</v>
      </c>
      <c r="L36" s="9" t="s">
        <v>148</v>
      </c>
      <c r="M36" s="9" t="s">
        <v>148</v>
      </c>
      <c r="N36" s="9" t="s">
        <v>148</v>
      </c>
      <c r="O36" s="9" t="s">
        <v>148</v>
      </c>
      <c r="P36" s="9">
        <v>10</v>
      </c>
      <c r="Q36" s="9" t="s">
        <v>147</v>
      </c>
      <c r="R36" s="9" t="s">
        <v>147</v>
      </c>
      <c r="S36" s="9" t="s">
        <v>148</v>
      </c>
      <c r="T36" s="9" t="s">
        <v>148</v>
      </c>
      <c r="U36" s="9">
        <v>450</v>
      </c>
      <c r="V36" s="9" t="s">
        <v>148</v>
      </c>
      <c r="W36" s="9" t="s">
        <v>148</v>
      </c>
      <c r="X36" s="9" t="s">
        <v>147</v>
      </c>
      <c r="Y36" s="9" t="s">
        <v>147</v>
      </c>
      <c r="Z36" s="9" t="s">
        <v>148</v>
      </c>
      <c r="AA36" s="9" t="s">
        <v>148</v>
      </c>
      <c r="AB36" s="9" t="s">
        <v>148</v>
      </c>
      <c r="AC36" s="9" t="s">
        <v>148</v>
      </c>
      <c r="AD36" s="9" t="s">
        <v>148</v>
      </c>
      <c r="AE36" s="9" t="s">
        <v>147</v>
      </c>
      <c r="AF36" s="9" t="s">
        <v>147</v>
      </c>
      <c r="AG36" s="9" t="s">
        <v>148</v>
      </c>
      <c r="AH36" s="16">
        <v>38</v>
      </c>
      <c r="AI36" s="5">
        <f t="shared" si="0"/>
        <v>450</v>
      </c>
      <c r="AJ36" s="16">
        <f t="shared" si="2"/>
        <v>488</v>
      </c>
      <c r="AK36">
        <f t="shared" si="3"/>
        <v>9000</v>
      </c>
      <c r="AL36">
        <f t="shared" si="4"/>
        <v>8512</v>
      </c>
      <c r="AM36">
        <f t="shared" si="5"/>
        <v>0.94577777777777783</v>
      </c>
      <c r="AN36">
        <f t="shared" si="6"/>
        <v>20</v>
      </c>
      <c r="AO36">
        <f t="shared" si="7"/>
        <v>21</v>
      </c>
      <c r="AQ36" s="5">
        <f t="shared" si="8"/>
        <v>9</v>
      </c>
      <c r="AR36" s="5">
        <f t="shared" si="9"/>
        <v>0</v>
      </c>
      <c r="AS36" s="5">
        <f t="shared" si="10"/>
        <v>1</v>
      </c>
      <c r="AT36" s="5">
        <f t="shared" si="11"/>
        <v>1</v>
      </c>
    </row>
    <row r="37" spans="1:46">
      <c r="A37" s="5" t="s">
        <v>61</v>
      </c>
      <c r="B37" s="5" t="s">
        <v>22</v>
      </c>
      <c r="C37" s="5" t="s">
        <v>63</v>
      </c>
      <c r="D37" s="9" t="s">
        <v>148</v>
      </c>
      <c r="E37" s="9" t="s">
        <v>148</v>
      </c>
      <c r="F37" s="9" t="s">
        <v>148</v>
      </c>
      <c r="G37" s="9" t="s">
        <v>148</v>
      </c>
      <c r="H37" s="9" t="s">
        <v>148</v>
      </c>
      <c r="I37" s="9" t="s">
        <v>148</v>
      </c>
      <c r="J37" s="9" t="s">
        <v>147</v>
      </c>
      <c r="K37" s="9" t="s">
        <v>147</v>
      </c>
      <c r="L37" s="9" t="s">
        <v>148</v>
      </c>
      <c r="M37" s="9" t="s">
        <v>148</v>
      </c>
      <c r="N37" s="9" t="s">
        <v>148</v>
      </c>
      <c r="O37" s="9" t="s">
        <v>148</v>
      </c>
      <c r="P37" s="9" t="s">
        <v>148</v>
      </c>
      <c r="Q37" s="9" t="s">
        <v>147</v>
      </c>
      <c r="R37" s="9" t="s">
        <v>147</v>
      </c>
      <c r="S37" s="9" t="s">
        <v>148</v>
      </c>
      <c r="T37" s="9" t="s">
        <v>148</v>
      </c>
      <c r="U37" s="9" t="s">
        <v>148</v>
      </c>
      <c r="V37" s="9" t="s">
        <v>148</v>
      </c>
      <c r="W37" s="9" t="s">
        <v>148</v>
      </c>
      <c r="X37" s="9" t="s">
        <v>147</v>
      </c>
      <c r="Y37" s="9" t="s">
        <v>147</v>
      </c>
      <c r="Z37" s="9">
        <v>26</v>
      </c>
      <c r="AA37" s="9" t="s">
        <v>148</v>
      </c>
      <c r="AB37" s="9" t="s">
        <v>148</v>
      </c>
      <c r="AC37" s="9" t="s">
        <v>148</v>
      </c>
      <c r="AD37" s="9" t="s">
        <v>148</v>
      </c>
      <c r="AE37" s="9" t="s">
        <v>147</v>
      </c>
      <c r="AF37" s="9" t="s">
        <v>147</v>
      </c>
      <c r="AG37" s="9" t="s">
        <v>148</v>
      </c>
      <c r="AH37" s="16">
        <f t="shared" si="1"/>
        <v>26</v>
      </c>
      <c r="AI37" s="5">
        <f t="shared" si="0"/>
        <v>0</v>
      </c>
      <c r="AJ37" s="16">
        <f t="shared" si="2"/>
        <v>26</v>
      </c>
      <c r="AK37">
        <f t="shared" si="3"/>
        <v>9900</v>
      </c>
      <c r="AL37">
        <f t="shared" si="4"/>
        <v>9874</v>
      </c>
      <c r="AM37">
        <f t="shared" si="5"/>
        <v>0.99737373737373736</v>
      </c>
      <c r="AN37">
        <f t="shared" si="6"/>
        <v>22</v>
      </c>
      <c r="AO37">
        <f t="shared" si="7"/>
        <v>22</v>
      </c>
      <c r="AQ37" s="5">
        <f t="shared" si="8"/>
        <v>8</v>
      </c>
      <c r="AR37" s="5">
        <f t="shared" si="9"/>
        <v>0</v>
      </c>
      <c r="AS37" s="5">
        <f t="shared" si="10"/>
        <v>0</v>
      </c>
      <c r="AT37" s="5">
        <f t="shared" si="11"/>
        <v>0</v>
      </c>
    </row>
    <row r="38" spans="1:46">
      <c r="A38" s="7" t="s">
        <v>78</v>
      </c>
      <c r="B38" s="5" t="s">
        <v>26</v>
      </c>
      <c r="C38" s="34" t="s">
        <v>40</v>
      </c>
      <c r="D38" s="9" t="s">
        <v>147</v>
      </c>
      <c r="E38" s="9" t="s">
        <v>148</v>
      </c>
      <c r="F38" s="9" t="s">
        <v>148</v>
      </c>
      <c r="G38" s="9" t="s">
        <v>148</v>
      </c>
      <c r="H38" s="9" t="s">
        <v>148</v>
      </c>
      <c r="I38" s="9" t="s">
        <v>148</v>
      </c>
      <c r="J38" s="9" t="s">
        <v>147</v>
      </c>
      <c r="K38" s="9" t="s">
        <v>147</v>
      </c>
      <c r="L38" s="9" t="s">
        <v>148</v>
      </c>
      <c r="M38" s="9" t="s">
        <v>148</v>
      </c>
      <c r="N38" s="9" t="s">
        <v>148</v>
      </c>
      <c r="O38" s="9" t="s">
        <v>148</v>
      </c>
      <c r="P38" s="9" t="s">
        <v>148</v>
      </c>
      <c r="Q38" s="9" t="s">
        <v>147</v>
      </c>
      <c r="R38" s="9" t="s">
        <v>147</v>
      </c>
      <c r="S38" s="9" t="s">
        <v>148</v>
      </c>
      <c r="T38" s="9" t="s">
        <v>148</v>
      </c>
      <c r="U38" s="9" t="s">
        <v>148</v>
      </c>
      <c r="V38" s="9" t="s">
        <v>148</v>
      </c>
      <c r="W38" s="9" t="s">
        <v>148</v>
      </c>
      <c r="X38" s="9" t="s">
        <v>147</v>
      </c>
      <c r="Y38" s="9" t="s">
        <v>147</v>
      </c>
      <c r="Z38" s="9" t="s">
        <v>148</v>
      </c>
      <c r="AA38" s="9" t="s">
        <v>148</v>
      </c>
      <c r="AB38" s="9" t="s">
        <v>148</v>
      </c>
      <c r="AC38" s="9" t="s">
        <v>148</v>
      </c>
      <c r="AD38" s="9" t="s">
        <v>148</v>
      </c>
      <c r="AE38" s="9" t="s">
        <v>147</v>
      </c>
      <c r="AF38" s="9" t="s">
        <v>147</v>
      </c>
      <c r="AG38" s="9" t="s">
        <v>148</v>
      </c>
      <c r="AH38" s="16">
        <f t="shared" si="1"/>
        <v>0</v>
      </c>
      <c r="AI38" s="5">
        <f t="shared" si="0"/>
        <v>0</v>
      </c>
      <c r="AJ38" s="16">
        <f t="shared" si="2"/>
        <v>0</v>
      </c>
      <c r="AK38">
        <f t="shared" si="3"/>
        <v>9450</v>
      </c>
      <c r="AL38">
        <f t="shared" si="4"/>
        <v>9450</v>
      </c>
      <c r="AM38">
        <f t="shared" si="5"/>
        <v>1</v>
      </c>
      <c r="AN38">
        <f t="shared" si="6"/>
        <v>21</v>
      </c>
      <c r="AO38">
        <f t="shared" si="7"/>
        <v>21</v>
      </c>
      <c r="AQ38" s="5">
        <f t="shared" si="8"/>
        <v>9</v>
      </c>
      <c r="AR38" s="5">
        <f t="shared" si="9"/>
        <v>0</v>
      </c>
      <c r="AS38" s="5">
        <f t="shared" si="10"/>
        <v>0</v>
      </c>
      <c r="AT38" s="5">
        <f t="shared" si="11"/>
        <v>0</v>
      </c>
    </row>
    <row r="39" spans="1:46">
      <c r="A39" s="7" t="s">
        <v>80</v>
      </c>
      <c r="B39" s="5" t="s">
        <v>26</v>
      </c>
      <c r="C39" s="34" t="s">
        <v>40</v>
      </c>
      <c r="D39" s="9" t="s">
        <v>148</v>
      </c>
      <c r="E39" s="9" t="s">
        <v>148</v>
      </c>
      <c r="F39" s="9" t="s">
        <v>148</v>
      </c>
      <c r="G39" s="9" t="s">
        <v>147</v>
      </c>
      <c r="H39" s="9" t="s">
        <v>147</v>
      </c>
      <c r="I39" s="9" t="s">
        <v>148</v>
      </c>
      <c r="J39" s="9" t="s">
        <v>148</v>
      </c>
      <c r="K39" s="9" t="s">
        <v>148</v>
      </c>
      <c r="L39" s="9" t="s">
        <v>12</v>
      </c>
      <c r="M39" s="9" t="s">
        <v>147</v>
      </c>
      <c r="N39" s="9" t="s">
        <v>147</v>
      </c>
      <c r="O39" s="9" t="s">
        <v>148</v>
      </c>
      <c r="P39" s="9" t="s">
        <v>148</v>
      </c>
      <c r="Q39" s="9" t="s">
        <v>148</v>
      </c>
      <c r="R39" s="9" t="s">
        <v>148</v>
      </c>
      <c r="S39" s="9" t="s">
        <v>148</v>
      </c>
      <c r="T39" s="9" t="s">
        <v>147</v>
      </c>
      <c r="U39" s="9" t="s">
        <v>147</v>
      </c>
      <c r="V39" s="9" t="s">
        <v>148</v>
      </c>
      <c r="W39" s="9" t="s">
        <v>148</v>
      </c>
      <c r="X39" s="9" t="s">
        <v>148</v>
      </c>
      <c r="Y39" s="9" t="s">
        <v>148</v>
      </c>
      <c r="Z39" s="47" t="s">
        <v>148</v>
      </c>
      <c r="AA39" s="47" t="s">
        <v>147</v>
      </c>
      <c r="AB39" s="47" t="s">
        <v>147</v>
      </c>
      <c r="AC39" s="47" t="s">
        <v>148</v>
      </c>
      <c r="AD39" s="47" t="s">
        <v>148</v>
      </c>
      <c r="AE39" s="9" t="s">
        <v>148</v>
      </c>
      <c r="AF39" s="9" t="s">
        <v>148</v>
      </c>
      <c r="AG39" s="9" t="s">
        <v>148</v>
      </c>
      <c r="AH39" s="16">
        <f t="shared" si="1"/>
        <v>0</v>
      </c>
      <c r="AI39" s="5">
        <f t="shared" si="0"/>
        <v>0</v>
      </c>
      <c r="AJ39" s="16">
        <f t="shared" si="2"/>
        <v>0</v>
      </c>
      <c r="AK39">
        <f t="shared" si="3"/>
        <v>9450</v>
      </c>
      <c r="AL39">
        <f t="shared" si="4"/>
        <v>9450</v>
      </c>
      <c r="AM39">
        <f t="shared" si="5"/>
        <v>1</v>
      </c>
      <c r="AN39">
        <f t="shared" si="6"/>
        <v>21</v>
      </c>
      <c r="AO39">
        <f t="shared" si="7"/>
        <v>22</v>
      </c>
      <c r="AQ39" s="5">
        <f t="shared" si="8"/>
        <v>8</v>
      </c>
      <c r="AR39" s="5">
        <f t="shared" si="9"/>
        <v>1</v>
      </c>
      <c r="AS39" s="5">
        <f t="shared" si="10"/>
        <v>0</v>
      </c>
      <c r="AT39" s="5">
        <f t="shared" si="11"/>
        <v>0</v>
      </c>
    </row>
    <row r="40" spans="1:46">
      <c r="A40" s="7" t="s">
        <v>81</v>
      </c>
      <c r="B40" s="5" t="s">
        <v>26</v>
      </c>
      <c r="C40" s="34" t="s">
        <v>33</v>
      </c>
      <c r="D40" s="9" t="s">
        <v>147</v>
      </c>
      <c r="E40" s="9" t="s">
        <v>148</v>
      </c>
      <c r="F40" s="9" t="s">
        <v>148</v>
      </c>
      <c r="G40" s="9" t="s">
        <v>148</v>
      </c>
      <c r="H40" s="9" t="s">
        <v>148</v>
      </c>
      <c r="I40" s="9" t="s">
        <v>148</v>
      </c>
      <c r="J40" s="9" t="s">
        <v>147</v>
      </c>
      <c r="K40" s="9" t="s">
        <v>147</v>
      </c>
      <c r="L40" s="9" t="s">
        <v>148</v>
      </c>
      <c r="M40" s="9" t="s">
        <v>14</v>
      </c>
      <c r="N40" s="9" t="s">
        <v>148</v>
      </c>
      <c r="O40" s="9" t="s">
        <v>148</v>
      </c>
      <c r="P40" s="9" t="s">
        <v>148</v>
      </c>
      <c r="Q40" s="9" t="s">
        <v>147</v>
      </c>
      <c r="R40" s="9" t="s">
        <v>147</v>
      </c>
      <c r="S40" s="9" t="s">
        <v>148</v>
      </c>
      <c r="T40" s="9" t="s">
        <v>148</v>
      </c>
      <c r="U40" s="9" t="s">
        <v>148</v>
      </c>
      <c r="V40" s="9" t="s">
        <v>148</v>
      </c>
      <c r="W40" s="9" t="s">
        <v>148</v>
      </c>
      <c r="X40" s="9" t="s">
        <v>147</v>
      </c>
      <c r="Y40" s="9" t="s">
        <v>147</v>
      </c>
      <c r="Z40" s="9" t="s">
        <v>148</v>
      </c>
      <c r="AA40" s="9" t="s">
        <v>148</v>
      </c>
      <c r="AB40" s="9" t="s">
        <v>148</v>
      </c>
      <c r="AC40" s="9" t="s">
        <v>148</v>
      </c>
      <c r="AD40" s="9" t="s">
        <v>148</v>
      </c>
      <c r="AE40" s="9" t="s">
        <v>147</v>
      </c>
      <c r="AF40" s="9" t="s">
        <v>147</v>
      </c>
      <c r="AG40" s="9" t="s">
        <v>148</v>
      </c>
      <c r="AH40" s="16">
        <f t="shared" si="1"/>
        <v>0</v>
      </c>
      <c r="AI40" s="5">
        <f t="shared" si="0"/>
        <v>0</v>
      </c>
      <c r="AJ40" s="16">
        <f t="shared" si="2"/>
        <v>0</v>
      </c>
      <c r="AK40">
        <f t="shared" si="3"/>
        <v>9000</v>
      </c>
      <c r="AL40">
        <f t="shared" si="4"/>
        <v>9000</v>
      </c>
      <c r="AM40">
        <f t="shared" si="5"/>
        <v>1</v>
      </c>
      <c r="AN40">
        <f t="shared" si="6"/>
        <v>20</v>
      </c>
      <c r="AO40">
        <f t="shared" si="7"/>
        <v>21</v>
      </c>
      <c r="AQ40" s="5">
        <f t="shared" si="8"/>
        <v>9</v>
      </c>
      <c r="AR40" s="5">
        <f t="shared" si="9"/>
        <v>0</v>
      </c>
      <c r="AS40" s="5">
        <f t="shared" si="10"/>
        <v>1</v>
      </c>
      <c r="AT40" s="5">
        <f t="shared" si="11"/>
        <v>0</v>
      </c>
    </row>
    <row r="41" spans="1:46">
      <c r="A41" s="5" t="s">
        <v>82</v>
      </c>
      <c r="B41" s="5" t="s">
        <v>22</v>
      </c>
      <c r="C41" s="5" t="s">
        <v>33</v>
      </c>
      <c r="D41" s="9" t="s">
        <v>147</v>
      </c>
      <c r="E41" s="9">
        <v>1</v>
      </c>
      <c r="F41" s="9">
        <v>12</v>
      </c>
      <c r="G41" s="9" t="s">
        <v>148</v>
      </c>
      <c r="H41" s="9" t="s">
        <v>148</v>
      </c>
      <c r="I41" s="9" t="s">
        <v>148</v>
      </c>
      <c r="J41" s="9" t="s">
        <v>147</v>
      </c>
      <c r="K41" s="9" t="s">
        <v>147</v>
      </c>
      <c r="L41" s="9">
        <v>12</v>
      </c>
      <c r="M41" s="9">
        <v>240</v>
      </c>
      <c r="N41" s="9" t="s">
        <v>148</v>
      </c>
      <c r="O41" s="9" t="s">
        <v>148</v>
      </c>
      <c r="P41" s="9" t="s">
        <v>148</v>
      </c>
      <c r="Q41" s="9" t="s">
        <v>147</v>
      </c>
      <c r="R41" s="9" t="s">
        <v>147</v>
      </c>
      <c r="S41" s="9" t="s">
        <v>148</v>
      </c>
      <c r="T41" s="9" t="s">
        <v>148</v>
      </c>
      <c r="U41" s="9" t="s">
        <v>148</v>
      </c>
      <c r="V41" s="9" t="s">
        <v>148</v>
      </c>
      <c r="W41" s="9" t="s">
        <v>148</v>
      </c>
      <c r="X41" s="9" t="s">
        <v>147</v>
      </c>
      <c r="Y41" s="9" t="s">
        <v>147</v>
      </c>
      <c r="Z41" s="9" t="s">
        <v>148</v>
      </c>
      <c r="AA41" s="9" t="s">
        <v>148</v>
      </c>
      <c r="AB41" s="9" t="s">
        <v>148</v>
      </c>
      <c r="AC41" s="9">
        <v>25</v>
      </c>
      <c r="AD41" s="9" t="s">
        <v>148</v>
      </c>
      <c r="AE41" s="9" t="s">
        <v>147</v>
      </c>
      <c r="AF41" s="9" t="s">
        <v>147</v>
      </c>
      <c r="AG41" s="9">
        <v>222</v>
      </c>
      <c r="AH41" s="16">
        <f t="shared" si="1"/>
        <v>512</v>
      </c>
      <c r="AI41" s="5">
        <f t="shared" si="0"/>
        <v>0</v>
      </c>
      <c r="AJ41" s="16">
        <f t="shared" si="2"/>
        <v>512</v>
      </c>
      <c r="AK41">
        <f t="shared" si="3"/>
        <v>9450</v>
      </c>
      <c r="AL41">
        <f t="shared" si="4"/>
        <v>8938</v>
      </c>
      <c r="AM41">
        <f t="shared" si="5"/>
        <v>0.94582010582010578</v>
      </c>
      <c r="AN41">
        <f t="shared" si="6"/>
        <v>21</v>
      </c>
      <c r="AO41">
        <f>30-AQ41</f>
        <v>21</v>
      </c>
      <c r="AQ41" s="5">
        <f t="shared" si="8"/>
        <v>9</v>
      </c>
      <c r="AR41" s="5">
        <f t="shared" si="9"/>
        <v>0</v>
      </c>
      <c r="AS41" s="5">
        <f t="shared" si="10"/>
        <v>0</v>
      </c>
      <c r="AT41" s="5">
        <f t="shared" si="11"/>
        <v>0</v>
      </c>
    </row>
    <row r="42" spans="1:46">
      <c r="A42" s="5" t="s">
        <v>84</v>
      </c>
      <c r="B42" s="5" t="s">
        <v>60</v>
      </c>
      <c r="C42" s="5" t="s">
        <v>40</v>
      </c>
      <c r="D42" s="9" t="s">
        <v>147</v>
      </c>
      <c r="E42" s="9" t="s">
        <v>148</v>
      </c>
      <c r="F42" s="9" t="s">
        <v>148</v>
      </c>
      <c r="G42" s="9" t="s">
        <v>148</v>
      </c>
      <c r="H42" s="9">
        <v>48</v>
      </c>
      <c r="I42" s="9" t="s">
        <v>148</v>
      </c>
      <c r="J42" s="9" t="s">
        <v>147</v>
      </c>
      <c r="K42" s="9" t="s">
        <v>147</v>
      </c>
      <c r="L42" s="9" t="s">
        <v>148</v>
      </c>
      <c r="M42" s="9" t="s">
        <v>148</v>
      </c>
      <c r="N42" s="9" t="s">
        <v>148</v>
      </c>
      <c r="O42" s="9" t="s">
        <v>148</v>
      </c>
      <c r="P42" s="9" t="s">
        <v>148</v>
      </c>
      <c r="Q42" s="9" t="s">
        <v>147</v>
      </c>
      <c r="R42" s="9" t="s">
        <v>147</v>
      </c>
      <c r="S42" s="9" t="s">
        <v>148</v>
      </c>
      <c r="T42" s="9" t="s">
        <v>148</v>
      </c>
      <c r="U42" s="9">
        <v>50</v>
      </c>
      <c r="V42" s="9" t="s">
        <v>148</v>
      </c>
      <c r="W42" s="9" t="s">
        <v>148</v>
      </c>
      <c r="X42" s="9" t="s">
        <v>147</v>
      </c>
      <c r="Y42" s="9" t="s">
        <v>147</v>
      </c>
      <c r="Z42" s="48">
        <v>17</v>
      </c>
      <c r="AA42" s="48" t="s">
        <v>148</v>
      </c>
      <c r="AB42" s="48" t="s">
        <v>148</v>
      </c>
      <c r="AC42" s="48" t="s">
        <v>148</v>
      </c>
      <c r="AD42" s="48" t="s">
        <v>148</v>
      </c>
      <c r="AE42" s="9" t="s">
        <v>147</v>
      </c>
      <c r="AF42" s="9" t="s">
        <v>147</v>
      </c>
      <c r="AG42" s="9" t="s">
        <v>148</v>
      </c>
      <c r="AH42" s="16">
        <f t="shared" si="1"/>
        <v>115</v>
      </c>
      <c r="AI42" s="5">
        <f t="shared" si="0"/>
        <v>0</v>
      </c>
      <c r="AJ42" s="16">
        <f t="shared" si="2"/>
        <v>115</v>
      </c>
      <c r="AK42">
        <f t="shared" si="3"/>
        <v>9450</v>
      </c>
      <c r="AL42">
        <f t="shared" si="4"/>
        <v>9335</v>
      </c>
      <c r="AM42">
        <f t="shared" si="5"/>
        <v>0.98783068783068784</v>
      </c>
      <c r="AN42">
        <f t="shared" si="6"/>
        <v>21</v>
      </c>
      <c r="AO42">
        <f t="shared" si="7"/>
        <v>21</v>
      </c>
      <c r="AQ42" s="5">
        <f t="shared" si="8"/>
        <v>9</v>
      </c>
      <c r="AR42" s="5">
        <f t="shared" si="9"/>
        <v>0</v>
      </c>
      <c r="AS42" s="5">
        <f t="shared" si="10"/>
        <v>0</v>
      </c>
      <c r="AT42" s="5">
        <f t="shared" si="11"/>
        <v>0</v>
      </c>
    </row>
    <row r="43" spans="1:46">
      <c r="A43" s="5" t="s">
        <v>85</v>
      </c>
      <c r="B43" s="5" t="s">
        <v>22</v>
      </c>
      <c r="C43" s="5" t="s">
        <v>63</v>
      </c>
      <c r="D43" s="9" t="s">
        <v>148</v>
      </c>
      <c r="E43" s="9">
        <v>10</v>
      </c>
      <c r="F43" s="9" t="s">
        <v>148</v>
      </c>
      <c r="G43" s="9" t="s">
        <v>148</v>
      </c>
      <c r="H43" s="9">
        <v>10</v>
      </c>
      <c r="I43" s="9" t="s">
        <v>148</v>
      </c>
      <c r="J43" s="9" t="s">
        <v>147</v>
      </c>
      <c r="K43" s="9" t="s">
        <v>147</v>
      </c>
      <c r="L43" s="9" t="s">
        <v>148</v>
      </c>
      <c r="M43" s="9" t="s">
        <v>148</v>
      </c>
      <c r="N43" s="9" t="s">
        <v>148</v>
      </c>
      <c r="O43" s="9" t="s">
        <v>148</v>
      </c>
      <c r="P43" s="9">
        <v>17</v>
      </c>
      <c r="Q43" s="9" t="s">
        <v>147</v>
      </c>
      <c r="R43" s="9" t="s">
        <v>147</v>
      </c>
      <c r="S43" s="9" t="s">
        <v>148</v>
      </c>
      <c r="T43" s="9" t="s">
        <v>148</v>
      </c>
      <c r="U43" s="9" t="s">
        <v>148</v>
      </c>
      <c r="V43" s="9" t="s">
        <v>148</v>
      </c>
      <c r="W43" s="9" t="s">
        <v>148</v>
      </c>
      <c r="X43" s="9" t="s">
        <v>147</v>
      </c>
      <c r="Y43" s="9" t="s">
        <v>147</v>
      </c>
      <c r="Z43" s="9">
        <v>20</v>
      </c>
      <c r="AA43" s="9" t="s">
        <v>148</v>
      </c>
      <c r="AB43" s="9" t="s">
        <v>148</v>
      </c>
      <c r="AC43" s="9" t="s">
        <v>148</v>
      </c>
      <c r="AD43" s="9">
        <v>450</v>
      </c>
      <c r="AE43" s="9" t="s">
        <v>147</v>
      </c>
      <c r="AF43" s="9" t="s">
        <v>147</v>
      </c>
      <c r="AG43" s="9" t="s">
        <v>148</v>
      </c>
      <c r="AH43" s="16">
        <v>57</v>
      </c>
      <c r="AI43" s="5">
        <f t="shared" si="0"/>
        <v>450</v>
      </c>
      <c r="AJ43" s="16">
        <f t="shared" si="2"/>
        <v>507</v>
      </c>
      <c r="AK43">
        <f t="shared" si="3"/>
        <v>9900</v>
      </c>
      <c r="AL43">
        <f t="shared" si="4"/>
        <v>9393</v>
      </c>
      <c r="AM43">
        <f t="shared" si="5"/>
        <v>0.94878787878787874</v>
      </c>
      <c r="AN43">
        <f t="shared" si="6"/>
        <v>22</v>
      </c>
      <c r="AO43">
        <f t="shared" si="7"/>
        <v>22</v>
      </c>
      <c r="AQ43" s="5">
        <f t="shared" si="8"/>
        <v>8</v>
      </c>
      <c r="AR43" s="5">
        <f t="shared" si="9"/>
        <v>0</v>
      </c>
      <c r="AS43" s="5">
        <f t="shared" si="10"/>
        <v>0</v>
      </c>
      <c r="AT43" s="5">
        <f t="shared" si="11"/>
        <v>1</v>
      </c>
    </row>
    <row r="44" spans="1:46">
      <c r="A44" s="7" t="s">
        <v>86</v>
      </c>
      <c r="B44" s="5" t="s">
        <v>26</v>
      </c>
      <c r="C44" s="34" t="s">
        <v>56</v>
      </c>
      <c r="D44" s="9" t="s">
        <v>147</v>
      </c>
      <c r="E44" s="9" t="s">
        <v>148</v>
      </c>
      <c r="F44" s="9" t="s">
        <v>148</v>
      </c>
      <c r="G44" s="9" t="s">
        <v>148</v>
      </c>
      <c r="H44" s="9" t="s">
        <v>148</v>
      </c>
      <c r="I44" s="9" t="s">
        <v>148</v>
      </c>
      <c r="J44" s="9" t="s">
        <v>147</v>
      </c>
      <c r="K44" s="9" t="s">
        <v>147</v>
      </c>
      <c r="L44" s="9" t="s">
        <v>148</v>
      </c>
      <c r="M44" s="9" t="s">
        <v>148</v>
      </c>
      <c r="N44" s="9" t="s">
        <v>148</v>
      </c>
      <c r="O44" s="9" t="s">
        <v>148</v>
      </c>
      <c r="P44" s="9" t="s">
        <v>148</v>
      </c>
      <c r="Q44" s="9" t="s">
        <v>147</v>
      </c>
      <c r="R44" s="9" t="s">
        <v>147</v>
      </c>
      <c r="S44" s="9" t="s">
        <v>148</v>
      </c>
      <c r="T44" s="9" t="s">
        <v>148</v>
      </c>
      <c r="U44" s="9" t="s">
        <v>148</v>
      </c>
      <c r="V44" s="9" t="s">
        <v>14</v>
      </c>
      <c r="W44" s="9" t="s">
        <v>148</v>
      </c>
      <c r="X44" s="9" t="s">
        <v>147</v>
      </c>
      <c r="Y44" s="9" t="s">
        <v>147</v>
      </c>
      <c r="Z44" s="9">
        <v>450</v>
      </c>
      <c r="AA44" s="9">
        <v>450</v>
      </c>
      <c r="AB44" s="9" t="s">
        <v>148</v>
      </c>
      <c r="AC44" s="9" t="s">
        <v>148</v>
      </c>
      <c r="AD44" s="9" t="s">
        <v>148</v>
      </c>
      <c r="AE44" s="9" t="s">
        <v>147</v>
      </c>
      <c r="AF44" s="9" t="s">
        <v>147</v>
      </c>
      <c r="AG44" s="9">
        <v>5</v>
      </c>
      <c r="AH44" s="16">
        <v>5</v>
      </c>
      <c r="AI44" s="5">
        <f t="shared" si="0"/>
        <v>900</v>
      </c>
      <c r="AJ44" s="16">
        <f t="shared" si="2"/>
        <v>905</v>
      </c>
      <c r="AK44">
        <f t="shared" si="3"/>
        <v>9000</v>
      </c>
      <c r="AL44">
        <f t="shared" si="4"/>
        <v>8095</v>
      </c>
      <c r="AM44">
        <f t="shared" si="5"/>
        <v>0.89944444444444449</v>
      </c>
      <c r="AN44">
        <f t="shared" si="6"/>
        <v>20</v>
      </c>
      <c r="AO44">
        <f t="shared" si="7"/>
        <v>21</v>
      </c>
      <c r="AQ44" s="5">
        <f t="shared" si="8"/>
        <v>9</v>
      </c>
      <c r="AR44" s="5">
        <f t="shared" si="9"/>
        <v>0</v>
      </c>
      <c r="AS44" s="5">
        <f t="shared" si="10"/>
        <v>1</v>
      </c>
      <c r="AT44" s="5">
        <f t="shared" si="11"/>
        <v>2</v>
      </c>
    </row>
    <row r="45" spans="1:46">
      <c r="A45" s="7" t="s">
        <v>87</v>
      </c>
      <c r="B45" s="5" t="s">
        <v>26</v>
      </c>
      <c r="C45" s="34" t="s">
        <v>33</v>
      </c>
      <c r="D45" s="9" t="s">
        <v>147</v>
      </c>
      <c r="E45" s="9" t="s">
        <v>148</v>
      </c>
      <c r="F45" s="9" t="s">
        <v>148</v>
      </c>
      <c r="G45" s="9" t="s">
        <v>148</v>
      </c>
      <c r="H45" s="9" t="s">
        <v>148</v>
      </c>
      <c r="I45" s="9" t="s">
        <v>148</v>
      </c>
      <c r="J45" s="9" t="s">
        <v>147</v>
      </c>
      <c r="K45" s="9" t="s">
        <v>147</v>
      </c>
      <c r="L45" s="9" t="s">
        <v>148</v>
      </c>
      <c r="M45" s="9">
        <v>5</v>
      </c>
      <c r="N45" s="9" t="s">
        <v>148</v>
      </c>
      <c r="O45" s="9" t="s">
        <v>148</v>
      </c>
      <c r="P45" s="9">
        <v>5</v>
      </c>
      <c r="Q45" s="9" t="s">
        <v>147</v>
      </c>
      <c r="R45" s="9" t="s">
        <v>147</v>
      </c>
      <c r="S45" s="9" t="s">
        <v>148</v>
      </c>
      <c r="T45" s="9">
        <v>54</v>
      </c>
      <c r="U45" s="9">
        <v>10</v>
      </c>
      <c r="V45" s="9" t="s">
        <v>148</v>
      </c>
      <c r="W45" s="9" t="s">
        <v>148</v>
      </c>
      <c r="X45" s="9" t="s">
        <v>147</v>
      </c>
      <c r="Y45" s="9" t="s">
        <v>147</v>
      </c>
      <c r="Z45" s="9">
        <v>44</v>
      </c>
      <c r="AA45" s="9">
        <v>450</v>
      </c>
      <c r="AB45" s="9">
        <v>57</v>
      </c>
      <c r="AC45" s="9" t="s">
        <v>148</v>
      </c>
      <c r="AD45" s="9">
        <v>95</v>
      </c>
      <c r="AE45" s="9" t="s">
        <v>147</v>
      </c>
      <c r="AF45" s="9" t="s">
        <v>147</v>
      </c>
      <c r="AG45" s="9" t="s">
        <v>148</v>
      </c>
      <c r="AH45" s="16">
        <v>270</v>
      </c>
      <c r="AI45" s="5">
        <f t="shared" si="0"/>
        <v>450</v>
      </c>
      <c r="AJ45" s="16">
        <f t="shared" si="2"/>
        <v>720</v>
      </c>
      <c r="AK45">
        <f t="shared" si="3"/>
        <v>9450</v>
      </c>
      <c r="AL45">
        <f t="shared" si="4"/>
        <v>8730</v>
      </c>
      <c r="AM45">
        <f t="shared" si="5"/>
        <v>0.92380952380952386</v>
      </c>
      <c r="AN45">
        <f t="shared" si="6"/>
        <v>21</v>
      </c>
      <c r="AO45">
        <f t="shared" si="7"/>
        <v>21</v>
      </c>
      <c r="AQ45" s="5">
        <f t="shared" si="8"/>
        <v>9</v>
      </c>
      <c r="AR45" s="5">
        <f t="shared" si="9"/>
        <v>0</v>
      </c>
      <c r="AS45" s="5">
        <f t="shared" si="10"/>
        <v>0</v>
      </c>
      <c r="AT45" s="5">
        <f t="shared" si="11"/>
        <v>1</v>
      </c>
    </row>
    <row r="46" spans="1:46">
      <c r="A46" s="5" t="s">
        <v>88</v>
      </c>
      <c r="B46" s="5" t="s">
        <v>22</v>
      </c>
      <c r="C46" s="5" t="s">
        <v>25</v>
      </c>
      <c r="D46" s="9" t="s">
        <v>148</v>
      </c>
      <c r="E46" s="9" t="s">
        <v>148</v>
      </c>
      <c r="F46" s="9">
        <v>69</v>
      </c>
      <c r="G46" s="9" t="s">
        <v>148</v>
      </c>
      <c r="H46" s="9" t="s">
        <v>148</v>
      </c>
      <c r="I46" s="9" t="s">
        <v>148</v>
      </c>
      <c r="J46" s="9" t="s">
        <v>147</v>
      </c>
      <c r="K46" s="9" t="s">
        <v>147</v>
      </c>
      <c r="L46" s="9" t="s">
        <v>148</v>
      </c>
      <c r="M46" s="9" t="s">
        <v>148</v>
      </c>
      <c r="N46" s="9" t="s">
        <v>148</v>
      </c>
      <c r="O46" s="9">
        <v>55</v>
      </c>
      <c r="P46" s="9">
        <v>450</v>
      </c>
      <c r="Q46" s="9" t="s">
        <v>147</v>
      </c>
      <c r="R46" s="9" t="s">
        <v>147</v>
      </c>
      <c r="S46" s="9" t="s">
        <v>148</v>
      </c>
      <c r="T46" s="9" t="s">
        <v>148</v>
      </c>
      <c r="U46" s="9">
        <v>11</v>
      </c>
      <c r="V46" s="9">
        <v>96</v>
      </c>
      <c r="W46" s="9" t="s">
        <v>148</v>
      </c>
      <c r="X46" s="9" t="s">
        <v>147</v>
      </c>
      <c r="Y46" s="9" t="s">
        <v>147</v>
      </c>
      <c r="Z46" s="9">
        <v>20</v>
      </c>
      <c r="AA46" s="9" t="s">
        <v>148</v>
      </c>
      <c r="AB46" s="9" t="s">
        <v>148</v>
      </c>
      <c r="AC46" s="9" t="s">
        <v>148</v>
      </c>
      <c r="AD46" s="9">
        <v>11</v>
      </c>
      <c r="AE46" s="9" t="s">
        <v>147</v>
      </c>
      <c r="AF46" s="9" t="s">
        <v>147</v>
      </c>
      <c r="AG46" s="9" t="s">
        <v>148</v>
      </c>
      <c r="AH46" s="16">
        <v>262</v>
      </c>
      <c r="AI46" s="5">
        <f t="shared" si="0"/>
        <v>450</v>
      </c>
      <c r="AJ46" s="16">
        <f t="shared" si="2"/>
        <v>712</v>
      </c>
      <c r="AK46">
        <f t="shared" si="3"/>
        <v>9900</v>
      </c>
      <c r="AL46">
        <f t="shared" si="4"/>
        <v>9188</v>
      </c>
      <c r="AM46">
        <f t="shared" si="5"/>
        <v>0.92808080808080806</v>
      </c>
      <c r="AN46">
        <f t="shared" si="6"/>
        <v>22</v>
      </c>
      <c r="AO46">
        <f t="shared" si="7"/>
        <v>22</v>
      </c>
      <c r="AQ46" s="5">
        <f t="shared" si="8"/>
        <v>8</v>
      </c>
      <c r="AR46" s="5">
        <f t="shared" si="9"/>
        <v>0</v>
      </c>
      <c r="AS46" s="5">
        <f t="shared" si="10"/>
        <v>0</v>
      </c>
      <c r="AT46" s="5">
        <f t="shared" si="11"/>
        <v>1</v>
      </c>
    </row>
    <row r="47" spans="1:46">
      <c r="A47" s="7" t="s">
        <v>89</v>
      </c>
      <c r="B47" s="5" t="s">
        <v>26</v>
      </c>
      <c r="C47" s="34" t="s">
        <v>40</v>
      </c>
      <c r="D47" s="9" t="s">
        <v>147</v>
      </c>
      <c r="E47" s="9">
        <v>6</v>
      </c>
      <c r="F47" s="9" t="s">
        <v>148</v>
      </c>
      <c r="G47" s="9" t="s">
        <v>148</v>
      </c>
      <c r="H47" s="9" t="s">
        <v>148</v>
      </c>
      <c r="I47" s="9" t="s">
        <v>148</v>
      </c>
      <c r="J47" s="9" t="s">
        <v>147</v>
      </c>
      <c r="K47" s="9" t="s">
        <v>147</v>
      </c>
      <c r="L47" s="9" t="s">
        <v>148</v>
      </c>
      <c r="M47" s="9" t="s">
        <v>148</v>
      </c>
      <c r="N47" s="9" t="s">
        <v>148</v>
      </c>
      <c r="O47" s="9" t="s">
        <v>148</v>
      </c>
      <c r="P47" s="9" t="s">
        <v>12</v>
      </c>
      <c r="Q47" s="9" t="s">
        <v>147</v>
      </c>
      <c r="R47" s="9" t="s">
        <v>147</v>
      </c>
      <c r="S47" s="9" t="s">
        <v>148</v>
      </c>
      <c r="T47" s="9" t="s">
        <v>148</v>
      </c>
      <c r="U47" s="9" t="s">
        <v>148</v>
      </c>
      <c r="V47" s="9" t="s">
        <v>148</v>
      </c>
      <c r="W47" s="9" t="s">
        <v>148</v>
      </c>
      <c r="X47" s="9" t="s">
        <v>147</v>
      </c>
      <c r="Y47" s="9" t="s">
        <v>147</v>
      </c>
      <c r="Z47" s="9" t="s">
        <v>148</v>
      </c>
      <c r="AA47" s="9" t="s">
        <v>148</v>
      </c>
      <c r="AB47" s="9" t="s">
        <v>148</v>
      </c>
      <c r="AC47" s="9" t="s">
        <v>148</v>
      </c>
      <c r="AD47" s="9" t="s">
        <v>148</v>
      </c>
      <c r="AE47" s="9" t="s">
        <v>147</v>
      </c>
      <c r="AF47" s="9" t="s">
        <v>147</v>
      </c>
      <c r="AG47" s="9" t="s">
        <v>148</v>
      </c>
      <c r="AH47" s="16">
        <f t="shared" si="1"/>
        <v>6</v>
      </c>
      <c r="AI47" s="5">
        <f t="shared" si="0"/>
        <v>0</v>
      </c>
      <c r="AJ47" s="16">
        <f t="shared" si="2"/>
        <v>6</v>
      </c>
      <c r="AK47">
        <f t="shared" si="3"/>
        <v>9000</v>
      </c>
      <c r="AL47">
        <f t="shared" si="4"/>
        <v>8994</v>
      </c>
      <c r="AM47">
        <f t="shared" si="5"/>
        <v>0.9993333333333333</v>
      </c>
      <c r="AN47">
        <f t="shared" si="6"/>
        <v>20</v>
      </c>
      <c r="AO47">
        <f t="shared" si="7"/>
        <v>21</v>
      </c>
      <c r="AQ47" s="5">
        <f t="shared" si="8"/>
        <v>9</v>
      </c>
      <c r="AR47" s="5">
        <f t="shared" si="9"/>
        <v>1</v>
      </c>
      <c r="AS47" s="5">
        <f t="shared" si="10"/>
        <v>0</v>
      </c>
      <c r="AT47" s="5">
        <f t="shared" si="11"/>
        <v>0</v>
      </c>
    </row>
    <row r="48" spans="1:46">
      <c r="A48" s="5" t="s">
        <v>90</v>
      </c>
      <c r="B48" s="5" t="s">
        <v>37</v>
      </c>
      <c r="C48" s="5" t="s">
        <v>40</v>
      </c>
      <c r="D48" s="9" t="s">
        <v>147</v>
      </c>
      <c r="E48" s="9" t="s">
        <v>147</v>
      </c>
      <c r="F48" s="9" t="s">
        <v>148</v>
      </c>
      <c r="G48" s="9" t="s">
        <v>148</v>
      </c>
      <c r="H48" s="9" t="s">
        <v>148</v>
      </c>
      <c r="I48" s="9" t="s">
        <v>148</v>
      </c>
      <c r="J48" s="9" t="s">
        <v>14</v>
      </c>
      <c r="K48" s="9" t="s">
        <v>147</v>
      </c>
      <c r="L48" s="9" t="s">
        <v>147</v>
      </c>
      <c r="M48" s="9" t="s">
        <v>148</v>
      </c>
      <c r="N48" s="9" t="s">
        <v>148</v>
      </c>
      <c r="O48" s="9" t="s">
        <v>148</v>
      </c>
      <c r="P48" s="9" t="s">
        <v>148</v>
      </c>
      <c r="Q48" s="9">
        <v>450</v>
      </c>
      <c r="R48" s="9" t="s">
        <v>147</v>
      </c>
      <c r="S48" s="9" t="s">
        <v>147</v>
      </c>
      <c r="T48" s="9" t="s">
        <v>148</v>
      </c>
      <c r="U48" s="9">
        <v>12</v>
      </c>
      <c r="V48" s="9" t="s">
        <v>148</v>
      </c>
      <c r="W48" s="9" t="s">
        <v>148</v>
      </c>
      <c r="X48" s="9" t="s">
        <v>148</v>
      </c>
      <c r="Y48" s="9" t="s">
        <v>147</v>
      </c>
      <c r="Z48" s="9" t="s">
        <v>147</v>
      </c>
      <c r="AA48" s="9" t="s">
        <v>148</v>
      </c>
      <c r="AB48" s="9" t="s">
        <v>148</v>
      </c>
      <c r="AC48" s="9" t="s">
        <v>148</v>
      </c>
      <c r="AD48" s="9" t="s">
        <v>148</v>
      </c>
      <c r="AE48" s="9" t="s">
        <v>148</v>
      </c>
      <c r="AF48" s="9" t="s">
        <v>147</v>
      </c>
      <c r="AG48" s="9" t="s">
        <v>147</v>
      </c>
      <c r="AH48" s="16">
        <v>12</v>
      </c>
      <c r="AI48" s="5">
        <f t="shared" si="0"/>
        <v>450</v>
      </c>
      <c r="AJ48" s="16">
        <f t="shared" si="2"/>
        <v>462</v>
      </c>
      <c r="AK48">
        <f t="shared" si="3"/>
        <v>9000</v>
      </c>
      <c r="AL48">
        <f t="shared" si="4"/>
        <v>8538</v>
      </c>
      <c r="AM48">
        <f t="shared" si="5"/>
        <v>0.94866666666666666</v>
      </c>
      <c r="AN48">
        <f t="shared" si="6"/>
        <v>20</v>
      </c>
      <c r="AO48">
        <f t="shared" si="7"/>
        <v>21</v>
      </c>
      <c r="AQ48" s="5">
        <f t="shared" si="8"/>
        <v>9</v>
      </c>
      <c r="AR48" s="5">
        <f t="shared" si="9"/>
        <v>0</v>
      </c>
      <c r="AS48" s="5">
        <f t="shared" si="10"/>
        <v>1</v>
      </c>
      <c r="AT48" s="5">
        <f t="shared" si="11"/>
        <v>1</v>
      </c>
    </row>
    <row r="49" spans="1:46">
      <c r="A49" s="5" t="s">
        <v>91</v>
      </c>
      <c r="B49" s="5" t="s">
        <v>22</v>
      </c>
      <c r="C49" s="5" t="s">
        <v>30</v>
      </c>
      <c r="D49" s="9" t="s">
        <v>148</v>
      </c>
      <c r="E49" s="9" t="s">
        <v>148</v>
      </c>
      <c r="F49" s="9" t="s">
        <v>148</v>
      </c>
      <c r="G49" s="9" t="s">
        <v>148</v>
      </c>
      <c r="H49" s="9" t="s">
        <v>148</v>
      </c>
      <c r="I49" s="9" t="s">
        <v>148</v>
      </c>
      <c r="J49" s="9" t="s">
        <v>147</v>
      </c>
      <c r="K49" s="9" t="s">
        <v>147</v>
      </c>
      <c r="L49" s="9" t="s">
        <v>148</v>
      </c>
      <c r="M49" s="9" t="s">
        <v>148</v>
      </c>
      <c r="N49" s="9" t="s">
        <v>148</v>
      </c>
      <c r="O49" s="9" t="s">
        <v>148</v>
      </c>
      <c r="P49" s="9" t="s">
        <v>148</v>
      </c>
      <c r="Q49" s="9" t="s">
        <v>147</v>
      </c>
      <c r="R49" s="9" t="s">
        <v>147</v>
      </c>
      <c r="S49" s="9" t="s">
        <v>148</v>
      </c>
      <c r="T49" s="9">
        <v>450</v>
      </c>
      <c r="U49" s="9" t="s">
        <v>148</v>
      </c>
      <c r="V49" s="9" t="s">
        <v>148</v>
      </c>
      <c r="W49" s="9" t="s">
        <v>148</v>
      </c>
      <c r="X49" s="9" t="s">
        <v>147</v>
      </c>
      <c r="Y49" s="9" t="s">
        <v>147</v>
      </c>
      <c r="Z49" s="9" t="s">
        <v>148</v>
      </c>
      <c r="AA49" s="9">
        <v>1</v>
      </c>
      <c r="AB49" s="9" t="s">
        <v>148</v>
      </c>
      <c r="AC49" s="9" t="s">
        <v>148</v>
      </c>
      <c r="AD49" s="9" t="s">
        <v>148</v>
      </c>
      <c r="AE49" s="9" t="s">
        <v>147</v>
      </c>
      <c r="AF49" s="9" t="s">
        <v>147</v>
      </c>
      <c r="AG49" s="9" t="s">
        <v>148</v>
      </c>
      <c r="AH49" s="16">
        <v>1</v>
      </c>
      <c r="AI49" s="5">
        <f t="shared" si="0"/>
        <v>450</v>
      </c>
      <c r="AJ49" s="16">
        <f t="shared" si="2"/>
        <v>451</v>
      </c>
      <c r="AK49">
        <f t="shared" si="3"/>
        <v>9900</v>
      </c>
      <c r="AL49">
        <f t="shared" si="4"/>
        <v>9449</v>
      </c>
      <c r="AM49">
        <f t="shared" si="5"/>
        <v>0.95444444444444443</v>
      </c>
      <c r="AN49">
        <f t="shared" si="6"/>
        <v>22</v>
      </c>
      <c r="AO49">
        <f t="shared" si="7"/>
        <v>22</v>
      </c>
      <c r="AQ49" s="5">
        <f t="shared" si="8"/>
        <v>8</v>
      </c>
      <c r="AR49" s="5">
        <f t="shared" si="9"/>
        <v>0</v>
      </c>
      <c r="AS49" s="5">
        <f t="shared" si="10"/>
        <v>0</v>
      </c>
      <c r="AT49" s="5">
        <f t="shared" si="11"/>
        <v>1</v>
      </c>
    </row>
    <row r="50" spans="1:46">
      <c r="A50" s="5" t="s">
        <v>178</v>
      </c>
      <c r="B50" s="5" t="s">
        <v>22</v>
      </c>
      <c r="C50" s="5" t="s">
        <v>33</v>
      </c>
      <c r="D50" s="9" t="s">
        <v>148</v>
      </c>
      <c r="E50" s="9">
        <v>1</v>
      </c>
      <c r="F50" s="9" t="s">
        <v>148</v>
      </c>
      <c r="G50" s="9" t="s">
        <v>148</v>
      </c>
      <c r="H50" s="9" t="s">
        <v>148</v>
      </c>
      <c r="I50" s="9" t="s">
        <v>148</v>
      </c>
      <c r="J50" s="9" t="s">
        <v>147</v>
      </c>
      <c r="K50" s="9" t="s">
        <v>147</v>
      </c>
      <c r="L50" s="9" t="s">
        <v>12</v>
      </c>
      <c r="M50" s="9" t="s">
        <v>148</v>
      </c>
      <c r="N50" s="9" t="s">
        <v>148</v>
      </c>
      <c r="O50" s="9" t="s">
        <v>148</v>
      </c>
      <c r="P50" s="9" t="s">
        <v>148</v>
      </c>
      <c r="Q50" s="9" t="s">
        <v>147</v>
      </c>
      <c r="R50" s="9" t="s">
        <v>147</v>
      </c>
      <c r="S50" s="9" t="s">
        <v>148</v>
      </c>
      <c r="T50" s="9" t="s">
        <v>148</v>
      </c>
      <c r="U50" s="9" t="s">
        <v>148</v>
      </c>
      <c r="V50" s="9" t="s">
        <v>148</v>
      </c>
      <c r="W50" s="9" t="s">
        <v>148</v>
      </c>
      <c r="X50" s="9" t="s">
        <v>147</v>
      </c>
      <c r="Y50" s="9" t="s">
        <v>147</v>
      </c>
      <c r="Z50" s="9" t="s">
        <v>148</v>
      </c>
      <c r="AA50" s="9" t="s">
        <v>148</v>
      </c>
      <c r="AB50" s="9" t="s">
        <v>148</v>
      </c>
      <c r="AC50" s="9" t="s">
        <v>148</v>
      </c>
      <c r="AD50" s="9" t="s">
        <v>148</v>
      </c>
      <c r="AE50" s="9" t="s">
        <v>147</v>
      </c>
      <c r="AF50" s="9" t="s">
        <v>147</v>
      </c>
      <c r="AG50" s="9" t="s">
        <v>148</v>
      </c>
      <c r="AH50" s="16">
        <f t="shared" si="1"/>
        <v>1</v>
      </c>
      <c r="AI50" s="5">
        <f t="shared" si="0"/>
        <v>0</v>
      </c>
      <c r="AJ50" s="16">
        <f t="shared" si="2"/>
        <v>1</v>
      </c>
      <c r="AK50">
        <f t="shared" si="3"/>
        <v>9450</v>
      </c>
      <c r="AL50">
        <f t="shared" si="4"/>
        <v>9449</v>
      </c>
      <c r="AM50">
        <f t="shared" si="5"/>
        <v>0.99989417989417995</v>
      </c>
      <c r="AN50">
        <f t="shared" si="6"/>
        <v>21</v>
      </c>
      <c r="AO50">
        <f t="shared" si="7"/>
        <v>22</v>
      </c>
      <c r="AQ50" s="5">
        <f t="shared" si="8"/>
        <v>8</v>
      </c>
      <c r="AR50" s="5">
        <f t="shared" si="9"/>
        <v>1</v>
      </c>
      <c r="AS50" s="5">
        <f t="shared" si="10"/>
        <v>0</v>
      </c>
      <c r="AT50" s="5">
        <f t="shared" si="11"/>
        <v>0</v>
      </c>
    </row>
    <row r="51" spans="1:46">
      <c r="A51" s="5" t="s">
        <v>92</v>
      </c>
      <c r="B51" s="5" t="s">
        <v>22</v>
      </c>
      <c r="C51" s="5" t="s">
        <v>63</v>
      </c>
      <c r="D51" s="9" t="s">
        <v>148</v>
      </c>
      <c r="E51" s="9" t="s">
        <v>148</v>
      </c>
      <c r="F51" s="9" t="s">
        <v>148</v>
      </c>
      <c r="G51" s="9" t="s">
        <v>148</v>
      </c>
      <c r="H51" s="9" t="s">
        <v>148</v>
      </c>
      <c r="I51" s="9" t="s">
        <v>148</v>
      </c>
      <c r="J51" s="9" t="s">
        <v>147</v>
      </c>
      <c r="K51" s="9" t="s">
        <v>147</v>
      </c>
      <c r="L51" s="9" t="s">
        <v>148</v>
      </c>
      <c r="M51" s="9" t="s">
        <v>148</v>
      </c>
      <c r="N51" s="9" t="s">
        <v>148</v>
      </c>
      <c r="O51" s="9" t="s">
        <v>148</v>
      </c>
      <c r="P51" s="9" t="s">
        <v>148</v>
      </c>
      <c r="Q51" s="9" t="s">
        <v>147</v>
      </c>
      <c r="R51" s="9" t="s">
        <v>147</v>
      </c>
      <c r="S51" s="9" t="s">
        <v>148</v>
      </c>
      <c r="T51" s="9" t="s">
        <v>148</v>
      </c>
      <c r="U51" s="9" t="s">
        <v>148</v>
      </c>
      <c r="V51" s="9" t="s">
        <v>148</v>
      </c>
      <c r="W51" s="9" t="s">
        <v>148</v>
      </c>
      <c r="X51" s="9" t="s">
        <v>147</v>
      </c>
      <c r="Y51" s="9" t="s">
        <v>147</v>
      </c>
      <c r="Z51" s="9" t="s">
        <v>148</v>
      </c>
      <c r="AA51" s="9" t="s">
        <v>148</v>
      </c>
      <c r="AB51" s="9" t="s">
        <v>148</v>
      </c>
      <c r="AC51" s="9" t="s">
        <v>148</v>
      </c>
      <c r="AD51" s="9" t="s">
        <v>148</v>
      </c>
      <c r="AE51" s="9" t="s">
        <v>147</v>
      </c>
      <c r="AF51" s="9" t="s">
        <v>147</v>
      </c>
      <c r="AG51" s="9" t="s">
        <v>148</v>
      </c>
      <c r="AH51" s="16">
        <f t="shared" si="1"/>
        <v>0</v>
      </c>
      <c r="AI51" s="5">
        <f t="shared" si="0"/>
        <v>0</v>
      </c>
      <c r="AJ51" s="16">
        <f t="shared" si="2"/>
        <v>0</v>
      </c>
      <c r="AK51">
        <f t="shared" si="3"/>
        <v>9900</v>
      </c>
      <c r="AL51">
        <f t="shared" si="4"/>
        <v>9900</v>
      </c>
      <c r="AM51">
        <f t="shared" si="5"/>
        <v>1</v>
      </c>
      <c r="AN51">
        <f t="shared" si="6"/>
        <v>22</v>
      </c>
      <c r="AO51">
        <f t="shared" si="7"/>
        <v>22</v>
      </c>
      <c r="AQ51" s="5">
        <f t="shared" si="8"/>
        <v>8</v>
      </c>
      <c r="AR51" s="5">
        <f t="shared" si="9"/>
        <v>0</v>
      </c>
      <c r="AS51" s="5">
        <f t="shared" si="10"/>
        <v>0</v>
      </c>
      <c r="AT51" s="5">
        <f t="shared" si="11"/>
        <v>0</v>
      </c>
    </row>
    <row r="52" spans="1:46">
      <c r="A52" s="7" t="s">
        <v>93</v>
      </c>
      <c r="B52" s="5" t="s">
        <v>26</v>
      </c>
      <c r="C52" s="34" t="s">
        <v>56</v>
      </c>
      <c r="D52" s="9" t="s">
        <v>147</v>
      </c>
      <c r="E52" s="9" t="s">
        <v>148</v>
      </c>
      <c r="F52" s="9" t="s">
        <v>148</v>
      </c>
      <c r="G52" s="9" t="s">
        <v>148</v>
      </c>
      <c r="H52" s="9" t="s">
        <v>148</v>
      </c>
      <c r="I52" s="9" t="s">
        <v>148</v>
      </c>
      <c r="J52" s="9" t="s">
        <v>147</v>
      </c>
      <c r="K52" s="9" t="s">
        <v>147</v>
      </c>
      <c r="L52" s="9" t="s">
        <v>148</v>
      </c>
      <c r="M52" s="9" t="s">
        <v>148</v>
      </c>
      <c r="N52" s="9" t="s">
        <v>148</v>
      </c>
      <c r="O52" s="9" t="s">
        <v>148</v>
      </c>
      <c r="P52" s="9" t="s">
        <v>14</v>
      </c>
      <c r="Q52" s="9" t="s">
        <v>147</v>
      </c>
      <c r="R52" s="9" t="s">
        <v>147</v>
      </c>
      <c r="S52" s="9" t="s">
        <v>148</v>
      </c>
      <c r="T52" s="9" t="s">
        <v>148</v>
      </c>
      <c r="U52" s="9" t="s">
        <v>148</v>
      </c>
      <c r="V52" s="9" t="s">
        <v>148</v>
      </c>
      <c r="W52" s="9" t="s">
        <v>148</v>
      </c>
      <c r="X52" s="9" t="s">
        <v>147</v>
      </c>
      <c r="Y52" s="9" t="s">
        <v>147</v>
      </c>
      <c r="Z52" s="9" t="s">
        <v>148</v>
      </c>
      <c r="AA52" s="9" t="s">
        <v>148</v>
      </c>
      <c r="AB52" s="9" t="s">
        <v>148</v>
      </c>
      <c r="AC52" s="9" t="s">
        <v>148</v>
      </c>
      <c r="AD52" s="9" t="s">
        <v>148</v>
      </c>
      <c r="AE52" s="9" t="s">
        <v>147</v>
      </c>
      <c r="AF52" s="9" t="s">
        <v>147</v>
      </c>
      <c r="AG52" s="9" t="s">
        <v>148</v>
      </c>
      <c r="AH52" s="16">
        <f t="shared" si="1"/>
        <v>0</v>
      </c>
      <c r="AI52" s="5">
        <f t="shared" si="0"/>
        <v>0</v>
      </c>
      <c r="AJ52" s="16">
        <f t="shared" si="2"/>
        <v>0</v>
      </c>
      <c r="AK52">
        <f t="shared" si="3"/>
        <v>9000</v>
      </c>
      <c r="AL52">
        <f t="shared" si="4"/>
        <v>9000</v>
      </c>
      <c r="AM52">
        <f t="shared" si="5"/>
        <v>1</v>
      </c>
      <c r="AN52">
        <f t="shared" si="6"/>
        <v>20</v>
      </c>
      <c r="AO52">
        <f t="shared" si="7"/>
        <v>21</v>
      </c>
      <c r="AQ52" s="5">
        <f t="shared" si="8"/>
        <v>9</v>
      </c>
      <c r="AR52" s="5">
        <f t="shared" si="9"/>
        <v>0</v>
      </c>
      <c r="AS52" s="5">
        <f t="shared" si="10"/>
        <v>1</v>
      </c>
      <c r="AT52" s="5">
        <f t="shared" si="11"/>
        <v>0</v>
      </c>
    </row>
    <row r="53" spans="1:46">
      <c r="A53" s="7" t="s">
        <v>94</v>
      </c>
      <c r="B53" s="5" t="s">
        <v>57</v>
      </c>
      <c r="C53" s="5" t="s">
        <v>40</v>
      </c>
      <c r="D53" s="9" t="s">
        <v>147</v>
      </c>
      <c r="E53" s="9">
        <v>450</v>
      </c>
      <c r="F53" s="9" t="s">
        <v>148</v>
      </c>
      <c r="G53" s="9" t="s">
        <v>148</v>
      </c>
      <c r="H53" s="9" t="s">
        <v>148</v>
      </c>
      <c r="I53" s="9" t="s">
        <v>148</v>
      </c>
      <c r="J53" s="9" t="s">
        <v>147</v>
      </c>
      <c r="K53" s="9" t="s">
        <v>147</v>
      </c>
      <c r="L53" s="9">
        <v>6</v>
      </c>
      <c r="M53" s="9" t="s">
        <v>148</v>
      </c>
      <c r="N53" s="9" t="s">
        <v>148</v>
      </c>
      <c r="O53" s="9">
        <v>2</v>
      </c>
      <c r="P53" s="9">
        <v>70</v>
      </c>
      <c r="Q53" s="9" t="s">
        <v>147</v>
      </c>
      <c r="R53" s="9" t="s">
        <v>147</v>
      </c>
      <c r="S53" s="9">
        <v>450</v>
      </c>
      <c r="T53" s="9" t="s">
        <v>148</v>
      </c>
      <c r="U53" s="9">
        <v>1</v>
      </c>
      <c r="V53" s="9">
        <v>4</v>
      </c>
      <c r="W53" s="9" t="s">
        <v>148</v>
      </c>
      <c r="X53" s="9" t="s">
        <v>147</v>
      </c>
      <c r="Y53" s="48" t="s">
        <v>147</v>
      </c>
      <c r="Z53" s="48">
        <v>13</v>
      </c>
      <c r="AA53" s="48" t="s">
        <v>148</v>
      </c>
      <c r="AB53" s="48">
        <v>2</v>
      </c>
      <c r="AC53" s="48" t="s">
        <v>148</v>
      </c>
      <c r="AD53" s="48" t="s">
        <v>148</v>
      </c>
      <c r="AE53" s="9" t="s">
        <v>147</v>
      </c>
      <c r="AF53" s="9" t="s">
        <v>147</v>
      </c>
      <c r="AG53" s="9">
        <v>42</v>
      </c>
      <c r="AH53" s="16">
        <v>140</v>
      </c>
      <c r="AI53" s="5">
        <f t="shared" si="0"/>
        <v>900</v>
      </c>
      <c r="AJ53" s="16">
        <f t="shared" si="2"/>
        <v>1040</v>
      </c>
      <c r="AK53">
        <f t="shared" si="3"/>
        <v>9450</v>
      </c>
      <c r="AL53">
        <f t="shared" si="4"/>
        <v>8410</v>
      </c>
      <c r="AM53">
        <f t="shared" si="5"/>
        <v>0.88994708994708993</v>
      </c>
      <c r="AN53">
        <f t="shared" si="6"/>
        <v>21</v>
      </c>
      <c r="AO53">
        <f t="shared" si="7"/>
        <v>21</v>
      </c>
      <c r="AQ53" s="5">
        <f t="shared" si="8"/>
        <v>9</v>
      </c>
      <c r="AR53" s="5">
        <f t="shared" si="9"/>
        <v>0</v>
      </c>
      <c r="AS53" s="5">
        <f t="shared" si="10"/>
        <v>0</v>
      </c>
      <c r="AT53" s="5">
        <f t="shared" si="11"/>
        <v>2</v>
      </c>
    </row>
    <row r="54" spans="1:46">
      <c r="A54" s="7" t="s">
        <v>95</v>
      </c>
      <c r="B54" s="5" t="s">
        <v>26</v>
      </c>
      <c r="C54" s="34" t="s">
        <v>33</v>
      </c>
      <c r="D54" s="9" t="s">
        <v>147</v>
      </c>
      <c r="E54" s="9" t="s">
        <v>148</v>
      </c>
      <c r="F54" s="9" t="s">
        <v>148</v>
      </c>
      <c r="G54" s="9" t="s">
        <v>148</v>
      </c>
      <c r="H54" s="9" t="s">
        <v>148</v>
      </c>
      <c r="I54" s="9" t="s">
        <v>148</v>
      </c>
      <c r="J54" s="9" t="s">
        <v>147</v>
      </c>
      <c r="K54" s="9" t="s">
        <v>147</v>
      </c>
      <c r="L54" s="9" t="s">
        <v>174</v>
      </c>
      <c r="M54" s="9">
        <v>59</v>
      </c>
      <c r="N54" s="9" t="s">
        <v>174</v>
      </c>
      <c r="O54" s="9" t="s">
        <v>174</v>
      </c>
      <c r="P54" s="9" t="s">
        <v>174</v>
      </c>
      <c r="Q54" s="9" t="s">
        <v>147</v>
      </c>
      <c r="R54" s="9" t="s">
        <v>147</v>
      </c>
      <c r="S54" s="9">
        <v>450</v>
      </c>
      <c r="T54" s="9">
        <v>450</v>
      </c>
      <c r="U54" s="9">
        <v>450</v>
      </c>
      <c r="V54" s="9">
        <v>450</v>
      </c>
      <c r="W54" s="9">
        <v>450</v>
      </c>
      <c r="X54" s="9" t="s">
        <v>147</v>
      </c>
      <c r="Y54" s="9" t="s">
        <v>147</v>
      </c>
      <c r="Z54" s="49">
        <v>450</v>
      </c>
      <c r="AA54" s="49">
        <v>450</v>
      </c>
      <c r="AB54" s="49">
        <v>450</v>
      </c>
      <c r="AC54" s="49">
        <v>450</v>
      </c>
      <c r="AD54" s="49">
        <v>450</v>
      </c>
      <c r="AE54" s="9" t="s">
        <v>147</v>
      </c>
      <c r="AF54" s="9" t="s">
        <v>147</v>
      </c>
      <c r="AG54" s="51">
        <v>450</v>
      </c>
      <c r="AH54" s="16">
        <v>59</v>
      </c>
      <c r="AI54" s="5">
        <f t="shared" si="0"/>
        <v>4950</v>
      </c>
      <c r="AJ54" s="16">
        <f t="shared" si="2"/>
        <v>5009</v>
      </c>
      <c r="AK54">
        <f t="shared" si="3"/>
        <v>9450</v>
      </c>
      <c r="AL54">
        <f t="shared" si="4"/>
        <v>4441</v>
      </c>
      <c r="AM54">
        <f t="shared" si="5"/>
        <v>0.46994708994708995</v>
      </c>
      <c r="AN54">
        <f t="shared" si="6"/>
        <v>21</v>
      </c>
      <c r="AO54">
        <f t="shared" si="7"/>
        <v>21</v>
      </c>
      <c r="AQ54" s="5">
        <f t="shared" si="8"/>
        <v>9</v>
      </c>
      <c r="AR54" s="5">
        <f t="shared" si="9"/>
        <v>0</v>
      </c>
      <c r="AS54" s="5">
        <f t="shared" si="10"/>
        <v>0</v>
      </c>
      <c r="AT54" s="5">
        <f t="shared" si="11"/>
        <v>11</v>
      </c>
    </row>
    <row r="55" spans="1:46">
      <c r="A55" s="5" t="s">
        <v>23</v>
      </c>
      <c r="B55" s="5" t="s">
        <v>22</v>
      </c>
      <c r="C55" s="5" t="s">
        <v>25</v>
      </c>
      <c r="D55" s="9" t="s">
        <v>148</v>
      </c>
      <c r="E55" s="9" t="s">
        <v>148</v>
      </c>
      <c r="F55" s="9" t="s">
        <v>148</v>
      </c>
      <c r="G55" s="9" t="s">
        <v>148</v>
      </c>
      <c r="H55" s="9" t="s">
        <v>148</v>
      </c>
      <c r="I55" s="9" t="s">
        <v>148</v>
      </c>
      <c r="J55" s="9" t="s">
        <v>147</v>
      </c>
      <c r="K55" s="9" t="s">
        <v>147</v>
      </c>
      <c r="L55" s="9" t="s">
        <v>174</v>
      </c>
      <c r="M55" s="9" t="s">
        <v>174</v>
      </c>
      <c r="N55" s="9" t="s">
        <v>174</v>
      </c>
      <c r="O55" s="9" t="s">
        <v>174</v>
      </c>
      <c r="P55" s="9" t="s">
        <v>174</v>
      </c>
      <c r="Q55" s="9" t="s">
        <v>147</v>
      </c>
      <c r="R55" s="9" t="s">
        <v>147</v>
      </c>
      <c r="S55" s="9" t="s">
        <v>148</v>
      </c>
      <c r="T55" s="9" t="s">
        <v>148</v>
      </c>
      <c r="U55" s="9" t="s">
        <v>148</v>
      </c>
      <c r="V55" s="9" t="s">
        <v>148</v>
      </c>
      <c r="W55" s="9" t="s">
        <v>148</v>
      </c>
      <c r="X55" s="9" t="s">
        <v>147</v>
      </c>
      <c r="Y55" s="9" t="s">
        <v>147</v>
      </c>
      <c r="Z55" s="9" t="s">
        <v>148</v>
      </c>
      <c r="AA55" s="9" t="s">
        <v>148</v>
      </c>
      <c r="AB55" s="9" t="s">
        <v>148</v>
      </c>
      <c r="AC55" s="9" t="s">
        <v>148</v>
      </c>
      <c r="AD55" s="9" t="s">
        <v>148</v>
      </c>
      <c r="AE55" s="9" t="s">
        <v>147</v>
      </c>
      <c r="AF55" s="9" t="s">
        <v>147</v>
      </c>
      <c r="AG55" s="9" t="s">
        <v>148</v>
      </c>
      <c r="AH55" s="16">
        <f t="shared" si="1"/>
        <v>0</v>
      </c>
      <c r="AI55" s="5">
        <f t="shared" si="0"/>
        <v>0</v>
      </c>
      <c r="AJ55" s="16">
        <f t="shared" si="2"/>
        <v>0</v>
      </c>
      <c r="AK55">
        <f t="shared" si="3"/>
        <v>9900</v>
      </c>
      <c r="AL55">
        <f t="shared" si="4"/>
        <v>9900</v>
      </c>
      <c r="AM55">
        <f t="shared" si="5"/>
        <v>1</v>
      </c>
      <c r="AN55">
        <f t="shared" si="6"/>
        <v>22</v>
      </c>
      <c r="AO55">
        <f t="shared" si="7"/>
        <v>22</v>
      </c>
      <c r="AQ55" s="5">
        <f t="shared" si="8"/>
        <v>8</v>
      </c>
      <c r="AR55" s="5">
        <f t="shared" si="9"/>
        <v>0</v>
      </c>
      <c r="AS55" s="5">
        <f t="shared" si="10"/>
        <v>0</v>
      </c>
      <c r="AT55" s="5">
        <f t="shared" si="11"/>
        <v>0</v>
      </c>
    </row>
    <row r="56" spans="1:46">
      <c r="A56" s="5" t="s">
        <v>96</v>
      </c>
      <c r="B56" s="5" t="s">
        <v>37</v>
      </c>
      <c r="C56" s="5" t="s">
        <v>40</v>
      </c>
      <c r="D56" s="9" t="s">
        <v>147</v>
      </c>
      <c r="E56" s="9" t="s">
        <v>147</v>
      </c>
      <c r="F56" s="9" t="s">
        <v>148</v>
      </c>
      <c r="G56" s="9" t="s">
        <v>148</v>
      </c>
      <c r="H56" s="9" t="s">
        <v>148</v>
      </c>
      <c r="I56" s="9" t="s">
        <v>148</v>
      </c>
      <c r="J56" s="9" t="s">
        <v>148</v>
      </c>
      <c r="K56" s="9" t="s">
        <v>147</v>
      </c>
      <c r="L56" s="9" t="s">
        <v>147</v>
      </c>
      <c r="M56" s="9" t="s">
        <v>148</v>
      </c>
      <c r="N56" s="9" t="s">
        <v>148</v>
      </c>
      <c r="O56" s="9" t="s">
        <v>148</v>
      </c>
      <c r="P56" s="9" t="s">
        <v>148</v>
      </c>
      <c r="Q56" s="9" t="s">
        <v>148</v>
      </c>
      <c r="R56" s="9" t="s">
        <v>147</v>
      </c>
      <c r="S56" s="9" t="s">
        <v>147</v>
      </c>
      <c r="T56" s="9" t="s">
        <v>148</v>
      </c>
      <c r="U56" s="9" t="s">
        <v>148</v>
      </c>
      <c r="V56" s="9" t="s">
        <v>148</v>
      </c>
      <c r="W56" s="9" t="s">
        <v>148</v>
      </c>
      <c r="X56" s="9" t="s">
        <v>148</v>
      </c>
      <c r="Y56" s="47" t="s">
        <v>147</v>
      </c>
      <c r="Z56" s="47" t="s">
        <v>147</v>
      </c>
      <c r="AA56" s="47" t="s">
        <v>148</v>
      </c>
      <c r="AB56" s="47" t="s">
        <v>148</v>
      </c>
      <c r="AC56" s="47" t="s">
        <v>148</v>
      </c>
      <c r="AD56" s="47" t="s">
        <v>148</v>
      </c>
      <c r="AE56" s="9" t="s">
        <v>148</v>
      </c>
      <c r="AF56" s="9" t="s">
        <v>147</v>
      </c>
      <c r="AG56" s="9" t="s">
        <v>147</v>
      </c>
      <c r="AH56" s="16">
        <f t="shared" si="1"/>
        <v>0</v>
      </c>
      <c r="AI56" s="5">
        <f t="shared" si="0"/>
        <v>0</v>
      </c>
      <c r="AJ56" s="16">
        <f t="shared" si="2"/>
        <v>0</v>
      </c>
      <c r="AK56">
        <f t="shared" si="3"/>
        <v>9450</v>
      </c>
      <c r="AL56">
        <f t="shared" si="4"/>
        <v>9450</v>
      </c>
      <c r="AM56">
        <f t="shared" si="5"/>
        <v>1</v>
      </c>
      <c r="AN56">
        <f t="shared" si="6"/>
        <v>21</v>
      </c>
      <c r="AO56">
        <f t="shared" si="7"/>
        <v>21</v>
      </c>
      <c r="AQ56" s="5">
        <f t="shared" si="8"/>
        <v>9</v>
      </c>
      <c r="AR56" s="5">
        <f t="shared" si="9"/>
        <v>0</v>
      </c>
      <c r="AS56" s="5">
        <f t="shared" si="10"/>
        <v>0</v>
      </c>
      <c r="AT56" s="5">
        <f t="shared" si="11"/>
        <v>0</v>
      </c>
    </row>
    <row r="57" spans="1:46">
      <c r="A57" s="7" t="s">
        <v>97</v>
      </c>
      <c r="B57" s="5" t="s">
        <v>26</v>
      </c>
      <c r="C57" s="34" t="s">
        <v>56</v>
      </c>
      <c r="D57" s="9" t="s">
        <v>147</v>
      </c>
      <c r="E57" s="9" t="s">
        <v>148</v>
      </c>
      <c r="F57" s="9">
        <v>7</v>
      </c>
      <c r="G57" s="9" t="s">
        <v>148</v>
      </c>
      <c r="H57" s="9" t="s">
        <v>148</v>
      </c>
      <c r="I57" s="9" t="s">
        <v>148</v>
      </c>
      <c r="J57" s="9" t="s">
        <v>147</v>
      </c>
      <c r="K57" s="9" t="s">
        <v>147</v>
      </c>
      <c r="L57" s="9" t="s">
        <v>148</v>
      </c>
      <c r="M57" s="9">
        <v>51</v>
      </c>
      <c r="N57" s="9" t="s">
        <v>148</v>
      </c>
      <c r="O57" s="9" t="s">
        <v>148</v>
      </c>
      <c r="P57" s="9">
        <v>5</v>
      </c>
      <c r="Q57" s="9" t="s">
        <v>147</v>
      </c>
      <c r="R57" s="9" t="s">
        <v>147</v>
      </c>
      <c r="S57" s="9" t="s">
        <v>148</v>
      </c>
      <c r="T57" s="9">
        <v>6</v>
      </c>
      <c r="U57" s="9">
        <v>5</v>
      </c>
      <c r="V57" s="9" t="s">
        <v>148</v>
      </c>
      <c r="W57" s="9" t="s">
        <v>148</v>
      </c>
      <c r="X57" s="9" t="s">
        <v>147</v>
      </c>
      <c r="Y57" s="9" t="s">
        <v>147</v>
      </c>
      <c r="Z57" s="9">
        <v>3</v>
      </c>
      <c r="AA57" s="9">
        <v>2</v>
      </c>
      <c r="AB57" s="9">
        <v>7</v>
      </c>
      <c r="AC57" s="9" t="s">
        <v>148</v>
      </c>
      <c r="AD57" s="9" t="s">
        <v>148</v>
      </c>
      <c r="AE57" s="9" t="s">
        <v>147</v>
      </c>
      <c r="AF57" s="9" t="s">
        <v>147</v>
      </c>
      <c r="AG57" s="9" t="s">
        <v>148</v>
      </c>
      <c r="AH57" s="16">
        <f t="shared" si="1"/>
        <v>86</v>
      </c>
      <c r="AI57" s="5">
        <f t="shared" si="0"/>
        <v>0</v>
      </c>
      <c r="AJ57" s="16">
        <f t="shared" si="2"/>
        <v>86</v>
      </c>
      <c r="AK57">
        <f t="shared" si="3"/>
        <v>9450</v>
      </c>
      <c r="AL57">
        <f t="shared" si="4"/>
        <v>9364</v>
      </c>
      <c r="AM57">
        <f t="shared" si="5"/>
        <v>0.99089947089947095</v>
      </c>
      <c r="AN57">
        <f t="shared" si="6"/>
        <v>21</v>
      </c>
      <c r="AO57">
        <f t="shared" si="7"/>
        <v>21</v>
      </c>
      <c r="AQ57" s="5">
        <f t="shared" si="8"/>
        <v>9</v>
      </c>
      <c r="AR57" s="5">
        <f t="shared" si="9"/>
        <v>0</v>
      </c>
      <c r="AS57" s="5">
        <f t="shared" si="10"/>
        <v>0</v>
      </c>
      <c r="AT57" s="5">
        <f t="shared" si="11"/>
        <v>0</v>
      </c>
    </row>
    <row r="58" spans="1:46">
      <c r="A58" s="5" t="s">
        <v>38</v>
      </c>
      <c r="B58" s="5" t="s">
        <v>37</v>
      </c>
      <c r="C58" s="5" t="s">
        <v>40</v>
      </c>
      <c r="D58" s="9" t="s">
        <v>147</v>
      </c>
      <c r="E58" s="9" t="s">
        <v>147</v>
      </c>
      <c r="F58" s="9" t="s">
        <v>148</v>
      </c>
      <c r="G58" s="9" t="s">
        <v>148</v>
      </c>
      <c r="H58" s="9" t="s">
        <v>148</v>
      </c>
      <c r="I58" s="9" t="s">
        <v>148</v>
      </c>
      <c r="J58" s="9" t="s">
        <v>148</v>
      </c>
      <c r="K58" s="9" t="s">
        <v>147</v>
      </c>
      <c r="L58" s="9" t="s">
        <v>147</v>
      </c>
      <c r="M58" s="9" t="s">
        <v>148</v>
      </c>
      <c r="N58" s="9" t="s">
        <v>148</v>
      </c>
      <c r="O58" s="9" t="s">
        <v>148</v>
      </c>
      <c r="P58" s="9" t="s">
        <v>148</v>
      </c>
      <c r="Q58" s="9" t="s">
        <v>148</v>
      </c>
      <c r="R58" s="9" t="s">
        <v>147</v>
      </c>
      <c r="S58" s="9" t="s">
        <v>147</v>
      </c>
      <c r="T58" s="9" t="s">
        <v>148</v>
      </c>
      <c r="U58" s="9" t="s">
        <v>148</v>
      </c>
      <c r="V58" s="9" t="s">
        <v>148</v>
      </c>
      <c r="W58" s="9" t="s">
        <v>148</v>
      </c>
      <c r="X58" s="9" t="s">
        <v>148</v>
      </c>
      <c r="Y58" s="48" t="s">
        <v>147</v>
      </c>
      <c r="Z58" s="48" t="s">
        <v>147</v>
      </c>
      <c r="AA58" s="48" t="s">
        <v>147</v>
      </c>
      <c r="AB58" s="48" t="s">
        <v>148</v>
      </c>
      <c r="AC58" s="48" t="s">
        <v>148</v>
      </c>
      <c r="AD58" s="48" t="s">
        <v>148</v>
      </c>
      <c r="AE58" s="9" t="s">
        <v>148</v>
      </c>
      <c r="AF58" s="9" t="s">
        <v>148</v>
      </c>
      <c r="AG58" s="9" t="s">
        <v>147</v>
      </c>
      <c r="AH58" s="16">
        <f t="shared" si="1"/>
        <v>0</v>
      </c>
      <c r="AI58" s="5">
        <f t="shared" si="0"/>
        <v>0</v>
      </c>
      <c r="AJ58" s="16">
        <f t="shared" si="2"/>
        <v>0</v>
      </c>
      <c r="AK58">
        <f t="shared" si="3"/>
        <v>9450</v>
      </c>
      <c r="AL58">
        <f t="shared" si="4"/>
        <v>9450</v>
      </c>
      <c r="AM58">
        <f t="shared" si="5"/>
        <v>1</v>
      </c>
      <c r="AN58">
        <f t="shared" si="6"/>
        <v>21</v>
      </c>
      <c r="AO58">
        <f t="shared" si="7"/>
        <v>21</v>
      </c>
      <c r="AQ58" s="5">
        <f t="shared" si="8"/>
        <v>9</v>
      </c>
      <c r="AR58" s="5">
        <f t="shared" si="9"/>
        <v>0</v>
      </c>
      <c r="AS58" s="5">
        <f t="shared" si="10"/>
        <v>0</v>
      </c>
      <c r="AT58" s="5">
        <f t="shared" si="11"/>
        <v>0</v>
      </c>
    </row>
    <row r="59" spans="1:46">
      <c r="A59" s="7" t="s">
        <v>98</v>
      </c>
      <c r="B59" s="5" t="s">
        <v>26</v>
      </c>
      <c r="C59" s="34" t="s">
        <v>30</v>
      </c>
      <c r="D59" s="9" t="s">
        <v>147</v>
      </c>
      <c r="E59" s="9" t="s">
        <v>148</v>
      </c>
      <c r="F59" s="9" t="s">
        <v>148</v>
      </c>
      <c r="G59" s="9">
        <v>3</v>
      </c>
      <c r="H59" s="9" t="s">
        <v>148</v>
      </c>
      <c r="I59" s="9" t="s">
        <v>148</v>
      </c>
      <c r="J59" s="9" t="s">
        <v>147</v>
      </c>
      <c r="K59" s="9" t="s">
        <v>147</v>
      </c>
      <c r="L59" s="9" t="s">
        <v>148</v>
      </c>
      <c r="M59" s="9">
        <v>45</v>
      </c>
      <c r="N59" s="9">
        <v>16</v>
      </c>
      <c r="O59" s="9" t="s">
        <v>148</v>
      </c>
      <c r="P59" s="9" t="s">
        <v>148</v>
      </c>
      <c r="Q59" s="9" t="s">
        <v>147</v>
      </c>
      <c r="R59" s="9" t="s">
        <v>147</v>
      </c>
      <c r="S59" s="9" t="s">
        <v>148</v>
      </c>
      <c r="T59" s="9" t="s">
        <v>148</v>
      </c>
      <c r="U59" s="9">
        <v>7</v>
      </c>
      <c r="V59" s="9" t="s">
        <v>148</v>
      </c>
      <c r="W59" s="9" t="s">
        <v>148</v>
      </c>
      <c r="X59" s="9" t="s">
        <v>147</v>
      </c>
      <c r="Y59" s="9" t="s">
        <v>147</v>
      </c>
      <c r="Z59" s="9" t="s">
        <v>148</v>
      </c>
      <c r="AA59" s="9" t="s">
        <v>148</v>
      </c>
      <c r="AB59" s="9" t="s">
        <v>148</v>
      </c>
      <c r="AC59" s="9" t="s">
        <v>148</v>
      </c>
      <c r="AD59" s="9" t="s">
        <v>148</v>
      </c>
      <c r="AE59" s="9" t="s">
        <v>147</v>
      </c>
      <c r="AF59" s="9" t="s">
        <v>147</v>
      </c>
      <c r="AG59" s="9">
        <v>75</v>
      </c>
      <c r="AH59" s="16">
        <f t="shared" si="1"/>
        <v>146</v>
      </c>
      <c r="AI59" s="5">
        <f t="shared" si="0"/>
        <v>0</v>
      </c>
      <c r="AJ59" s="16">
        <f t="shared" si="2"/>
        <v>146</v>
      </c>
      <c r="AK59">
        <f t="shared" si="3"/>
        <v>9450</v>
      </c>
      <c r="AL59">
        <f t="shared" si="4"/>
        <v>9304</v>
      </c>
      <c r="AM59">
        <f t="shared" si="5"/>
        <v>0.98455026455026451</v>
      </c>
      <c r="AN59">
        <f t="shared" si="6"/>
        <v>21</v>
      </c>
      <c r="AO59">
        <f t="shared" si="7"/>
        <v>21</v>
      </c>
      <c r="AQ59" s="5">
        <f t="shared" si="8"/>
        <v>9</v>
      </c>
      <c r="AR59" s="5">
        <f t="shared" si="9"/>
        <v>0</v>
      </c>
      <c r="AS59" s="5">
        <f t="shared" si="10"/>
        <v>0</v>
      </c>
      <c r="AT59" s="5">
        <f t="shared" si="11"/>
        <v>0</v>
      </c>
    </row>
    <row r="60" spans="1:46">
      <c r="A60" s="5" t="s">
        <v>99</v>
      </c>
      <c r="B60" s="5" t="s">
        <v>22</v>
      </c>
      <c r="C60" s="5" t="s">
        <v>63</v>
      </c>
      <c r="D60" s="9" t="s">
        <v>148</v>
      </c>
      <c r="E60" s="9">
        <v>11</v>
      </c>
      <c r="F60" s="9" t="s">
        <v>148</v>
      </c>
      <c r="G60" s="9" t="s">
        <v>148</v>
      </c>
      <c r="H60" s="9" t="s">
        <v>148</v>
      </c>
      <c r="I60" s="9" t="s">
        <v>148</v>
      </c>
      <c r="J60" s="9" t="s">
        <v>147</v>
      </c>
      <c r="K60" s="9" t="s">
        <v>147</v>
      </c>
      <c r="L60" s="9" t="s">
        <v>148</v>
      </c>
      <c r="M60" s="9" t="s">
        <v>148</v>
      </c>
      <c r="N60" s="9" t="s">
        <v>148</v>
      </c>
      <c r="O60" s="9" t="s">
        <v>148</v>
      </c>
      <c r="P60" s="9" t="s">
        <v>148</v>
      </c>
      <c r="Q60" s="9" t="s">
        <v>147</v>
      </c>
      <c r="R60" s="9" t="s">
        <v>147</v>
      </c>
      <c r="S60" s="9" t="s">
        <v>148</v>
      </c>
      <c r="T60" s="9" t="s">
        <v>148</v>
      </c>
      <c r="U60" s="9" t="s">
        <v>148</v>
      </c>
      <c r="V60" s="9" t="s">
        <v>148</v>
      </c>
      <c r="W60" s="9" t="s">
        <v>148</v>
      </c>
      <c r="X60" s="9" t="s">
        <v>147</v>
      </c>
      <c r="Y60" s="9" t="s">
        <v>147</v>
      </c>
      <c r="Z60" s="9" t="s">
        <v>148</v>
      </c>
      <c r="AA60" s="9">
        <v>253</v>
      </c>
      <c r="AB60" s="9" t="s">
        <v>148</v>
      </c>
      <c r="AC60" s="9" t="s">
        <v>148</v>
      </c>
      <c r="AD60" s="9" t="s">
        <v>148</v>
      </c>
      <c r="AE60" s="9" t="s">
        <v>147</v>
      </c>
      <c r="AF60" s="9" t="s">
        <v>147</v>
      </c>
      <c r="AG60" s="9" t="s">
        <v>148</v>
      </c>
      <c r="AH60" s="16">
        <f t="shared" si="1"/>
        <v>264</v>
      </c>
      <c r="AI60" s="5">
        <f t="shared" si="0"/>
        <v>0</v>
      </c>
      <c r="AJ60" s="16">
        <f t="shared" si="2"/>
        <v>264</v>
      </c>
      <c r="AK60">
        <f t="shared" si="3"/>
        <v>9900</v>
      </c>
      <c r="AL60">
        <f t="shared" si="4"/>
        <v>9636</v>
      </c>
      <c r="AM60">
        <f t="shared" si="5"/>
        <v>0.97333333333333338</v>
      </c>
      <c r="AN60">
        <f t="shared" si="6"/>
        <v>22</v>
      </c>
      <c r="AO60">
        <f t="shared" si="7"/>
        <v>22</v>
      </c>
      <c r="AQ60" s="5">
        <f t="shared" si="8"/>
        <v>8</v>
      </c>
      <c r="AR60" s="5">
        <f t="shared" si="9"/>
        <v>0</v>
      </c>
      <c r="AS60" s="5">
        <f t="shared" si="10"/>
        <v>0</v>
      </c>
      <c r="AT60" s="5">
        <f t="shared" si="11"/>
        <v>0</v>
      </c>
    </row>
    <row r="61" spans="1:46">
      <c r="A61" s="32" t="s">
        <v>100</v>
      </c>
      <c r="B61" s="5" t="s">
        <v>22</v>
      </c>
      <c r="C61" s="35" t="s">
        <v>63</v>
      </c>
      <c r="D61" s="9" t="s">
        <v>148</v>
      </c>
      <c r="E61" s="9" t="s">
        <v>148</v>
      </c>
      <c r="F61" s="9" t="s">
        <v>148</v>
      </c>
      <c r="G61" s="9" t="s">
        <v>148</v>
      </c>
      <c r="H61" s="9" t="s">
        <v>148</v>
      </c>
      <c r="I61" s="9" t="s">
        <v>148</v>
      </c>
      <c r="J61" s="9" t="s">
        <v>147</v>
      </c>
      <c r="K61" s="9" t="s">
        <v>147</v>
      </c>
      <c r="L61" s="9" t="s">
        <v>148</v>
      </c>
      <c r="M61" s="9" t="s">
        <v>148</v>
      </c>
      <c r="N61" s="9" t="s">
        <v>148</v>
      </c>
      <c r="O61" s="9" t="s">
        <v>148</v>
      </c>
      <c r="P61" s="9" t="s">
        <v>148</v>
      </c>
      <c r="Q61" s="9" t="s">
        <v>147</v>
      </c>
      <c r="R61" s="9" t="s">
        <v>147</v>
      </c>
      <c r="S61" s="9" t="s">
        <v>148</v>
      </c>
      <c r="T61" s="9" t="s">
        <v>14</v>
      </c>
      <c r="U61" s="9" t="s">
        <v>148</v>
      </c>
      <c r="V61" s="9" t="s">
        <v>148</v>
      </c>
      <c r="W61" s="9" t="s">
        <v>14</v>
      </c>
      <c r="X61" s="9" t="s">
        <v>147</v>
      </c>
      <c r="Y61" s="9" t="s">
        <v>147</v>
      </c>
      <c r="Z61" s="9" t="s">
        <v>148</v>
      </c>
      <c r="AA61" s="9" t="s">
        <v>148</v>
      </c>
      <c r="AB61" s="9" t="s">
        <v>148</v>
      </c>
      <c r="AC61" s="9" t="s">
        <v>148</v>
      </c>
      <c r="AD61" s="9">
        <v>2</v>
      </c>
      <c r="AE61" s="9" t="s">
        <v>147</v>
      </c>
      <c r="AF61" s="9" t="s">
        <v>147</v>
      </c>
      <c r="AG61" s="9" t="s">
        <v>148</v>
      </c>
      <c r="AH61" s="16">
        <f t="shared" si="1"/>
        <v>2</v>
      </c>
      <c r="AI61" s="5">
        <f t="shared" si="0"/>
        <v>0</v>
      </c>
      <c r="AJ61" s="16">
        <f t="shared" si="2"/>
        <v>2</v>
      </c>
      <c r="AK61">
        <f t="shared" si="3"/>
        <v>9000</v>
      </c>
      <c r="AL61">
        <f t="shared" si="4"/>
        <v>8998</v>
      </c>
      <c r="AM61">
        <f t="shared" si="5"/>
        <v>0.99977777777777777</v>
      </c>
      <c r="AN61">
        <f t="shared" si="6"/>
        <v>20</v>
      </c>
      <c r="AO61">
        <f t="shared" si="7"/>
        <v>22</v>
      </c>
      <c r="AQ61" s="5">
        <f t="shared" si="8"/>
        <v>8</v>
      </c>
      <c r="AR61" s="5">
        <f t="shared" si="9"/>
        <v>0</v>
      </c>
      <c r="AS61" s="5">
        <f t="shared" si="10"/>
        <v>2</v>
      </c>
      <c r="AT61" s="5">
        <f t="shared" si="11"/>
        <v>0</v>
      </c>
    </row>
    <row r="62" spans="1:46">
      <c r="A62" s="10" t="s">
        <v>101</v>
      </c>
      <c r="B62" s="5" t="s">
        <v>57</v>
      </c>
      <c r="C62" s="35" t="s">
        <v>40</v>
      </c>
      <c r="D62" s="9" t="s">
        <v>147</v>
      </c>
      <c r="E62" s="9" t="s">
        <v>148</v>
      </c>
      <c r="F62" s="9" t="s">
        <v>148</v>
      </c>
      <c r="G62" s="9" t="s">
        <v>148</v>
      </c>
      <c r="H62" s="9" t="s">
        <v>148</v>
      </c>
      <c r="I62" s="9" t="s">
        <v>148</v>
      </c>
      <c r="J62" s="9" t="s">
        <v>147</v>
      </c>
      <c r="K62" s="9" t="s">
        <v>147</v>
      </c>
      <c r="L62" s="9" t="s">
        <v>148</v>
      </c>
      <c r="M62" s="9" t="s">
        <v>148</v>
      </c>
      <c r="N62" s="9" t="s">
        <v>148</v>
      </c>
      <c r="O62" s="9" t="s">
        <v>148</v>
      </c>
      <c r="P62" s="9">
        <v>450</v>
      </c>
      <c r="Q62" s="9" t="s">
        <v>147</v>
      </c>
      <c r="R62" s="9" t="s">
        <v>147</v>
      </c>
      <c r="S62" s="9" t="s">
        <v>148</v>
      </c>
      <c r="T62" s="9" t="s">
        <v>148</v>
      </c>
      <c r="U62" s="9" t="s">
        <v>148</v>
      </c>
      <c r="V62" s="9" t="s">
        <v>148</v>
      </c>
      <c r="W62" s="9" t="s">
        <v>148</v>
      </c>
      <c r="X62" s="9" t="s">
        <v>147</v>
      </c>
      <c r="Y62" s="9" t="s">
        <v>147</v>
      </c>
      <c r="Z62" s="47" t="s">
        <v>148</v>
      </c>
      <c r="AA62" s="47" t="s">
        <v>148</v>
      </c>
      <c r="AB62" s="47" t="s">
        <v>148</v>
      </c>
      <c r="AC62" s="47" t="s">
        <v>148</v>
      </c>
      <c r="AD62" s="47" t="s">
        <v>148</v>
      </c>
      <c r="AE62" s="9" t="s">
        <v>147</v>
      </c>
      <c r="AF62" s="9" t="s">
        <v>147</v>
      </c>
      <c r="AG62" s="9" t="s">
        <v>148</v>
      </c>
      <c r="AH62" s="16">
        <v>0</v>
      </c>
      <c r="AI62" s="5">
        <f t="shared" si="0"/>
        <v>450</v>
      </c>
      <c r="AJ62" s="16">
        <f t="shared" si="2"/>
        <v>450</v>
      </c>
      <c r="AK62">
        <f t="shared" si="3"/>
        <v>9450</v>
      </c>
      <c r="AL62">
        <f t="shared" si="4"/>
        <v>9000</v>
      </c>
      <c r="AM62">
        <f t="shared" si="5"/>
        <v>0.95238095238095233</v>
      </c>
      <c r="AN62">
        <f t="shared" si="6"/>
        <v>21</v>
      </c>
      <c r="AO62">
        <f t="shared" si="7"/>
        <v>21</v>
      </c>
      <c r="AQ62" s="5">
        <f t="shared" si="8"/>
        <v>9</v>
      </c>
      <c r="AR62" s="5">
        <f t="shared" si="9"/>
        <v>0</v>
      </c>
      <c r="AS62" s="5">
        <f t="shared" si="10"/>
        <v>0</v>
      </c>
      <c r="AT62" s="5">
        <f t="shared" si="11"/>
        <v>1</v>
      </c>
    </row>
    <row r="63" spans="1:46">
      <c r="A63" s="32" t="s">
        <v>102</v>
      </c>
      <c r="B63" s="5" t="s">
        <v>22</v>
      </c>
      <c r="C63" s="35" t="s">
        <v>33</v>
      </c>
      <c r="D63" s="9" t="s">
        <v>148</v>
      </c>
      <c r="E63" s="9" t="s">
        <v>148</v>
      </c>
      <c r="F63" s="9" t="s">
        <v>148</v>
      </c>
      <c r="G63" s="9" t="s">
        <v>148</v>
      </c>
      <c r="H63" s="9" t="s">
        <v>148</v>
      </c>
      <c r="I63" s="9" t="s">
        <v>148</v>
      </c>
      <c r="J63" s="9" t="s">
        <v>147</v>
      </c>
      <c r="K63" s="9" t="s">
        <v>147</v>
      </c>
      <c r="L63" s="9" t="s">
        <v>148</v>
      </c>
      <c r="M63" s="9">
        <v>450</v>
      </c>
      <c r="N63" s="9" t="s">
        <v>148</v>
      </c>
      <c r="O63" s="9">
        <v>450</v>
      </c>
      <c r="P63" s="9" t="s">
        <v>148</v>
      </c>
      <c r="Q63" s="9" t="s">
        <v>147</v>
      </c>
      <c r="R63" s="9" t="s">
        <v>147</v>
      </c>
      <c r="S63" s="9" t="s">
        <v>148</v>
      </c>
      <c r="T63" s="9" t="s">
        <v>148</v>
      </c>
      <c r="U63" s="9" t="s">
        <v>148</v>
      </c>
      <c r="V63" s="9" t="s">
        <v>148</v>
      </c>
      <c r="W63" s="9" t="s">
        <v>148</v>
      </c>
      <c r="X63" s="9" t="s">
        <v>147</v>
      </c>
      <c r="Y63" s="9" t="s">
        <v>147</v>
      </c>
      <c r="Z63" s="9" t="s">
        <v>148</v>
      </c>
      <c r="AA63" s="9" t="s">
        <v>148</v>
      </c>
      <c r="AB63" s="9" t="s">
        <v>148</v>
      </c>
      <c r="AC63" s="9" t="s">
        <v>148</v>
      </c>
      <c r="AD63" s="9" t="s">
        <v>148</v>
      </c>
      <c r="AE63" s="9" t="s">
        <v>147</v>
      </c>
      <c r="AF63" s="9" t="s">
        <v>147</v>
      </c>
      <c r="AG63" s="9" t="s">
        <v>148</v>
      </c>
      <c r="AH63" s="16">
        <v>0</v>
      </c>
      <c r="AI63" s="5">
        <f t="shared" si="0"/>
        <v>900</v>
      </c>
      <c r="AJ63" s="16">
        <f t="shared" si="2"/>
        <v>900</v>
      </c>
      <c r="AK63">
        <f t="shared" si="3"/>
        <v>9900</v>
      </c>
      <c r="AL63">
        <f t="shared" si="4"/>
        <v>9000</v>
      </c>
      <c r="AM63">
        <f t="shared" si="5"/>
        <v>0.90909090909090906</v>
      </c>
      <c r="AN63">
        <f t="shared" si="6"/>
        <v>22</v>
      </c>
      <c r="AO63">
        <f t="shared" si="7"/>
        <v>22</v>
      </c>
      <c r="AQ63" s="5">
        <f t="shared" si="8"/>
        <v>8</v>
      </c>
      <c r="AR63" s="5">
        <f t="shared" si="9"/>
        <v>0</v>
      </c>
      <c r="AS63" s="5">
        <f t="shared" si="10"/>
        <v>0</v>
      </c>
      <c r="AT63" s="5">
        <f t="shared" si="11"/>
        <v>2</v>
      </c>
    </row>
    <row r="64" spans="1:46">
      <c r="A64" s="32" t="s">
        <v>31</v>
      </c>
      <c r="B64" s="5" t="s">
        <v>22</v>
      </c>
      <c r="C64" s="35" t="s">
        <v>33</v>
      </c>
      <c r="D64" s="9" t="s">
        <v>148</v>
      </c>
      <c r="E64" s="9" t="s">
        <v>148</v>
      </c>
      <c r="F64" s="9">
        <v>2</v>
      </c>
      <c r="G64" s="9">
        <v>10</v>
      </c>
      <c r="H64" s="9" t="s">
        <v>148</v>
      </c>
      <c r="I64" s="9" t="s">
        <v>148</v>
      </c>
      <c r="J64" s="9" t="s">
        <v>147</v>
      </c>
      <c r="K64" s="9" t="s">
        <v>147</v>
      </c>
      <c r="L64" s="9" t="s">
        <v>148</v>
      </c>
      <c r="M64" s="9" t="s">
        <v>12</v>
      </c>
      <c r="N64" s="9" t="s">
        <v>148</v>
      </c>
      <c r="O64" s="9" t="s">
        <v>148</v>
      </c>
      <c r="P64" s="9" t="s">
        <v>148</v>
      </c>
      <c r="Q64" s="9" t="s">
        <v>147</v>
      </c>
      <c r="R64" s="9" t="s">
        <v>147</v>
      </c>
      <c r="S64" s="9" t="s">
        <v>12</v>
      </c>
      <c r="T64" s="9" t="s">
        <v>12</v>
      </c>
      <c r="U64" s="9" t="s">
        <v>148</v>
      </c>
      <c r="V64" s="9" t="s">
        <v>148</v>
      </c>
      <c r="W64" s="9" t="s">
        <v>148</v>
      </c>
      <c r="X64" s="9" t="s">
        <v>147</v>
      </c>
      <c r="Y64" s="9" t="s">
        <v>147</v>
      </c>
      <c r="Z64" s="9" t="s">
        <v>148</v>
      </c>
      <c r="AA64" s="9" t="s">
        <v>148</v>
      </c>
      <c r="AB64" s="9" t="s">
        <v>148</v>
      </c>
      <c r="AC64" s="9" t="s">
        <v>148</v>
      </c>
      <c r="AD64" s="9" t="s">
        <v>148</v>
      </c>
      <c r="AE64" s="9" t="s">
        <v>147</v>
      </c>
      <c r="AF64" s="9" t="s">
        <v>147</v>
      </c>
      <c r="AG64" s="9" t="s">
        <v>148</v>
      </c>
      <c r="AH64" s="16">
        <f t="shared" si="1"/>
        <v>12</v>
      </c>
      <c r="AI64" s="5">
        <f t="shared" si="0"/>
        <v>0</v>
      </c>
      <c r="AJ64" s="16">
        <f t="shared" si="2"/>
        <v>12</v>
      </c>
      <c r="AK64">
        <f t="shared" si="3"/>
        <v>8550</v>
      </c>
      <c r="AL64">
        <f t="shared" si="4"/>
        <v>8538</v>
      </c>
      <c r="AM64">
        <f t="shared" si="5"/>
        <v>0.99859649122807015</v>
      </c>
      <c r="AN64">
        <f t="shared" si="6"/>
        <v>19</v>
      </c>
      <c r="AO64">
        <f t="shared" si="7"/>
        <v>22</v>
      </c>
      <c r="AQ64" s="5">
        <f t="shared" si="8"/>
        <v>8</v>
      </c>
      <c r="AR64" s="5">
        <f t="shared" si="9"/>
        <v>3</v>
      </c>
      <c r="AS64" s="5">
        <f t="shared" si="10"/>
        <v>0</v>
      </c>
      <c r="AT64" s="5">
        <f t="shared" si="11"/>
        <v>0</v>
      </c>
    </row>
    <row r="65" spans="1:46">
      <c r="A65" s="10" t="s">
        <v>103</v>
      </c>
      <c r="B65" s="5" t="s">
        <v>26</v>
      </c>
      <c r="C65" s="11" t="s">
        <v>40</v>
      </c>
      <c r="D65" s="9" t="s">
        <v>148</v>
      </c>
      <c r="E65" s="9" t="s">
        <v>148</v>
      </c>
      <c r="F65" s="9" t="s">
        <v>148</v>
      </c>
      <c r="G65" s="9" t="s">
        <v>147</v>
      </c>
      <c r="H65" s="9" t="s">
        <v>147</v>
      </c>
      <c r="I65" s="9" t="s">
        <v>148</v>
      </c>
      <c r="J65" s="9" t="s">
        <v>148</v>
      </c>
      <c r="K65" s="9" t="s">
        <v>148</v>
      </c>
      <c r="L65" s="9" t="s">
        <v>148</v>
      </c>
      <c r="M65" s="9" t="s">
        <v>147</v>
      </c>
      <c r="N65" s="9" t="s">
        <v>147</v>
      </c>
      <c r="O65" s="9" t="s">
        <v>148</v>
      </c>
      <c r="P65" s="9" t="s">
        <v>148</v>
      </c>
      <c r="Q65" s="9" t="s">
        <v>148</v>
      </c>
      <c r="R65" s="9">
        <v>4</v>
      </c>
      <c r="S65" s="9" t="s">
        <v>148</v>
      </c>
      <c r="T65" s="9" t="s">
        <v>147</v>
      </c>
      <c r="U65" s="9" t="s">
        <v>147</v>
      </c>
      <c r="V65" s="9" t="s">
        <v>148</v>
      </c>
      <c r="W65" s="9" t="s">
        <v>148</v>
      </c>
      <c r="X65" s="9" t="s">
        <v>148</v>
      </c>
      <c r="Y65" s="9">
        <v>11</v>
      </c>
      <c r="Z65" s="48" t="s">
        <v>148</v>
      </c>
      <c r="AA65" s="48" t="s">
        <v>147</v>
      </c>
      <c r="AB65" s="48" t="s">
        <v>147</v>
      </c>
      <c r="AC65" s="48">
        <v>7</v>
      </c>
      <c r="AD65" s="48">
        <v>12</v>
      </c>
      <c r="AE65" s="9" t="s">
        <v>148</v>
      </c>
      <c r="AF65" s="9" t="s">
        <v>12</v>
      </c>
      <c r="AG65" s="9">
        <v>24</v>
      </c>
      <c r="AH65" s="16">
        <f t="shared" si="1"/>
        <v>58</v>
      </c>
      <c r="AI65" s="5">
        <f t="shared" si="0"/>
        <v>0</v>
      </c>
      <c r="AJ65" s="16">
        <f t="shared" si="2"/>
        <v>58</v>
      </c>
      <c r="AK65">
        <f t="shared" si="3"/>
        <v>9450</v>
      </c>
      <c r="AL65">
        <f t="shared" si="4"/>
        <v>9392</v>
      </c>
      <c r="AM65">
        <f t="shared" si="5"/>
        <v>0.99386243386243389</v>
      </c>
      <c r="AN65">
        <f t="shared" si="6"/>
        <v>21</v>
      </c>
      <c r="AO65">
        <f t="shared" si="7"/>
        <v>22</v>
      </c>
      <c r="AQ65" s="5">
        <f t="shared" si="8"/>
        <v>8</v>
      </c>
      <c r="AR65" s="5">
        <f t="shared" si="9"/>
        <v>1</v>
      </c>
      <c r="AS65" s="5">
        <f t="shared" si="10"/>
        <v>0</v>
      </c>
      <c r="AT65" s="5">
        <f t="shared" si="11"/>
        <v>0</v>
      </c>
    </row>
    <row r="66" spans="1:46">
      <c r="A66" s="32" t="s">
        <v>104</v>
      </c>
      <c r="B66" s="5" t="s">
        <v>22</v>
      </c>
      <c r="C66" s="35" t="s">
        <v>25</v>
      </c>
      <c r="D66" s="9" t="s">
        <v>148</v>
      </c>
      <c r="E66" s="9">
        <v>12</v>
      </c>
      <c r="F66" s="9" t="s">
        <v>148</v>
      </c>
      <c r="G66" s="9">
        <v>13</v>
      </c>
      <c r="H66" s="9">
        <v>3</v>
      </c>
      <c r="I66" s="9">
        <v>19</v>
      </c>
      <c r="J66" s="9" t="s">
        <v>147</v>
      </c>
      <c r="K66" s="9" t="s">
        <v>147</v>
      </c>
      <c r="L66" s="9">
        <v>450</v>
      </c>
      <c r="M66" s="9">
        <v>450</v>
      </c>
      <c r="N66" s="9">
        <v>95</v>
      </c>
      <c r="O66" s="9" t="s">
        <v>148</v>
      </c>
      <c r="P66" s="9" t="s">
        <v>148</v>
      </c>
      <c r="Q66" s="9" t="s">
        <v>147</v>
      </c>
      <c r="R66" s="9" t="s">
        <v>147</v>
      </c>
      <c r="S66" s="9" t="s">
        <v>148</v>
      </c>
      <c r="T66" s="9" t="s">
        <v>14</v>
      </c>
      <c r="U66" s="9">
        <v>17</v>
      </c>
      <c r="V66" s="9" t="s">
        <v>148</v>
      </c>
      <c r="W66" s="9" t="s">
        <v>148</v>
      </c>
      <c r="X66" s="9" t="s">
        <v>147</v>
      </c>
      <c r="Y66" s="47" t="s">
        <v>147</v>
      </c>
      <c r="Z66" s="47">
        <v>65</v>
      </c>
      <c r="AA66" s="47" t="s">
        <v>148</v>
      </c>
      <c r="AB66" s="47" t="s">
        <v>148</v>
      </c>
      <c r="AC66" s="47" t="s">
        <v>148</v>
      </c>
      <c r="AD66" s="47" t="s">
        <v>148</v>
      </c>
      <c r="AE66" s="9" t="s">
        <v>147</v>
      </c>
      <c r="AF66" s="9" t="s">
        <v>147</v>
      </c>
      <c r="AG66" s="9" t="s">
        <v>148</v>
      </c>
      <c r="AH66" s="16">
        <v>224</v>
      </c>
      <c r="AI66" s="5">
        <f t="shared" si="0"/>
        <v>900</v>
      </c>
      <c r="AJ66" s="16">
        <f t="shared" si="2"/>
        <v>1124</v>
      </c>
      <c r="AK66">
        <f t="shared" si="3"/>
        <v>9450</v>
      </c>
      <c r="AL66">
        <f t="shared" si="4"/>
        <v>8326</v>
      </c>
      <c r="AM66">
        <f t="shared" si="5"/>
        <v>0.8810582010582011</v>
      </c>
      <c r="AN66">
        <f t="shared" si="6"/>
        <v>21</v>
      </c>
      <c r="AO66">
        <f t="shared" si="7"/>
        <v>22</v>
      </c>
      <c r="AQ66" s="5">
        <f t="shared" si="8"/>
        <v>8</v>
      </c>
      <c r="AR66" s="5">
        <f t="shared" si="9"/>
        <v>0</v>
      </c>
      <c r="AS66" s="5">
        <f t="shared" si="10"/>
        <v>1</v>
      </c>
      <c r="AT66" s="5">
        <f t="shared" si="11"/>
        <v>2</v>
      </c>
    </row>
    <row r="67" spans="1:46">
      <c r="A67" s="32" t="s">
        <v>105</v>
      </c>
      <c r="B67" s="5" t="s">
        <v>22</v>
      </c>
      <c r="C67" s="35" t="s">
        <v>56</v>
      </c>
      <c r="D67" s="9" t="s">
        <v>148</v>
      </c>
      <c r="E67" s="9" t="s">
        <v>148</v>
      </c>
      <c r="F67" s="9" t="s">
        <v>148</v>
      </c>
      <c r="G67" s="9" t="s">
        <v>148</v>
      </c>
      <c r="H67" s="9">
        <v>270</v>
      </c>
      <c r="I67" s="9" t="s">
        <v>148</v>
      </c>
      <c r="J67" s="9" t="s">
        <v>147</v>
      </c>
      <c r="K67" s="9" t="s">
        <v>147</v>
      </c>
      <c r="L67" s="9">
        <v>91</v>
      </c>
      <c r="M67" s="9" t="s">
        <v>148</v>
      </c>
      <c r="N67" s="9" t="s">
        <v>148</v>
      </c>
      <c r="O67" s="9" t="s">
        <v>148</v>
      </c>
      <c r="P67" s="9" t="s">
        <v>148</v>
      </c>
      <c r="Q67" s="9" t="s">
        <v>147</v>
      </c>
      <c r="R67" s="9" t="s">
        <v>147</v>
      </c>
      <c r="S67" s="9" t="s">
        <v>148</v>
      </c>
      <c r="T67" s="9" t="s">
        <v>148</v>
      </c>
      <c r="U67" s="9" t="s">
        <v>148</v>
      </c>
      <c r="V67" s="9" t="s">
        <v>148</v>
      </c>
      <c r="W67" s="9" t="s">
        <v>148</v>
      </c>
      <c r="X67" s="9" t="s">
        <v>147</v>
      </c>
      <c r="Y67" s="9" t="s">
        <v>147</v>
      </c>
      <c r="Z67" s="9" t="s">
        <v>148</v>
      </c>
      <c r="AA67" s="9">
        <v>450</v>
      </c>
      <c r="AB67" s="9">
        <v>35</v>
      </c>
      <c r="AC67" s="9" t="s">
        <v>148</v>
      </c>
      <c r="AD67" s="9" t="s">
        <v>148</v>
      </c>
      <c r="AE67" s="9" t="s">
        <v>147</v>
      </c>
      <c r="AF67" s="9" t="s">
        <v>147</v>
      </c>
      <c r="AG67" s="9">
        <v>9</v>
      </c>
      <c r="AH67" s="16">
        <v>405</v>
      </c>
      <c r="AI67" s="5">
        <f t="shared" ref="AI67:AI94" si="12">SUMIF(C67:AG67,"450")</f>
        <v>450</v>
      </c>
      <c r="AJ67" s="16">
        <f t="shared" si="2"/>
        <v>855</v>
      </c>
      <c r="AK67">
        <f t="shared" si="3"/>
        <v>9900</v>
      </c>
      <c r="AL67">
        <f t="shared" si="4"/>
        <v>9045</v>
      </c>
      <c r="AM67">
        <f t="shared" si="5"/>
        <v>0.91363636363636369</v>
      </c>
      <c r="AN67">
        <f t="shared" si="6"/>
        <v>22</v>
      </c>
      <c r="AO67">
        <f t="shared" si="7"/>
        <v>22</v>
      </c>
      <c r="AQ67" s="5">
        <f t="shared" si="8"/>
        <v>8</v>
      </c>
      <c r="AR67" s="5">
        <f t="shared" si="9"/>
        <v>0</v>
      </c>
      <c r="AS67" s="5">
        <f t="shared" si="10"/>
        <v>0</v>
      </c>
      <c r="AT67" s="5">
        <f t="shared" si="11"/>
        <v>1</v>
      </c>
    </row>
    <row r="68" spans="1:46">
      <c r="A68" s="32" t="s">
        <v>106</v>
      </c>
      <c r="B68" s="5" t="s">
        <v>22</v>
      </c>
      <c r="C68" s="35" t="s">
        <v>30</v>
      </c>
      <c r="D68" s="9" t="s">
        <v>148</v>
      </c>
      <c r="E68" s="9" t="s">
        <v>148</v>
      </c>
      <c r="F68" s="9" t="s">
        <v>148</v>
      </c>
      <c r="G68" s="9" t="s">
        <v>148</v>
      </c>
      <c r="H68" s="9" t="s">
        <v>148</v>
      </c>
      <c r="I68" s="9" t="s">
        <v>148</v>
      </c>
      <c r="J68" s="9" t="s">
        <v>147</v>
      </c>
      <c r="K68" s="9" t="s">
        <v>147</v>
      </c>
      <c r="L68" s="9" t="s">
        <v>148</v>
      </c>
      <c r="M68" s="9" t="s">
        <v>148</v>
      </c>
      <c r="N68" s="9" t="s">
        <v>148</v>
      </c>
      <c r="O68" s="9" t="s">
        <v>148</v>
      </c>
      <c r="P68" s="9" t="s">
        <v>148</v>
      </c>
      <c r="Q68" s="9" t="s">
        <v>147</v>
      </c>
      <c r="R68" s="9" t="s">
        <v>147</v>
      </c>
      <c r="S68" s="9" t="s">
        <v>148</v>
      </c>
      <c r="T68" s="9" t="s">
        <v>148</v>
      </c>
      <c r="U68" s="9" t="s">
        <v>148</v>
      </c>
      <c r="V68" s="9" t="s">
        <v>148</v>
      </c>
      <c r="W68" s="9" t="s">
        <v>148</v>
      </c>
      <c r="X68" s="9" t="s">
        <v>147</v>
      </c>
      <c r="Y68" s="9" t="s">
        <v>147</v>
      </c>
      <c r="Z68" s="9" t="s">
        <v>148</v>
      </c>
      <c r="AA68" s="9" t="s">
        <v>148</v>
      </c>
      <c r="AB68" s="9" t="s">
        <v>148</v>
      </c>
      <c r="AC68" s="9" t="s">
        <v>148</v>
      </c>
      <c r="AD68" s="9" t="s">
        <v>148</v>
      </c>
      <c r="AE68" s="9" t="s">
        <v>147</v>
      </c>
      <c r="AF68" s="9" t="s">
        <v>147</v>
      </c>
      <c r="AG68" s="9">
        <v>75</v>
      </c>
      <c r="AH68" s="16">
        <f t="shared" ref="AH68:AH93" si="13">SUM(D68:AG68)</f>
        <v>75</v>
      </c>
      <c r="AI68" s="5">
        <f t="shared" si="12"/>
        <v>0</v>
      </c>
      <c r="AJ68" s="16">
        <f t="shared" ref="AJ68:AJ94" si="14">AH68+AI68</f>
        <v>75</v>
      </c>
      <c r="AK68">
        <f t="shared" ref="AK68:AK94" si="15">AN68*450</f>
        <v>9900</v>
      </c>
      <c r="AL68">
        <f t="shared" ref="AL68:AL94" si="16">AK68-AJ68</f>
        <v>9825</v>
      </c>
      <c r="AM68">
        <f t="shared" ref="AM68:AM94" si="17">AL68/AK68</f>
        <v>0.99242424242424243</v>
      </c>
      <c r="AN68">
        <f t="shared" ref="AN68:AN94" si="18">AO68-(AR68+AS68)</f>
        <v>22</v>
      </c>
      <c r="AO68">
        <f t="shared" ref="AO68:AO94" si="19">30-AQ68</f>
        <v>22</v>
      </c>
      <c r="AQ68" s="5">
        <f t="shared" ref="AQ68:AQ94" si="20">COUNTIF(D68:AF68,"RD")</f>
        <v>8</v>
      </c>
      <c r="AR68" s="5">
        <f t="shared" ref="AR68:AR94" si="21">COUNTIF(D68:AG68,"VL")</f>
        <v>0</v>
      </c>
      <c r="AS68" s="5">
        <f t="shared" ref="AS68:AS94" si="22">COUNTIF(D68:AG68,"LWOP")</f>
        <v>0</v>
      </c>
      <c r="AT68" s="5">
        <f t="shared" ref="AT68:AT94" si="23">COUNTIF(D68:AH68,"450")</f>
        <v>0</v>
      </c>
    </row>
    <row r="69" spans="1:46">
      <c r="A69" s="10" t="s">
        <v>107</v>
      </c>
      <c r="B69" s="5" t="s">
        <v>57</v>
      </c>
      <c r="C69" s="35" t="s">
        <v>40</v>
      </c>
      <c r="D69" s="9" t="s">
        <v>147</v>
      </c>
      <c r="E69" s="9" t="s">
        <v>148</v>
      </c>
      <c r="F69" s="9">
        <v>19</v>
      </c>
      <c r="G69" s="9" t="s">
        <v>148</v>
      </c>
      <c r="H69" s="9" t="s">
        <v>148</v>
      </c>
      <c r="I69" s="9" t="s">
        <v>148</v>
      </c>
      <c r="J69" s="9" t="s">
        <v>147</v>
      </c>
      <c r="K69" s="9" t="s">
        <v>147</v>
      </c>
      <c r="L69" s="9">
        <v>450</v>
      </c>
      <c r="M69" s="9" t="s">
        <v>148</v>
      </c>
      <c r="N69" s="9" t="s">
        <v>148</v>
      </c>
      <c r="O69" s="9" t="s">
        <v>148</v>
      </c>
      <c r="P69" s="9" t="s">
        <v>148</v>
      </c>
      <c r="Q69" s="9" t="s">
        <v>147</v>
      </c>
      <c r="R69" s="9" t="s">
        <v>147</v>
      </c>
      <c r="S69" s="9" t="s">
        <v>148</v>
      </c>
      <c r="T69" s="9">
        <v>5</v>
      </c>
      <c r="U69" s="9" t="s">
        <v>14</v>
      </c>
      <c r="V69" s="9" t="s">
        <v>148</v>
      </c>
      <c r="W69" s="9" t="s">
        <v>148</v>
      </c>
      <c r="X69" s="9" t="s">
        <v>147</v>
      </c>
      <c r="Y69" s="9" t="s">
        <v>147</v>
      </c>
      <c r="Z69" s="9" t="s">
        <v>148</v>
      </c>
      <c r="AA69" s="9">
        <v>253</v>
      </c>
      <c r="AB69" s="9" t="s">
        <v>148</v>
      </c>
      <c r="AC69" s="9" t="s">
        <v>148</v>
      </c>
      <c r="AD69" s="9" t="s">
        <v>148</v>
      </c>
      <c r="AE69" s="9" t="s">
        <v>147</v>
      </c>
      <c r="AF69" s="9" t="s">
        <v>147</v>
      </c>
      <c r="AG69" s="9" t="s">
        <v>148</v>
      </c>
      <c r="AH69" s="16">
        <v>277</v>
      </c>
      <c r="AI69" s="5">
        <f t="shared" si="12"/>
        <v>450</v>
      </c>
      <c r="AJ69" s="16">
        <f t="shared" si="14"/>
        <v>727</v>
      </c>
      <c r="AK69">
        <f t="shared" si="15"/>
        <v>9000</v>
      </c>
      <c r="AL69">
        <f t="shared" si="16"/>
        <v>8273</v>
      </c>
      <c r="AM69">
        <f t="shared" si="17"/>
        <v>0.91922222222222227</v>
      </c>
      <c r="AN69">
        <f t="shared" si="18"/>
        <v>20</v>
      </c>
      <c r="AO69">
        <f t="shared" si="19"/>
        <v>21</v>
      </c>
      <c r="AQ69" s="5">
        <f t="shared" si="20"/>
        <v>9</v>
      </c>
      <c r="AR69" s="5">
        <f t="shared" si="21"/>
        <v>0</v>
      </c>
      <c r="AS69" s="5">
        <f t="shared" si="22"/>
        <v>1</v>
      </c>
      <c r="AT69" s="5">
        <f t="shared" si="23"/>
        <v>1</v>
      </c>
    </row>
    <row r="70" spans="1:46">
      <c r="A70" s="10" t="s">
        <v>108</v>
      </c>
      <c r="B70" s="5" t="s">
        <v>26</v>
      </c>
      <c r="C70" s="11" t="s">
        <v>30</v>
      </c>
      <c r="D70" s="9" t="s">
        <v>147</v>
      </c>
      <c r="E70" s="9" t="s">
        <v>148</v>
      </c>
      <c r="F70" s="9" t="s">
        <v>148</v>
      </c>
      <c r="G70" s="9" t="s">
        <v>148</v>
      </c>
      <c r="H70" s="9" t="s">
        <v>148</v>
      </c>
      <c r="I70" s="9" t="s">
        <v>148</v>
      </c>
      <c r="J70" s="9" t="s">
        <v>147</v>
      </c>
      <c r="K70" s="9" t="s">
        <v>147</v>
      </c>
      <c r="L70" s="9" t="s">
        <v>148</v>
      </c>
      <c r="M70" s="9" t="s">
        <v>148</v>
      </c>
      <c r="N70" s="9" t="s">
        <v>148</v>
      </c>
      <c r="O70" s="9" t="s">
        <v>148</v>
      </c>
      <c r="P70" s="9" t="s">
        <v>148</v>
      </c>
      <c r="Q70" s="9" t="s">
        <v>147</v>
      </c>
      <c r="R70" s="9" t="s">
        <v>147</v>
      </c>
      <c r="S70" s="9" t="s">
        <v>148</v>
      </c>
      <c r="T70" s="9" t="s">
        <v>148</v>
      </c>
      <c r="U70" s="9" t="s">
        <v>148</v>
      </c>
      <c r="V70" s="9" t="s">
        <v>148</v>
      </c>
      <c r="W70" s="9" t="s">
        <v>148</v>
      </c>
      <c r="X70" s="9" t="s">
        <v>147</v>
      </c>
      <c r="Y70" s="9" t="s">
        <v>147</v>
      </c>
      <c r="Z70" s="9" t="s">
        <v>148</v>
      </c>
      <c r="AA70" s="9" t="s">
        <v>148</v>
      </c>
      <c r="AB70" s="9" t="s">
        <v>148</v>
      </c>
      <c r="AC70" s="9" t="s">
        <v>148</v>
      </c>
      <c r="AD70" s="9">
        <v>2</v>
      </c>
      <c r="AE70" s="9" t="s">
        <v>147</v>
      </c>
      <c r="AF70" s="9" t="s">
        <v>147</v>
      </c>
      <c r="AG70" s="9" t="s">
        <v>148</v>
      </c>
      <c r="AH70" s="16">
        <f t="shared" si="13"/>
        <v>2</v>
      </c>
      <c r="AI70" s="5">
        <f t="shared" si="12"/>
        <v>0</v>
      </c>
      <c r="AJ70" s="16">
        <f t="shared" si="14"/>
        <v>2</v>
      </c>
      <c r="AK70">
        <f t="shared" si="15"/>
        <v>9450</v>
      </c>
      <c r="AL70">
        <f t="shared" si="16"/>
        <v>9448</v>
      </c>
      <c r="AM70">
        <f t="shared" si="17"/>
        <v>0.99978835978835978</v>
      </c>
      <c r="AN70">
        <f t="shared" si="18"/>
        <v>21</v>
      </c>
      <c r="AO70">
        <f t="shared" si="19"/>
        <v>21</v>
      </c>
      <c r="AQ70" s="5">
        <f t="shared" si="20"/>
        <v>9</v>
      </c>
      <c r="AR70" s="5">
        <f t="shared" si="21"/>
        <v>0</v>
      </c>
      <c r="AS70" s="5">
        <f t="shared" si="22"/>
        <v>0</v>
      </c>
      <c r="AT70" s="5">
        <f t="shared" si="23"/>
        <v>0</v>
      </c>
    </row>
    <row r="71" spans="1:46">
      <c r="A71" s="10" t="s">
        <v>109</v>
      </c>
      <c r="B71" s="5" t="s">
        <v>26</v>
      </c>
      <c r="C71" s="34" t="s">
        <v>40</v>
      </c>
      <c r="D71" s="9" t="s">
        <v>147</v>
      </c>
      <c r="E71" s="9" t="s">
        <v>148</v>
      </c>
      <c r="F71" s="9" t="s">
        <v>148</v>
      </c>
      <c r="G71" s="9" t="s">
        <v>148</v>
      </c>
      <c r="H71" s="9" t="s">
        <v>148</v>
      </c>
      <c r="I71" s="9" t="s">
        <v>148</v>
      </c>
      <c r="J71" s="9" t="s">
        <v>147</v>
      </c>
      <c r="K71" s="9" t="s">
        <v>147</v>
      </c>
      <c r="L71" s="9" t="s">
        <v>148</v>
      </c>
      <c r="M71" s="9" t="s">
        <v>148</v>
      </c>
      <c r="N71" s="9" t="s">
        <v>148</v>
      </c>
      <c r="O71" s="9" t="s">
        <v>148</v>
      </c>
      <c r="P71" s="9" t="s">
        <v>148</v>
      </c>
      <c r="Q71" s="9" t="s">
        <v>147</v>
      </c>
      <c r="R71" s="9" t="s">
        <v>147</v>
      </c>
      <c r="S71" s="9" t="s">
        <v>148</v>
      </c>
      <c r="T71" s="9" t="s">
        <v>148</v>
      </c>
      <c r="U71" s="9" t="s">
        <v>148</v>
      </c>
      <c r="V71" s="9" t="s">
        <v>148</v>
      </c>
      <c r="W71" s="9" t="s">
        <v>148</v>
      </c>
      <c r="X71" s="9" t="s">
        <v>147</v>
      </c>
      <c r="Y71" s="9" t="s">
        <v>147</v>
      </c>
      <c r="Z71" s="9" t="s">
        <v>148</v>
      </c>
      <c r="AA71" s="9" t="s">
        <v>148</v>
      </c>
      <c r="AB71" s="9" t="s">
        <v>148</v>
      </c>
      <c r="AC71" s="9" t="s">
        <v>148</v>
      </c>
      <c r="AD71" s="9" t="s">
        <v>148</v>
      </c>
      <c r="AE71" s="9" t="s">
        <v>147</v>
      </c>
      <c r="AF71" s="9" t="s">
        <v>147</v>
      </c>
      <c r="AG71" s="9" t="s">
        <v>148</v>
      </c>
      <c r="AH71" s="16">
        <f t="shared" si="13"/>
        <v>0</v>
      </c>
      <c r="AI71" s="5">
        <f t="shared" si="12"/>
        <v>0</v>
      </c>
      <c r="AJ71" s="16">
        <f t="shared" si="14"/>
        <v>0</v>
      </c>
      <c r="AK71">
        <f t="shared" si="15"/>
        <v>9450</v>
      </c>
      <c r="AL71">
        <f t="shared" si="16"/>
        <v>9450</v>
      </c>
      <c r="AM71">
        <f t="shared" si="17"/>
        <v>1</v>
      </c>
      <c r="AN71">
        <f t="shared" si="18"/>
        <v>21</v>
      </c>
      <c r="AO71">
        <f t="shared" si="19"/>
        <v>21</v>
      </c>
      <c r="AQ71" s="5">
        <f t="shared" si="20"/>
        <v>9</v>
      </c>
      <c r="AR71" s="5">
        <f t="shared" si="21"/>
        <v>0</v>
      </c>
      <c r="AS71" s="5">
        <f t="shared" si="22"/>
        <v>0</v>
      </c>
      <c r="AT71" s="5">
        <f t="shared" si="23"/>
        <v>0</v>
      </c>
    </row>
    <row r="72" spans="1:46">
      <c r="A72" s="10" t="s">
        <v>110</v>
      </c>
      <c r="B72" s="5" t="s">
        <v>111</v>
      </c>
      <c r="C72" s="35" t="s">
        <v>40</v>
      </c>
      <c r="D72" s="9" t="s">
        <v>147</v>
      </c>
      <c r="E72" s="9" t="s">
        <v>148</v>
      </c>
      <c r="F72" s="9" t="s">
        <v>148</v>
      </c>
      <c r="G72" s="9" t="s">
        <v>148</v>
      </c>
      <c r="H72" s="9" t="s">
        <v>148</v>
      </c>
      <c r="I72" s="9" t="s">
        <v>148</v>
      </c>
      <c r="J72" s="9" t="s">
        <v>147</v>
      </c>
      <c r="K72" s="9" t="s">
        <v>147</v>
      </c>
      <c r="L72" s="9" t="s">
        <v>148</v>
      </c>
      <c r="M72" s="9" t="s">
        <v>148</v>
      </c>
      <c r="N72" s="9" t="s">
        <v>148</v>
      </c>
      <c r="O72" s="9" t="s">
        <v>148</v>
      </c>
      <c r="P72" s="9" t="s">
        <v>148</v>
      </c>
      <c r="Q72" s="9" t="s">
        <v>147</v>
      </c>
      <c r="R72" s="9" t="s">
        <v>147</v>
      </c>
      <c r="S72" s="9">
        <v>9</v>
      </c>
      <c r="T72" s="9" t="s">
        <v>148</v>
      </c>
      <c r="U72" s="9" t="s">
        <v>148</v>
      </c>
      <c r="V72" s="9" t="s">
        <v>148</v>
      </c>
      <c r="W72" s="9" t="s">
        <v>148</v>
      </c>
      <c r="X72" s="9" t="s">
        <v>147</v>
      </c>
      <c r="Y72" s="9" t="s">
        <v>147</v>
      </c>
      <c r="Z72" s="9" t="s">
        <v>148</v>
      </c>
      <c r="AA72" s="9" t="s">
        <v>148</v>
      </c>
      <c r="AB72" s="9" t="s">
        <v>148</v>
      </c>
      <c r="AC72" s="9" t="s">
        <v>148</v>
      </c>
      <c r="AD72" s="9" t="s">
        <v>148</v>
      </c>
      <c r="AE72" s="9" t="s">
        <v>147</v>
      </c>
      <c r="AF72" s="9" t="s">
        <v>147</v>
      </c>
      <c r="AG72" s="9" t="s">
        <v>148</v>
      </c>
      <c r="AH72" s="16">
        <f t="shared" si="13"/>
        <v>9</v>
      </c>
      <c r="AI72" s="5">
        <f t="shared" si="12"/>
        <v>0</v>
      </c>
      <c r="AJ72" s="16">
        <f t="shared" si="14"/>
        <v>9</v>
      </c>
      <c r="AK72">
        <f t="shared" si="15"/>
        <v>9450</v>
      </c>
      <c r="AL72">
        <f t="shared" si="16"/>
        <v>9441</v>
      </c>
      <c r="AM72">
        <f t="shared" si="17"/>
        <v>0.99904761904761907</v>
      </c>
      <c r="AN72">
        <f t="shared" si="18"/>
        <v>21</v>
      </c>
      <c r="AO72">
        <f t="shared" si="19"/>
        <v>21</v>
      </c>
      <c r="AQ72" s="5">
        <f t="shared" si="20"/>
        <v>9</v>
      </c>
      <c r="AR72" s="5">
        <f t="shared" si="21"/>
        <v>0</v>
      </c>
      <c r="AS72" s="5">
        <f t="shared" si="22"/>
        <v>0</v>
      </c>
      <c r="AT72" s="5">
        <f t="shared" si="23"/>
        <v>0</v>
      </c>
    </row>
    <row r="73" spans="1:46">
      <c r="A73" s="32" t="s">
        <v>112</v>
      </c>
      <c r="B73" s="5" t="s">
        <v>22</v>
      </c>
      <c r="C73" s="35" t="s">
        <v>25</v>
      </c>
      <c r="D73" s="9" t="s">
        <v>148</v>
      </c>
      <c r="E73" s="9">
        <v>14</v>
      </c>
      <c r="F73" s="9">
        <v>18</v>
      </c>
      <c r="G73" s="9">
        <v>1</v>
      </c>
      <c r="H73" s="9">
        <v>3</v>
      </c>
      <c r="I73" s="9" t="s">
        <v>148</v>
      </c>
      <c r="J73" s="9" t="s">
        <v>147</v>
      </c>
      <c r="K73" s="9" t="s">
        <v>147</v>
      </c>
      <c r="L73" s="9">
        <v>2</v>
      </c>
      <c r="M73" s="9" t="s">
        <v>148</v>
      </c>
      <c r="N73" s="9" t="s">
        <v>148</v>
      </c>
      <c r="O73" s="9">
        <v>5</v>
      </c>
      <c r="P73" s="9" t="s">
        <v>148</v>
      </c>
      <c r="Q73" s="9" t="s">
        <v>147</v>
      </c>
      <c r="R73" s="9" t="s">
        <v>147</v>
      </c>
      <c r="S73" s="9" t="s">
        <v>148</v>
      </c>
      <c r="T73" s="9">
        <v>7</v>
      </c>
      <c r="U73" s="9">
        <v>1</v>
      </c>
      <c r="V73" s="9">
        <v>7</v>
      </c>
      <c r="W73" s="9">
        <v>2</v>
      </c>
      <c r="X73" s="9" t="s">
        <v>147</v>
      </c>
      <c r="Y73" s="9" t="s">
        <v>147</v>
      </c>
      <c r="Z73" s="9">
        <v>4</v>
      </c>
      <c r="AA73" s="9">
        <v>3</v>
      </c>
      <c r="AB73" s="9" t="s">
        <v>148</v>
      </c>
      <c r="AC73" s="9" t="s">
        <v>148</v>
      </c>
      <c r="AD73" s="9">
        <v>27</v>
      </c>
      <c r="AE73" s="9" t="s">
        <v>147</v>
      </c>
      <c r="AF73" s="9" t="s">
        <v>147</v>
      </c>
      <c r="AG73" s="9" t="s">
        <v>148</v>
      </c>
      <c r="AH73" s="16">
        <f t="shared" si="13"/>
        <v>94</v>
      </c>
      <c r="AI73" s="5">
        <f t="shared" si="12"/>
        <v>0</v>
      </c>
      <c r="AJ73" s="16">
        <f t="shared" si="14"/>
        <v>94</v>
      </c>
      <c r="AK73">
        <f t="shared" si="15"/>
        <v>9900</v>
      </c>
      <c r="AL73">
        <f t="shared" si="16"/>
        <v>9806</v>
      </c>
      <c r="AM73">
        <f t="shared" si="17"/>
        <v>0.99050505050505055</v>
      </c>
      <c r="AN73">
        <f t="shared" si="18"/>
        <v>22</v>
      </c>
      <c r="AO73">
        <f t="shared" si="19"/>
        <v>22</v>
      </c>
      <c r="AQ73" s="5">
        <f t="shared" si="20"/>
        <v>8</v>
      </c>
      <c r="AR73" s="5">
        <f t="shared" si="21"/>
        <v>0</v>
      </c>
      <c r="AS73" s="5">
        <f t="shared" si="22"/>
        <v>0</v>
      </c>
      <c r="AT73" s="5">
        <f t="shared" si="23"/>
        <v>0</v>
      </c>
    </row>
    <row r="74" spans="1:46">
      <c r="A74" s="10" t="s">
        <v>113</v>
      </c>
      <c r="B74" s="5" t="s">
        <v>26</v>
      </c>
      <c r="C74" s="11" t="s">
        <v>40</v>
      </c>
      <c r="D74" s="9" t="s">
        <v>148</v>
      </c>
      <c r="E74" s="9" t="s">
        <v>148</v>
      </c>
      <c r="F74" s="9" t="s">
        <v>147</v>
      </c>
      <c r="G74" s="9" t="s">
        <v>147</v>
      </c>
      <c r="H74" s="9" t="s">
        <v>148</v>
      </c>
      <c r="I74" s="9" t="s">
        <v>148</v>
      </c>
      <c r="J74" s="9" t="s">
        <v>148</v>
      </c>
      <c r="K74" s="9" t="s">
        <v>148</v>
      </c>
      <c r="L74" s="9" t="s">
        <v>148</v>
      </c>
      <c r="M74" s="9" t="s">
        <v>147</v>
      </c>
      <c r="N74" s="9" t="s">
        <v>147</v>
      </c>
      <c r="O74" s="9" t="s">
        <v>148</v>
      </c>
      <c r="P74" s="9" t="s">
        <v>148</v>
      </c>
      <c r="Q74" s="9" t="s">
        <v>148</v>
      </c>
      <c r="R74" s="9" t="s">
        <v>148</v>
      </c>
      <c r="S74" s="9" t="s">
        <v>148</v>
      </c>
      <c r="T74" s="9" t="s">
        <v>147</v>
      </c>
      <c r="U74" s="9" t="s">
        <v>147</v>
      </c>
      <c r="V74" s="9" t="s">
        <v>148</v>
      </c>
      <c r="W74" s="9" t="s">
        <v>148</v>
      </c>
      <c r="X74" s="9" t="s">
        <v>148</v>
      </c>
      <c r="Y74" s="9" t="s">
        <v>148</v>
      </c>
      <c r="Z74" s="9" t="s">
        <v>148</v>
      </c>
      <c r="AA74" s="9" t="s">
        <v>147</v>
      </c>
      <c r="AB74" s="9" t="s">
        <v>147</v>
      </c>
      <c r="AC74" s="9" t="s">
        <v>148</v>
      </c>
      <c r="AD74" s="9" t="s">
        <v>148</v>
      </c>
      <c r="AE74" s="9" t="s">
        <v>148</v>
      </c>
      <c r="AF74" s="9" t="s">
        <v>148</v>
      </c>
      <c r="AG74" s="9" t="s">
        <v>148</v>
      </c>
      <c r="AH74" s="16">
        <f t="shared" si="13"/>
        <v>0</v>
      </c>
      <c r="AI74" s="5">
        <f t="shared" si="12"/>
        <v>0</v>
      </c>
      <c r="AJ74" s="16">
        <f t="shared" si="14"/>
        <v>0</v>
      </c>
      <c r="AK74">
        <f t="shared" si="15"/>
        <v>9900</v>
      </c>
      <c r="AL74">
        <f t="shared" si="16"/>
        <v>9900</v>
      </c>
      <c r="AM74">
        <f t="shared" si="17"/>
        <v>1</v>
      </c>
      <c r="AN74">
        <f t="shared" si="18"/>
        <v>22</v>
      </c>
      <c r="AO74">
        <f t="shared" si="19"/>
        <v>22</v>
      </c>
      <c r="AQ74" s="5">
        <f t="shared" si="20"/>
        <v>8</v>
      </c>
      <c r="AR74" s="5">
        <f t="shared" si="21"/>
        <v>0</v>
      </c>
      <c r="AS74" s="5">
        <f t="shared" si="22"/>
        <v>0</v>
      </c>
      <c r="AT74" s="5">
        <f t="shared" si="23"/>
        <v>0</v>
      </c>
    </row>
    <row r="75" spans="1:46">
      <c r="A75" s="32" t="s">
        <v>114</v>
      </c>
      <c r="B75" s="5" t="s">
        <v>37</v>
      </c>
      <c r="C75" s="35" t="s">
        <v>40</v>
      </c>
      <c r="D75" s="9" t="s">
        <v>147</v>
      </c>
      <c r="E75" s="9" t="s">
        <v>147</v>
      </c>
      <c r="F75" s="9">
        <v>270</v>
      </c>
      <c r="G75" s="9">
        <v>10</v>
      </c>
      <c r="H75" s="9">
        <v>17</v>
      </c>
      <c r="I75" s="9" t="s">
        <v>148</v>
      </c>
      <c r="J75" s="9" t="s">
        <v>148</v>
      </c>
      <c r="K75" s="9" t="s">
        <v>147</v>
      </c>
      <c r="L75" s="9" t="s">
        <v>147</v>
      </c>
      <c r="M75" s="9">
        <v>240</v>
      </c>
      <c r="N75" s="9" t="s">
        <v>148</v>
      </c>
      <c r="O75" s="9" t="s">
        <v>148</v>
      </c>
      <c r="P75" s="9" t="s">
        <v>148</v>
      </c>
      <c r="Q75" s="9" t="s">
        <v>14</v>
      </c>
      <c r="R75" s="9" t="s">
        <v>147</v>
      </c>
      <c r="S75" s="9" t="s">
        <v>147</v>
      </c>
      <c r="T75" s="9">
        <v>33</v>
      </c>
      <c r="U75" s="9" t="s">
        <v>148</v>
      </c>
      <c r="V75" s="9">
        <v>1</v>
      </c>
      <c r="W75" s="9">
        <v>1</v>
      </c>
      <c r="X75" s="9" t="s">
        <v>148</v>
      </c>
      <c r="Y75" s="9" t="s">
        <v>147</v>
      </c>
      <c r="Z75" s="9" t="s">
        <v>147</v>
      </c>
      <c r="AA75" s="9" t="s">
        <v>148</v>
      </c>
      <c r="AB75" s="9" t="s">
        <v>148</v>
      </c>
      <c r="AC75" s="9">
        <v>265</v>
      </c>
      <c r="AD75" s="9">
        <v>11</v>
      </c>
      <c r="AE75" s="9">
        <v>16</v>
      </c>
      <c r="AF75" s="9" t="s">
        <v>147</v>
      </c>
      <c r="AG75" s="9" t="s">
        <v>147</v>
      </c>
      <c r="AH75" s="16">
        <f t="shared" si="13"/>
        <v>864</v>
      </c>
      <c r="AI75" s="5">
        <f t="shared" si="12"/>
        <v>0</v>
      </c>
      <c r="AJ75" s="16">
        <f t="shared" si="14"/>
        <v>864</v>
      </c>
      <c r="AK75">
        <f t="shared" si="15"/>
        <v>9000</v>
      </c>
      <c r="AL75">
        <f t="shared" si="16"/>
        <v>8136</v>
      </c>
      <c r="AM75">
        <f t="shared" si="17"/>
        <v>0.90400000000000003</v>
      </c>
      <c r="AN75">
        <f t="shared" si="18"/>
        <v>20</v>
      </c>
      <c r="AO75">
        <f t="shared" si="19"/>
        <v>21</v>
      </c>
      <c r="AQ75" s="5">
        <f t="shared" si="20"/>
        <v>9</v>
      </c>
      <c r="AR75" s="5">
        <f t="shared" si="21"/>
        <v>0</v>
      </c>
      <c r="AS75" s="5">
        <f t="shared" si="22"/>
        <v>1</v>
      </c>
      <c r="AT75" s="5">
        <f t="shared" si="23"/>
        <v>0</v>
      </c>
    </row>
    <row r="76" spans="1:46">
      <c r="A76" s="32" t="s">
        <v>66</v>
      </c>
      <c r="B76" s="5" t="s">
        <v>22</v>
      </c>
      <c r="C76" s="35" t="s">
        <v>30</v>
      </c>
      <c r="D76" s="9" t="s">
        <v>148</v>
      </c>
      <c r="E76" s="9" t="s">
        <v>148</v>
      </c>
      <c r="F76" s="9" t="s">
        <v>148</v>
      </c>
      <c r="G76" s="9">
        <v>5</v>
      </c>
      <c r="H76" s="9" t="s">
        <v>148</v>
      </c>
      <c r="I76" s="9" t="s">
        <v>148</v>
      </c>
      <c r="J76" s="9" t="s">
        <v>147</v>
      </c>
      <c r="K76" s="9" t="s">
        <v>147</v>
      </c>
      <c r="L76" s="9" t="s">
        <v>148</v>
      </c>
      <c r="M76" s="9" t="s">
        <v>148</v>
      </c>
      <c r="N76" s="9" t="s">
        <v>148</v>
      </c>
      <c r="O76" s="9" t="s">
        <v>148</v>
      </c>
      <c r="P76" s="9" t="s">
        <v>148</v>
      </c>
      <c r="Q76" s="9" t="s">
        <v>147</v>
      </c>
      <c r="R76" s="9" t="s">
        <v>147</v>
      </c>
      <c r="S76" s="9" t="s">
        <v>148</v>
      </c>
      <c r="T76" s="9" t="s">
        <v>148</v>
      </c>
      <c r="U76" s="9" t="s">
        <v>148</v>
      </c>
      <c r="V76" s="9" t="s">
        <v>148</v>
      </c>
      <c r="W76" s="9" t="s">
        <v>148</v>
      </c>
      <c r="X76" s="9" t="s">
        <v>147</v>
      </c>
      <c r="Y76" s="9" t="s">
        <v>147</v>
      </c>
      <c r="Z76" s="9" t="s">
        <v>148</v>
      </c>
      <c r="AA76" s="9" t="s">
        <v>148</v>
      </c>
      <c r="AB76" s="9" t="s">
        <v>148</v>
      </c>
      <c r="AC76" s="9" t="s">
        <v>148</v>
      </c>
      <c r="AD76" s="9" t="s">
        <v>148</v>
      </c>
      <c r="AE76" s="9" t="s">
        <v>147</v>
      </c>
      <c r="AF76" s="9" t="s">
        <v>147</v>
      </c>
      <c r="AG76" s="9" t="s">
        <v>148</v>
      </c>
      <c r="AH76" s="16">
        <f t="shared" si="13"/>
        <v>5</v>
      </c>
      <c r="AI76" s="5">
        <f t="shared" si="12"/>
        <v>0</v>
      </c>
      <c r="AJ76" s="16">
        <f t="shared" si="14"/>
        <v>5</v>
      </c>
      <c r="AK76">
        <f t="shared" si="15"/>
        <v>9900</v>
      </c>
      <c r="AL76">
        <f t="shared" si="16"/>
        <v>9895</v>
      </c>
      <c r="AM76">
        <f t="shared" si="17"/>
        <v>0.99949494949494955</v>
      </c>
      <c r="AN76">
        <f t="shared" si="18"/>
        <v>22</v>
      </c>
      <c r="AO76">
        <f t="shared" si="19"/>
        <v>22</v>
      </c>
      <c r="AQ76" s="5">
        <f t="shared" si="20"/>
        <v>8</v>
      </c>
      <c r="AR76" s="5">
        <f t="shared" si="21"/>
        <v>0</v>
      </c>
      <c r="AS76" s="5">
        <f t="shared" si="22"/>
        <v>0</v>
      </c>
      <c r="AT76" s="5">
        <f t="shared" si="23"/>
        <v>0</v>
      </c>
    </row>
    <row r="77" spans="1:46">
      <c r="A77" s="32" t="s">
        <v>115</v>
      </c>
      <c r="B77" s="5" t="s">
        <v>22</v>
      </c>
      <c r="C77" s="35" t="s">
        <v>33</v>
      </c>
      <c r="D77" s="9" t="s">
        <v>147</v>
      </c>
      <c r="E77" s="9" t="s">
        <v>148</v>
      </c>
      <c r="F77" s="9" t="s">
        <v>148</v>
      </c>
      <c r="G77" s="9" t="s">
        <v>148</v>
      </c>
      <c r="H77" s="9">
        <v>11</v>
      </c>
      <c r="I77" s="9" t="s">
        <v>148</v>
      </c>
      <c r="J77" s="9" t="s">
        <v>147</v>
      </c>
      <c r="K77" s="9" t="s">
        <v>147</v>
      </c>
      <c r="L77" s="9">
        <v>10</v>
      </c>
      <c r="M77" s="9">
        <v>13</v>
      </c>
      <c r="N77" s="9" t="s">
        <v>148</v>
      </c>
      <c r="O77" s="9" t="s">
        <v>148</v>
      </c>
      <c r="P77" s="9" t="s">
        <v>148</v>
      </c>
      <c r="Q77" s="9" t="s">
        <v>147</v>
      </c>
      <c r="R77" s="9" t="s">
        <v>147</v>
      </c>
      <c r="S77" s="9" t="s">
        <v>148</v>
      </c>
      <c r="T77" s="9" t="s">
        <v>148</v>
      </c>
      <c r="U77" s="9" t="s">
        <v>148</v>
      </c>
      <c r="V77" s="9" t="s">
        <v>148</v>
      </c>
      <c r="W77" s="9" t="s">
        <v>148</v>
      </c>
      <c r="X77" s="9" t="s">
        <v>147</v>
      </c>
      <c r="Y77" s="9" t="s">
        <v>147</v>
      </c>
      <c r="Z77" s="9" t="s">
        <v>148</v>
      </c>
      <c r="AA77" s="9" t="s">
        <v>148</v>
      </c>
      <c r="AB77" s="9" t="s">
        <v>148</v>
      </c>
      <c r="AC77" s="9" t="s">
        <v>148</v>
      </c>
      <c r="AD77" s="9" t="s">
        <v>148</v>
      </c>
      <c r="AE77" s="9" t="s">
        <v>147</v>
      </c>
      <c r="AF77" s="9" t="s">
        <v>147</v>
      </c>
      <c r="AG77" s="9">
        <v>28</v>
      </c>
      <c r="AH77" s="16">
        <f t="shared" si="13"/>
        <v>62</v>
      </c>
      <c r="AI77" s="5">
        <f t="shared" si="12"/>
        <v>0</v>
      </c>
      <c r="AJ77" s="16">
        <f t="shared" si="14"/>
        <v>62</v>
      </c>
      <c r="AK77">
        <f t="shared" si="15"/>
        <v>9450</v>
      </c>
      <c r="AL77">
        <f t="shared" si="16"/>
        <v>9388</v>
      </c>
      <c r="AM77">
        <f t="shared" si="17"/>
        <v>0.99343915343915346</v>
      </c>
      <c r="AN77">
        <f t="shared" si="18"/>
        <v>21</v>
      </c>
      <c r="AO77">
        <f t="shared" si="19"/>
        <v>21</v>
      </c>
      <c r="AQ77" s="5">
        <f t="shared" si="20"/>
        <v>9</v>
      </c>
      <c r="AR77" s="5">
        <f t="shared" si="21"/>
        <v>0</v>
      </c>
      <c r="AS77" s="5">
        <f t="shared" si="22"/>
        <v>0</v>
      </c>
      <c r="AT77" s="5">
        <f t="shared" si="23"/>
        <v>0</v>
      </c>
    </row>
    <row r="78" spans="1:46">
      <c r="A78" s="32" t="s">
        <v>116</v>
      </c>
      <c r="B78" s="5" t="s">
        <v>22</v>
      </c>
      <c r="C78" s="35" t="s">
        <v>63</v>
      </c>
      <c r="D78" s="9" t="s">
        <v>147</v>
      </c>
      <c r="E78" s="9" t="s">
        <v>148</v>
      </c>
      <c r="F78" s="9">
        <v>11</v>
      </c>
      <c r="G78" s="9" t="s">
        <v>148</v>
      </c>
      <c r="H78" s="9">
        <v>7</v>
      </c>
      <c r="I78" s="9" t="s">
        <v>148</v>
      </c>
      <c r="J78" s="9" t="s">
        <v>147</v>
      </c>
      <c r="K78" s="9" t="s">
        <v>147</v>
      </c>
      <c r="L78" s="9">
        <v>16</v>
      </c>
      <c r="M78" s="9">
        <v>17</v>
      </c>
      <c r="N78" s="9" t="s">
        <v>148</v>
      </c>
      <c r="O78" s="9" t="s">
        <v>148</v>
      </c>
      <c r="P78" s="9" t="s">
        <v>148</v>
      </c>
      <c r="Q78" s="9" t="s">
        <v>147</v>
      </c>
      <c r="R78" s="9" t="s">
        <v>147</v>
      </c>
      <c r="S78" s="9" t="s">
        <v>148</v>
      </c>
      <c r="T78" s="9" t="s">
        <v>148</v>
      </c>
      <c r="U78" s="9" t="s">
        <v>148</v>
      </c>
      <c r="V78" s="9" t="s">
        <v>148</v>
      </c>
      <c r="W78" s="9" t="s">
        <v>148</v>
      </c>
      <c r="X78" s="9" t="s">
        <v>147</v>
      </c>
      <c r="Y78" s="9" t="s">
        <v>147</v>
      </c>
      <c r="Z78" s="9">
        <v>450</v>
      </c>
      <c r="AA78" s="9">
        <v>450</v>
      </c>
      <c r="AB78" s="9" t="s">
        <v>12</v>
      </c>
      <c r="AC78" s="9" t="s">
        <v>12</v>
      </c>
      <c r="AD78" s="9" t="s">
        <v>12</v>
      </c>
      <c r="AE78" s="9" t="s">
        <v>147</v>
      </c>
      <c r="AF78" s="9" t="s">
        <v>147</v>
      </c>
      <c r="AG78" s="9" t="s">
        <v>148</v>
      </c>
      <c r="AH78" s="16">
        <v>51</v>
      </c>
      <c r="AI78" s="5">
        <f t="shared" si="12"/>
        <v>900</v>
      </c>
      <c r="AJ78" s="16">
        <f t="shared" si="14"/>
        <v>951</v>
      </c>
      <c r="AK78">
        <f t="shared" si="15"/>
        <v>8100</v>
      </c>
      <c r="AL78">
        <f t="shared" si="16"/>
        <v>7149</v>
      </c>
      <c r="AM78">
        <f t="shared" si="17"/>
        <v>0.8825925925925926</v>
      </c>
      <c r="AN78">
        <f t="shared" si="18"/>
        <v>18</v>
      </c>
      <c r="AO78">
        <f t="shared" si="19"/>
        <v>21</v>
      </c>
      <c r="AQ78" s="5">
        <f t="shared" si="20"/>
        <v>9</v>
      </c>
      <c r="AR78" s="5">
        <f t="shared" si="21"/>
        <v>3</v>
      </c>
      <c r="AS78" s="5">
        <f t="shared" si="22"/>
        <v>0</v>
      </c>
      <c r="AT78" s="5">
        <f t="shared" si="23"/>
        <v>2</v>
      </c>
    </row>
    <row r="79" spans="1:46">
      <c r="A79" s="32" t="s">
        <v>117</v>
      </c>
      <c r="B79" s="5" t="s">
        <v>22</v>
      </c>
      <c r="C79" s="35" t="s">
        <v>30</v>
      </c>
      <c r="D79" s="9" t="s">
        <v>147</v>
      </c>
      <c r="E79" s="9" t="s">
        <v>148</v>
      </c>
      <c r="F79" s="9" t="s">
        <v>148</v>
      </c>
      <c r="G79" s="9" t="s">
        <v>148</v>
      </c>
      <c r="H79" s="9" t="s">
        <v>148</v>
      </c>
      <c r="I79" s="9" t="s">
        <v>148</v>
      </c>
      <c r="J79" s="9" t="s">
        <v>147</v>
      </c>
      <c r="K79" s="9" t="s">
        <v>147</v>
      </c>
      <c r="L79" s="9" t="s">
        <v>148</v>
      </c>
      <c r="M79" s="9" t="s">
        <v>148</v>
      </c>
      <c r="N79" s="9" t="s">
        <v>148</v>
      </c>
      <c r="O79" s="9" t="s">
        <v>148</v>
      </c>
      <c r="P79" s="9" t="s">
        <v>148</v>
      </c>
      <c r="Q79" s="9" t="s">
        <v>147</v>
      </c>
      <c r="R79" s="9" t="s">
        <v>147</v>
      </c>
      <c r="S79" s="9" t="s">
        <v>148</v>
      </c>
      <c r="T79" s="9" t="s">
        <v>148</v>
      </c>
      <c r="U79" s="9" t="s">
        <v>148</v>
      </c>
      <c r="V79" s="9" t="s">
        <v>148</v>
      </c>
      <c r="W79" s="9">
        <v>450</v>
      </c>
      <c r="X79" s="9" t="s">
        <v>147</v>
      </c>
      <c r="Y79" s="9" t="s">
        <v>147</v>
      </c>
      <c r="Z79" s="9" t="s">
        <v>148</v>
      </c>
      <c r="AA79" s="9" t="s">
        <v>148</v>
      </c>
      <c r="AB79" s="9" t="s">
        <v>148</v>
      </c>
      <c r="AC79" s="9" t="s">
        <v>148</v>
      </c>
      <c r="AD79" s="9" t="s">
        <v>148</v>
      </c>
      <c r="AE79" s="9" t="s">
        <v>147</v>
      </c>
      <c r="AF79" s="9" t="s">
        <v>147</v>
      </c>
      <c r="AG79" s="9" t="s">
        <v>148</v>
      </c>
      <c r="AH79" s="16">
        <v>0</v>
      </c>
      <c r="AI79" s="5">
        <f t="shared" si="12"/>
        <v>450</v>
      </c>
      <c r="AJ79" s="16">
        <f t="shared" si="14"/>
        <v>450</v>
      </c>
      <c r="AK79">
        <f t="shared" si="15"/>
        <v>9450</v>
      </c>
      <c r="AL79">
        <f t="shared" si="16"/>
        <v>9000</v>
      </c>
      <c r="AM79">
        <f t="shared" si="17"/>
        <v>0.95238095238095233</v>
      </c>
      <c r="AN79">
        <f t="shared" si="18"/>
        <v>21</v>
      </c>
      <c r="AO79">
        <f t="shared" si="19"/>
        <v>21</v>
      </c>
      <c r="AQ79" s="5">
        <f t="shared" si="20"/>
        <v>9</v>
      </c>
      <c r="AR79" s="5">
        <f t="shared" si="21"/>
        <v>0</v>
      </c>
      <c r="AS79" s="5">
        <f t="shared" si="22"/>
        <v>0</v>
      </c>
      <c r="AT79" s="5">
        <f t="shared" si="23"/>
        <v>1</v>
      </c>
    </row>
    <row r="80" spans="1:46">
      <c r="A80" s="32" t="s">
        <v>118</v>
      </c>
      <c r="B80" s="5" t="s">
        <v>37</v>
      </c>
      <c r="C80" s="35" t="s">
        <v>40</v>
      </c>
      <c r="D80" s="9" t="s">
        <v>147</v>
      </c>
      <c r="E80" s="9" t="s">
        <v>148</v>
      </c>
      <c r="F80" s="9" t="s">
        <v>148</v>
      </c>
      <c r="G80" s="9" t="s">
        <v>148</v>
      </c>
      <c r="H80" s="9">
        <v>5</v>
      </c>
      <c r="I80" s="9">
        <v>298</v>
      </c>
      <c r="J80" s="9" t="s">
        <v>148</v>
      </c>
      <c r="K80" s="9" t="s">
        <v>147</v>
      </c>
      <c r="L80" s="9" t="s">
        <v>148</v>
      </c>
      <c r="M80" s="9">
        <v>12</v>
      </c>
      <c r="N80" s="9" t="s">
        <v>148</v>
      </c>
      <c r="O80" s="9" t="s">
        <v>148</v>
      </c>
      <c r="P80" s="9" t="s">
        <v>148</v>
      </c>
      <c r="Q80" s="9" t="s">
        <v>147</v>
      </c>
      <c r="R80" s="9" t="s">
        <v>147</v>
      </c>
      <c r="S80" s="9" t="s">
        <v>148</v>
      </c>
      <c r="T80" s="9" t="s">
        <v>148</v>
      </c>
      <c r="U80" s="9" t="s">
        <v>148</v>
      </c>
      <c r="V80" s="9" t="s">
        <v>148</v>
      </c>
      <c r="W80" s="9" t="s">
        <v>148</v>
      </c>
      <c r="X80" s="9" t="s">
        <v>147</v>
      </c>
      <c r="Y80" s="9" t="s">
        <v>147</v>
      </c>
      <c r="Z80" s="9" t="s">
        <v>148</v>
      </c>
      <c r="AA80" s="9">
        <v>25</v>
      </c>
      <c r="AB80" s="9" t="s">
        <v>148</v>
      </c>
      <c r="AC80" s="9" t="s">
        <v>148</v>
      </c>
      <c r="AD80" s="9" t="s">
        <v>148</v>
      </c>
      <c r="AE80" s="9" t="s">
        <v>147</v>
      </c>
      <c r="AF80" s="9" t="s">
        <v>147</v>
      </c>
      <c r="AG80" s="9" t="s">
        <v>148</v>
      </c>
      <c r="AH80" s="16">
        <f t="shared" si="13"/>
        <v>340</v>
      </c>
      <c r="AI80" s="5">
        <f t="shared" si="12"/>
        <v>0</v>
      </c>
      <c r="AJ80" s="16">
        <f t="shared" si="14"/>
        <v>340</v>
      </c>
      <c r="AK80">
        <f t="shared" si="15"/>
        <v>9900</v>
      </c>
      <c r="AL80">
        <f t="shared" si="16"/>
        <v>9560</v>
      </c>
      <c r="AM80">
        <f t="shared" si="17"/>
        <v>0.96565656565656566</v>
      </c>
      <c r="AN80">
        <f t="shared" si="18"/>
        <v>22</v>
      </c>
      <c r="AO80">
        <f t="shared" si="19"/>
        <v>22</v>
      </c>
      <c r="AQ80" s="5">
        <f t="shared" si="20"/>
        <v>8</v>
      </c>
      <c r="AR80" s="5">
        <f t="shared" si="21"/>
        <v>0</v>
      </c>
      <c r="AS80" s="5">
        <f t="shared" si="22"/>
        <v>0</v>
      </c>
      <c r="AT80" s="5">
        <f t="shared" si="23"/>
        <v>0</v>
      </c>
    </row>
    <row r="81" spans="1:46">
      <c r="A81" s="10" t="s">
        <v>119</v>
      </c>
      <c r="B81" s="5" t="s">
        <v>26</v>
      </c>
      <c r="C81" s="11" t="s">
        <v>25</v>
      </c>
      <c r="D81" s="9" t="s">
        <v>148</v>
      </c>
      <c r="E81" s="9" t="s">
        <v>148</v>
      </c>
      <c r="F81" s="9" t="s">
        <v>148</v>
      </c>
      <c r="G81" s="9" t="s">
        <v>147</v>
      </c>
      <c r="H81" s="9" t="s">
        <v>147</v>
      </c>
      <c r="I81" s="9" t="s">
        <v>148</v>
      </c>
      <c r="J81" s="9" t="s">
        <v>148</v>
      </c>
      <c r="K81" s="9" t="s">
        <v>148</v>
      </c>
      <c r="L81" s="9" t="s">
        <v>148</v>
      </c>
      <c r="M81" s="9" t="s">
        <v>148</v>
      </c>
      <c r="N81" s="9" t="s">
        <v>147</v>
      </c>
      <c r="O81" s="9" t="s">
        <v>147</v>
      </c>
      <c r="P81" s="9" t="s">
        <v>148</v>
      </c>
      <c r="Q81" s="9" t="s">
        <v>148</v>
      </c>
      <c r="R81" s="9" t="s">
        <v>148</v>
      </c>
      <c r="S81" s="9" t="s">
        <v>148</v>
      </c>
      <c r="T81" s="9" t="s">
        <v>147</v>
      </c>
      <c r="U81" s="9" t="s">
        <v>147</v>
      </c>
      <c r="V81" s="9" t="s">
        <v>148</v>
      </c>
      <c r="W81" s="9" t="s">
        <v>148</v>
      </c>
      <c r="X81" s="9" t="s">
        <v>148</v>
      </c>
      <c r="Y81" s="9" t="s">
        <v>148</v>
      </c>
      <c r="Z81" s="9" t="s">
        <v>148</v>
      </c>
      <c r="AA81" s="9" t="s">
        <v>147</v>
      </c>
      <c r="AB81" s="9" t="s">
        <v>147</v>
      </c>
      <c r="AC81" s="9" t="s">
        <v>148</v>
      </c>
      <c r="AD81" s="9" t="s">
        <v>148</v>
      </c>
      <c r="AE81" s="9" t="s">
        <v>148</v>
      </c>
      <c r="AF81" s="9" t="s">
        <v>148</v>
      </c>
      <c r="AG81" s="9" t="s">
        <v>148</v>
      </c>
      <c r="AH81" s="16">
        <f t="shared" si="13"/>
        <v>0</v>
      </c>
      <c r="AI81" s="5">
        <f t="shared" si="12"/>
        <v>0</v>
      </c>
      <c r="AJ81" s="16">
        <f t="shared" si="14"/>
        <v>0</v>
      </c>
      <c r="AK81">
        <f t="shared" si="15"/>
        <v>9900</v>
      </c>
      <c r="AL81">
        <f t="shared" si="16"/>
        <v>9900</v>
      </c>
      <c r="AM81">
        <f t="shared" si="17"/>
        <v>1</v>
      </c>
      <c r="AN81">
        <f t="shared" si="18"/>
        <v>22</v>
      </c>
      <c r="AO81">
        <f t="shared" si="19"/>
        <v>22</v>
      </c>
      <c r="AQ81" s="5">
        <f t="shared" si="20"/>
        <v>8</v>
      </c>
      <c r="AR81" s="5">
        <f t="shared" si="21"/>
        <v>0</v>
      </c>
      <c r="AS81" s="5">
        <f t="shared" si="22"/>
        <v>0</v>
      </c>
      <c r="AT81" s="5">
        <f t="shared" si="23"/>
        <v>0</v>
      </c>
    </row>
    <row r="82" spans="1:46">
      <c r="A82" s="32" t="s">
        <v>120</v>
      </c>
      <c r="B82" s="5" t="s">
        <v>22</v>
      </c>
      <c r="C82" s="35" t="s">
        <v>30</v>
      </c>
      <c r="D82" s="9" t="s">
        <v>148</v>
      </c>
      <c r="E82" s="9">
        <v>9</v>
      </c>
      <c r="F82" s="9" t="s">
        <v>148</v>
      </c>
      <c r="G82" s="9">
        <v>28</v>
      </c>
      <c r="H82" s="9" t="s">
        <v>148</v>
      </c>
      <c r="I82" s="9" t="s">
        <v>148</v>
      </c>
      <c r="J82" s="9" t="s">
        <v>147</v>
      </c>
      <c r="K82" s="9" t="s">
        <v>147</v>
      </c>
      <c r="L82" s="9" t="s">
        <v>148</v>
      </c>
      <c r="M82" s="9">
        <v>450</v>
      </c>
      <c r="N82" s="9" t="s">
        <v>148</v>
      </c>
      <c r="O82" s="9" t="s">
        <v>148</v>
      </c>
      <c r="P82" s="9">
        <v>11</v>
      </c>
      <c r="Q82" s="9" t="s">
        <v>147</v>
      </c>
      <c r="R82" s="9" t="s">
        <v>147</v>
      </c>
      <c r="S82" s="9" t="s">
        <v>148</v>
      </c>
      <c r="T82" s="9" t="s">
        <v>148</v>
      </c>
      <c r="U82" s="9">
        <v>450</v>
      </c>
      <c r="V82" s="9" t="s">
        <v>148</v>
      </c>
      <c r="W82" s="9" t="s">
        <v>148</v>
      </c>
      <c r="X82" s="9" t="s">
        <v>147</v>
      </c>
      <c r="Y82" s="9" t="s">
        <v>147</v>
      </c>
      <c r="Z82" s="9" t="s">
        <v>148</v>
      </c>
      <c r="AA82" s="9" t="s">
        <v>148</v>
      </c>
      <c r="AB82" s="9" t="s">
        <v>148</v>
      </c>
      <c r="AC82" s="9" t="s">
        <v>148</v>
      </c>
      <c r="AD82" s="9" t="s">
        <v>148</v>
      </c>
      <c r="AE82" s="9" t="s">
        <v>147</v>
      </c>
      <c r="AF82" s="9" t="s">
        <v>147</v>
      </c>
      <c r="AG82" s="9" t="s">
        <v>148</v>
      </c>
      <c r="AH82" s="16">
        <v>48</v>
      </c>
      <c r="AI82" s="5">
        <f t="shared" si="12"/>
        <v>900</v>
      </c>
      <c r="AJ82" s="16">
        <f t="shared" si="14"/>
        <v>948</v>
      </c>
      <c r="AK82">
        <f t="shared" si="15"/>
        <v>9900</v>
      </c>
      <c r="AL82">
        <f t="shared" si="16"/>
        <v>8952</v>
      </c>
      <c r="AM82">
        <f t="shared" si="17"/>
        <v>0.90424242424242429</v>
      </c>
      <c r="AN82">
        <f t="shared" si="18"/>
        <v>22</v>
      </c>
      <c r="AO82">
        <f t="shared" si="19"/>
        <v>22</v>
      </c>
      <c r="AQ82" s="5">
        <f t="shared" si="20"/>
        <v>8</v>
      </c>
      <c r="AR82" s="5">
        <f t="shared" si="21"/>
        <v>0</v>
      </c>
      <c r="AS82" s="5">
        <f t="shared" si="22"/>
        <v>0</v>
      </c>
      <c r="AT82" s="5">
        <f t="shared" si="23"/>
        <v>2</v>
      </c>
    </row>
    <row r="83" spans="1:46">
      <c r="A83" s="32" t="s">
        <v>122</v>
      </c>
      <c r="B83" s="5" t="s">
        <v>22</v>
      </c>
      <c r="C83" s="35" t="s">
        <v>30</v>
      </c>
      <c r="D83" s="9" t="s">
        <v>148</v>
      </c>
      <c r="E83" s="9" t="s">
        <v>148</v>
      </c>
      <c r="F83" s="9" t="s">
        <v>148</v>
      </c>
      <c r="G83" s="9" t="s">
        <v>148</v>
      </c>
      <c r="H83" s="9" t="s">
        <v>148</v>
      </c>
      <c r="I83" s="9" t="s">
        <v>148</v>
      </c>
      <c r="J83" s="9" t="s">
        <v>147</v>
      </c>
      <c r="K83" s="9" t="s">
        <v>147</v>
      </c>
      <c r="L83" s="9" t="s">
        <v>148</v>
      </c>
      <c r="M83" s="9" t="s">
        <v>148</v>
      </c>
      <c r="N83" s="9" t="s">
        <v>148</v>
      </c>
      <c r="O83" s="9" t="s">
        <v>148</v>
      </c>
      <c r="P83" s="9" t="s">
        <v>148</v>
      </c>
      <c r="Q83" s="9" t="s">
        <v>147</v>
      </c>
      <c r="R83" s="9" t="s">
        <v>147</v>
      </c>
      <c r="S83" s="9" t="s">
        <v>148</v>
      </c>
      <c r="T83" s="9" t="s">
        <v>148</v>
      </c>
      <c r="U83" s="9" t="s">
        <v>148</v>
      </c>
      <c r="V83" s="9" t="s">
        <v>148</v>
      </c>
      <c r="W83" s="9" t="s">
        <v>148</v>
      </c>
      <c r="X83" s="9" t="s">
        <v>147</v>
      </c>
      <c r="Y83" s="9" t="s">
        <v>147</v>
      </c>
      <c r="Z83" s="9" t="s">
        <v>148</v>
      </c>
      <c r="AA83" s="9" t="s">
        <v>148</v>
      </c>
      <c r="AB83" s="9" t="s">
        <v>148</v>
      </c>
      <c r="AC83" s="9" t="s">
        <v>148</v>
      </c>
      <c r="AD83" s="9" t="s">
        <v>148</v>
      </c>
      <c r="AE83" s="9" t="s">
        <v>147</v>
      </c>
      <c r="AF83" s="9" t="s">
        <v>147</v>
      </c>
      <c r="AG83" s="9" t="s">
        <v>148</v>
      </c>
      <c r="AH83" s="16">
        <f t="shared" si="13"/>
        <v>0</v>
      </c>
      <c r="AI83" s="5">
        <f t="shared" si="12"/>
        <v>0</v>
      </c>
      <c r="AJ83" s="16">
        <f t="shared" si="14"/>
        <v>0</v>
      </c>
      <c r="AK83">
        <f t="shared" si="15"/>
        <v>9900</v>
      </c>
      <c r="AL83">
        <f t="shared" si="16"/>
        <v>9900</v>
      </c>
      <c r="AM83">
        <f t="shared" si="17"/>
        <v>1</v>
      </c>
      <c r="AN83">
        <f t="shared" si="18"/>
        <v>22</v>
      </c>
      <c r="AO83">
        <f t="shared" si="19"/>
        <v>22</v>
      </c>
      <c r="AQ83" s="5">
        <f t="shared" si="20"/>
        <v>8</v>
      </c>
      <c r="AR83" s="5">
        <f t="shared" si="21"/>
        <v>0</v>
      </c>
      <c r="AS83" s="5">
        <f t="shared" si="22"/>
        <v>0</v>
      </c>
      <c r="AT83" s="5">
        <f t="shared" si="23"/>
        <v>0</v>
      </c>
    </row>
    <row r="84" spans="1:46">
      <c r="A84" s="10" t="s">
        <v>123</v>
      </c>
      <c r="B84" s="5" t="s">
        <v>26</v>
      </c>
      <c r="C84" s="11" t="s">
        <v>40</v>
      </c>
      <c r="D84" s="9" t="s">
        <v>147</v>
      </c>
      <c r="E84" s="9" t="s">
        <v>148</v>
      </c>
      <c r="F84" s="9" t="s">
        <v>148</v>
      </c>
      <c r="G84" s="9" t="s">
        <v>148</v>
      </c>
      <c r="H84" s="9" t="s">
        <v>148</v>
      </c>
      <c r="I84" s="9" t="s">
        <v>148</v>
      </c>
      <c r="J84" s="9" t="s">
        <v>147</v>
      </c>
      <c r="K84" s="9" t="s">
        <v>147</v>
      </c>
      <c r="L84" s="9" t="s">
        <v>148</v>
      </c>
      <c r="M84" s="9" t="s">
        <v>148</v>
      </c>
      <c r="N84" s="9" t="s">
        <v>148</v>
      </c>
      <c r="O84" s="9" t="s">
        <v>148</v>
      </c>
      <c r="P84" s="9" t="s">
        <v>148</v>
      </c>
      <c r="Q84" s="9" t="s">
        <v>147</v>
      </c>
      <c r="R84" s="9" t="s">
        <v>147</v>
      </c>
      <c r="S84" s="9" t="s">
        <v>148</v>
      </c>
      <c r="T84" s="9" t="s">
        <v>148</v>
      </c>
      <c r="U84" s="9" t="s">
        <v>148</v>
      </c>
      <c r="V84" s="9" t="s">
        <v>148</v>
      </c>
      <c r="W84" s="9" t="s">
        <v>148</v>
      </c>
      <c r="X84" s="9" t="s">
        <v>147</v>
      </c>
      <c r="Y84" s="9" t="s">
        <v>147</v>
      </c>
      <c r="Z84" s="9" t="s">
        <v>148</v>
      </c>
      <c r="AA84" s="9" t="s">
        <v>148</v>
      </c>
      <c r="AB84" s="9" t="s">
        <v>148</v>
      </c>
      <c r="AC84" s="9" t="s">
        <v>148</v>
      </c>
      <c r="AD84" s="9" t="s">
        <v>148</v>
      </c>
      <c r="AE84" s="9" t="s">
        <v>147</v>
      </c>
      <c r="AF84" s="9" t="s">
        <v>147</v>
      </c>
      <c r="AG84" s="9" t="s">
        <v>148</v>
      </c>
      <c r="AH84" s="16">
        <f t="shared" si="13"/>
        <v>0</v>
      </c>
      <c r="AI84" s="5">
        <f t="shared" si="12"/>
        <v>0</v>
      </c>
      <c r="AJ84" s="16">
        <f t="shared" si="14"/>
        <v>0</v>
      </c>
      <c r="AK84">
        <f t="shared" si="15"/>
        <v>9450</v>
      </c>
      <c r="AL84">
        <f t="shared" si="16"/>
        <v>9450</v>
      </c>
      <c r="AM84">
        <f t="shared" si="17"/>
        <v>1</v>
      </c>
      <c r="AN84">
        <f t="shared" si="18"/>
        <v>21</v>
      </c>
      <c r="AO84">
        <f t="shared" si="19"/>
        <v>21</v>
      </c>
      <c r="AQ84" s="5">
        <f t="shared" si="20"/>
        <v>9</v>
      </c>
      <c r="AR84" s="5">
        <f t="shared" si="21"/>
        <v>0</v>
      </c>
      <c r="AS84" s="5">
        <f t="shared" si="22"/>
        <v>0</v>
      </c>
      <c r="AT84" s="5">
        <f t="shared" si="23"/>
        <v>0</v>
      </c>
    </row>
    <row r="85" spans="1:46">
      <c r="A85" s="10" t="s">
        <v>124</v>
      </c>
      <c r="B85" s="5" t="s">
        <v>26</v>
      </c>
      <c r="C85" s="34" t="s">
        <v>40</v>
      </c>
      <c r="D85" s="9" t="s">
        <v>147</v>
      </c>
      <c r="E85" s="9" t="s">
        <v>148</v>
      </c>
      <c r="F85" s="9" t="s">
        <v>148</v>
      </c>
      <c r="G85" s="9" t="s">
        <v>148</v>
      </c>
      <c r="H85" s="9" t="s">
        <v>148</v>
      </c>
      <c r="I85" s="9" t="s">
        <v>148</v>
      </c>
      <c r="J85" s="9" t="s">
        <v>147</v>
      </c>
      <c r="K85" s="9" t="s">
        <v>147</v>
      </c>
      <c r="L85" s="9" t="s">
        <v>148</v>
      </c>
      <c r="M85" s="9" t="s">
        <v>148</v>
      </c>
      <c r="N85" s="9" t="s">
        <v>148</v>
      </c>
      <c r="O85" s="9" t="s">
        <v>148</v>
      </c>
      <c r="P85" s="9" t="s">
        <v>148</v>
      </c>
      <c r="Q85" s="9" t="s">
        <v>147</v>
      </c>
      <c r="R85" s="9" t="s">
        <v>147</v>
      </c>
      <c r="S85" s="9" t="s">
        <v>148</v>
      </c>
      <c r="T85" s="9" t="s">
        <v>148</v>
      </c>
      <c r="U85" s="9" t="s">
        <v>148</v>
      </c>
      <c r="V85" s="9" t="s">
        <v>148</v>
      </c>
      <c r="W85" s="9" t="s">
        <v>148</v>
      </c>
      <c r="X85" s="9" t="s">
        <v>147</v>
      </c>
      <c r="Y85" s="9" t="s">
        <v>147</v>
      </c>
      <c r="Z85" s="9" t="s">
        <v>148</v>
      </c>
      <c r="AA85" s="9" t="s">
        <v>148</v>
      </c>
      <c r="AB85" s="9" t="s">
        <v>148</v>
      </c>
      <c r="AC85" s="9" t="s">
        <v>148</v>
      </c>
      <c r="AD85" s="9" t="s">
        <v>148</v>
      </c>
      <c r="AE85" s="9" t="s">
        <v>147</v>
      </c>
      <c r="AF85" s="9" t="s">
        <v>147</v>
      </c>
      <c r="AG85" s="9" t="s">
        <v>148</v>
      </c>
      <c r="AH85" s="16">
        <f t="shared" si="13"/>
        <v>0</v>
      </c>
      <c r="AI85" s="5">
        <f t="shared" si="12"/>
        <v>0</v>
      </c>
      <c r="AJ85" s="16">
        <f t="shared" si="14"/>
        <v>0</v>
      </c>
      <c r="AK85">
        <f t="shared" si="15"/>
        <v>9450</v>
      </c>
      <c r="AL85">
        <f t="shared" si="16"/>
        <v>9450</v>
      </c>
      <c r="AM85">
        <f t="shared" si="17"/>
        <v>1</v>
      </c>
      <c r="AN85">
        <f t="shared" si="18"/>
        <v>21</v>
      </c>
      <c r="AO85">
        <f t="shared" si="19"/>
        <v>21</v>
      </c>
      <c r="AQ85" s="5">
        <f t="shared" si="20"/>
        <v>9</v>
      </c>
      <c r="AR85" s="5">
        <f t="shared" si="21"/>
        <v>0</v>
      </c>
      <c r="AS85" s="5">
        <f t="shared" si="22"/>
        <v>0</v>
      </c>
      <c r="AT85" s="5">
        <f t="shared" si="23"/>
        <v>0</v>
      </c>
    </row>
    <row r="86" spans="1:46">
      <c r="A86" s="32" t="s">
        <v>125</v>
      </c>
      <c r="B86" s="5" t="s">
        <v>22</v>
      </c>
      <c r="C86" s="35" t="s">
        <v>25</v>
      </c>
      <c r="D86" s="9" t="s">
        <v>147</v>
      </c>
      <c r="E86" s="9" t="s">
        <v>148</v>
      </c>
      <c r="F86" s="9">
        <v>450</v>
      </c>
      <c r="G86" s="9" t="s">
        <v>148</v>
      </c>
      <c r="H86" s="9">
        <v>1</v>
      </c>
      <c r="I86" s="9" t="s">
        <v>148</v>
      </c>
      <c r="J86" s="9" t="s">
        <v>147</v>
      </c>
      <c r="K86" s="9" t="s">
        <v>147</v>
      </c>
      <c r="L86" s="9" t="s">
        <v>148</v>
      </c>
      <c r="M86" s="9" t="s">
        <v>148</v>
      </c>
      <c r="N86" s="9" t="s">
        <v>148</v>
      </c>
      <c r="O86" s="9">
        <v>450</v>
      </c>
      <c r="P86" s="9" t="s">
        <v>148</v>
      </c>
      <c r="Q86" s="9" t="s">
        <v>147</v>
      </c>
      <c r="R86" s="9" t="s">
        <v>147</v>
      </c>
      <c r="S86" s="9">
        <v>450</v>
      </c>
      <c r="T86" s="9" t="s">
        <v>148</v>
      </c>
      <c r="U86" s="9" t="s">
        <v>148</v>
      </c>
      <c r="V86" s="9">
        <v>8</v>
      </c>
      <c r="W86" s="9" t="s">
        <v>148</v>
      </c>
      <c r="X86" s="9" t="s">
        <v>147</v>
      </c>
      <c r="Y86" s="9" t="s">
        <v>147</v>
      </c>
      <c r="Z86" s="9" t="s">
        <v>148</v>
      </c>
      <c r="AA86" s="9">
        <v>450</v>
      </c>
      <c r="AB86" s="9" t="s">
        <v>148</v>
      </c>
      <c r="AC86" s="9" t="s">
        <v>148</v>
      </c>
      <c r="AD86" s="9" t="s">
        <v>148</v>
      </c>
      <c r="AE86" s="9" t="s">
        <v>147</v>
      </c>
      <c r="AF86" s="9" t="s">
        <v>147</v>
      </c>
      <c r="AG86" s="9" t="s">
        <v>148</v>
      </c>
      <c r="AH86" s="16">
        <v>9</v>
      </c>
      <c r="AI86" s="5">
        <f t="shared" si="12"/>
        <v>1800</v>
      </c>
      <c r="AJ86" s="16">
        <f t="shared" si="14"/>
        <v>1809</v>
      </c>
      <c r="AK86">
        <f t="shared" si="15"/>
        <v>9450</v>
      </c>
      <c r="AL86">
        <f t="shared" si="16"/>
        <v>7641</v>
      </c>
      <c r="AM86">
        <f t="shared" si="17"/>
        <v>0.80857142857142861</v>
      </c>
      <c r="AN86">
        <f t="shared" si="18"/>
        <v>21</v>
      </c>
      <c r="AO86">
        <f t="shared" si="19"/>
        <v>21</v>
      </c>
      <c r="AQ86" s="5">
        <f t="shared" si="20"/>
        <v>9</v>
      </c>
      <c r="AR86" s="5">
        <f t="shared" si="21"/>
        <v>0</v>
      </c>
      <c r="AS86" s="5">
        <f t="shared" si="22"/>
        <v>0</v>
      </c>
      <c r="AT86" s="5">
        <f t="shared" si="23"/>
        <v>4</v>
      </c>
    </row>
    <row r="87" spans="1:46">
      <c r="A87" s="10" t="s">
        <v>126</v>
      </c>
      <c r="B87" s="5" t="s">
        <v>26</v>
      </c>
      <c r="C87" s="11" t="s">
        <v>30</v>
      </c>
      <c r="D87" s="9" t="s">
        <v>147</v>
      </c>
      <c r="E87" s="9">
        <v>2</v>
      </c>
      <c r="F87" s="9" t="s">
        <v>148</v>
      </c>
      <c r="G87" s="9" t="s">
        <v>148</v>
      </c>
      <c r="H87" s="9" t="s">
        <v>148</v>
      </c>
      <c r="I87" s="9" t="s">
        <v>148</v>
      </c>
      <c r="J87" s="9" t="s">
        <v>147</v>
      </c>
      <c r="K87" s="9" t="s">
        <v>147</v>
      </c>
      <c r="L87" s="9" t="s">
        <v>148</v>
      </c>
      <c r="M87" s="9" t="s">
        <v>148</v>
      </c>
      <c r="N87" s="9" t="s">
        <v>148</v>
      </c>
      <c r="O87" s="9" t="s">
        <v>148</v>
      </c>
      <c r="P87" s="9" t="s">
        <v>148</v>
      </c>
      <c r="Q87" s="9" t="s">
        <v>147</v>
      </c>
      <c r="R87" s="9" t="s">
        <v>147</v>
      </c>
      <c r="S87" s="9">
        <v>4</v>
      </c>
      <c r="T87" s="9" t="s">
        <v>148</v>
      </c>
      <c r="U87" s="9" t="s">
        <v>148</v>
      </c>
      <c r="V87" s="9" t="s">
        <v>148</v>
      </c>
      <c r="W87" s="9">
        <v>131</v>
      </c>
      <c r="X87" s="9" t="s">
        <v>147</v>
      </c>
      <c r="Y87" s="9" t="s">
        <v>147</v>
      </c>
      <c r="Z87" s="9" t="s">
        <v>148</v>
      </c>
      <c r="AA87" s="9">
        <v>16</v>
      </c>
      <c r="AB87" s="9" t="s">
        <v>148</v>
      </c>
      <c r="AC87" s="9" t="s">
        <v>148</v>
      </c>
      <c r="AD87" s="9" t="s">
        <v>14</v>
      </c>
      <c r="AE87" s="9" t="s">
        <v>147</v>
      </c>
      <c r="AF87" s="9" t="s">
        <v>147</v>
      </c>
      <c r="AG87" s="9" t="s">
        <v>148</v>
      </c>
      <c r="AH87" s="16">
        <f t="shared" si="13"/>
        <v>153</v>
      </c>
      <c r="AI87" s="5">
        <f t="shared" si="12"/>
        <v>0</v>
      </c>
      <c r="AJ87" s="16">
        <f t="shared" si="14"/>
        <v>153</v>
      </c>
      <c r="AK87">
        <f t="shared" si="15"/>
        <v>9000</v>
      </c>
      <c r="AL87">
        <f t="shared" si="16"/>
        <v>8847</v>
      </c>
      <c r="AM87">
        <f t="shared" si="17"/>
        <v>0.98299999999999998</v>
      </c>
      <c r="AN87">
        <f t="shared" si="18"/>
        <v>20</v>
      </c>
      <c r="AO87">
        <f t="shared" si="19"/>
        <v>21</v>
      </c>
      <c r="AQ87" s="5">
        <f t="shared" si="20"/>
        <v>9</v>
      </c>
      <c r="AR87" s="5">
        <f t="shared" si="21"/>
        <v>0</v>
      </c>
      <c r="AS87" s="5">
        <f t="shared" si="22"/>
        <v>1</v>
      </c>
      <c r="AT87" s="5">
        <f t="shared" si="23"/>
        <v>0</v>
      </c>
    </row>
    <row r="88" spans="1:46">
      <c r="A88" s="32" t="s">
        <v>127</v>
      </c>
      <c r="B88" s="5" t="s">
        <v>22</v>
      </c>
      <c r="C88" s="35" t="s">
        <v>33</v>
      </c>
      <c r="D88" s="9" t="s">
        <v>148</v>
      </c>
      <c r="E88" s="9" t="s">
        <v>148</v>
      </c>
      <c r="F88" s="9" t="s">
        <v>148</v>
      </c>
      <c r="G88" s="9" t="s">
        <v>14</v>
      </c>
      <c r="H88" s="9" t="s">
        <v>148</v>
      </c>
      <c r="I88" s="9" t="s">
        <v>148</v>
      </c>
      <c r="J88" s="9" t="s">
        <v>147</v>
      </c>
      <c r="K88" s="9" t="s">
        <v>147</v>
      </c>
      <c r="L88" s="9">
        <v>28</v>
      </c>
      <c r="M88" s="9" t="s">
        <v>148</v>
      </c>
      <c r="N88" s="9">
        <v>1</v>
      </c>
      <c r="O88" s="9" t="s">
        <v>148</v>
      </c>
      <c r="P88" s="9">
        <v>3</v>
      </c>
      <c r="Q88" s="9" t="s">
        <v>147</v>
      </c>
      <c r="R88" s="9" t="s">
        <v>147</v>
      </c>
      <c r="S88" s="9" t="s">
        <v>148</v>
      </c>
      <c r="T88" s="9" t="s">
        <v>148</v>
      </c>
      <c r="U88" s="9" t="s">
        <v>148</v>
      </c>
      <c r="V88" s="9" t="s">
        <v>148</v>
      </c>
      <c r="W88" s="9" t="s">
        <v>148</v>
      </c>
      <c r="X88" s="9" t="s">
        <v>147</v>
      </c>
      <c r="Y88" s="9" t="s">
        <v>147</v>
      </c>
      <c r="Z88" s="9" t="s">
        <v>148</v>
      </c>
      <c r="AA88" s="9" t="s">
        <v>148</v>
      </c>
      <c r="AB88" s="9" t="s">
        <v>148</v>
      </c>
      <c r="AC88" s="9" t="s">
        <v>148</v>
      </c>
      <c r="AD88" s="9" t="s">
        <v>148</v>
      </c>
      <c r="AE88" s="9" t="s">
        <v>147</v>
      </c>
      <c r="AF88" s="9" t="s">
        <v>147</v>
      </c>
      <c r="AG88" s="9">
        <v>21</v>
      </c>
      <c r="AH88" s="16">
        <f t="shared" si="13"/>
        <v>53</v>
      </c>
      <c r="AI88" s="5">
        <f t="shared" si="12"/>
        <v>0</v>
      </c>
      <c r="AJ88" s="16">
        <f t="shared" si="14"/>
        <v>53</v>
      </c>
      <c r="AK88">
        <f t="shared" si="15"/>
        <v>9450</v>
      </c>
      <c r="AL88">
        <f t="shared" si="16"/>
        <v>9397</v>
      </c>
      <c r="AM88">
        <f t="shared" si="17"/>
        <v>0.99439153439153438</v>
      </c>
      <c r="AN88">
        <f t="shared" si="18"/>
        <v>21</v>
      </c>
      <c r="AO88">
        <f t="shared" si="19"/>
        <v>22</v>
      </c>
      <c r="AQ88" s="5">
        <f t="shared" si="20"/>
        <v>8</v>
      </c>
      <c r="AR88" s="5">
        <f t="shared" si="21"/>
        <v>0</v>
      </c>
      <c r="AS88" s="5">
        <f t="shared" si="22"/>
        <v>1</v>
      </c>
      <c r="AT88" s="5">
        <f t="shared" si="23"/>
        <v>0</v>
      </c>
    </row>
    <row r="89" spans="1:46">
      <c r="A89" s="32" t="s">
        <v>128</v>
      </c>
      <c r="B89" s="5" t="s">
        <v>22</v>
      </c>
      <c r="C89" s="35" t="s">
        <v>33</v>
      </c>
      <c r="D89" s="9" t="s">
        <v>147</v>
      </c>
      <c r="E89" s="9" t="s">
        <v>148</v>
      </c>
      <c r="F89" s="9" t="s">
        <v>148</v>
      </c>
      <c r="G89" s="9" t="s">
        <v>148</v>
      </c>
      <c r="H89" s="9" t="s">
        <v>148</v>
      </c>
      <c r="I89" s="9">
        <v>3</v>
      </c>
      <c r="J89" s="9" t="s">
        <v>147</v>
      </c>
      <c r="K89" s="9" t="s">
        <v>147</v>
      </c>
      <c r="L89" s="9">
        <v>450</v>
      </c>
      <c r="M89" s="9">
        <v>450</v>
      </c>
      <c r="N89" s="9" t="s">
        <v>148</v>
      </c>
      <c r="O89" s="9" t="s">
        <v>148</v>
      </c>
      <c r="P89" s="9" t="s">
        <v>148</v>
      </c>
      <c r="Q89" s="9" t="s">
        <v>147</v>
      </c>
      <c r="R89" s="9" t="s">
        <v>147</v>
      </c>
      <c r="S89" s="9" t="s">
        <v>148</v>
      </c>
      <c r="T89" s="9" t="s">
        <v>148</v>
      </c>
      <c r="U89" s="9" t="s">
        <v>148</v>
      </c>
      <c r="V89" s="9" t="s">
        <v>148</v>
      </c>
      <c r="W89" s="9" t="s">
        <v>148</v>
      </c>
      <c r="X89" s="9" t="s">
        <v>147</v>
      </c>
      <c r="Y89" s="9" t="s">
        <v>147</v>
      </c>
      <c r="Z89" s="9" t="s">
        <v>12</v>
      </c>
      <c r="AA89" s="9" t="s">
        <v>12</v>
      </c>
      <c r="AB89" s="9">
        <v>450</v>
      </c>
      <c r="AC89" s="9" t="s">
        <v>148</v>
      </c>
      <c r="AD89" s="9" t="s">
        <v>148</v>
      </c>
      <c r="AE89" s="9" t="s">
        <v>147</v>
      </c>
      <c r="AF89" s="9" t="s">
        <v>147</v>
      </c>
      <c r="AG89" s="9">
        <v>5</v>
      </c>
      <c r="AH89" s="16">
        <v>8</v>
      </c>
      <c r="AI89" s="5">
        <f t="shared" si="12"/>
        <v>1350</v>
      </c>
      <c r="AJ89" s="16">
        <f t="shared" si="14"/>
        <v>1358</v>
      </c>
      <c r="AK89">
        <f t="shared" si="15"/>
        <v>8550</v>
      </c>
      <c r="AL89">
        <f t="shared" si="16"/>
        <v>7192</v>
      </c>
      <c r="AM89">
        <f t="shared" si="17"/>
        <v>0.8411695906432749</v>
      </c>
      <c r="AN89">
        <f t="shared" si="18"/>
        <v>19</v>
      </c>
      <c r="AO89">
        <f t="shared" si="19"/>
        <v>21</v>
      </c>
      <c r="AQ89" s="5">
        <f t="shared" si="20"/>
        <v>9</v>
      </c>
      <c r="AR89" s="5">
        <f t="shared" si="21"/>
        <v>2</v>
      </c>
      <c r="AS89" s="5">
        <f t="shared" si="22"/>
        <v>0</v>
      </c>
      <c r="AT89" s="5">
        <f t="shared" si="23"/>
        <v>3</v>
      </c>
    </row>
    <row r="90" spans="1:46">
      <c r="A90" s="32" t="s">
        <v>129</v>
      </c>
      <c r="B90" s="5" t="s">
        <v>22</v>
      </c>
      <c r="C90" s="35" t="s">
        <v>56</v>
      </c>
      <c r="D90" s="9" t="s">
        <v>148</v>
      </c>
      <c r="E90" s="9" t="s">
        <v>148</v>
      </c>
      <c r="F90" s="9" t="s">
        <v>148</v>
      </c>
      <c r="G90" s="9" t="s">
        <v>148</v>
      </c>
      <c r="H90" s="9">
        <v>3</v>
      </c>
      <c r="I90" s="9" t="s">
        <v>148</v>
      </c>
      <c r="J90" s="9" t="s">
        <v>147</v>
      </c>
      <c r="K90" s="9" t="s">
        <v>147</v>
      </c>
      <c r="L90" s="9">
        <v>4</v>
      </c>
      <c r="M90" s="9" t="s">
        <v>148</v>
      </c>
      <c r="N90" s="9" t="s">
        <v>148</v>
      </c>
      <c r="O90" s="9" t="s">
        <v>148</v>
      </c>
      <c r="P90" s="9">
        <v>14</v>
      </c>
      <c r="Q90" s="9" t="s">
        <v>147</v>
      </c>
      <c r="R90" s="9" t="s">
        <v>147</v>
      </c>
      <c r="S90" s="9">
        <v>19</v>
      </c>
      <c r="T90" s="9">
        <v>23</v>
      </c>
      <c r="U90" s="9" t="s">
        <v>148</v>
      </c>
      <c r="V90" s="9" t="s">
        <v>148</v>
      </c>
      <c r="W90" s="9" t="s">
        <v>148</v>
      </c>
      <c r="X90" s="9" t="s">
        <v>147</v>
      </c>
      <c r="Y90" s="9" t="s">
        <v>147</v>
      </c>
      <c r="Z90" s="9" t="s">
        <v>148</v>
      </c>
      <c r="AA90" s="9" t="s">
        <v>14</v>
      </c>
      <c r="AB90" s="9" t="s">
        <v>14</v>
      </c>
      <c r="AC90" s="9" t="s">
        <v>148</v>
      </c>
      <c r="AD90" s="9" t="s">
        <v>148</v>
      </c>
      <c r="AE90" s="9" t="s">
        <v>147</v>
      </c>
      <c r="AF90" s="9" t="s">
        <v>147</v>
      </c>
      <c r="AG90" s="9" t="s">
        <v>148</v>
      </c>
      <c r="AH90" s="16">
        <f t="shared" si="13"/>
        <v>63</v>
      </c>
      <c r="AI90" s="5">
        <f t="shared" si="12"/>
        <v>0</v>
      </c>
      <c r="AJ90" s="16">
        <f t="shared" si="14"/>
        <v>63</v>
      </c>
      <c r="AK90">
        <f t="shared" si="15"/>
        <v>9000</v>
      </c>
      <c r="AL90">
        <f t="shared" si="16"/>
        <v>8937</v>
      </c>
      <c r="AM90">
        <f t="shared" si="17"/>
        <v>0.99299999999999999</v>
      </c>
      <c r="AN90">
        <f t="shared" si="18"/>
        <v>20</v>
      </c>
      <c r="AO90">
        <f t="shared" si="19"/>
        <v>22</v>
      </c>
      <c r="AQ90" s="5">
        <f t="shared" si="20"/>
        <v>8</v>
      </c>
      <c r="AR90" s="5">
        <f t="shared" si="21"/>
        <v>0</v>
      </c>
      <c r="AS90" s="5">
        <f t="shared" si="22"/>
        <v>2</v>
      </c>
      <c r="AT90" s="5">
        <f t="shared" si="23"/>
        <v>0</v>
      </c>
    </row>
    <row r="91" spans="1:46">
      <c r="A91" s="10" t="s">
        <v>131</v>
      </c>
      <c r="B91" s="5" t="s">
        <v>26</v>
      </c>
      <c r="C91" s="11" t="s">
        <v>33</v>
      </c>
      <c r="D91" s="9" t="s">
        <v>147</v>
      </c>
      <c r="E91" s="9">
        <v>450</v>
      </c>
      <c r="F91" s="9">
        <v>15</v>
      </c>
      <c r="G91" s="9">
        <v>7</v>
      </c>
      <c r="H91" s="9">
        <v>14</v>
      </c>
      <c r="I91" s="9" t="s">
        <v>148</v>
      </c>
      <c r="J91" s="9" t="s">
        <v>147</v>
      </c>
      <c r="K91" s="9" t="s">
        <v>147</v>
      </c>
      <c r="L91" s="9">
        <v>450</v>
      </c>
      <c r="M91" s="9" t="s">
        <v>148</v>
      </c>
      <c r="N91" s="9" t="s">
        <v>148</v>
      </c>
      <c r="O91" s="9" t="s">
        <v>148</v>
      </c>
      <c r="P91" s="9">
        <v>450</v>
      </c>
      <c r="Q91" s="9" t="s">
        <v>147</v>
      </c>
      <c r="R91" s="9" t="s">
        <v>147</v>
      </c>
      <c r="S91" s="9">
        <v>450</v>
      </c>
      <c r="T91" s="9" t="s">
        <v>148</v>
      </c>
      <c r="U91" s="9">
        <v>7</v>
      </c>
      <c r="V91" s="9" t="s">
        <v>148</v>
      </c>
      <c r="W91" s="9" t="s">
        <v>148</v>
      </c>
      <c r="X91" s="9" t="s">
        <v>147</v>
      </c>
      <c r="Y91" s="9" t="s">
        <v>147</v>
      </c>
      <c r="Z91" s="9">
        <v>3</v>
      </c>
      <c r="AA91" s="9" t="s">
        <v>148</v>
      </c>
      <c r="AB91" s="9">
        <v>15</v>
      </c>
      <c r="AC91" s="9" t="s">
        <v>148</v>
      </c>
      <c r="AD91" s="9">
        <v>11</v>
      </c>
      <c r="AE91" s="9" t="s">
        <v>147</v>
      </c>
      <c r="AF91" s="9" t="s">
        <v>147</v>
      </c>
      <c r="AG91" s="9">
        <v>14</v>
      </c>
      <c r="AH91" s="16">
        <v>86</v>
      </c>
      <c r="AI91" s="5">
        <f t="shared" si="12"/>
        <v>1800</v>
      </c>
      <c r="AJ91" s="16">
        <f t="shared" si="14"/>
        <v>1886</v>
      </c>
      <c r="AK91">
        <f t="shared" si="15"/>
        <v>9450</v>
      </c>
      <c r="AL91">
        <f t="shared" si="16"/>
        <v>7564</v>
      </c>
      <c r="AM91">
        <f t="shared" si="17"/>
        <v>0.80042328042328037</v>
      </c>
      <c r="AN91">
        <f t="shared" si="18"/>
        <v>21</v>
      </c>
      <c r="AO91">
        <f t="shared" si="19"/>
        <v>21</v>
      </c>
      <c r="AQ91" s="5">
        <f t="shared" si="20"/>
        <v>9</v>
      </c>
      <c r="AR91" s="5">
        <f t="shared" si="21"/>
        <v>0</v>
      </c>
      <c r="AS91" s="5">
        <f t="shared" si="22"/>
        <v>0</v>
      </c>
      <c r="AT91" s="5">
        <f t="shared" si="23"/>
        <v>4</v>
      </c>
    </row>
    <row r="92" spans="1:46">
      <c r="A92" s="10" t="s">
        <v>133</v>
      </c>
      <c r="B92" s="5" t="s">
        <v>26</v>
      </c>
      <c r="C92" s="11" t="s">
        <v>40</v>
      </c>
      <c r="D92" s="9" t="s">
        <v>147</v>
      </c>
      <c r="E92" s="9">
        <v>35</v>
      </c>
      <c r="F92" s="9">
        <v>11</v>
      </c>
      <c r="G92" s="9">
        <v>8</v>
      </c>
      <c r="H92" s="9">
        <v>44</v>
      </c>
      <c r="I92" s="9" t="s">
        <v>148</v>
      </c>
      <c r="J92" s="9" t="s">
        <v>147</v>
      </c>
      <c r="K92" s="9" t="s">
        <v>147</v>
      </c>
      <c r="L92" s="9" t="s">
        <v>148</v>
      </c>
      <c r="M92" s="9">
        <v>450</v>
      </c>
      <c r="N92" s="9">
        <v>28</v>
      </c>
      <c r="O92" s="9" t="s">
        <v>148</v>
      </c>
      <c r="P92" s="9" t="s">
        <v>148</v>
      </c>
      <c r="Q92" s="9" t="s">
        <v>147</v>
      </c>
      <c r="R92" s="9" t="s">
        <v>147</v>
      </c>
      <c r="S92" s="9" t="s">
        <v>12</v>
      </c>
      <c r="T92" s="9">
        <v>12</v>
      </c>
      <c r="U92" s="9">
        <v>19</v>
      </c>
      <c r="V92" s="9">
        <v>15</v>
      </c>
      <c r="W92" s="9">
        <v>66</v>
      </c>
      <c r="X92" s="9" t="s">
        <v>147</v>
      </c>
      <c r="Y92" s="9" t="s">
        <v>147</v>
      </c>
      <c r="Z92" s="48">
        <v>450</v>
      </c>
      <c r="AA92" s="48">
        <v>450</v>
      </c>
      <c r="AB92" s="48" t="s">
        <v>148</v>
      </c>
      <c r="AC92" s="48">
        <v>34</v>
      </c>
      <c r="AD92" s="48" t="s">
        <v>148</v>
      </c>
      <c r="AE92" s="9" t="s">
        <v>147</v>
      </c>
      <c r="AF92" s="9" t="s">
        <v>147</v>
      </c>
      <c r="AG92" s="9" t="s">
        <v>148</v>
      </c>
      <c r="AH92" s="16">
        <v>272</v>
      </c>
      <c r="AI92" s="5">
        <f t="shared" si="12"/>
        <v>1350</v>
      </c>
      <c r="AJ92" s="16">
        <f t="shared" si="14"/>
        <v>1622</v>
      </c>
      <c r="AK92">
        <f t="shared" si="15"/>
        <v>9000</v>
      </c>
      <c r="AL92">
        <f t="shared" si="16"/>
        <v>7378</v>
      </c>
      <c r="AM92">
        <f t="shared" si="17"/>
        <v>0.81977777777777783</v>
      </c>
      <c r="AN92">
        <f t="shared" si="18"/>
        <v>20</v>
      </c>
      <c r="AO92">
        <f t="shared" si="19"/>
        <v>21</v>
      </c>
      <c r="AQ92" s="5">
        <f t="shared" si="20"/>
        <v>9</v>
      </c>
      <c r="AR92" s="5">
        <f t="shared" si="21"/>
        <v>1</v>
      </c>
      <c r="AS92" s="5">
        <f t="shared" si="22"/>
        <v>0</v>
      </c>
      <c r="AT92" s="5">
        <f t="shared" si="23"/>
        <v>3</v>
      </c>
    </row>
    <row r="93" spans="1:46">
      <c r="A93" s="33" t="s">
        <v>27</v>
      </c>
      <c r="B93" s="12" t="s">
        <v>26</v>
      </c>
      <c r="C93" s="36" t="s">
        <v>40</v>
      </c>
      <c r="D93" s="9" t="s">
        <v>147</v>
      </c>
      <c r="E93" s="9" t="s">
        <v>152</v>
      </c>
      <c r="F93" s="9" t="s">
        <v>148</v>
      </c>
      <c r="G93" s="9" t="s">
        <v>148</v>
      </c>
      <c r="H93" s="9" t="s">
        <v>148</v>
      </c>
      <c r="I93" s="9" t="s">
        <v>148</v>
      </c>
      <c r="J93" s="9" t="s">
        <v>147</v>
      </c>
      <c r="K93" s="9" t="s">
        <v>147</v>
      </c>
      <c r="L93" s="9" t="s">
        <v>148</v>
      </c>
      <c r="M93" s="9" t="s">
        <v>148</v>
      </c>
      <c r="N93" s="9" t="s">
        <v>148</v>
      </c>
      <c r="O93" s="9" t="s">
        <v>148</v>
      </c>
      <c r="P93" s="9" t="s">
        <v>148</v>
      </c>
      <c r="Q93" s="9" t="s">
        <v>147</v>
      </c>
      <c r="R93" s="9" t="s">
        <v>147</v>
      </c>
      <c r="S93" s="9" t="s">
        <v>12</v>
      </c>
      <c r="T93" s="9" t="s">
        <v>148</v>
      </c>
      <c r="U93" s="9" t="s">
        <v>148</v>
      </c>
      <c r="V93" s="9" t="s">
        <v>148</v>
      </c>
      <c r="W93" s="9" t="s">
        <v>148</v>
      </c>
      <c r="X93" s="9" t="s">
        <v>147</v>
      </c>
      <c r="Y93" s="47" t="s">
        <v>147</v>
      </c>
      <c r="Z93" s="47" t="s">
        <v>148</v>
      </c>
      <c r="AA93" s="47" t="s">
        <v>148</v>
      </c>
      <c r="AB93" s="47" t="s">
        <v>148</v>
      </c>
      <c r="AC93" s="47" t="s">
        <v>148</v>
      </c>
      <c r="AD93" s="47" t="s">
        <v>148</v>
      </c>
      <c r="AE93" s="9" t="s">
        <v>147</v>
      </c>
      <c r="AF93" s="9" t="s">
        <v>147</v>
      </c>
      <c r="AG93" s="9" t="s">
        <v>148</v>
      </c>
      <c r="AH93" s="16">
        <f t="shared" si="13"/>
        <v>0</v>
      </c>
      <c r="AI93" s="5">
        <f t="shared" si="12"/>
        <v>0</v>
      </c>
      <c r="AJ93" s="16">
        <f t="shared" si="14"/>
        <v>0</v>
      </c>
      <c r="AK93">
        <f t="shared" si="15"/>
        <v>9000</v>
      </c>
      <c r="AL93">
        <f t="shared" si="16"/>
        <v>9000</v>
      </c>
      <c r="AM93">
        <f t="shared" si="17"/>
        <v>1</v>
      </c>
      <c r="AN93">
        <f t="shared" si="18"/>
        <v>20</v>
      </c>
      <c r="AO93">
        <f t="shared" si="19"/>
        <v>21</v>
      </c>
      <c r="AQ93" s="5">
        <f t="shared" si="20"/>
        <v>9</v>
      </c>
      <c r="AR93" s="5">
        <f t="shared" si="21"/>
        <v>1</v>
      </c>
      <c r="AS93" s="5">
        <f t="shared" si="22"/>
        <v>0</v>
      </c>
      <c r="AT93" s="5">
        <f t="shared" si="23"/>
        <v>0</v>
      </c>
    </row>
    <row r="94" spans="1:46">
      <c r="A94" s="5" t="s">
        <v>134</v>
      </c>
      <c r="B94" s="5" t="s">
        <v>22</v>
      </c>
      <c r="C94" s="5" t="s">
        <v>56</v>
      </c>
      <c r="D94" s="9" t="s">
        <v>147</v>
      </c>
      <c r="E94" s="9" t="s">
        <v>148</v>
      </c>
      <c r="F94" s="9">
        <v>4</v>
      </c>
      <c r="G94" s="9" t="s">
        <v>148</v>
      </c>
      <c r="H94" s="9" t="s">
        <v>148</v>
      </c>
      <c r="I94" s="9" t="s">
        <v>148</v>
      </c>
      <c r="J94" s="9" t="s">
        <v>147</v>
      </c>
      <c r="K94" s="9" t="s">
        <v>147</v>
      </c>
      <c r="L94" s="9">
        <v>7</v>
      </c>
      <c r="M94" s="9" t="s">
        <v>148</v>
      </c>
      <c r="N94" s="9">
        <v>68</v>
      </c>
      <c r="O94" s="9" t="s">
        <v>148</v>
      </c>
      <c r="P94" s="9" t="s">
        <v>148</v>
      </c>
      <c r="Q94" s="9" t="s">
        <v>147</v>
      </c>
      <c r="R94" s="9" t="s">
        <v>147</v>
      </c>
      <c r="S94" s="9">
        <v>450</v>
      </c>
      <c r="T94" s="9" t="s">
        <v>148</v>
      </c>
      <c r="U94" s="9" t="s">
        <v>148</v>
      </c>
      <c r="V94" s="9">
        <v>8</v>
      </c>
      <c r="W94" s="9">
        <v>20</v>
      </c>
      <c r="X94" s="9" t="s">
        <v>147</v>
      </c>
      <c r="Y94" s="9" t="s">
        <v>147</v>
      </c>
      <c r="Z94" s="9">
        <v>450</v>
      </c>
      <c r="AA94" s="9" t="s">
        <v>148</v>
      </c>
      <c r="AB94" s="9">
        <v>10</v>
      </c>
      <c r="AC94" s="9" t="s">
        <v>148</v>
      </c>
      <c r="AD94" s="9" t="s">
        <v>148</v>
      </c>
      <c r="AE94" s="9" t="s">
        <v>147</v>
      </c>
      <c r="AF94" s="9" t="s">
        <v>147</v>
      </c>
      <c r="AG94" s="9" t="s">
        <v>148</v>
      </c>
      <c r="AH94" s="16">
        <v>117</v>
      </c>
      <c r="AI94" s="5">
        <f t="shared" si="12"/>
        <v>900</v>
      </c>
      <c r="AJ94" s="16">
        <f t="shared" si="14"/>
        <v>1017</v>
      </c>
      <c r="AK94">
        <f t="shared" si="15"/>
        <v>9450</v>
      </c>
      <c r="AL94">
        <f t="shared" si="16"/>
        <v>8433</v>
      </c>
      <c r="AM94">
        <f t="shared" si="17"/>
        <v>0.89238095238095239</v>
      </c>
      <c r="AN94">
        <f t="shared" si="18"/>
        <v>21</v>
      </c>
      <c r="AO94">
        <f t="shared" si="19"/>
        <v>21</v>
      </c>
      <c r="AQ94" s="5">
        <f t="shared" si="20"/>
        <v>9</v>
      </c>
      <c r="AR94" s="5">
        <f t="shared" si="21"/>
        <v>0</v>
      </c>
      <c r="AS94" s="5">
        <f t="shared" si="22"/>
        <v>0</v>
      </c>
      <c r="AT94" s="5">
        <f t="shared" si="23"/>
        <v>2</v>
      </c>
    </row>
  </sheetData>
  <autoFilter ref="A2:AU94" xr:uid="{0FB895B8-10F6-416A-AE02-5CFBFC0B0E8B}"/>
  <conditionalFormatting sqref="D93">
    <cfRule type="containsText" dxfId="11127" priority="4436" operator="containsText" text="LWOP UA">
      <formula>NOT(ISERROR(SEARCH("LWOP UA",D93)))</formula>
    </cfRule>
    <cfRule type="containsText" dxfId="11126" priority="4437" operator="containsText" text="P">
      <formula>NOT(ISERROR(SEARCH("P",D93)))</formula>
    </cfRule>
    <cfRule type="containsText" dxfId="11125" priority="4438" operator="containsText" text="TFO">
      <formula>NOT(ISERROR(SEARCH("TFO",D93)))</formula>
    </cfRule>
    <cfRule type="containsText" dxfId="11124" priority="4439" operator="containsText" text="AA">
      <formula>NOT(ISERROR(SEARCH("AA",D93)))</formula>
    </cfRule>
    <cfRule type="containsText" dxfId="11123" priority="4440" operator="containsText" text="RESIGNED">
      <formula>NOT(ISERROR(SEARCH("RESIGNED",D93)))</formula>
    </cfRule>
    <cfRule type="containsText" dxfId="11122" priority="4441" operator="containsText" text="P">
      <formula>NOT(ISERROR(SEARCH("P",D93)))</formula>
    </cfRule>
    <cfRule type="containsText" dxfId="11121" priority="4442" operator="containsText" text="TARDY">
      <formula>NOT(ISERROR(SEARCH("TARDY",D93)))</formula>
    </cfRule>
    <cfRule type="containsText" dxfId="11120" priority="4443" operator="containsText" text="REST DAY">
      <formula>NOT(ISERROR(SEARCH("REST DAY",D93)))</formula>
    </cfRule>
    <cfRule type="containsText" dxfId="11119" priority="4444" operator="containsText" text="UA">
      <formula>NOT(ISERROR(SEARCH("UA",D93)))</formula>
    </cfRule>
    <cfRule type="containsText" dxfId="11118" priority="4445" operator="containsText" text="LWOP UA">
      <formula>NOT(ISERROR(SEARCH("LWOP UA",D93)))</formula>
    </cfRule>
  </conditionalFormatting>
  <conditionalFormatting sqref="D93:E93 H93:J93 D94:J94">
    <cfRule type="containsText" dxfId="11117" priority="4460" operator="containsText" text="P">
      <formula>NOT(ISERROR(SEARCH("P",D93)))</formula>
    </cfRule>
    <cfRule type="containsText" dxfId="11116" priority="4461" operator="containsText" text="TFO">
      <formula>NOT(ISERROR(SEARCH("TFO",D93)))</formula>
    </cfRule>
    <cfRule type="containsText" dxfId="11115" priority="4462" operator="containsText" text="AA">
      <formula>NOT(ISERROR(SEARCH("AA",D93)))</formula>
    </cfRule>
    <cfRule type="containsText" dxfId="11114" priority="4463" operator="containsText" text="RESIGNED">
      <formula>NOT(ISERROR(SEARCH("RESIGNED",D93)))</formula>
    </cfRule>
    <cfRule type="containsText" dxfId="11113" priority="4464" operator="containsText" text="P">
      <formula>NOT(ISERROR(SEARCH("P",D93)))</formula>
    </cfRule>
    <cfRule type="containsText" dxfId="11112" priority="4465" operator="containsText" text="TARDY">
      <formula>NOT(ISERROR(SEARCH("TARDY",D93)))</formula>
    </cfRule>
    <cfRule type="containsText" dxfId="11111" priority="4466" operator="containsText" text="REST DAY">
      <formula>NOT(ISERROR(SEARCH("REST DAY",D93)))</formula>
    </cfRule>
    <cfRule type="containsText" dxfId="11110" priority="4467" operator="containsText" text="UA">
      <formula>NOT(ISERROR(SEARCH("UA",D93)))</formula>
    </cfRule>
    <cfRule type="containsText" dxfId="11109" priority="4468" operator="containsText" text="LWOP UA">
      <formula>NOT(ISERROR(SEARCH("LWOP UA",D93)))</formula>
    </cfRule>
  </conditionalFormatting>
  <conditionalFormatting sqref="D3:J92 L28:P28 K37 Q37 L43:P43 K51 Q51 J94">
    <cfRule type="containsText" dxfId="11108" priority="4470" operator="containsText" text="TFO">
      <formula>NOT(ISERROR(SEARCH("TFO",D3)))</formula>
    </cfRule>
    <cfRule type="containsText" dxfId="11107" priority="4471" operator="containsText" text="AA">
      <formula>NOT(ISERROR(SEARCH("AA",D3)))</formula>
    </cfRule>
    <cfRule type="containsText" dxfId="11106" priority="4472" operator="containsText" text="RESIGNED">
      <formula>NOT(ISERROR(SEARCH("RESIGNED",D3)))</formula>
    </cfRule>
    <cfRule type="containsText" dxfId="11105" priority="4473" operator="containsText" text="P">
      <formula>NOT(ISERROR(SEARCH("P",D3)))</formula>
    </cfRule>
    <cfRule type="containsText" dxfId="11104" priority="4474" operator="containsText" text="TARDY">
      <formula>NOT(ISERROR(SEARCH("TARDY",D3)))</formula>
    </cfRule>
    <cfRule type="containsText" dxfId="11103" priority="4475" operator="containsText" text="REST DAY">
      <formula>NOT(ISERROR(SEARCH("REST DAY",D3)))</formula>
    </cfRule>
    <cfRule type="containsText" dxfId="11102" priority="4476" operator="containsText" text="UA">
      <formula>NOT(ISERROR(SEARCH("UA",D3)))</formula>
    </cfRule>
    <cfRule type="containsText" dxfId="11101" priority="4477" operator="containsText" text="LWOP UA">
      <formula>NOT(ISERROR(SEARCH("LWOP UA",D3)))</formula>
    </cfRule>
  </conditionalFormatting>
  <conditionalFormatting sqref="D3:J94 L28:P28 K37 Q37 L43:P43 K51 Q51">
    <cfRule type="containsText" dxfId="11100" priority="4447" operator="containsText" text="RD">
      <formula>NOT(ISERROR(SEARCH("RD",D3)))</formula>
    </cfRule>
    <cfRule type="containsText" dxfId="11099" priority="4448" operator="containsText" text="540">
      <formula>NOT(ISERROR(SEARCH("540",D3)))</formula>
    </cfRule>
    <cfRule type="cellIs" dxfId="11098" priority="4449" operator="between">
      <formula>1</formula>
      <formula>400</formula>
    </cfRule>
    <cfRule type="containsText" dxfId="11097" priority="4459" operator="containsText" text="LWOP UA">
      <formula>NOT(ISERROR(SEARCH("LWOP UA",D3)))</formula>
    </cfRule>
  </conditionalFormatting>
  <conditionalFormatting sqref="D3:J94 L28:P28 L43:P43">
    <cfRule type="containsText" dxfId="11096" priority="4446" operator="containsText" text="VL">
      <formula>NOT(ISERROR(SEARCH("VL",D3)))</formula>
    </cfRule>
  </conditionalFormatting>
  <conditionalFormatting sqref="F93:G93">
    <cfRule type="containsText" dxfId="11095" priority="4450" operator="containsText" text="LWOP UA">
      <formula>NOT(ISERROR(SEARCH("LWOP UA",F93)))</formula>
    </cfRule>
    <cfRule type="containsText" dxfId="11094" priority="4451" operator="containsText" text="P">
      <formula>NOT(ISERROR(SEARCH("P",F93)))</formula>
    </cfRule>
    <cfRule type="containsText" dxfId="11093" priority="4452" operator="containsText" text="TFO">
      <formula>NOT(ISERROR(SEARCH("TFO",F93)))</formula>
    </cfRule>
    <cfRule type="containsText" dxfId="11092" priority="4453" operator="containsText" text="AA">
      <formula>NOT(ISERROR(SEARCH("AA",F93)))</formula>
    </cfRule>
    <cfRule type="containsText" dxfId="11091" priority="4454" operator="containsText" text="RESIGNED">
      <formula>NOT(ISERROR(SEARCH("RESIGNED",F93)))</formula>
    </cfRule>
    <cfRule type="containsText" dxfId="11090" priority="4455" operator="containsText" text="P">
      <formula>NOT(ISERROR(SEARCH("P",F93)))</formula>
    </cfRule>
    <cfRule type="containsText" dxfId="11089" priority="4456" operator="containsText" text="TARDY">
      <formula>NOT(ISERROR(SEARCH("TARDY",F93)))</formula>
    </cfRule>
    <cfRule type="containsText" dxfId="11088" priority="4457" operator="containsText" text="REST DAY">
      <formula>NOT(ISERROR(SEARCH("REST DAY",F93)))</formula>
    </cfRule>
    <cfRule type="containsText" dxfId="11087" priority="4458" operator="containsText" text="UA">
      <formula>NOT(ISERROR(SEARCH("UA",F93)))</formula>
    </cfRule>
  </conditionalFormatting>
  <conditionalFormatting sqref="J94 D3:J92 L28:P28 K37 Q37 L43:P43 K51 Q51">
    <cfRule type="containsText" dxfId="11086" priority="4469" operator="containsText" text="P">
      <formula>NOT(ISERROR(SEARCH("P",D3)))</formula>
    </cfRule>
  </conditionalFormatting>
  <conditionalFormatting sqref="K20">
    <cfRule type="containsText" dxfId="11085" priority="2829" operator="containsText" text="P">
      <formula>NOT(ISERROR(SEARCH("P",K20)))</formula>
    </cfRule>
    <cfRule type="containsText" dxfId="11084" priority="2830" operator="containsText" text="TFO">
      <formula>NOT(ISERROR(SEARCH("TFO",K20)))</formula>
    </cfRule>
    <cfRule type="containsText" dxfId="11083" priority="2831" operator="containsText" text="AA">
      <formula>NOT(ISERROR(SEARCH("AA",K20)))</formula>
    </cfRule>
    <cfRule type="containsText" dxfId="11082" priority="2832" operator="containsText" text="RESIGNED">
      <formula>NOT(ISERROR(SEARCH("RESIGNED",K20)))</formula>
    </cfRule>
    <cfRule type="containsText" dxfId="11081" priority="2833" operator="containsText" text="P">
      <formula>NOT(ISERROR(SEARCH("P",K20)))</formula>
    </cfRule>
    <cfRule type="containsText" dxfId="11080" priority="2834" operator="containsText" text="TARDY">
      <formula>NOT(ISERROR(SEARCH("TARDY",K20)))</formula>
    </cfRule>
    <cfRule type="containsText" dxfId="11079" priority="2835" operator="containsText" text="REST DAY">
      <formula>NOT(ISERROR(SEARCH("REST DAY",K20)))</formula>
    </cfRule>
    <cfRule type="containsText" dxfId="11078" priority="2836" operator="containsText" text="UA">
      <formula>NOT(ISERROR(SEARCH("UA",K20)))</formula>
    </cfRule>
    <cfRule type="containsText" dxfId="11077" priority="2837" operator="containsText" text="LWOP UA">
      <formula>NOT(ISERROR(SEARCH("LWOP UA",K20)))</formula>
    </cfRule>
  </conditionalFormatting>
  <conditionalFormatting sqref="K67">
    <cfRule type="containsText" dxfId="11076" priority="2750" operator="containsText" text="P">
      <formula>NOT(ISERROR(SEARCH("P",K67)))</formula>
    </cfRule>
    <cfRule type="containsText" dxfId="11075" priority="2751" operator="containsText" text="TFO">
      <formula>NOT(ISERROR(SEARCH("TFO",K67)))</formula>
    </cfRule>
    <cfRule type="containsText" dxfId="11074" priority="2752" operator="containsText" text="AA">
      <formula>NOT(ISERROR(SEARCH("AA",K67)))</formula>
    </cfRule>
    <cfRule type="containsText" dxfId="11073" priority="2753" operator="containsText" text="RESIGNED">
      <formula>NOT(ISERROR(SEARCH("RESIGNED",K67)))</formula>
    </cfRule>
    <cfRule type="containsText" dxfId="11072" priority="2754" operator="containsText" text="P">
      <formula>NOT(ISERROR(SEARCH("P",K67)))</formula>
    </cfRule>
    <cfRule type="containsText" dxfId="11071" priority="2755" operator="containsText" text="TARDY">
      <formula>NOT(ISERROR(SEARCH("TARDY",K67)))</formula>
    </cfRule>
    <cfRule type="containsText" dxfId="11070" priority="2756" operator="containsText" text="REST DAY">
      <formula>NOT(ISERROR(SEARCH("REST DAY",K67)))</formula>
    </cfRule>
    <cfRule type="containsText" dxfId="11069" priority="2757" operator="containsText" text="UA">
      <formula>NOT(ISERROR(SEARCH("UA",K67)))</formula>
    </cfRule>
    <cfRule type="containsText" dxfId="11068" priority="2758" operator="containsText" text="LWOP UA">
      <formula>NOT(ISERROR(SEARCH("LWOP UA",K67)))</formula>
    </cfRule>
  </conditionalFormatting>
  <conditionalFormatting sqref="K90">
    <cfRule type="containsText" dxfId="11067" priority="2727" operator="containsText" text="P">
      <formula>NOT(ISERROR(SEARCH("P",K90)))</formula>
    </cfRule>
    <cfRule type="containsText" dxfId="11066" priority="2728" operator="containsText" text="TFO">
      <formula>NOT(ISERROR(SEARCH("TFO",K90)))</formula>
    </cfRule>
    <cfRule type="containsText" dxfId="11065" priority="2729" operator="containsText" text="AA">
      <formula>NOT(ISERROR(SEARCH("AA",K90)))</formula>
    </cfRule>
    <cfRule type="containsText" dxfId="11064" priority="2730" operator="containsText" text="RESIGNED">
      <formula>NOT(ISERROR(SEARCH("RESIGNED",K90)))</formula>
    </cfRule>
    <cfRule type="containsText" dxfId="11063" priority="2731" operator="containsText" text="P">
      <formula>NOT(ISERROR(SEARCH("P",K90)))</formula>
    </cfRule>
    <cfRule type="containsText" dxfId="11062" priority="2732" operator="containsText" text="TARDY">
      <formula>NOT(ISERROR(SEARCH("TARDY",K90)))</formula>
    </cfRule>
    <cfRule type="containsText" dxfId="11061" priority="2733" operator="containsText" text="REST DAY">
      <formula>NOT(ISERROR(SEARCH("REST DAY",K90)))</formula>
    </cfRule>
    <cfRule type="containsText" dxfId="11060" priority="2734" operator="containsText" text="UA">
      <formula>NOT(ISERROR(SEARCH("UA",K90)))</formula>
    </cfRule>
    <cfRule type="containsText" dxfId="11059" priority="2735" operator="containsText" text="LWOP UA">
      <formula>NOT(ISERROR(SEARCH("LWOP UA",K90)))</formula>
    </cfRule>
  </conditionalFormatting>
  <conditionalFormatting sqref="K93">
    <cfRule type="containsText" dxfId="11058" priority="3048" operator="containsText" text="LWOP UA">
      <formula>NOT(ISERROR(SEARCH("LWOP UA",K93)))</formula>
    </cfRule>
    <cfRule type="containsText" dxfId="11057" priority="3049" operator="containsText" text="P">
      <formula>NOT(ISERROR(SEARCH("P",K93)))</formula>
    </cfRule>
    <cfRule type="containsText" dxfId="11056" priority="3050" operator="containsText" text="TFO">
      <formula>NOT(ISERROR(SEARCH("TFO",K93)))</formula>
    </cfRule>
    <cfRule type="containsText" dxfId="11055" priority="3051" operator="containsText" text="AA">
      <formula>NOT(ISERROR(SEARCH("AA",K93)))</formula>
    </cfRule>
    <cfRule type="containsText" dxfId="11054" priority="3052" operator="containsText" text="RESIGNED">
      <formula>NOT(ISERROR(SEARCH("RESIGNED",K93)))</formula>
    </cfRule>
    <cfRule type="containsText" dxfId="11053" priority="3053" operator="containsText" text="P">
      <formula>NOT(ISERROR(SEARCH("P",K93)))</formula>
    </cfRule>
    <cfRule type="containsText" dxfId="11052" priority="3054" operator="containsText" text="TARDY">
      <formula>NOT(ISERROR(SEARCH("TARDY",K93)))</formula>
    </cfRule>
    <cfRule type="containsText" dxfId="11051" priority="3055" operator="containsText" text="REST DAY">
      <formula>NOT(ISERROR(SEARCH("REST DAY",K93)))</formula>
    </cfRule>
    <cfRule type="containsText" dxfId="11050" priority="3056" operator="containsText" text="UA">
      <formula>NOT(ISERROR(SEARCH("UA",K93)))</formula>
    </cfRule>
    <cfRule type="containsText" dxfId="11049" priority="3057" operator="containsText" text="LWOP UA">
      <formula>NOT(ISERROR(SEARCH("LWOP UA",K93)))</formula>
    </cfRule>
  </conditionalFormatting>
  <conditionalFormatting sqref="K93:L93 O93:Q93">
    <cfRule type="containsText" dxfId="11048" priority="3072" operator="containsText" text="P">
      <formula>NOT(ISERROR(SEARCH("P",K93)))</formula>
    </cfRule>
    <cfRule type="containsText" dxfId="11047" priority="3073" operator="containsText" text="TFO">
      <formula>NOT(ISERROR(SEARCH("TFO",K93)))</formula>
    </cfRule>
    <cfRule type="containsText" dxfId="11046" priority="3074" operator="containsText" text="AA">
      <formula>NOT(ISERROR(SEARCH("AA",K93)))</formula>
    </cfRule>
    <cfRule type="containsText" dxfId="11045" priority="3075" operator="containsText" text="RESIGNED">
      <formula>NOT(ISERROR(SEARCH("RESIGNED",K93)))</formula>
    </cfRule>
    <cfRule type="containsText" dxfId="11044" priority="3076" operator="containsText" text="P">
      <formula>NOT(ISERROR(SEARCH("P",K93)))</formula>
    </cfRule>
    <cfRule type="containsText" dxfId="11043" priority="3077" operator="containsText" text="TARDY">
      <formula>NOT(ISERROR(SEARCH("TARDY",K93)))</formula>
    </cfRule>
    <cfRule type="containsText" dxfId="11042" priority="3078" operator="containsText" text="REST DAY">
      <formula>NOT(ISERROR(SEARCH("REST DAY",K93)))</formula>
    </cfRule>
    <cfRule type="containsText" dxfId="11041" priority="3079" operator="containsText" text="UA">
      <formula>NOT(ISERROR(SEARCH("UA",K93)))</formula>
    </cfRule>
    <cfRule type="containsText" dxfId="11040" priority="3080" operator="containsText" text="LWOP UA">
      <formula>NOT(ISERROR(SEARCH("LWOP UA",K93)))</formula>
    </cfRule>
  </conditionalFormatting>
  <conditionalFormatting sqref="K3:Q3">
    <cfRule type="containsText" dxfId="11039" priority="3" operator="containsText" text="540">
      <formula>NOT(ISERROR(SEARCH("540",K3)))</formula>
    </cfRule>
    <cfRule type="cellIs" dxfId="11038" priority="4" operator="between">
      <formula>1</formula>
      <formula>400</formula>
    </cfRule>
    <cfRule type="containsText" dxfId="11037" priority="5" operator="containsText" text="LWOP UA">
      <formula>NOT(ISERROR(SEARCH("LWOP UA",K3)))</formula>
    </cfRule>
    <cfRule type="containsText" dxfId="11036" priority="6" operator="containsText" text="P">
      <formula>NOT(ISERROR(SEARCH("P",K3)))</formula>
    </cfRule>
    <cfRule type="containsText" dxfId="11035" priority="7" operator="containsText" text="TFO">
      <formula>NOT(ISERROR(SEARCH("TFO",K3)))</formula>
    </cfRule>
    <cfRule type="containsText" dxfId="11034" priority="8" operator="containsText" text="AA">
      <formula>NOT(ISERROR(SEARCH("AA",K3)))</formula>
    </cfRule>
    <cfRule type="containsText" dxfId="11033" priority="9" operator="containsText" text="RESIGNED">
      <formula>NOT(ISERROR(SEARCH("RESIGNED",K3)))</formula>
    </cfRule>
    <cfRule type="containsText" dxfId="11032" priority="10" operator="containsText" text="P">
      <formula>NOT(ISERROR(SEARCH("P",K3)))</formula>
    </cfRule>
    <cfRule type="containsText" dxfId="11031" priority="11" operator="containsText" text="TARDY">
      <formula>NOT(ISERROR(SEARCH("TARDY",K3)))</formula>
    </cfRule>
    <cfRule type="containsText" dxfId="11030" priority="12" operator="containsText" text="REST DAY">
      <formula>NOT(ISERROR(SEARCH("REST DAY",K3)))</formula>
    </cfRule>
    <cfRule type="containsText" dxfId="11029" priority="13" operator="containsText" text="UA">
      <formula>NOT(ISERROR(SEARCH("UA",K3)))</formula>
    </cfRule>
    <cfRule type="containsText" dxfId="11028" priority="14" operator="containsText" text="LWOP UA">
      <formula>NOT(ISERROR(SEARCH("LWOP UA",K3)))</formula>
    </cfRule>
  </conditionalFormatting>
  <conditionalFormatting sqref="K4:Q4">
    <cfRule type="containsText" dxfId="11027" priority="4424" operator="containsText" text="540">
      <formula>NOT(ISERROR(SEARCH("540",K4)))</formula>
    </cfRule>
    <cfRule type="cellIs" dxfId="11026" priority="4425" operator="between">
      <formula>1</formula>
      <formula>400</formula>
    </cfRule>
    <cfRule type="containsText" dxfId="11025" priority="4426" operator="containsText" text="LWOP UA">
      <formula>NOT(ISERROR(SEARCH("LWOP UA",K4)))</formula>
    </cfRule>
    <cfRule type="containsText" dxfId="11024" priority="4427" operator="containsText" text="P">
      <formula>NOT(ISERROR(SEARCH("P",K4)))</formula>
    </cfRule>
    <cfRule type="containsText" dxfId="11023" priority="4428" operator="containsText" text="TFO">
      <formula>NOT(ISERROR(SEARCH("TFO",K4)))</formula>
    </cfRule>
    <cfRule type="containsText" dxfId="11022" priority="4429" operator="containsText" text="AA">
      <formula>NOT(ISERROR(SEARCH("AA",K4)))</formula>
    </cfRule>
    <cfRule type="containsText" dxfId="11021" priority="4430" operator="containsText" text="RESIGNED">
      <formula>NOT(ISERROR(SEARCH("RESIGNED",K4)))</formula>
    </cfRule>
    <cfRule type="containsText" dxfId="11020" priority="4431" operator="containsText" text="P">
      <formula>NOT(ISERROR(SEARCH("P",K4)))</formula>
    </cfRule>
    <cfRule type="containsText" dxfId="11019" priority="4432" operator="containsText" text="TARDY">
      <formula>NOT(ISERROR(SEARCH("TARDY",K4)))</formula>
    </cfRule>
    <cfRule type="containsText" dxfId="11018" priority="4433" operator="containsText" text="REST DAY">
      <formula>NOT(ISERROR(SEARCH("REST DAY",K4)))</formula>
    </cfRule>
    <cfRule type="containsText" dxfId="11017" priority="4434" operator="containsText" text="UA">
      <formula>NOT(ISERROR(SEARCH("UA",K4)))</formula>
    </cfRule>
    <cfRule type="containsText" dxfId="11016" priority="4435" operator="containsText" text="LWOP UA">
      <formula>NOT(ISERROR(SEARCH("LWOP UA",K4)))</formula>
    </cfRule>
  </conditionalFormatting>
  <conditionalFormatting sqref="K5:Q5">
    <cfRule type="cellIs" dxfId="11015" priority="4411" operator="between">
      <formula>1</formula>
      <formula>400</formula>
    </cfRule>
    <cfRule type="containsText" dxfId="11014" priority="4412" operator="containsText" text="LWOP UA">
      <formula>NOT(ISERROR(SEARCH("LWOP UA",K5)))</formula>
    </cfRule>
    <cfRule type="containsText" dxfId="11013" priority="4413" operator="containsText" text="P">
      <formula>NOT(ISERROR(SEARCH("P",K5)))</formula>
    </cfRule>
    <cfRule type="containsText" dxfId="11012" priority="4414" operator="containsText" text="TFO">
      <formula>NOT(ISERROR(SEARCH("TFO",K5)))</formula>
    </cfRule>
    <cfRule type="containsText" dxfId="11011" priority="4415" operator="containsText" text="AA">
      <formula>NOT(ISERROR(SEARCH("AA",K5)))</formula>
    </cfRule>
    <cfRule type="containsText" dxfId="11010" priority="4416" operator="containsText" text="RESIGNED">
      <formula>NOT(ISERROR(SEARCH("RESIGNED",K5)))</formula>
    </cfRule>
    <cfRule type="containsText" dxfId="11009" priority="4417" operator="containsText" text="P">
      <formula>NOT(ISERROR(SEARCH("P",K5)))</formula>
    </cfRule>
    <cfRule type="containsText" dxfId="11008" priority="4418" operator="containsText" text="TARDY">
      <formula>NOT(ISERROR(SEARCH("TARDY",K5)))</formula>
    </cfRule>
    <cfRule type="containsText" dxfId="11007" priority="4419" operator="containsText" text="REST DAY">
      <formula>NOT(ISERROR(SEARCH("REST DAY",K5)))</formula>
    </cfRule>
    <cfRule type="containsText" dxfId="11006" priority="4420" operator="containsText" text="UA">
      <formula>NOT(ISERROR(SEARCH("UA",K5)))</formula>
    </cfRule>
    <cfRule type="containsText" dxfId="11005" priority="4421" operator="containsText" text="LWOP UA">
      <formula>NOT(ISERROR(SEARCH("LWOP UA",K5)))</formula>
    </cfRule>
  </conditionalFormatting>
  <conditionalFormatting sqref="K6:Q6">
    <cfRule type="cellIs" dxfId="11004" priority="3037" operator="between">
      <formula>1</formula>
      <formula>400</formula>
    </cfRule>
    <cfRule type="containsText" dxfId="11003" priority="3038" operator="containsText" text="LWOP UA">
      <formula>NOT(ISERROR(SEARCH("LWOP UA",K6)))</formula>
    </cfRule>
    <cfRule type="containsText" dxfId="11002" priority="3039" operator="containsText" text="P">
      <formula>NOT(ISERROR(SEARCH("P",K6)))</formula>
    </cfRule>
    <cfRule type="containsText" dxfId="11001" priority="3040" operator="containsText" text="TFO">
      <formula>NOT(ISERROR(SEARCH("TFO",K6)))</formula>
    </cfRule>
    <cfRule type="containsText" dxfId="11000" priority="3041" operator="containsText" text="AA">
      <formula>NOT(ISERROR(SEARCH("AA",K6)))</formula>
    </cfRule>
    <cfRule type="containsText" dxfId="10999" priority="3042" operator="containsText" text="RESIGNED">
      <formula>NOT(ISERROR(SEARCH("RESIGNED",K6)))</formula>
    </cfRule>
    <cfRule type="containsText" dxfId="10998" priority="3043" operator="containsText" text="P">
      <formula>NOT(ISERROR(SEARCH("P",K6)))</formula>
    </cfRule>
    <cfRule type="containsText" dxfId="10997" priority="3044" operator="containsText" text="TARDY">
      <formula>NOT(ISERROR(SEARCH("TARDY",K6)))</formula>
    </cfRule>
    <cfRule type="containsText" dxfId="10996" priority="3045" operator="containsText" text="REST DAY">
      <formula>NOT(ISERROR(SEARCH("REST DAY",K6)))</formula>
    </cfRule>
    <cfRule type="containsText" dxfId="10995" priority="3046" operator="containsText" text="UA">
      <formula>NOT(ISERROR(SEARCH("UA",K6)))</formula>
    </cfRule>
    <cfRule type="containsText" dxfId="10994" priority="3047" operator="containsText" text="LWOP UA">
      <formula>NOT(ISERROR(SEARCH("LWOP UA",K6)))</formula>
    </cfRule>
  </conditionalFormatting>
  <conditionalFormatting sqref="K6:Q12">
    <cfRule type="containsText" dxfId="10993" priority="3022" operator="containsText" text="540">
      <formula>NOT(ISERROR(SEARCH("540",K6)))</formula>
    </cfRule>
  </conditionalFormatting>
  <conditionalFormatting sqref="K7:Q7">
    <cfRule type="cellIs" dxfId="10992" priority="3709" operator="between">
      <formula>1</formula>
      <formula>400</formula>
    </cfRule>
    <cfRule type="containsText" dxfId="10991" priority="3710" operator="containsText" text="LWOP UA">
      <formula>NOT(ISERROR(SEARCH("LWOP UA",K7)))</formula>
    </cfRule>
    <cfRule type="containsText" dxfId="10990" priority="3711" operator="containsText" text="P">
      <formula>NOT(ISERROR(SEARCH("P",K7)))</formula>
    </cfRule>
    <cfRule type="containsText" dxfId="10989" priority="3712" operator="containsText" text="TFO">
      <formula>NOT(ISERROR(SEARCH("TFO",K7)))</formula>
    </cfRule>
    <cfRule type="containsText" dxfId="10988" priority="3713" operator="containsText" text="AA">
      <formula>NOT(ISERROR(SEARCH("AA",K7)))</formula>
    </cfRule>
    <cfRule type="containsText" dxfId="10987" priority="3714" operator="containsText" text="RESIGNED">
      <formula>NOT(ISERROR(SEARCH("RESIGNED",K7)))</formula>
    </cfRule>
    <cfRule type="containsText" dxfId="10986" priority="3715" operator="containsText" text="P">
      <formula>NOT(ISERROR(SEARCH("P",K7)))</formula>
    </cfRule>
    <cfRule type="containsText" dxfId="10985" priority="3716" operator="containsText" text="TARDY">
      <formula>NOT(ISERROR(SEARCH("TARDY",K7)))</formula>
    </cfRule>
    <cfRule type="containsText" dxfId="10984" priority="3717" operator="containsText" text="REST DAY">
      <formula>NOT(ISERROR(SEARCH("REST DAY",K7)))</formula>
    </cfRule>
    <cfRule type="containsText" dxfId="10983" priority="3718" operator="containsText" text="UA">
      <formula>NOT(ISERROR(SEARCH("UA",K7)))</formula>
    </cfRule>
    <cfRule type="containsText" dxfId="10982" priority="3719" operator="containsText" text="LWOP UA">
      <formula>NOT(ISERROR(SEARCH("LWOP UA",K7)))</formula>
    </cfRule>
  </conditionalFormatting>
  <conditionalFormatting sqref="K8:Q8">
    <cfRule type="cellIs" dxfId="10981" priority="3443" operator="between">
      <formula>1</formula>
      <formula>400</formula>
    </cfRule>
    <cfRule type="containsText" dxfId="10980" priority="3444" operator="containsText" text="LWOP UA">
      <formula>NOT(ISERROR(SEARCH("LWOP UA",K8)))</formula>
    </cfRule>
    <cfRule type="containsText" dxfId="10979" priority="3445" operator="containsText" text="P">
      <formula>NOT(ISERROR(SEARCH("P",K8)))</formula>
    </cfRule>
    <cfRule type="containsText" dxfId="10978" priority="3446" operator="containsText" text="TFO">
      <formula>NOT(ISERROR(SEARCH("TFO",K8)))</formula>
    </cfRule>
    <cfRule type="containsText" dxfId="10977" priority="3447" operator="containsText" text="AA">
      <formula>NOT(ISERROR(SEARCH("AA",K8)))</formula>
    </cfRule>
    <cfRule type="containsText" dxfId="10976" priority="3448" operator="containsText" text="RESIGNED">
      <formula>NOT(ISERROR(SEARCH("RESIGNED",K8)))</formula>
    </cfRule>
    <cfRule type="containsText" dxfId="10975" priority="3449" operator="containsText" text="P">
      <formula>NOT(ISERROR(SEARCH("P",K8)))</formula>
    </cfRule>
    <cfRule type="containsText" dxfId="10974" priority="3450" operator="containsText" text="TARDY">
      <formula>NOT(ISERROR(SEARCH("TARDY",K8)))</formula>
    </cfRule>
    <cfRule type="containsText" dxfId="10973" priority="3451" operator="containsText" text="REST DAY">
      <formula>NOT(ISERROR(SEARCH("REST DAY",K8)))</formula>
    </cfRule>
    <cfRule type="containsText" dxfId="10972" priority="3452" operator="containsText" text="UA">
      <formula>NOT(ISERROR(SEARCH("UA",K8)))</formula>
    </cfRule>
    <cfRule type="containsText" dxfId="10971" priority="3453" operator="containsText" text="LWOP UA">
      <formula>NOT(ISERROR(SEARCH("LWOP UA",K8)))</formula>
    </cfRule>
  </conditionalFormatting>
  <conditionalFormatting sqref="K9:Q9">
    <cfRule type="cellIs" dxfId="10970" priority="3023" operator="between">
      <formula>1</formula>
      <formula>400</formula>
    </cfRule>
    <cfRule type="containsText" dxfId="10969" priority="3024" operator="containsText" text="LWOP UA">
      <formula>NOT(ISERROR(SEARCH("LWOP UA",K9)))</formula>
    </cfRule>
    <cfRule type="containsText" dxfId="10968" priority="3025" operator="containsText" text="P">
      <formula>NOT(ISERROR(SEARCH("P",K9)))</formula>
    </cfRule>
    <cfRule type="containsText" dxfId="10967" priority="3026" operator="containsText" text="TFO">
      <formula>NOT(ISERROR(SEARCH("TFO",K9)))</formula>
    </cfRule>
    <cfRule type="containsText" dxfId="10966" priority="3027" operator="containsText" text="AA">
      <formula>NOT(ISERROR(SEARCH("AA",K9)))</formula>
    </cfRule>
    <cfRule type="containsText" dxfId="10965" priority="3028" operator="containsText" text="RESIGNED">
      <formula>NOT(ISERROR(SEARCH("RESIGNED",K9)))</formula>
    </cfRule>
    <cfRule type="containsText" dxfId="10964" priority="3029" operator="containsText" text="P">
      <formula>NOT(ISERROR(SEARCH("P",K9)))</formula>
    </cfRule>
    <cfRule type="containsText" dxfId="10963" priority="3030" operator="containsText" text="TARDY">
      <formula>NOT(ISERROR(SEARCH("TARDY",K9)))</formula>
    </cfRule>
    <cfRule type="containsText" dxfId="10962" priority="3031" operator="containsText" text="REST DAY">
      <formula>NOT(ISERROR(SEARCH("REST DAY",K9)))</formula>
    </cfRule>
    <cfRule type="containsText" dxfId="10961" priority="3032" operator="containsText" text="UA">
      <formula>NOT(ISERROR(SEARCH("UA",K9)))</formula>
    </cfRule>
    <cfRule type="containsText" dxfId="10960" priority="3033" operator="containsText" text="LWOP UA">
      <formula>NOT(ISERROR(SEARCH("LWOP UA",K9)))</formula>
    </cfRule>
  </conditionalFormatting>
  <conditionalFormatting sqref="K10:Q11">
    <cfRule type="cellIs" dxfId="10959" priority="3695" operator="between">
      <formula>1</formula>
      <formula>400</formula>
    </cfRule>
    <cfRule type="containsText" dxfId="10958" priority="3696" operator="containsText" text="LWOP UA">
      <formula>NOT(ISERROR(SEARCH("LWOP UA",K10)))</formula>
    </cfRule>
    <cfRule type="containsText" dxfId="10957" priority="3697" operator="containsText" text="P">
      <formula>NOT(ISERROR(SEARCH("P",K10)))</formula>
    </cfRule>
    <cfRule type="containsText" dxfId="10956" priority="3698" operator="containsText" text="TFO">
      <formula>NOT(ISERROR(SEARCH("TFO",K10)))</formula>
    </cfRule>
    <cfRule type="containsText" dxfId="10955" priority="3699" operator="containsText" text="AA">
      <formula>NOT(ISERROR(SEARCH("AA",K10)))</formula>
    </cfRule>
    <cfRule type="containsText" dxfId="10954" priority="3700" operator="containsText" text="RESIGNED">
      <formula>NOT(ISERROR(SEARCH("RESIGNED",K10)))</formula>
    </cfRule>
    <cfRule type="containsText" dxfId="10953" priority="3701" operator="containsText" text="P">
      <formula>NOT(ISERROR(SEARCH("P",K10)))</formula>
    </cfRule>
    <cfRule type="containsText" dxfId="10952" priority="3702" operator="containsText" text="TARDY">
      <formula>NOT(ISERROR(SEARCH("TARDY",K10)))</formula>
    </cfRule>
    <cfRule type="containsText" dxfId="10951" priority="3703" operator="containsText" text="REST DAY">
      <formula>NOT(ISERROR(SEARCH("REST DAY",K10)))</formula>
    </cfRule>
    <cfRule type="containsText" dxfId="10950" priority="3704" operator="containsText" text="UA">
      <formula>NOT(ISERROR(SEARCH("UA",K10)))</formula>
    </cfRule>
    <cfRule type="containsText" dxfId="10949" priority="3705" operator="containsText" text="LWOP UA">
      <formula>NOT(ISERROR(SEARCH("LWOP UA",K10)))</formula>
    </cfRule>
  </conditionalFormatting>
  <conditionalFormatting sqref="K12:Q12">
    <cfRule type="cellIs" dxfId="10948" priority="3429" operator="between">
      <formula>1</formula>
      <formula>400</formula>
    </cfRule>
    <cfRule type="containsText" dxfId="10947" priority="3430" operator="containsText" text="LWOP UA">
      <formula>NOT(ISERROR(SEARCH("LWOP UA",K12)))</formula>
    </cfRule>
    <cfRule type="containsText" dxfId="10946" priority="3431" operator="containsText" text="P">
      <formula>NOT(ISERROR(SEARCH("P",K12)))</formula>
    </cfRule>
    <cfRule type="containsText" dxfId="10945" priority="3432" operator="containsText" text="TFO">
      <formula>NOT(ISERROR(SEARCH("TFO",K12)))</formula>
    </cfRule>
    <cfRule type="containsText" dxfId="10944" priority="3433" operator="containsText" text="AA">
      <formula>NOT(ISERROR(SEARCH("AA",K12)))</formula>
    </cfRule>
    <cfRule type="containsText" dxfId="10943" priority="3434" operator="containsText" text="RESIGNED">
      <formula>NOT(ISERROR(SEARCH("RESIGNED",K12)))</formula>
    </cfRule>
    <cfRule type="containsText" dxfId="10942" priority="3435" operator="containsText" text="P">
      <formula>NOT(ISERROR(SEARCH("P",K12)))</formula>
    </cfRule>
    <cfRule type="containsText" dxfId="10941" priority="3436" operator="containsText" text="TARDY">
      <formula>NOT(ISERROR(SEARCH("TARDY",K12)))</formula>
    </cfRule>
    <cfRule type="containsText" dxfId="10940" priority="3437" operator="containsText" text="REST DAY">
      <formula>NOT(ISERROR(SEARCH("REST DAY",K12)))</formula>
    </cfRule>
    <cfRule type="containsText" dxfId="10939" priority="3438" operator="containsText" text="UA">
      <formula>NOT(ISERROR(SEARCH("UA",K12)))</formula>
    </cfRule>
    <cfRule type="containsText" dxfId="10938" priority="3439" operator="containsText" text="LWOP UA">
      <formula>NOT(ISERROR(SEARCH("LWOP UA",K12)))</formula>
    </cfRule>
  </conditionalFormatting>
  <conditionalFormatting sqref="K13:Q13">
    <cfRule type="cellIs" dxfId="10937" priority="4397" operator="between">
      <formula>1</formula>
      <formula>400</formula>
    </cfRule>
    <cfRule type="containsText" dxfId="10936" priority="4398" operator="containsText" text="LWOP UA">
      <formula>NOT(ISERROR(SEARCH("LWOP UA",K13)))</formula>
    </cfRule>
    <cfRule type="containsText" dxfId="10935" priority="4399" operator="containsText" text="P">
      <formula>NOT(ISERROR(SEARCH("P",K13)))</formula>
    </cfRule>
    <cfRule type="containsText" dxfId="10934" priority="4400" operator="containsText" text="TFO">
      <formula>NOT(ISERROR(SEARCH("TFO",K13)))</formula>
    </cfRule>
    <cfRule type="containsText" dxfId="10933" priority="4401" operator="containsText" text="AA">
      <formula>NOT(ISERROR(SEARCH("AA",K13)))</formula>
    </cfRule>
    <cfRule type="containsText" dxfId="10932" priority="4402" operator="containsText" text="RESIGNED">
      <formula>NOT(ISERROR(SEARCH("RESIGNED",K13)))</formula>
    </cfRule>
    <cfRule type="containsText" dxfId="10931" priority="4403" operator="containsText" text="P">
      <formula>NOT(ISERROR(SEARCH("P",K13)))</formula>
    </cfRule>
    <cfRule type="containsText" dxfId="10930" priority="4404" operator="containsText" text="TARDY">
      <formula>NOT(ISERROR(SEARCH("TARDY",K13)))</formula>
    </cfRule>
    <cfRule type="containsText" dxfId="10929" priority="4405" operator="containsText" text="REST DAY">
      <formula>NOT(ISERROR(SEARCH("REST DAY",K13)))</formula>
    </cfRule>
    <cfRule type="containsText" dxfId="10928" priority="4406" operator="containsText" text="UA">
      <formula>NOT(ISERROR(SEARCH("UA",K13)))</formula>
    </cfRule>
    <cfRule type="containsText" dxfId="10927" priority="4407" operator="containsText" text="LWOP UA">
      <formula>NOT(ISERROR(SEARCH("LWOP UA",K13)))</formula>
    </cfRule>
  </conditionalFormatting>
  <conditionalFormatting sqref="K14:Q14">
    <cfRule type="cellIs" dxfId="10926" priority="3009" operator="between">
      <formula>1</formula>
      <formula>400</formula>
    </cfRule>
    <cfRule type="containsText" dxfId="10925" priority="3010" operator="containsText" text="LWOP UA">
      <formula>NOT(ISERROR(SEARCH("LWOP UA",K14)))</formula>
    </cfRule>
    <cfRule type="containsText" dxfId="10924" priority="3011" operator="containsText" text="P">
      <formula>NOT(ISERROR(SEARCH("P",K14)))</formula>
    </cfRule>
    <cfRule type="containsText" dxfId="10923" priority="3012" operator="containsText" text="TFO">
      <formula>NOT(ISERROR(SEARCH("TFO",K14)))</formula>
    </cfRule>
    <cfRule type="containsText" dxfId="10922" priority="3013" operator="containsText" text="AA">
      <formula>NOT(ISERROR(SEARCH("AA",K14)))</formula>
    </cfRule>
    <cfRule type="containsText" dxfId="10921" priority="3014" operator="containsText" text="RESIGNED">
      <formula>NOT(ISERROR(SEARCH("RESIGNED",K14)))</formula>
    </cfRule>
    <cfRule type="containsText" dxfId="10920" priority="3015" operator="containsText" text="P">
      <formula>NOT(ISERROR(SEARCH("P",K14)))</formula>
    </cfRule>
    <cfRule type="containsText" dxfId="10919" priority="3016" operator="containsText" text="TARDY">
      <formula>NOT(ISERROR(SEARCH("TARDY",K14)))</formula>
    </cfRule>
    <cfRule type="containsText" dxfId="10918" priority="3017" operator="containsText" text="REST DAY">
      <formula>NOT(ISERROR(SEARCH("REST DAY",K14)))</formula>
    </cfRule>
    <cfRule type="containsText" dxfId="10917" priority="3018" operator="containsText" text="UA">
      <formula>NOT(ISERROR(SEARCH("UA",K14)))</formula>
    </cfRule>
    <cfRule type="containsText" dxfId="10916" priority="3019" operator="containsText" text="LWOP UA">
      <formula>NOT(ISERROR(SEARCH("LWOP UA",K14)))</formula>
    </cfRule>
  </conditionalFormatting>
  <conditionalFormatting sqref="K14:Q23">
    <cfRule type="containsText" dxfId="10915" priority="2838" operator="containsText" text="VL">
      <formula>NOT(ISERROR(SEARCH("VL",K14)))</formula>
    </cfRule>
    <cfRule type="containsText" dxfId="10914" priority="2839" operator="containsText" text="RD">
      <formula>NOT(ISERROR(SEARCH("RD",K14)))</formula>
    </cfRule>
    <cfRule type="containsText" dxfId="10913" priority="2840" operator="containsText" text="540">
      <formula>NOT(ISERROR(SEARCH("540",K14)))</formula>
    </cfRule>
  </conditionalFormatting>
  <conditionalFormatting sqref="K15:Q15">
    <cfRule type="cellIs" dxfId="10912" priority="3527" operator="between">
      <formula>1</formula>
      <formula>400</formula>
    </cfRule>
    <cfRule type="containsText" dxfId="10911" priority="3528" operator="containsText" text="LWOP UA">
      <formula>NOT(ISERROR(SEARCH("LWOP UA",K15)))</formula>
    </cfRule>
    <cfRule type="containsText" dxfId="10910" priority="3529" operator="containsText" text="P">
      <formula>NOT(ISERROR(SEARCH("P",K15)))</formula>
    </cfRule>
    <cfRule type="containsText" dxfId="10909" priority="3530" operator="containsText" text="TFO">
      <formula>NOT(ISERROR(SEARCH("TFO",K15)))</formula>
    </cfRule>
    <cfRule type="containsText" dxfId="10908" priority="3531" operator="containsText" text="AA">
      <formula>NOT(ISERROR(SEARCH("AA",K15)))</formula>
    </cfRule>
    <cfRule type="containsText" dxfId="10907" priority="3532" operator="containsText" text="RESIGNED">
      <formula>NOT(ISERROR(SEARCH("RESIGNED",K15)))</formula>
    </cfRule>
    <cfRule type="containsText" dxfId="10906" priority="3533" operator="containsText" text="P">
      <formula>NOT(ISERROR(SEARCH("P",K15)))</formula>
    </cfRule>
    <cfRule type="containsText" dxfId="10905" priority="3534" operator="containsText" text="TARDY">
      <formula>NOT(ISERROR(SEARCH("TARDY",K15)))</formula>
    </cfRule>
    <cfRule type="containsText" dxfId="10904" priority="3535" operator="containsText" text="REST DAY">
      <formula>NOT(ISERROR(SEARCH("REST DAY",K15)))</formula>
    </cfRule>
    <cfRule type="containsText" dxfId="10903" priority="3536" operator="containsText" text="UA">
      <formula>NOT(ISERROR(SEARCH("UA",K15)))</formula>
    </cfRule>
    <cfRule type="containsText" dxfId="10902" priority="3537" operator="containsText" text="LWOP UA">
      <formula>NOT(ISERROR(SEARCH("LWOP UA",K15)))</formula>
    </cfRule>
  </conditionalFormatting>
  <conditionalFormatting sqref="K16:Q16">
    <cfRule type="cellIs" dxfId="10901" priority="3681" operator="between">
      <formula>1</formula>
      <formula>400</formula>
    </cfRule>
    <cfRule type="containsText" dxfId="10900" priority="3682" operator="containsText" text="LWOP UA">
      <formula>NOT(ISERROR(SEARCH("LWOP UA",K16)))</formula>
    </cfRule>
    <cfRule type="containsText" dxfId="10899" priority="3683" operator="containsText" text="P">
      <formula>NOT(ISERROR(SEARCH("P",K16)))</formula>
    </cfRule>
    <cfRule type="containsText" dxfId="10898" priority="3684" operator="containsText" text="TFO">
      <formula>NOT(ISERROR(SEARCH("TFO",K16)))</formula>
    </cfRule>
    <cfRule type="containsText" dxfId="10897" priority="3685" operator="containsText" text="AA">
      <formula>NOT(ISERROR(SEARCH("AA",K16)))</formula>
    </cfRule>
    <cfRule type="containsText" dxfId="10896" priority="3686" operator="containsText" text="RESIGNED">
      <formula>NOT(ISERROR(SEARCH("RESIGNED",K16)))</formula>
    </cfRule>
    <cfRule type="containsText" dxfId="10895" priority="3687" operator="containsText" text="P">
      <formula>NOT(ISERROR(SEARCH("P",K16)))</formula>
    </cfRule>
    <cfRule type="containsText" dxfId="10894" priority="3688" operator="containsText" text="TARDY">
      <formula>NOT(ISERROR(SEARCH("TARDY",K16)))</formula>
    </cfRule>
    <cfRule type="containsText" dxfId="10893" priority="3689" operator="containsText" text="REST DAY">
      <formula>NOT(ISERROR(SEARCH("REST DAY",K16)))</formula>
    </cfRule>
    <cfRule type="containsText" dxfId="10892" priority="3690" operator="containsText" text="UA">
      <formula>NOT(ISERROR(SEARCH("UA",K16)))</formula>
    </cfRule>
    <cfRule type="containsText" dxfId="10891" priority="3691" operator="containsText" text="LWOP UA">
      <formula>NOT(ISERROR(SEARCH("LWOP UA",K16)))</formula>
    </cfRule>
  </conditionalFormatting>
  <conditionalFormatting sqref="K17:Q17">
    <cfRule type="cellIs" dxfId="10890" priority="3415" operator="between">
      <formula>1</formula>
      <formula>400</formula>
    </cfRule>
    <cfRule type="containsText" dxfId="10889" priority="3416" operator="containsText" text="LWOP UA">
      <formula>NOT(ISERROR(SEARCH("LWOP UA",K17)))</formula>
    </cfRule>
    <cfRule type="containsText" dxfId="10888" priority="3417" operator="containsText" text="P">
      <formula>NOT(ISERROR(SEARCH("P",K17)))</formula>
    </cfRule>
    <cfRule type="containsText" dxfId="10887" priority="3418" operator="containsText" text="TFO">
      <formula>NOT(ISERROR(SEARCH("TFO",K17)))</formula>
    </cfRule>
    <cfRule type="containsText" dxfId="10886" priority="3419" operator="containsText" text="AA">
      <formula>NOT(ISERROR(SEARCH("AA",K17)))</formula>
    </cfRule>
    <cfRule type="containsText" dxfId="10885" priority="3420" operator="containsText" text="RESIGNED">
      <formula>NOT(ISERROR(SEARCH("RESIGNED",K17)))</formula>
    </cfRule>
    <cfRule type="containsText" dxfId="10884" priority="3421" operator="containsText" text="P">
      <formula>NOT(ISERROR(SEARCH("P",K17)))</formula>
    </cfRule>
    <cfRule type="containsText" dxfId="10883" priority="3422" operator="containsText" text="TARDY">
      <formula>NOT(ISERROR(SEARCH("TARDY",K17)))</formula>
    </cfRule>
    <cfRule type="containsText" dxfId="10882" priority="3423" operator="containsText" text="REST DAY">
      <formula>NOT(ISERROR(SEARCH("REST DAY",K17)))</formula>
    </cfRule>
    <cfRule type="containsText" dxfId="10881" priority="3424" operator="containsText" text="UA">
      <formula>NOT(ISERROR(SEARCH("UA",K17)))</formula>
    </cfRule>
    <cfRule type="containsText" dxfId="10880" priority="3425" operator="containsText" text="LWOP UA">
      <formula>NOT(ISERROR(SEARCH("LWOP UA",K17)))</formula>
    </cfRule>
  </conditionalFormatting>
  <conditionalFormatting sqref="K18:Q18">
    <cfRule type="cellIs" dxfId="10879" priority="3667" operator="between">
      <formula>1</formula>
      <formula>400</formula>
    </cfRule>
    <cfRule type="containsText" dxfId="10878" priority="3668" operator="containsText" text="LWOP UA">
      <formula>NOT(ISERROR(SEARCH("LWOP UA",K18)))</formula>
    </cfRule>
    <cfRule type="containsText" dxfId="10877" priority="3669" operator="containsText" text="P">
      <formula>NOT(ISERROR(SEARCH("P",K18)))</formula>
    </cfRule>
    <cfRule type="containsText" dxfId="10876" priority="3670" operator="containsText" text="TFO">
      <formula>NOT(ISERROR(SEARCH("TFO",K18)))</formula>
    </cfRule>
    <cfRule type="containsText" dxfId="10875" priority="3671" operator="containsText" text="AA">
      <formula>NOT(ISERROR(SEARCH("AA",K18)))</formula>
    </cfRule>
    <cfRule type="containsText" dxfId="10874" priority="3672" operator="containsText" text="RESIGNED">
      <formula>NOT(ISERROR(SEARCH("RESIGNED",K18)))</formula>
    </cfRule>
    <cfRule type="containsText" dxfId="10873" priority="3673" operator="containsText" text="P">
      <formula>NOT(ISERROR(SEARCH("P",K18)))</formula>
    </cfRule>
    <cfRule type="containsText" dxfId="10872" priority="3674" operator="containsText" text="TARDY">
      <formula>NOT(ISERROR(SEARCH("TARDY",K18)))</formula>
    </cfRule>
    <cfRule type="containsText" dxfId="10871" priority="3675" operator="containsText" text="REST DAY">
      <formula>NOT(ISERROR(SEARCH("REST DAY",K18)))</formula>
    </cfRule>
    <cfRule type="containsText" dxfId="10870" priority="3676" operator="containsText" text="UA">
      <formula>NOT(ISERROR(SEARCH("UA",K18)))</formula>
    </cfRule>
    <cfRule type="containsText" dxfId="10869" priority="3677" operator="containsText" text="LWOP UA">
      <formula>NOT(ISERROR(SEARCH("LWOP UA",K18)))</formula>
    </cfRule>
  </conditionalFormatting>
  <conditionalFormatting sqref="K19:Q19">
    <cfRule type="cellIs" dxfId="10868" priority="3401" operator="between">
      <formula>1</formula>
      <formula>400</formula>
    </cfRule>
    <cfRule type="containsText" dxfId="10867" priority="3402" operator="containsText" text="LWOP UA">
      <formula>NOT(ISERROR(SEARCH("LWOP UA",K19)))</formula>
    </cfRule>
    <cfRule type="containsText" dxfId="10866" priority="3403" operator="containsText" text="P">
      <formula>NOT(ISERROR(SEARCH("P",K19)))</formula>
    </cfRule>
    <cfRule type="containsText" dxfId="10865" priority="3404" operator="containsText" text="TFO">
      <formula>NOT(ISERROR(SEARCH("TFO",K19)))</formula>
    </cfRule>
    <cfRule type="containsText" dxfId="10864" priority="3405" operator="containsText" text="AA">
      <formula>NOT(ISERROR(SEARCH("AA",K19)))</formula>
    </cfRule>
    <cfRule type="containsText" dxfId="10863" priority="3406" operator="containsText" text="RESIGNED">
      <formula>NOT(ISERROR(SEARCH("RESIGNED",K19)))</formula>
    </cfRule>
    <cfRule type="containsText" dxfId="10862" priority="3407" operator="containsText" text="P">
      <formula>NOT(ISERROR(SEARCH("P",K19)))</formula>
    </cfRule>
    <cfRule type="containsText" dxfId="10861" priority="3408" operator="containsText" text="TARDY">
      <formula>NOT(ISERROR(SEARCH("TARDY",K19)))</formula>
    </cfRule>
    <cfRule type="containsText" dxfId="10860" priority="3409" operator="containsText" text="REST DAY">
      <formula>NOT(ISERROR(SEARCH("REST DAY",K19)))</formula>
    </cfRule>
    <cfRule type="containsText" dxfId="10859" priority="3410" operator="containsText" text="UA">
      <formula>NOT(ISERROR(SEARCH("UA",K19)))</formula>
    </cfRule>
    <cfRule type="containsText" dxfId="10858" priority="3411" operator="containsText" text="LWOP UA">
      <formula>NOT(ISERROR(SEARCH("LWOP UA",K19)))</formula>
    </cfRule>
  </conditionalFormatting>
  <conditionalFormatting sqref="K20:Q20">
    <cfRule type="cellIs" dxfId="10857" priority="2841" operator="between">
      <formula>1</formula>
      <formula>400</formula>
    </cfRule>
    <cfRule type="containsText" dxfId="10856" priority="2842" operator="containsText" text="LWOP UA">
      <formula>NOT(ISERROR(SEARCH("LWOP UA",K20)))</formula>
    </cfRule>
    <cfRule type="containsText" dxfId="10855" priority="2843" operator="containsText" text="P">
      <formula>NOT(ISERROR(SEARCH("P",K20)))</formula>
    </cfRule>
    <cfRule type="containsText" dxfId="10854" priority="2844" operator="containsText" text="TFO">
      <formula>NOT(ISERROR(SEARCH("TFO",K20)))</formula>
    </cfRule>
    <cfRule type="containsText" dxfId="10853" priority="2845" operator="containsText" text="AA">
      <formula>NOT(ISERROR(SEARCH("AA",K20)))</formula>
    </cfRule>
    <cfRule type="containsText" dxfId="10852" priority="2846" operator="containsText" text="RESIGNED">
      <formula>NOT(ISERROR(SEARCH("RESIGNED",K20)))</formula>
    </cfRule>
    <cfRule type="containsText" dxfId="10851" priority="2847" operator="containsText" text="P">
      <formula>NOT(ISERROR(SEARCH("P",K20)))</formula>
    </cfRule>
    <cfRule type="containsText" dxfId="10850" priority="2848" operator="containsText" text="TARDY">
      <formula>NOT(ISERROR(SEARCH("TARDY",K20)))</formula>
    </cfRule>
    <cfRule type="containsText" dxfId="10849" priority="2849" operator="containsText" text="REST DAY">
      <formula>NOT(ISERROR(SEARCH("REST DAY",K20)))</formula>
    </cfRule>
    <cfRule type="containsText" dxfId="10848" priority="2850" operator="containsText" text="UA">
      <formula>NOT(ISERROR(SEARCH("UA",K20)))</formula>
    </cfRule>
    <cfRule type="containsText" dxfId="10847" priority="2851" operator="containsText" text="LWOP UA">
      <formula>NOT(ISERROR(SEARCH("LWOP UA",K20)))</formula>
    </cfRule>
  </conditionalFormatting>
  <conditionalFormatting sqref="K21:Q21">
    <cfRule type="cellIs" dxfId="10846" priority="3387" operator="between">
      <formula>1</formula>
      <formula>400</formula>
    </cfRule>
    <cfRule type="containsText" dxfId="10845" priority="3388" operator="containsText" text="LWOP UA">
      <formula>NOT(ISERROR(SEARCH("LWOP UA",K21)))</formula>
    </cfRule>
    <cfRule type="containsText" dxfId="10844" priority="3389" operator="containsText" text="P">
      <formula>NOT(ISERROR(SEARCH("P",K21)))</formula>
    </cfRule>
    <cfRule type="containsText" dxfId="10843" priority="3390" operator="containsText" text="TFO">
      <formula>NOT(ISERROR(SEARCH("TFO",K21)))</formula>
    </cfRule>
    <cfRule type="containsText" dxfId="10842" priority="3391" operator="containsText" text="AA">
      <formula>NOT(ISERROR(SEARCH("AA",K21)))</formula>
    </cfRule>
    <cfRule type="containsText" dxfId="10841" priority="3392" operator="containsText" text="RESIGNED">
      <formula>NOT(ISERROR(SEARCH("RESIGNED",K21)))</formula>
    </cfRule>
    <cfRule type="containsText" dxfId="10840" priority="3393" operator="containsText" text="P">
      <formula>NOT(ISERROR(SEARCH("P",K21)))</formula>
    </cfRule>
    <cfRule type="containsText" dxfId="10839" priority="3394" operator="containsText" text="TARDY">
      <formula>NOT(ISERROR(SEARCH("TARDY",K21)))</formula>
    </cfRule>
    <cfRule type="containsText" dxfId="10838" priority="3395" operator="containsText" text="REST DAY">
      <formula>NOT(ISERROR(SEARCH("REST DAY",K21)))</formula>
    </cfRule>
    <cfRule type="containsText" dxfId="10837" priority="3396" operator="containsText" text="UA">
      <formula>NOT(ISERROR(SEARCH("UA",K21)))</formula>
    </cfRule>
    <cfRule type="containsText" dxfId="10836" priority="3397" operator="containsText" text="LWOP UA">
      <formula>NOT(ISERROR(SEARCH("LWOP UA",K21)))</formula>
    </cfRule>
  </conditionalFormatting>
  <conditionalFormatting sqref="K22:Q23">
    <cfRule type="cellIs" dxfId="10835" priority="3513" operator="between">
      <formula>1</formula>
      <formula>400</formula>
    </cfRule>
    <cfRule type="containsText" dxfId="10834" priority="3514" operator="containsText" text="LWOP UA">
      <formula>NOT(ISERROR(SEARCH("LWOP UA",K22)))</formula>
    </cfRule>
    <cfRule type="containsText" dxfId="10833" priority="3515" operator="containsText" text="P">
      <formula>NOT(ISERROR(SEARCH("P",K22)))</formula>
    </cfRule>
    <cfRule type="containsText" dxfId="10832" priority="3516" operator="containsText" text="TFO">
      <formula>NOT(ISERROR(SEARCH("TFO",K22)))</formula>
    </cfRule>
    <cfRule type="containsText" dxfId="10831" priority="3517" operator="containsText" text="AA">
      <formula>NOT(ISERROR(SEARCH("AA",K22)))</formula>
    </cfRule>
    <cfRule type="containsText" dxfId="10830" priority="3518" operator="containsText" text="RESIGNED">
      <formula>NOT(ISERROR(SEARCH("RESIGNED",K22)))</formula>
    </cfRule>
    <cfRule type="containsText" dxfId="10829" priority="3519" operator="containsText" text="P">
      <formula>NOT(ISERROR(SEARCH("P",K22)))</formula>
    </cfRule>
    <cfRule type="containsText" dxfId="10828" priority="3520" operator="containsText" text="TARDY">
      <formula>NOT(ISERROR(SEARCH("TARDY",K22)))</formula>
    </cfRule>
    <cfRule type="containsText" dxfId="10827" priority="3521" operator="containsText" text="REST DAY">
      <formula>NOT(ISERROR(SEARCH("REST DAY",K22)))</formula>
    </cfRule>
    <cfRule type="containsText" dxfId="10826" priority="3522" operator="containsText" text="UA">
      <formula>NOT(ISERROR(SEARCH("UA",K22)))</formula>
    </cfRule>
    <cfRule type="containsText" dxfId="10825" priority="3523" operator="containsText" text="LWOP UA">
      <formula>NOT(ISERROR(SEARCH("LWOP UA",K22)))</formula>
    </cfRule>
  </conditionalFormatting>
  <conditionalFormatting sqref="K24:Q24">
    <cfRule type="cellIs" dxfId="10824" priority="2818" operator="between">
      <formula>1</formula>
      <formula>400</formula>
    </cfRule>
    <cfRule type="containsText" dxfId="10823" priority="2819" operator="containsText" text="LWOP UA">
      <formula>NOT(ISERROR(SEARCH("LWOP UA",K24)))</formula>
    </cfRule>
    <cfRule type="containsText" dxfId="10822" priority="2820" operator="containsText" text="P">
      <formula>NOT(ISERROR(SEARCH("P",K24)))</formula>
    </cfRule>
    <cfRule type="containsText" dxfId="10821" priority="2821" operator="containsText" text="TFO">
      <formula>NOT(ISERROR(SEARCH("TFO",K24)))</formula>
    </cfRule>
    <cfRule type="containsText" dxfId="10820" priority="2822" operator="containsText" text="AA">
      <formula>NOT(ISERROR(SEARCH("AA",K24)))</formula>
    </cfRule>
    <cfRule type="containsText" dxfId="10819" priority="2823" operator="containsText" text="RESIGNED">
      <formula>NOT(ISERROR(SEARCH("RESIGNED",K24)))</formula>
    </cfRule>
    <cfRule type="containsText" dxfId="10818" priority="2824" operator="containsText" text="P">
      <formula>NOT(ISERROR(SEARCH("P",K24)))</formula>
    </cfRule>
    <cfRule type="containsText" dxfId="10817" priority="2825" operator="containsText" text="TARDY">
      <formula>NOT(ISERROR(SEARCH("TARDY",K24)))</formula>
    </cfRule>
    <cfRule type="containsText" dxfId="10816" priority="2826" operator="containsText" text="REST DAY">
      <formula>NOT(ISERROR(SEARCH("REST DAY",K24)))</formula>
    </cfRule>
    <cfRule type="containsText" dxfId="10815" priority="2827" operator="containsText" text="UA">
      <formula>NOT(ISERROR(SEARCH("UA",K24)))</formula>
    </cfRule>
    <cfRule type="containsText" dxfId="10814" priority="2828" operator="containsText" text="LWOP UA">
      <formula>NOT(ISERROR(SEARCH("LWOP UA",K24)))</formula>
    </cfRule>
  </conditionalFormatting>
  <conditionalFormatting sqref="K25:Q25 K28:Q29">
    <cfRule type="cellIs" dxfId="10813" priority="4383" operator="between">
      <formula>1</formula>
      <formula>400</formula>
    </cfRule>
    <cfRule type="containsText" dxfId="10812" priority="4384" operator="containsText" text="LWOP UA">
      <formula>NOT(ISERROR(SEARCH("LWOP UA",K25)))</formula>
    </cfRule>
    <cfRule type="containsText" dxfId="10811" priority="4385" operator="containsText" text="P">
      <formula>NOT(ISERROR(SEARCH("P",K25)))</formula>
    </cfRule>
    <cfRule type="containsText" dxfId="10810" priority="4386" operator="containsText" text="TFO">
      <formula>NOT(ISERROR(SEARCH("TFO",K25)))</formula>
    </cfRule>
    <cfRule type="containsText" dxfId="10809" priority="4387" operator="containsText" text="AA">
      <formula>NOT(ISERROR(SEARCH("AA",K25)))</formula>
    </cfRule>
    <cfRule type="containsText" dxfId="10808" priority="4388" operator="containsText" text="RESIGNED">
      <formula>NOT(ISERROR(SEARCH("RESIGNED",K25)))</formula>
    </cfRule>
    <cfRule type="containsText" dxfId="10807" priority="4389" operator="containsText" text="P">
      <formula>NOT(ISERROR(SEARCH("P",K25)))</formula>
    </cfRule>
    <cfRule type="containsText" dxfId="10806" priority="4390" operator="containsText" text="TARDY">
      <formula>NOT(ISERROR(SEARCH("TARDY",K25)))</formula>
    </cfRule>
    <cfRule type="containsText" dxfId="10805" priority="4391" operator="containsText" text="REST DAY">
      <formula>NOT(ISERROR(SEARCH("REST DAY",K25)))</formula>
    </cfRule>
    <cfRule type="containsText" dxfId="10804" priority="4392" operator="containsText" text="UA">
      <formula>NOT(ISERROR(SEARCH("UA",K25)))</formula>
    </cfRule>
    <cfRule type="containsText" dxfId="10803" priority="4393" operator="containsText" text="LWOP UA">
      <formula>NOT(ISERROR(SEARCH("LWOP UA",K25)))</formula>
    </cfRule>
  </conditionalFormatting>
  <conditionalFormatting sqref="K26:Q26">
    <cfRule type="cellIs" dxfId="10802" priority="3373" operator="between">
      <formula>1</formula>
      <formula>400</formula>
    </cfRule>
    <cfRule type="containsText" dxfId="10801" priority="3374" operator="containsText" text="LWOP UA">
      <formula>NOT(ISERROR(SEARCH("LWOP UA",K26)))</formula>
    </cfRule>
    <cfRule type="containsText" dxfId="10800" priority="3375" operator="containsText" text="P">
      <formula>NOT(ISERROR(SEARCH("P",K26)))</formula>
    </cfRule>
    <cfRule type="containsText" dxfId="10799" priority="3376" operator="containsText" text="TFO">
      <formula>NOT(ISERROR(SEARCH("TFO",K26)))</formula>
    </cfRule>
    <cfRule type="containsText" dxfId="10798" priority="3377" operator="containsText" text="AA">
      <formula>NOT(ISERROR(SEARCH("AA",K26)))</formula>
    </cfRule>
    <cfRule type="containsText" dxfId="10797" priority="3378" operator="containsText" text="RESIGNED">
      <formula>NOT(ISERROR(SEARCH("RESIGNED",K26)))</formula>
    </cfRule>
    <cfRule type="containsText" dxfId="10796" priority="3379" operator="containsText" text="P">
      <formula>NOT(ISERROR(SEARCH("P",K26)))</formula>
    </cfRule>
    <cfRule type="containsText" dxfId="10795" priority="3380" operator="containsText" text="TARDY">
      <formula>NOT(ISERROR(SEARCH("TARDY",K26)))</formula>
    </cfRule>
    <cfRule type="containsText" dxfId="10794" priority="3381" operator="containsText" text="REST DAY">
      <formula>NOT(ISERROR(SEARCH("REST DAY",K26)))</formula>
    </cfRule>
    <cfRule type="containsText" dxfId="10793" priority="3382" operator="containsText" text="UA">
      <formula>NOT(ISERROR(SEARCH("UA",K26)))</formula>
    </cfRule>
    <cfRule type="containsText" dxfId="10792" priority="3383" operator="containsText" text="LWOP UA">
      <formula>NOT(ISERROR(SEARCH("LWOP UA",K26)))</formula>
    </cfRule>
  </conditionalFormatting>
  <conditionalFormatting sqref="K26:Q35">
    <cfRule type="containsText" dxfId="10791" priority="3288" operator="containsText" text="540">
      <formula>NOT(ISERROR(SEARCH("540",K26)))</formula>
    </cfRule>
  </conditionalFormatting>
  <conditionalFormatting sqref="K27:Q27">
    <cfRule type="cellIs" dxfId="10790" priority="4369" operator="between">
      <formula>1</formula>
      <formula>400</formula>
    </cfRule>
    <cfRule type="containsText" dxfId="10789" priority="4370" operator="containsText" text="LWOP UA">
      <formula>NOT(ISERROR(SEARCH("LWOP UA",K27)))</formula>
    </cfRule>
    <cfRule type="containsText" dxfId="10788" priority="4371" operator="containsText" text="P">
      <formula>NOT(ISERROR(SEARCH("P",K27)))</formula>
    </cfRule>
    <cfRule type="containsText" dxfId="10787" priority="4372" operator="containsText" text="TFO">
      <formula>NOT(ISERROR(SEARCH("TFO",K27)))</formula>
    </cfRule>
    <cfRule type="containsText" dxfId="10786" priority="4373" operator="containsText" text="AA">
      <formula>NOT(ISERROR(SEARCH("AA",K27)))</formula>
    </cfRule>
    <cfRule type="containsText" dxfId="10785" priority="4374" operator="containsText" text="RESIGNED">
      <formula>NOT(ISERROR(SEARCH("RESIGNED",K27)))</formula>
    </cfRule>
    <cfRule type="containsText" dxfId="10784" priority="4375" operator="containsText" text="P">
      <formula>NOT(ISERROR(SEARCH("P",K27)))</formula>
    </cfRule>
    <cfRule type="containsText" dxfId="10783" priority="4376" operator="containsText" text="TARDY">
      <formula>NOT(ISERROR(SEARCH("TARDY",K27)))</formula>
    </cfRule>
    <cfRule type="containsText" dxfId="10782" priority="4377" operator="containsText" text="REST DAY">
      <formula>NOT(ISERROR(SEARCH("REST DAY",K27)))</formula>
    </cfRule>
    <cfRule type="containsText" dxfId="10781" priority="4378" operator="containsText" text="UA">
      <formula>NOT(ISERROR(SEARCH("UA",K27)))</formula>
    </cfRule>
    <cfRule type="containsText" dxfId="10780" priority="4379" operator="containsText" text="LWOP UA">
      <formula>NOT(ISERROR(SEARCH("LWOP UA",K27)))</formula>
    </cfRule>
  </conditionalFormatting>
  <conditionalFormatting sqref="K30:Q30">
    <cfRule type="cellIs" dxfId="10779" priority="4355" operator="between">
      <formula>1</formula>
      <formula>400</formula>
    </cfRule>
    <cfRule type="containsText" dxfId="10778" priority="4356" operator="containsText" text="LWOP UA">
      <formula>NOT(ISERROR(SEARCH("LWOP UA",K30)))</formula>
    </cfRule>
    <cfRule type="containsText" dxfId="10777" priority="4357" operator="containsText" text="P">
      <formula>NOT(ISERROR(SEARCH("P",K30)))</formula>
    </cfRule>
    <cfRule type="containsText" dxfId="10776" priority="4358" operator="containsText" text="TFO">
      <formula>NOT(ISERROR(SEARCH("TFO",K30)))</formula>
    </cfRule>
    <cfRule type="containsText" dxfId="10775" priority="4359" operator="containsText" text="AA">
      <formula>NOT(ISERROR(SEARCH("AA",K30)))</formula>
    </cfRule>
    <cfRule type="containsText" dxfId="10774" priority="4360" operator="containsText" text="RESIGNED">
      <formula>NOT(ISERROR(SEARCH("RESIGNED",K30)))</formula>
    </cfRule>
    <cfRule type="containsText" dxfId="10773" priority="4361" operator="containsText" text="P">
      <formula>NOT(ISERROR(SEARCH("P",K30)))</formula>
    </cfRule>
    <cfRule type="containsText" dxfId="10772" priority="4362" operator="containsText" text="TARDY">
      <formula>NOT(ISERROR(SEARCH("TARDY",K30)))</formula>
    </cfRule>
    <cfRule type="containsText" dxfId="10771" priority="4363" operator="containsText" text="REST DAY">
      <formula>NOT(ISERROR(SEARCH("REST DAY",K30)))</formula>
    </cfRule>
    <cfRule type="containsText" dxfId="10770" priority="4364" operator="containsText" text="UA">
      <formula>NOT(ISERROR(SEARCH("UA",K30)))</formula>
    </cfRule>
    <cfRule type="containsText" dxfId="10769" priority="4365" operator="containsText" text="LWOP UA">
      <formula>NOT(ISERROR(SEARCH("LWOP UA",K30)))</formula>
    </cfRule>
  </conditionalFormatting>
  <conditionalFormatting sqref="K31:Q31">
    <cfRule type="cellIs" dxfId="10768" priority="3653" operator="between">
      <formula>1</formula>
      <formula>400</formula>
    </cfRule>
    <cfRule type="containsText" dxfId="10767" priority="3654" operator="containsText" text="LWOP UA">
      <formula>NOT(ISERROR(SEARCH("LWOP UA",K31)))</formula>
    </cfRule>
    <cfRule type="containsText" dxfId="10766" priority="3655" operator="containsText" text="P">
      <formula>NOT(ISERROR(SEARCH("P",K31)))</formula>
    </cfRule>
    <cfRule type="containsText" dxfId="10765" priority="3656" operator="containsText" text="TFO">
      <formula>NOT(ISERROR(SEARCH("TFO",K31)))</formula>
    </cfRule>
    <cfRule type="containsText" dxfId="10764" priority="3657" operator="containsText" text="AA">
      <formula>NOT(ISERROR(SEARCH("AA",K31)))</formula>
    </cfRule>
    <cfRule type="containsText" dxfId="10763" priority="3658" operator="containsText" text="RESIGNED">
      <formula>NOT(ISERROR(SEARCH("RESIGNED",K31)))</formula>
    </cfRule>
    <cfRule type="containsText" dxfId="10762" priority="3659" operator="containsText" text="P">
      <formula>NOT(ISERROR(SEARCH("P",K31)))</formula>
    </cfRule>
    <cfRule type="containsText" dxfId="10761" priority="3660" operator="containsText" text="TARDY">
      <formula>NOT(ISERROR(SEARCH("TARDY",K31)))</formula>
    </cfRule>
    <cfRule type="containsText" dxfId="10760" priority="3661" operator="containsText" text="REST DAY">
      <formula>NOT(ISERROR(SEARCH("REST DAY",K31)))</formula>
    </cfRule>
    <cfRule type="containsText" dxfId="10759" priority="3662" operator="containsText" text="UA">
      <formula>NOT(ISERROR(SEARCH("UA",K31)))</formula>
    </cfRule>
    <cfRule type="containsText" dxfId="10758" priority="3663" operator="containsText" text="LWOP UA">
      <formula>NOT(ISERROR(SEARCH("LWOP UA",K31)))</formula>
    </cfRule>
  </conditionalFormatting>
  <conditionalFormatting sqref="K32:Q32">
    <cfRule type="cellIs" dxfId="10757" priority="3331" operator="between">
      <formula>1</formula>
      <formula>400</formula>
    </cfRule>
    <cfRule type="containsText" dxfId="10756" priority="3332" operator="containsText" text="LWOP UA">
      <formula>NOT(ISERROR(SEARCH("LWOP UA",K32)))</formula>
    </cfRule>
    <cfRule type="containsText" dxfId="10755" priority="3333" operator="containsText" text="P">
      <formula>NOT(ISERROR(SEARCH("P",K32)))</formula>
    </cfRule>
    <cfRule type="containsText" dxfId="10754" priority="3334" operator="containsText" text="TFO">
      <formula>NOT(ISERROR(SEARCH("TFO",K32)))</formula>
    </cfRule>
    <cfRule type="containsText" dxfId="10753" priority="3335" operator="containsText" text="AA">
      <formula>NOT(ISERROR(SEARCH("AA",K32)))</formula>
    </cfRule>
    <cfRule type="containsText" dxfId="10752" priority="3336" operator="containsText" text="RESIGNED">
      <formula>NOT(ISERROR(SEARCH("RESIGNED",K32)))</formula>
    </cfRule>
    <cfRule type="containsText" dxfId="10751" priority="3337" operator="containsText" text="P">
      <formula>NOT(ISERROR(SEARCH("P",K32)))</formula>
    </cfRule>
    <cfRule type="containsText" dxfId="10750" priority="3338" operator="containsText" text="TARDY">
      <formula>NOT(ISERROR(SEARCH("TARDY",K32)))</formula>
    </cfRule>
    <cfRule type="containsText" dxfId="10749" priority="3339" operator="containsText" text="REST DAY">
      <formula>NOT(ISERROR(SEARCH("REST DAY",K32)))</formula>
    </cfRule>
    <cfRule type="containsText" dxfId="10748" priority="3340" operator="containsText" text="UA">
      <formula>NOT(ISERROR(SEARCH("UA",K32)))</formula>
    </cfRule>
    <cfRule type="containsText" dxfId="10747" priority="3341" operator="containsText" text="LWOP UA">
      <formula>NOT(ISERROR(SEARCH("LWOP UA",K32)))</formula>
    </cfRule>
  </conditionalFormatting>
  <conditionalFormatting sqref="K33:Q33">
    <cfRule type="cellIs" dxfId="10746" priority="3317" operator="between">
      <formula>1</formula>
      <formula>400</formula>
    </cfRule>
    <cfRule type="containsText" dxfId="10745" priority="3318" operator="containsText" text="LWOP UA">
      <formula>NOT(ISERROR(SEARCH("LWOP UA",K33)))</formula>
    </cfRule>
    <cfRule type="containsText" dxfId="10744" priority="3319" operator="containsText" text="P">
      <formula>NOT(ISERROR(SEARCH("P",K33)))</formula>
    </cfRule>
    <cfRule type="containsText" dxfId="10743" priority="3320" operator="containsText" text="TFO">
      <formula>NOT(ISERROR(SEARCH("TFO",K33)))</formula>
    </cfRule>
    <cfRule type="containsText" dxfId="10742" priority="3321" operator="containsText" text="AA">
      <formula>NOT(ISERROR(SEARCH("AA",K33)))</formula>
    </cfRule>
    <cfRule type="containsText" dxfId="10741" priority="3322" operator="containsText" text="RESIGNED">
      <formula>NOT(ISERROR(SEARCH("RESIGNED",K33)))</formula>
    </cfRule>
    <cfRule type="containsText" dxfId="10740" priority="3323" operator="containsText" text="P">
      <formula>NOT(ISERROR(SEARCH("P",K33)))</formula>
    </cfRule>
    <cfRule type="containsText" dxfId="10739" priority="3324" operator="containsText" text="TARDY">
      <formula>NOT(ISERROR(SEARCH("TARDY",K33)))</formula>
    </cfRule>
    <cfRule type="containsText" dxfId="10738" priority="3325" operator="containsText" text="REST DAY">
      <formula>NOT(ISERROR(SEARCH("REST DAY",K33)))</formula>
    </cfRule>
    <cfRule type="containsText" dxfId="10737" priority="3326" operator="containsText" text="UA">
      <formula>NOT(ISERROR(SEARCH("UA",K33)))</formula>
    </cfRule>
    <cfRule type="containsText" dxfId="10736" priority="3327" operator="containsText" text="LWOP UA">
      <formula>NOT(ISERROR(SEARCH("LWOP UA",K33)))</formula>
    </cfRule>
  </conditionalFormatting>
  <conditionalFormatting sqref="K34:Q34">
    <cfRule type="cellIs" dxfId="10735" priority="3303" operator="between">
      <formula>1</formula>
      <formula>400</formula>
    </cfRule>
    <cfRule type="containsText" dxfId="10734" priority="3304" operator="containsText" text="LWOP UA">
      <formula>NOT(ISERROR(SEARCH("LWOP UA",K34)))</formula>
    </cfRule>
    <cfRule type="containsText" dxfId="10733" priority="3305" operator="containsText" text="P">
      <formula>NOT(ISERROR(SEARCH("P",K34)))</formula>
    </cfRule>
    <cfRule type="containsText" dxfId="10732" priority="3306" operator="containsText" text="TFO">
      <formula>NOT(ISERROR(SEARCH("TFO",K34)))</formula>
    </cfRule>
    <cfRule type="containsText" dxfId="10731" priority="3307" operator="containsText" text="AA">
      <formula>NOT(ISERROR(SEARCH("AA",K34)))</formula>
    </cfRule>
    <cfRule type="containsText" dxfId="10730" priority="3308" operator="containsText" text="RESIGNED">
      <formula>NOT(ISERROR(SEARCH("RESIGNED",K34)))</formula>
    </cfRule>
    <cfRule type="containsText" dxfId="10729" priority="3309" operator="containsText" text="P">
      <formula>NOT(ISERROR(SEARCH("P",K34)))</formula>
    </cfRule>
    <cfRule type="containsText" dxfId="10728" priority="3310" operator="containsText" text="TARDY">
      <formula>NOT(ISERROR(SEARCH("TARDY",K34)))</formula>
    </cfRule>
    <cfRule type="containsText" dxfId="10727" priority="3311" operator="containsText" text="REST DAY">
      <formula>NOT(ISERROR(SEARCH("REST DAY",K34)))</formula>
    </cfRule>
    <cfRule type="containsText" dxfId="10726" priority="3312" operator="containsText" text="UA">
      <formula>NOT(ISERROR(SEARCH("UA",K34)))</formula>
    </cfRule>
    <cfRule type="containsText" dxfId="10725" priority="3313" operator="containsText" text="LWOP UA">
      <formula>NOT(ISERROR(SEARCH("LWOP UA",K34)))</formula>
    </cfRule>
  </conditionalFormatting>
  <conditionalFormatting sqref="K35:Q35">
    <cfRule type="cellIs" dxfId="10724" priority="3289" operator="between">
      <formula>1</formula>
      <formula>400</formula>
    </cfRule>
    <cfRule type="containsText" dxfId="10723" priority="3290" operator="containsText" text="LWOP UA">
      <formula>NOT(ISERROR(SEARCH("LWOP UA",K35)))</formula>
    </cfRule>
    <cfRule type="containsText" dxfId="10722" priority="3291" operator="containsText" text="P">
      <formula>NOT(ISERROR(SEARCH("P",K35)))</formula>
    </cfRule>
    <cfRule type="containsText" dxfId="10721" priority="3292" operator="containsText" text="TFO">
      <formula>NOT(ISERROR(SEARCH("TFO",K35)))</formula>
    </cfRule>
    <cfRule type="containsText" dxfId="10720" priority="3293" operator="containsText" text="AA">
      <formula>NOT(ISERROR(SEARCH("AA",K35)))</formula>
    </cfRule>
    <cfRule type="containsText" dxfId="10719" priority="3294" operator="containsText" text="RESIGNED">
      <formula>NOT(ISERROR(SEARCH("RESIGNED",K35)))</formula>
    </cfRule>
    <cfRule type="containsText" dxfId="10718" priority="3295" operator="containsText" text="P">
      <formula>NOT(ISERROR(SEARCH("P",K35)))</formula>
    </cfRule>
    <cfRule type="containsText" dxfId="10717" priority="3296" operator="containsText" text="TARDY">
      <formula>NOT(ISERROR(SEARCH("TARDY",K35)))</formula>
    </cfRule>
    <cfRule type="containsText" dxfId="10716" priority="3297" operator="containsText" text="REST DAY">
      <formula>NOT(ISERROR(SEARCH("REST DAY",K35)))</formula>
    </cfRule>
    <cfRule type="containsText" dxfId="10715" priority="3298" operator="containsText" text="UA">
      <formula>NOT(ISERROR(SEARCH("UA",K35)))</formula>
    </cfRule>
    <cfRule type="containsText" dxfId="10714" priority="3299" operator="containsText" text="LWOP UA">
      <formula>NOT(ISERROR(SEARCH("LWOP UA",K35)))</formula>
    </cfRule>
  </conditionalFormatting>
  <conditionalFormatting sqref="K36:Q36">
    <cfRule type="cellIs" dxfId="10713" priority="4341" operator="between">
      <formula>1</formula>
      <formula>400</formula>
    </cfRule>
    <cfRule type="containsText" dxfId="10712" priority="4342" operator="containsText" text="LWOP UA">
      <formula>NOT(ISERROR(SEARCH("LWOP UA",K36)))</formula>
    </cfRule>
    <cfRule type="containsText" dxfId="10711" priority="4343" operator="containsText" text="P">
      <formula>NOT(ISERROR(SEARCH("P",K36)))</formula>
    </cfRule>
    <cfRule type="containsText" dxfId="10710" priority="4344" operator="containsText" text="TFO">
      <formula>NOT(ISERROR(SEARCH("TFO",K36)))</formula>
    </cfRule>
    <cfRule type="containsText" dxfId="10709" priority="4345" operator="containsText" text="AA">
      <formula>NOT(ISERROR(SEARCH("AA",K36)))</formula>
    </cfRule>
    <cfRule type="containsText" dxfId="10708" priority="4346" operator="containsText" text="RESIGNED">
      <formula>NOT(ISERROR(SEARCH("RESIGNED",K36)))</formula>
    </cfRule>
    <cfRule type="containsText" dxfId="10707" priority="4347" operator="containsText" text="P">
      <formula>NOT(ISERROR(SEARCH("P",K36)))</formula>
    </cfRule>
    <cfRule type="containsText" dxfId="10706" priority="4348" operator="containsText" text="TARDY">
      <formula>NOT(ISERROR(SEARCH("TARDY",K36)))</formula>
    </cfRule>
    <cfRule type="containsText" dxfId="10705" priority="4349" operator="containsText" text="REST DAY">
      <formula>NOT(ISERROR(SEARCH("REST DAY",K36)))</formula>
    </cfRule>
    <cfRule type="containsText" dxfId="10704" priority="4350" operator="containsText" text="UA">
      <formula>NOT(ISERROR(SEARCH("UA",K36)))</formula>
    </cfRule>
    <cfRule type="containsText" dxfId="10703" priority="4351" operator="containsText" text="LWOP UA">
      <formula>NOT(ISERROR(SEARCH("LWOP UA",K36)))</formula>
    </cfRule>
  </conditionalFormatting>
  <conditionalFormatting sqref="K38:Q38">
    <cfRule type="cellIs" dxfId="10702" priority="2693" operator="between">
      <formula>1</formula>
      <formula>400</formula>
    </cfRule>
    <cfRule type="containsText" dxfId="10701" priority="2694" operator="containsText" text="LWOP UA">
      <formula>NOT(ISERROR(SEARCH("LWOP UA",K38)))</formula>
    </cfRule>
    <cfRule type="containsText" dxfId="10700" priority="2695" operator="containsText" text="P">
      <formula>NOT(ISERROR(SEARCH("P",K38)))</formula>
    </cfRule>
    <cfRule type="containsText" dxfId="10699" priority="2696" operator="containsText" text="TFO">
      <formula>NOT(ISERROR(SEARCH("TFO",K38)))</formula>
    </cfRule>
    <cfRule type="containsText" dxfId="10698" priority="2697" operator="containsText" text="AA">
      <formula>NOT(ISERROR(SEARCH("AA",K38)))</formula>
    </cfRule>
    <cfRule type="containsText" dxfId="10697" priority="2698" operator="containsText" text="RESIGNED">
      <formula>NOT(ISERROR(SEARCH("RESIGNED",K38)))</formula>
    </cfRule>
    <cfRule type="containsText" dxfId="10696" priority="2699" operator="containsText" text="P">
      <formula>NOT(ISERROR(SEARCH("P",K38)))</formula>
    </cfRule>
    <cfRule type="containsText" dxfId="10695" priority="2700" operator="containsText" text="TARDY">
      <formula>NOT(ISERROR(SEARCH("TARDY",K38)))</formula>
    </cfRule>
    <cfRule type="containsText" dxfId="10694" priority="2701" operator="containsText" text="REST DAY">
      <formula>NOT(ISERROR(SEARCH("REST DAY",K38)))</formula>
    </cfRule>
    <cfRule type="containsText" dxfId="10693" priority="2702" operator="containsText" text="UA">
      <formula>NOT(ISERROR(SEARCH("UA",K38)))</formula>
    </cfRule>
    <cfRule type="containsText" dxfId="10692" priority="2703" operator="containsText" text="LWOP UA">
      <formula>NOT(ISERROR(SEARCH("LWOP UA",K38)))</formula>
    </cfRule>
  </conditionalFormatting>
  <conditionalFormatting sqref="K38:Q48">
    <cfRule type="containsText" dxfId="10691" priority="2691" operator="containsText" text="RD">
      <formula>NOT(ISERROR(SEARCH("RD",K38)))</formula>
    </cfRule>
    <cfRule type="containsText" dxfId="10690" priority="2692" operator="containsText" text="540">
      <formula>NOT(ISERROR(SEARCH("540",K38)))</formula>
    </cfRule>
  </conditionalFormatting>
  <conditionalFormatting sqref="K39:Q39">
    <cfRule type="cellIs" dxfId="10689" priority="3275" operator="between">
      <formula>1</formula>
      <formula>400</formula>
    </cfRule>
    <cfRule type="containsText" dxfId="10688" priority="3276" operator="containsText" text="LWOP UA">
      <formula>NOT(ISERROR(SEARCH("LWOP UA",K39)))</formula>
    </cfRule>
    <cfRule type="containsText" dxfId="10687" priority="3277" operator="containsText" text="P">
      <formula>NOT(ISERROR(SEARCH("P",K39)))</formula>
    </cfRule>
    <cfRule type="containsText" dxfId="10686" priority="3278" operator="containsText" text="TFO">
      <formula>NOT(ISERROR(SEARCH("TFO",K39)))</formula>
    </cfRule>
    <cfRule type="containsText" dxfId="10685" priority="3279" operator="containsText" text="AA">
      <formula>NOT(ISERROR(SEARCH("AA",K39)))</formula>
    </cfRule>
    <cfRule type="containsText" dxfId="10684" priority="3280" operator="containsText" text="RESIGNED">
      <formula>NOT(ISERROR(SEARCH("RESIGNED",K39)))</formula>
    </cfRule>
    <cfRule type="containsText" dxfId="10683" priority="3281" operator="containsText" text="P">
      <formula>NOT(ISERROR(SEARCH("P",K39)))</formula>
    </cfRule>
    <cfRule type="containsText" dxfId="10682" priority="3282" operator="containsText" text="TARDY">
      <formula>NOT(ISERROR(SEARCH("TARDY",K39)))</formula>
    </cfRule>
    <cfRule type="containsText" dxfId="10681" priority="3283" operator="containsText" text="REST DAY">
      <formula>NOT(ISERROR(SEARCH("REST DAY",K39)))</formula>
    </cfRule>
    <cfRule type="containsText" dxfId="10680" priority="3284" operator="containsText" text="UA">
      <formula>NOT(ISERROR(SEARCH("UA",K39)))</formula>
    </cfRule>
    <cfRule type="containsText" dxfId="10679" priority="3285" operator="containsText" text="LWOP UA">
      <formula>NOT(ISERROR(SEARCH("LWOP UA",K39)))</formula>
    </cfRule>
  </conditionalFormatting>
  <conditionalFormatting sqref="K40:Q40">
    <cfRule type="cellIs" dxfId="10678" priority="2995" operator="between">
      <formula>1</formula>
      <formula>400</formula>
    </cfRule>
    <cfRule type="containsText" dxfId="10677" priority="2996" operator="containsText" text="LWOP UA">
      <formula>NOT(ISERROR(SEARCH("LWOP UA",K40)))</formula>
    </cfRule>
    <cfRule type="containsText" dxfId="10676" priority="2997" operator="containsText" text="P">
      <formula>NOT(ISERROR(SEARCH("P",K40)))</formula>
    </cfRule>
    <cfRule type="containsText" dxfId="10675" priority="2998" operator="containsText" text="TFO">
      <formula>NOT(ISERROR(SEARCH("TFO",K40)))</formula>
    </cfRule>
    <cfRule type="containsText" dxfId="10674" priority="2999" operator="containsText" text="AA">
      <formula>NOT(ISERROR(SEARCH("AA",K40)))</formula>
    </cfRule>
    <cfRule type="containsText" dxfId="10673" priority="3000" operator="containsText" text="RESIGNED">
      <formula>NOT(ISERROR(SEARCH("RESIGNED",K40)))</formula>
    </cfRule>
    <cfRule type="containsText" dxfId="10672" priority="3001" operator="containsText" text="P">
      <formula>NOT(ISERROR(SEARCH("P",K40)))</formula>
    </cfRule>
    <cfRule type="containsText" dxfId="10671" priority="3002" operator="containsText" text="TARDY">
      <formula>NOT(ISERROR(SEARCH("TARDY",K40)))</formula>
    </cfRule>
    <cfRule type="containsText" dxfId="10670" priority="3003" operator="containsText" text="REST DAY">
      <formula>NOT(ISERROR(SEARCH("REST DAY",K40)))</formula>
    </cfRule>
    <cfRule type="containsText" dxfId="10669" priority="3004" operator="containsText" text="UA">
      <formula>NOT(ISERROR(SEARCH("UA",K40)))</formula>
    </cfRule>
    <cfRule type="containsText" dxfId="10668" priority="3005" operator="containsText" text="LWOP UA">
      <formula>NOT(ISERROR(SEARCH("LWOP UA",K40)))</formula>
    </cfRule>
  </conditionalFormatting>
  <conditionalFormatting sqref="K41:Q41">
    <cfRule type="cellIs" dxfId="10667" priority="2981" operator="between">
      <formula>1</formula>
      <formula>400</formula>
    </cfRule>
    <cfRule type="containsText" dxfId="10666" priority="2982" operator="containsText" text="LWOP UA">
      <formula>NOT(ISERROR(SEARCH("LWOP UA",K41)))</formula>
    </cfRule>
    <cfRule type="containsText" dxfId="10665" priority="2983" operator="containsText" text="P">
      <formula>NOT(ISERROR(SEARCH("P",K41)))</formula>
    </cfRule>
    <cfRule type="containsText" dxfId="10664" priority="2984" operator="containsText" text="TFO">
      <formula>NOT(ISERROR(SEARCH("TFO",K41)))</formula>
    </cfRule>
    <cfRule type="containsText" dxfId="10663" priority="2985" operator="containsText" text="AA">
      <formula>NOT(ISERROR(SEARCH("AA",K41)))</formula>
    </cfRule>
    <cfRule type="containsText" dxfId="10662" priority="2986" operator="containsText" text="RESIGNED">
      <formula>NOT(ISERROR(SEARCH("RESIGNED",K41)))</formula>
    </cfRule>
    <cfRule type="containsText" dxfId="10661" priority="2987" operator="containsText" text="P">
      <formula>NOT(ISERROR(SEARCH("P",K41)))</formula>
    </cfRule>
    <cfRule type="containsText" dxfId="10660" priority="2988" operator="containsText" text="TARDY">
      <formula>NOT(ISERROR(SEARCH("TARDY",K41)))</formula>
    </cfRule>
    <cfRule type="containsText" dxfId="10659" priority="2989" operator="containsText" text="REST DAY">
      <formula>NOT(ISERROR(SEARCH("REST DAY",K41)))</formula>
    </cfRule>
    <cfRule type="containsText" dxfId="10658" priority="2990" operator="containsText" text="UA">
      <formula>NOT(ISERROR(SEARCH("UA",K41)))</formula>
    </cfRule>
    <cfRule type="containsText" dxfId="10657" priority="2991" operator="containsText" text="LWOP UA">
      <formula>NOT(ISERROR(SEARCH("LWOP UA",K41)))</formula>
    </cfRule>
  </conditionalFormatting>
  <conditionalFormatting sqref="K42:Q42">
    <cfRule type="cellIs" dxfId="10656" priority="3261" operator="between">
      <formula>1</formula>
      <formula>400</formula>
    </cfRule>
    <cfRule type="containsText" dxfId="10655" priority="3262" operator="containsText" text="LWOP UA">
      <formula>NOT(ISERROR(SEARCH("LWOP UA",K42)))</formula>
    </cfRule>
    <cfRule type="containsText" dxfId="10654" priority="3263" operator="containsText" text="P">
      <formula>NOT(ISERROR(SEARCH("P",K42)))</formula>
    </cfRule>
    <cfRule type="containsText" dxfId="10653" priority="3264" operator="containsText" text="TFO">
      <formula>NOT(ISERROR(SEARCH("TFO",K42)))</formula>
    </cfRule>
    <cfRule type="containsText" dxfId="10652" priority="3265" operator="containsText" text="AA">
      <formula>NOT(ISERROR(SEARCH("AA",K42)))</formula>
    </cfRule>
    <cfRule type="containsText" dxfId="10651" priority="3266" operator="containsText" text="RESIGNED">
      <formula>NOT(ISERROR(SEARCH("RESIGNED",K42)))</formula>
    </cfRule>
    <cfRule type="containsText" dxfId="10650" priority="3267" operator="containsText" text="P">
      <formula>NOT(ISERROR(SEARCH("P",K42)))</formula>
    </cfRule>
    <cfRule type="containsText" dxfId="10649" priority="3268" operator="containsText" text="TARDY">
      <formula>NOT(ISERROR(SEARCH("TARDY",K42)))</formula>
    </cfRule>
    <cfRule type="containsText" dxfId="10648" priority="3269" operator="containsText" text="REST DAY">
      <formula>NOT(ISERROR(SEARCH("REST DAY",K42)))</formula>
    </cfRule>
    <cfRule type="containsText" dxfId="10647" priority="3270" operator="containsText" text="UA">
      <formula>NOT(ISERROR(SEARCH("UA",K42)))</formula>
    </cfRule>
    <cfRule type="containsText" dxfId="10646" priority="3271" operator="containsText" text="LWOP UA">
      <formula>NOT(ISERROR(SEARCH("LWOP UA",K42)))</formula>
    </cfRule>
  </conditionalFormatting>
  <conditionalFormatting sqref="K43:Q43">
    <cfRule type="cellIs" dxfId="10645" priority="3499" operator="between">
      <formula>1</formula>
      <formula>400</formula>
    </cfRule>
    <cfRule type="containsText" dxfId="10644" priority="3500" operator="containsText" text="LWOP UA">
      <formula>NOT(ISERROR(SEARCH("LWOP UA",K43)))</formula>
    </cfRule>
    <cfRule type="containsText" dxfId="10643" priority="3501" operator="containsText" text="P">
      <formula>NOT(ISERROR(SEARCH("P",K43)))</formula>
    </cfRule>
    <cfRule type="containsText" dxfId="10642" priority="3502" operator="containsText" text="TFO">
      <formula>NOT(ISERROR(SEARCH("TFO",K43)))</formula>
    </cfRule>
    <cfRule type="containsText" dxfId="10641" priority="3503" operator="containsText" text="AA">
      <formula>NOT(ISERROR(SEARCH("AA",K43)))</formula>
    </cfRule>
    <cfRule type="containsText" dxfId="10640" priority="3504" operator="containsText" text="RESIGNED">
      <formula>NOT(ISERROR(SEARCH("RESIGNED",K43)))</formula>
    </cfRule>
    <cfRule type="containsText" dxfId="10639" priority="3505" operator="containsText" text="P">
      <formula>NOT(ISERROR(SEARCH("P",K43)))</formula>
    </cfRule>
    <cfRule type="containsText" dxfId="10638" priority="3506" operator="containsText" text="TARDY">
      <formula>NOT(ISERROR(SEARCH("TARDY",K43)))</formula>
    </cfRule>
    <cfRule type="containsText" dxfId="10637" priority="3507" operator="containsText" text="REST DAY">
      <formula>NOT(ISERROR(SEARCH("REST DAY",K43)))</formula>
    </cfRule>
    <cfRule type="containsText" dxfId="10636" priority="3508" operator="containsText" text="UA">
      <formula>NOT(ISERROR(SEARCH("UA",K43)))</formula>
    </cfRule>
    <cfRule type="containsText" dxfId="10635" priority="3509" operator="containsText" text="LWOP UA">
      <formula>NOT(ISERROR(SEARCH("LWOP UA",K43)))</formula>
    </cfRule>
  </conditionalFormatting>
  <conditionalFormatting sqref="K44:Q44">
    <cfRule type="cellIs" dxfId="10634" priority="2804" operator="between">
      <formula>1</formula>
      <formula>400</formula>
    </cfRule>
    <cfRule type="containsText" dxfId="10633" priority="2805" operator="containsText" text="LWOP UA">
      <formula>NOT(ISERROR(SEARCH("LWOP UA",K44)))</formula>
    </cfRule>
    <cfRule type="containsText" dxfId="10632" priority="2806" operator="containsText" text="P">
      <formula>NOT(ISERROR(SEARCH("P",K44)))</formula>
    </cfRule>
    <cfRule type="containsText" dxfId="10631" priority="2807" operator="containsText" text="TFO">
      <formula>NOT(ISERROR(SEARCH("TFO",K44)))</formula>
    </cfRule>
    <cfRule type="containsText" dxfId="10630" priority="2808" operator="containsText" text="AA">
      <formula>NOT(ISERROR(SEARCH("AA",K44)))</formula>
    </cfRule>
    <cfRule type="containsText" dxfId="10629" priority="2809" operator="containsText" text="RESIGNED">
      <formula>NOT(ISERROR(SEARCH("RESIGNED",K44)))</formula>
    </cfRule>
    <cfRule type="containsText" dxfId="10628" priority="2810" operator="containsText" text="P">
      <formula>NOT(ISERROR(SEARCH("P",K44)))</formula>
    </cfRule>
    <cfRule type="containsText" dxfId="10627" priority="2811" operator="containsText" text="TARDY">
      <formula>NOT(ISERROR(SEARCH("TARDY",K44)))</formula>
    </cfRule>
    <cfRule type="containsText" dxfId="10626" priority="2812" operator="containsText" text="REST DAY">
      <formula>NOT(ISERROR(SEARCH("REST DAY",K44)))</formula>
    </cfRule>
    <cfRule type="containsText" dxfId="10625" priority="2813" operator="containsText" text="UA">
      <formula>NOT(ISERROR(SEARCH("UA",K44)))</formula>
    </cfRule>
    <cfRule type="containsText" dxfId="10624" priority="2814" operator="containsText" text="LWOP UA">
      <formula>NOT(ISERROR(SEARCH("LWOP UA",K44)))</formula>
    </cfRule>
  </conditionalFormatting>
  <conditionalFormatting sqref="K45:Q45">
    <cfRule type="cellIs" dxfId="10623" priority="2967" operator="between">
      <formula>1</formula>
      <formula>400</formula>
    </cfRule>
    <cfRule type="containsText" dxfId="10622" priority="2968" operator="containsText" text="LWOP UA">
      <formula>NOT(ISERROR(SEARCH("LWOP UA",K45)))</formula>
    </cfRule>
    <cfRule type="containsText" dxfId="10621" priority="2969" operator="containsText" text="P">
      <formula>NOT(ISERROR(SEARCH("P",K45)))</formula>
    </cfRule>
    <cfRule type="containsText" dxfId="10620" priority="2970" operator="containsText" text="TFO">
      <formula>NOT(ISERROR(SEARCH("TFO",K45)))</formula>
    </cfRule>
    <cfRule type="containsText" dxfId="10619" priority="2971" operator="containsText" text="AA">
      <formula>NOT(ISERROR(SEARCH("AA",K45)))</formula>
    </cfRule>
    <cfRule type="containsText" dxfId="10618" priority="2972" operator="containsText" text="RESIGNED">
      <formula>NOT(ISERROR(SEARCH("RESIGNED",K45)))</formula>
    </cfRule>
    <cfRule type="containsText" dxfId="10617" priority="2973" operator="containsText" text="P">
      <formula>NOT(ISERROR(SEARCH("P",K45)))</formula>
    </cfRule>
    <cfRule type="containsText" dxfId="10616" priority="2974" operator="containsText" text="TARDY">
      <formula>NOT(ISERROR(SEARCH("TARDY",K45)))</formula>
    </cfRule>
    <cfRule type="containsText" dxfId="10615" priority="2975" operator="containsText" text="REST DAY">
      <formula>NOT(ISERROR(SEARCH("REST DAY",K45)))</formula>
    </cfRule>
    <cfRule type="containsText" dxfId="10614" priority="2976" operator="containsText" text="UA">
      <formula>NOT(ISERROR(SEARCH("UA",K45)))</formula>
    </cfRule>
    <cfRule type="containsText" dxfId="10613" priority="2977" operator="containsText" text="LWOP UA">
      <formula>NOT(ISERROR(SEARCH("LWOP UA",K45)))</formula>
    </cfRule>
  </conditionalFormatting>
  <conditionalFormatting sqref="K46:Q46">
    <cfRule type="cellIs" dxfId="10612" priority="3639" operator="between">
      <formula>1</formula>
      <formula>400</formula>
    </cfRule>
    <cfRule type="containsText" dxfId="10611" priority="3640" operator="containsText" text="LWOP UA">
      <formula>NOT(ISERROR(SEARCH("LWOP UA",K46)))</formula>
    </cfRule>
    <cfRule type="containsText" dxfId="10610" priority="3641" operator="containsText" text="P">
      <formula>NOT(ISERROR(SEARCH("P",K46)))</formula>
    </cfRule>
    <cfRule type="containsText" dxfId="10609" priority="3642" operator="containsText" text="TFO">
      <formula>NOT(ISERROR(SEARCH("TFO",K46)))</formula>
    </cfRule>
    <cfRule type="containsText" dxfId="10608" priority="3643" operator="containsText" text="AA">
      <formula>NOT(ISERROR(SEARCH("AA",K46)))</formula>
    </cfRule>
    <cfRule type="containsText" dxfId="10607" priority="3644" operator="containsText" text="RESIGNED">
      <formula>NOT(ISERROR(SEARCH("RESIGNED",K46)))</formula>
    </cfRule>
    <cfRule type="containsText" dxfId="10606" priority="3645" operator="containsText" text="P">
      <formula>NOT(ISERROR(SEARCH("P",K46)))</formula>
    </cfRule>
    <cfRule type="containsText" dxfId="10605" priority="3646" operator="containsText" text="TARDY">
      <formula>NOT(ISERROR(SEARCH("TARDY",K46)))</formula>
    </cfRule>
    <cfRule type="containsText" dxfId="10604" priority="3647" operator="containsText" text="REST DAY">
      <formula>NOT(ISERROR(SEARCH("REST DAY",K46)))</formula>
    </cfRule>
    <cfRule type="containsText" dxfId="10603" priority="3648" operator="containsText" text="UA">
      <formula>NOT(ISERROR(SEARCH("UA",K46)))</formula>
    </cfRule>
    <cfRule type="containsText" dxfId="10602" priority="3649" operator="containsText" text="LWOP UA">
      <formula>NOT(ISERROR(SEARCH("LWOP UA",K46)))</formula>
    </cfRule>
  </conditionalFormatting>
  <conditionalFormatting sqref="K47:Q48">
    <cfRule type="cellIs" dxfId="10601" priority="3247" operator="between">
      <formula>1</formula>
      <formula>400</formula>
    </cfRule>
    <cfRule type="containsText" dxfId="10600" priority="3248" operator="containsText" text="LWOP UA">
      <formula>NOT(ISERROR(SEARCH("LWOP UA",K47)))</formula>
    </cfRule>
    <cfRule type="containsText" dxfId="10599" priority="3249" operator="containsText" text="P">
      <formula>NOT(ISERROR(SEARCH("P",K47)))</formula>
    </cfRule>
    <cfRule type="containsText" dxfId="10598" priority="3250" operator="containsText" text="TFO">
      <formula>NOT(ISERROR(SEARCH("TFO",K47)))</formula>
    </cfRule>
    <cfRule type="containsText" dxfId="10597" priority="3251" operator="containsText" text="AA">
      <formula>NOT(ISERROR(SEARCH("AA",K47)))</formula>
    </cfRule>
    <cfRule type="containsText" dxfId="10596" priority="3252" operator="containsText" text="RESIGNED">
      <formula>NOT(ISERROR(SEARCH("RESIGNED",K47)))</formula>
    </cfRule>
    <cfRule type="containsText" dxfId="10595" priority="3253" operator="containsText" text="P">
      <formula>NOT(ISERROR(SEARCH("P",K47)))</formula>
    </cfRule>
    <cfRule type="containsText" dxfId="10594" priority="3254" operator="containsText" text="TARDY">
      <formula>NOT(ISERROR(SEARCH("TARDY",K47)))</formula>
    </cfRule>
    <cfRule type="containsText" dxfId="10593" priority="3255" operator="containsText" text="REST DAY">
      <formula>NOT(ISERROR(SEARCH("REST DAY",K47)))</formula>
    </cfRule>
    <cfRule type="containsText" dxfId="10592" priority="3256" operator="containsText" text="UA">
      <formula>NOT(ISERROR(SEARCH("UA",K47)))</formula>
    </cfRule>
    <cfRule type="containsText" dxfId="10591" priority="3257" operator="containsText" text="LWOP UA">
      <formula>NOT(ISERROR(SEARCH("LWOP UA",K47)))</formula>
    </cfRule>
  </conditionalFormatting>
  <conditionalFormatting sqref="K49:Q49">
    <cfRule type="cellIs" dxfId="10590" priority="4327" operator="between">
      <formula>1</formula>
      <formula>400</formula>
    </cfRule>
    <cfRule type="containsText" dxfId="10589" priority="4328" operator="containsText" text="LWOP UA">
      <formula>NOT(ISERROR(SEARCH("LWOP UA",K49)))</formula>
    </cfRule>
    <cfRule type="containsText" dxfId="10588" priority="4329" operator="containsText" text="P">
      <formula>NOT(ISERROR(SEARCH("P",K49)))</formula>
    </cfRule>
    <cfRule type="containsText" dxfId="10587" priority="4330" operator="containsText" text="TFO">
      <formula>NOT(ISERROR(SEARCH("TFO",K49)))</formula>
    </cfRule>
    <cfRule type="containsText" dxfId="10586" priority="4331" operator="containsText" text="AA">
      <formula>NOT(ISERROR(SEARCH("AA",K49)))</formula>
    </cfRule>
    <cfRule type="containsText" dxfId="10585" priority="4332" operator="containsText" text="RESIGNED">
      <formula>NOT(ISERROR(SEARCH("RESIGNED",K49)))</formula>
    </cfRule>
    <cfRule type="containsText" dxfId="10584" priority="4333" operator="containsText" text="P">
      <formula>NOT(ISERROR(SEARCH("P",K49)))</formula>
    </cfRule>
    <cfRule type="containsText" dxfId="10583" priority="4334" operator="containsText" text="TARDY">
      <formula>NOT(ISERROR(SEARCH("TARDY",K49)))</formula>
    </cfRule>
    <cfRule type="containsText" dxfId="10582" priority="4335" operator="containsText" text="REST DAY">
      <formula>NOT(ISERROR(SEARCH("REST DAY",K49)))</formula>
    </cfRule>
    <cfRule type="containsText" dxfId="10581" priority="4336" operator="containsText" text="UA">
      <formula>NOT(ISERROR(SEARCH("UA",K49)))</formula>
    </cfRule>
    <cfRule type="containsText" dxfId="10580" priority="4337" operator="containsText" text="LWOP UA">
      <formula>NOT(ISERROR(SEARCH("LWOP UA",K49)))</formula>
    </cfRule>
  </conditionalFormatting>
  <conditionalFormatting sqref="K50:Q50">
    <cfRule type="containsText" dxfId="10579" priority="2951" operator="containsText" text="RD">
      <formula>NOT(ISERROR(SEARCH("RD",K50)))</formula>
    </cfRule>
    <cfRule type="containsText" dxfId="10578" priority="2952" operator="containsText" text="540">
      <formula>NOT(ISERROR(SEARCH("540",K50)))</formula>
    </cfRule>
    <cfRule type="cellIs" dxfId="10577" priority="2953" operator="between">
      <formula>1</formula>
      <formula>400</formula>
    </cfRule>
    <cfRule type="containsText" dxfId="10576" priority="2954" operator="containsText" text="LWOP UA">
      <formula>NOT(ISERROR(SEARCH("LWOP UA",K50)))</formula>
    </cfRule>
    <cfRule type="containsText" dxfId="10575" priority="2955" operator="containsText" text="P">
      <formula>NOT(ISERROR(SEARCH("P",K50)))</formula>
    </cfRule>
    <cfRule type="containsText" dxfId="10574" priority="2956" operator="containsText" text="TFO">
      <formula>NOT(ISERROR(SEARCH("TFO",K50)))</formula>
    </cfRule>
    <cfRule type="containsText" dxfId="10573" priority="2957" operator="containsText" text="AA">
      <formula>NOT(ISERROR(SEARCH("AA",K50)))</formula>
    </cfRule>
    <cfRule type="containsText" dxfId="10572" priority="2958" operator="containsText" text="RESIGNED">
      <formula>NOT(ISERROR(SEARCH("RESIGNED",K50)))</formula>
    </cfRule>
    <cfRule type="containsText" dxfId="10571" priority="2959" operator="containsText" text="P">
      <formula>NOT(ISERROR(SEARCH("P",K50)))</formula>
    </cfRule>
    <cfRule type="containsText" dxfId="10570" priority="2960" operator="containsText" text="TARDY">
      <formula>NOT(ISERROR(SEARCH("TARDY",K50)))</formula>
    </cfRule>
    <cfRule type="containsText" dxfId="10569" priority="2961" operator="containsText" text="REST DAY">
      <formula>NOT(ISERROR(SEARCH("REST DAY",K50)))</formula>
    </cfRule>
    <cfRule type="containsText" dxfId="10568" priority="2962" operator="containsText" text="UA">
      <formula>NOT(ISERROR(SEARCH("UA",K50)))</formula>
    </cfRule>
    <cfRule type="containsText" dxfId="10567" priority="2963" operator="containsText" text="LWOP UA">
      <formula>NOT(ISERROR(SEARCH("LWOP UA",K50)))</formula>
    </cfRule>
  </conditionalFormatting>
  <conditionalFormatting sqref="K50:Q58">
    <cfRule type="containsText" dxfId="10566" priority="2773" operator="containsText" text="VL">
      <formula>NOT(ISERROR(SEARCH("VL",K50)))</formula>
    </cfRule>
  </conditionalFormatting>
  <conditionalFormatting sqref="K52:Q52">
    <cfRule type="cellIs" dxfId="10565" priority="2790" operator="between">
      <formula>1</formula>
      <formula>400</formula>
    </cfRule>
    <cfRule type="containsText" dxfId="10564" priority="2791" operator="containsText" text="LWOP UA">
      <formula>NOT(ISERROR(SEARCH("LWOP UA",K52)))</formula>
    </cfRule>
    <cfRule type="containsText" dxfId="10563" priority="2792" operator="containsText" text="P">
      <formula>NOT(ISERROR(SEARCH("P",K52)))</formula>
    </cfRule>
    <cfRule type="containsText" dxfId="10562" priority="2793" operator="containsText" text="TFO">
      <formula>NOT(ISERROR(SEARCH("TFO",K52)))</formula>
    </cfRule>
    <cfRule type="containsText" dxfId="10561" priority="2794" operator="containsText" text="AA">
      <formula>NOT(ISERROR(SEARCH("AA",K52)))</formula>
    </cfRule>
    <cfRule type="containsText" dxfId="10560" priority="2795" operator="containsText" text="RESIGNED">
      <formula>NOT(ISERROR(SEARCH("RESIGNED",K52)))</formula>
    </cfRule>
    <cfRule type="containsText" dxfId="10559" priority="2796" operator="containsText" text="P">
      <formula>NOT(ISERROR(SEARCH("P",K52)))</formula>
    </cfRule>
    <cfRule type="containsText" dxfId="10558" priority="2797" operator="containsText" text="TARDY">
      <formula>NOT(ISERROR(SEARCH("TARDY",K52)))</formula>
    </cfRule>
    <cfRule type="containsText" dxfId="10557" priority="2798" operator="containsText" text="REST DAY">
      <formula>NOT(ISERROR(SEARCH("REST DAY",K52)))</formula>
    </cfRule>
    <cfRule type="containsText" dxfId="10556" priority="2799" operator="containsText" text="UA">
      <formula>NOT(ISERROR(SEARCH("UA",K52)))</formula>
    </cfRule>
    <cfRule type="containsText" dxfId="10555" priority="2800" operator="containsText" text="LWOP UA">
      <formula>NOT(ISERROR(SEARCH("LWOP UA",K52)))</formula>
    </cfRule>
  </conditionalFormatting>
  <conditionalFormatting sqref="K52:Q58">
    <cfRule type="containsText" dxfId="10554" priority="2774" operator="containsText" text="RD">
      <formula>NOT(ISERROR(SEARCH("RD",K52)))</formula>
    </cfRule>
    <cfRule type="containsText" dxfId="10553" priority="2775" operator="containsText" text="540">
      <formula>NOT(ISERROR(SEARCH("540",K52)))</formula>
    </cfRule>
  </conditionalFormatting>
  <conditionalFormatting sqref="K53:Q53">
    <cfRule type="cellIs" dxfId="10552" priority="3233" operator="between">
      <formula>1</formula>
      <formula>400</formula>
    </cfRule>
    <cfRule type="containsText" dxfId="10551" priority="3234" operator="containsText" text="LWOP UA">
      <formula>NOT(ISERROR(SEARCH("LWOP UA",K53)))</formula>
    </cfRule>
    <cfRule type="containsText" dxfId="10550" priority="3235" operator="containsText" text="P">
      <formula>NOT(ISERROR(SEARCH("P",K53)))</formula>
    </cfRule>
    <cfRule type="containsText" dxfId="10549" priority="3236" operator="containsText" text="TFO">
      <formula>NOT(ISERROR(SEARCH("TFO",K53)))</formula>
    </cfRule>
    <cfRule type="containsText" dxfId="10548" priority="3237" operator="containsText" text="AA">
      <formula>NOT(ISERROR(SEARCH("AA",K53)))</formula>
    </cfRule>
    <cfRule type="containsText" dxfId="10547" priority="3238" operator="containsText" text="RESIGNED">
      <formula>NOT(ISERROR(SEARCH("RESIGNED",K53)))</formula>
    </cfRule>
    <cfRule type="containsText" dxfId="10546" priority="3239" operator="containsText" text="P">
      <formula>NOT(ISERROR(SEARCH("P",K53)))</formula>
    </cfRule>
    <cfRule type="containsText" dxfId="10545" priority="3240" operator="containsText" text="TARDY">
      <formula>NOT(ISERROR(SEARCH("TARDY",K53)))</formula>
    </cfRule>
    <cfRule type="containsText" dxfId="10544" priority="3241" operator="containsText" text="REST DAY">
      <formula>NOT(ISERROR(SEARCH("REST DAY",K53)))</formula>
    </cfRule>
    <cfRule type="containsText" dxfId="10543" priority="3242" operator="containsText" text="UA">
      <formula>NOT(ISERROR(SEARCH("UA",K53)))</formula>
    </cfRule>
    <cfRule type="containsText" dxfId="10542" priority="3243" operator="containsText" text="LWOP UA">
      <formula>NOT(ISERROR(SEARCH("LWOP UA",K53)))</formula>
    </cfRule>
  </conditionalFormatting>
  <conditionalFormatting sqref="K54:Q54">
    <cfRule type="cellIs" dxfId="10541" priority="2939" operator="between">
      <formula>1</formula>
      <formula>400</formula>
    </cfRule>
    <cfRule type="containsText" dxfId="10540" priority="2940" operator="containsText" text="LWOP UA">
      <formula>NOT(ISERROR(SEARCH("LWOP UA",K54)))</formula>
    </cfRule>
    <cfRule type="containsText" dxfId="10539" priority="2941" operator="containsText" text="P">
      <formula>NOT(ISERROR(SEARCH("P",K54)))</formula>
    </cfRule>
    <cfRule type="containsText" dxfId="10538" priority="2942" operator="containsText" text="TFO">
      <formula>NOT(ISERROR(SEARCH("TFO",K54)))</formula>
    </cfRule>
    <cfRule type="containsText" dxfId="10537" priority="2943" operator="containsText" text="AA">
      <formula>NOT(ISERROR(SEARCH("AA",K54)))</formula>
    </cfRule>
    <cfRule type="containsText" dxfId="10536" priority="2944" operator="containsText" text="RESIGNED">
      <formula>NOT(ISERROR(SEARCH("RESIGNED",K54)))</formula>
    </cfRule>
    <cfRule type="containsText" dxfId="10535" priority="2945" operator="containsText" text="P">
      <formula>NOT(ISERROR(SEARCH("P",K54)))</formula>
    </cfRule>
    <cfRule type="containsText" dxfId="10534" priority="2946" operator="containsText" text="TARDY">
      <formula>NOT(ISERROR(SEARCH("TARDY",K54)))</formula>
    </cfRule>
    <cfRule type="containsText" dxfId="10533" priority="2947" operator="containsText" text="REST DAY">
      <formula>NOT(ISERROR(SEARCH("REST DAY",K54)))</formula>
    </cfRule>
    <cfRule type="containsText" dxfId="10532" priority="2948" operator="containsText" text="UA">
      <formula>NOT(ISERROR(SEARCH("UA",K54)))</formula>
    </cfRule>
    <cfRule type="containsText" dxfId="10531" priority="2949" operator="containsText" text="LWOP UA">
      <formula>NOT(ISERROR(SEARCH("LWOP UA",K54)))</formula>
    </cfRule>
  </conditionalFormatting>
  <conditionalFormatting sqref="K55:Q55">
    <cfRule type="cellIs" dxfId="10530" priority="3625" operator="between">
      <formula>1</formula>
      <formula>400</formula>
    </cfRule>
    <cfRule type="containsText" dxfId="10529" priority="3626" operator="containsText" text="LWOP UA">
      <formula>NOT(ISERROR(SEARCH("LWOP UA",K55)))</formula>
    </cfRule>
    <cfRule type="containsText" dxfId="10528" priority="3627" operator="containsText" text="P">
      <formula>NOT(ISERROR(SEARCH("P",K55)))</formula>
    </cfRule>
    <cfRule type="containsText" dxfId="10527" priority="3628" operator="containsText" text="TFO">
      <formula>NOT(ISERROR(SEARCH("TFO",K55)))</formula>
    </cfRule>
    <cfRule type="containsText" dxfId="10526" priority="3629" operator="containsText" text="AA">
      <formula>NOT(ISERROR(SEARCH("AA",K55)))</formula>
    </cfRule>
    <cfRule type="containsText" dxfId="10525" priority="3630" operator="containsText" text="RESIGNED">
      <formula>NOT(ISERROR(SEARCH("RESIGNED",K55)))</formula>
    </cfRule>
    <cfRule type="containsText" dxfId="10524" priority="3631" operator="containsText" text="P">
      <formula>NOT(ISERROR(SEARCH("P",K55)))</formula>
    </cfRule>
    <cfRule type="containsText" dxfId="10523" priority="3632" operator="containsText" text="TARDY">
      <formula>NOT(ISERROR(SEARCH("TARDY",K55)))</formula>
    </cfRule>
    <cfRule type="containsText" dxfId="10522" priority="3633" operator="containsText" text="REST DAY">
      <formula>NOT(ISERROR(SEARCH("REST DAY",K55)))</formula>
    </cfRule>
    <cfRule type="containsText" dxfId="10521" priority="3634" operator="containsText" text="UA">
      <formula>NOT(ISERROR(SEARCH("UA",K55)))</formula>
    </cfRule>
    <cfRule type="containsText" dxfId="10520" priority="3635" operator="containsText" text="LWOP UA">
      <formula>NOT(ISERROR(SEARCH("LWOP UA",K55)))</formula>
    </cfRule>
  </conditionalFormatting>
  <conditionalFormatting sqref="K56:Q56">
    <cfRule type="cellIs" dxfId="10519" priority="3219" operator="between">
      <formula>1</formula>
      <formula>400</formula>
    </cfRule>
    <cfRule type="containsText" dxfId="10518" priority="3220" operator="containsText" text="LWOP UA">
      <formula>NOT(ISERROR(SEARCH("LWOP UA",K56)))</formula>
    </cfRule>
    <cfRule type="containsText" dxfId="10517" priority="3221" operator="containsText" text="P">
      <formula>NOT(ISERROR(SEARCH("P",K56)))</formula>
    </cfRule>
    <cfRule type="containsText" dxfId="10516" priority="3222" operator="containsText" text="TFO">
      <formula>NOT(ISERROR(SEARCH("TFO",K56)))</formula>
    </cfRule>
    <cfRule type="containsText" dxfId="10515" priority="3223" operator="containsText" text="AA">
      <formula>NOT(ISERROR(SEARCH("AA",K56)))</formula>
    </cfRule>
    <cfRule type="containsText" dxfId="10514" priority="3224" operator="containsText" text="RESIGNED">
      <formula>NOT(ISERROR(SEARCH("RESIGNED",K56)))</formula>
    </cfRule>
    <cfRule type="containsText" dxfId="10513" priority="3225" operator="containsText" text="P">
      <formula>NOT(ISERROR(SEARCH("P",K56)))</formula>
    </cfRule>
    <cfRule type="containsText" dxfId="10512" priority="3226" operator="containsText" text="TARDY">
      <formula>NOT(ISERROR(SEARCH("TARDY",K56)))</formula>
    </cfRule>
    <cfRule type="containsText" dxfId="10511" priority="3227" operator="containsText" text="REST DAY">
      <formula>NOT(ISERROR(SEARCH("REST DAY",K56)))</formula>
    </cfRule>
    <cfRule type="containsText" dxfId="10510" priority="3228" operator="containsText" text="UA">
      <formula>NOT(ISERROR(SEARCH("UA",K56)))</formula>
    </cfRule>
    <cfRule type="containsText" dxfId="10509" priority="3229" operator="containsText" text="LWOP UA">
      <formula>NOT(ISERROR(SEARCH("LWOP UA",K56)))</formula>
    </cfRule>
  </conditionalFormatting>
  <conditionalFormatting sqref="K57:Q57">
    <cfRule type="cellIs" dxfId="10508" priority="2776" operator="between">
      <formula>1</formula>
      <formula>400</formula>
    </cfRule>
    <cfRule type="containsText" dxfId="10507" priority="2777" operator="containsText" text="LWOP UA">
      <formula>NOT(ISERROR(SEARCH("LWOP UA",K57)))</formula>
    </cfRule>
    <cfRule type="containsText" dxfId="10506" priority="2778" operator="containsText" text="P">
      <formula>NOT(ISERROR(SEARCH("P",K57)))</formula>
    </cfRule>
    <cfRule type="containsText" dxfId="10505" priority="2779" operator="containsText" text="TFO">
      <formula>NOT(ISERROR(SEARCH("TFO",K57)))</formula>
    </cfRule>
    <cfRule type="containsText" dxfId="10504" priority="2780" operator="containsText" text="AA">
      <formula>NOT(ISERROR(SEARCH("AA",K57)))</formula>
    </cfRule>
    <cfRule type="containsText" dxfId="10503" priority="2781" operator="containsText" text="RESIGNED">
      <formula>NOT(ISERROR(SEARCH("RESIGNED",K57)))</formula>
    </cfRule>
    <cfRule type="containsText" dxfId="10502" priority="2782" operator="containsText" text="P">
      <formula>NOT(ISERROR(SEARCH("P",K57)))</formula>
    </cfRule>
    <cfRule type="containsText" dxfId="10501" priority="2783" operator="containsText" text="TARDY">
      <formula>NOT(ISERROR(SEARCH("TARDY",K57)))</formula>
    </cfRule>
    <cfRule type="containsText" dxfId="10500" priority="2784" operator="containsText" text="REST DAY">
      <formula>NOT(ISERROR(SEARCH("REST DAY",K57)))</formula>
    </cfRule>
    <cfRule type="containsText" dxfId="10499" priority="2785" operator="containsText" text="UA">
      <formula>NOT(ISERROR(SEARCH("UA",K57)))</formula>
    </cfRule>
    <cfRule type="containsText" dxfId="10498" priority="2786" operator="containsText" text="LWOP UA">
      <formula>NOT(ISERROR(SEARCH("LWOP UA",K57)))</formula>
    </cfRule>
  </conditionalFormatting>
  <conditionalFormatting sqref="K58:Q58">
    <cfRule type="cellIs" dxfId="10497" priority="3205" operator="between">
      <formula>1</formula>
      <formula>400</formula>
    </cfRule>
    <cfRule type="containsText" dxfId="10496" priority="3206" operator="containsText" text="LWOP UA">
      <formula>NOT(ISERROR(SEARCH("LWOP UA",K58)))</formula>
    </cfRule>
    <cfRule type="containsText" dxfId="10495" priority="3207" operator="containsText" text="P">
      <formula>NOT(ISERROR(SEARCH("P",K58)))</formula>
    </cfRule>
    <cfRule type="containsText" dxfId="10494" priority="3208" operator="containsText" text="TFO">
      <formula>NOT(ISERROR(SEARCH("TFO",K58)))</formula>
    </cfRule>
    <cfRule type="containsText" dxfId="10493" priority="3209" operator="containsText" text="AA">
      <formula>NOT(ISERROR(SEARCH("AA",K58)))</formula>
    </cfRule>
    <cfRule type="containsText" dxfId="10492" priority="3210" operator="containsText" text="RESIGNED">
      <formula>NOT(ISERROR(SEARCH("RESIGNED",K58)))</formula>
    </cfRule>
    <cfRule type="containsText" dxfId="10491" priority="3211" operator="containsText" text="P">
      <formula>NOT(ISERROR(SEARCH("P",K58)))</formula>
    </cfRule>
    <cfRule type="containsText" dxfId="10490" priority="3212" operator="containsText" text="TARDY">
      <formula>NOT(ISERROR(SEARCH("TARDY",K58)))</formula>
    </cfRule>
    <cfRule type="containsText" dxfId="10489" priority="3213" operator="containsText" text="REST DAY">
      <formula>NOT(ISERROR(SEARCH("REST DAY",K58)))</formula>
    </cfRule>
    <cfRule type="containsText" dxfId="10488" priority="3214" operator="containsText" text="UA">
      <formula>NOT(ISERROR(SEARCH("UA",K58)))</formula>
    </cfRule>
    <cfRule type="containsText" dxfId="10487" priority="3215" operator="containsText" text="LWOP UA">
      <formula>NOT(ISERROR(SEARCH("LWOP UA",K58)))</formula>
    </cfRule>
  </conditionalFormatting>
  <conditionalFormatting sqref="K59:Q59">
    <cfRule type="cellIs" dxfId="10486" priority="4313" operator="between">
      <formula>1</formula>
      <formula>400</formula>
    </cfRule>
    <cfRule type="containsText" dxfId="10485" priority="4314" operator="containsText" text="LWOP UA">
      <formula>NOT(ISERROR(SEARCH("LWOP UA",K59)))</formula>
    </cfRule>
    <cfRule type="containsText" dxfId="10484" priority="4315" operator="containsText" text="P">
      <formula>NOT(ISERROR(SEARCH("P",K59)))</formula>
    </cfRule>
    <cfRule type="containsText" dxfId="10483" priority="4316" operator="containsText" text="TFO">
      <formula>NOT(ISERROR(SEARCH("TFO",K59)))</formula>
    </cfRule>
    <cfRule type="containsText" dxfId="10482" priority="4317" operator="containsText" text="AA">
      <formula>NOT(ISERROR(SEARCH("AA",K59)))</formula>
    </cfRule>
    <cfRule type="containsText" dxfId="10481" priority="4318" operator="containsText" text="RESIGNED">
      <formula>NOT(ISERROR(SEARCH("RESIGNED",K59)))</formula>
    </cfRule>
    <cfRule type="containsText" dxfId="10480" priority="4319" operator="containsText" text="P">
      <formula>NOT(ISERROR(SEARCH("P",K59)))</formula>
    </cfRule>
    <cfRule type="containsText" dxfId="10479" priority="4320" operator="containsText" text="TARDY">
      <formula>NOT(ISERROR(SEARCH("TARDY",K59)))</formula>
    </cfRule>
    <cfRule type="containsText" dxfId="10478" priority="4321" operator="containsText" text="REST DAY">
      <formula>NOT(ISERROR(SEARCH("REST DAY",K59)))</formula>
    </cfRule>
    <cfRule type="containsText" dxfId="10477" priority="4322" operator="containsText" text="UA">
      <formula>NOT(ISERROR(SEARCH("UA",K59)))</formula>
    </cfRule>
    <cfRule type="containsText" dxfId="10476" priority="4323" operator="containsText" text="LWOP UA">
      <formula>NOT(ISERROR(SEARCH("LWOP UA",K59)))</formula>
    </cfRule>
  </conditionalFormatting>
  <conditionalFormatting sqref="K60:Q60">
    <cfRule type="cellIs" dxfId="10475" priority="3485" operator="between">
      <formula>1</formula>
      <formula>400</formula>
    </cfRule>
    <cfRule type="containsText" dxfId="10474" priority="3486" operator="containsText" text="LWOP UA">
      <formula>NOT(ISERROR(SEARCH("LWOP UA",K60)))</formula>
    </cfRule>
    <cfRule type="containsText" dxfId="10473" priority="3487" operator="containsText" text="P">
      <formula>NOT(ISERROR(SEARCH("P",K60)))</formula>
    </cfRule>
    <cfRule type="containsText" dxfId="10472" priority="3488" operator="containsText" text="TFO">
      <formula>NOT(ISERROR(SEARCH("TFO",K60)))</formula>
    </cfRule>
    <cfRule type="containsText" dxfId="10471" priority="3489" operator="containsText" text="AA">
      <formula>NOT(ISERROR(SEARCH("AA",K60)))</formula>
    </cfRule>
    <cfRule type="containsText" dxfId="10470" priority="3490" operator="containsText" text="RESIGNED">
      <formula>NOT(ISERROR(SEARCH("RESIGNED",K60)))</formula>
    </cfRule>
    <cfRule type="containsText" dxfId="10469" priority="3491" operator="containsText" text="P">
      <formula>NOT(ISERROR(SEARCH("P",K60)))</formula>
    </cfRule>
    <cfRule type="containsText" dxfId="10468" priority="3492" operator="containsText" text="TARDY">
      <formula>NOT(ISERROR(SEARCH("TARDY",K60)))</formula>
    </cfRule>
    <cfRule type="containsText" dxfId="10467" priority="3493" operator="containsText" text="REST DAY">
      <formula>NOT(ISERROR(SEARCH("REST DAY",K60)))</formula>
    </cfRule>
    <cfRule type="containsText" dxfId="10466" priority="3494" operator="containsText" text="UA">
      <formula>NOT(ISERROR(SEARCH("UA",K60)))</formula>
    </cfRule>
    <cfRule type="containsText" dxfId="10465" priority="3495" operator="containsText" text="LWOP UA">
      <formula>NOT(ISERROR(SEARCH("LWOP UA",K60)))</formula>
    </cfRule>
  </conditionalFormatting>
  <conditionalFormatting sqref="K60:Q67">
    <cfRule type="containsText" dxfId="10464" priority="2759" operator="containsText" text="VL">
      <formula>NOT(ISERROR(SEARCH("VL",K60)))</formula>
    </cfRule>
    <cfRule type="containsText" dxfId="10463" priority="2760" operator="containsText" text="RD">
      <formula>NOT(ISERROR(SEARCH("RD",K60)))</formula>
    </cfRule>
    <cfRule type="containsText" dxfId="10462" priority="2761" operator="containsText" text="540">
      <formula>NOT(ISERROR(SEARCH("540",K60)))</formula>
    </cfRule>
  </conditionalFormatting>
  <conditionalFormatting sqref="K61:Q61">
    <cfRule type="cellIs" dxfId="10461" priority="3471" operator="between">
      <formula>1</formula>
      <formula>400</formula>
    </cfRule>
    <cfRule type="containsText" dxfId="10460" priority="3472" operator="containsText" text="LWOP UA">
      <formula>NOT(ISERROR(SEARCH("LWOP UA",K61)))</formula>
    </cfRule>
    <cfRule type="containsText" dxfId="10459" priority="3473" operator="containsText" text="P">
      <formula>NOT(ISERROR(SEARCH("P",K61)))</formula>
    </cfRule>
    <cfRule type="containsText" dxfId="10458" priority="3474" operator="containsText" text="TFO">
      <formula>NOT(ISERROR(SEARCH("TFO",K61)))</formula>
    </cfRule>
    <cfRule type="containsText" dxfId="10457" priority="3475" operator="containsText" text="AA">
      <formula>NOT(ISERROR(SEARCH("AA",K61)))</formula>
    </cfRule>
    <cfRule type="containsText" dxfId="10456" priority="3476" operator="containsText" text="RESIGNED">
      <formula>NOT(ISERROR(SEARCH("RESIGNED",K61)))</formula>
    </cfRule>
    <cfRule type="containsText" dxfId="10455" priority="3477" operator="containsText" text="P">
      <formula>NOT(ISERROR(SEARCH("P",K61)))</formula>
    </cfRule>
    <cfRule type="containsText" dxfId="10454" priority="3478" operator="containsText" text="TARDY">
      <formula>NOT(ISERROR(SEARCH("TARDY",K61)))</formula>
    </cfRule>
    <cfRule type="containsText" dxfId="10453" priority="3479" operator="containsText" text="REST DAY">
      <formula>NOT(ISERROR(SEARCH("REST DAY",K61)))</formula>
    </cfRule>
    <cfRule type="containsText" dxfId="10452" priority="3480" operator="containsText" text="UA">
      <formula>NOT(ISERROR(SEARCH("UA",K61)))</formula>
    </cfRule>
    <cfRule type="containsText" dxfId="10451" priority="3481" operator="containsText" text="LWOP UA">
      <formula>NOT(ISERROR(SEARCH("LWOP UA",K61)))</formula>
    </cfRule>
  </conditionalFormatting>
  <conditionalFormatting sqref="K62:Q62">
    <cfRule type="cellIs" dxfId="10450" priority="3191" operator="between">
      <formula>1</formula>
      <formula>400</formula>
    </cfRule>
    <cfRule type="containsText" dxfId="10449" priority="3192" operator="containsText" text="LWOP UA">
      <formula>NOT(ISERROR(SEARCH("LWOP UA",K62)))</formula>
    </cfRule>
    <cfRule type="containsText" dxfId="10448" priority="3193" operator="containsText" text="P">
      <formula>NOT(ISERROR(SEARCH("P",K62)))</formula>
    </cfRule>
    <cfRule type="containsText" dxfId="10447" priority="3194" operator="containsText" text="TFO">
      <formula>NOT(ISERROR(SEARCH("TFO",K62)))</formula>
    </cfRule>
    <cfRule type="containsText" dxfId="10446" priority="3195" operator="containsText" text="AA">
      <formula>NOT(ISERROR(SEARCH("AA",K62)))</formula>
    </cfRule>
    <cfRule type="containsText" dxfId="10445" priority="3196" operator="containsText" text="RESIGNED">
      <formula>NOT(ISERROR(SEARCH("RESIGNED",K62)))</formula>
    </cfRule>
    <cfRule type="containsText" dxfId="10444" priority="3197" operator="containsText" text="P">
      <formula>NOT(ISERROR(SEARCH("P",K62)))</formula>
    </cfRule>
    <cfRule type="containsText" dxfId="10443" priority="3198" operator="containsText" text="TARDY">
      <formula>NOT(ISERROR(SEARCH("TARDY",K62)))</formula>
    </cfRule>
    <cfRule type="containsText" dxfId="10442" priority="3199" operator="containsText" text="REST DAY">
      <formula>NOT(ISERROR(SEARCH("REST DAY",K62)))</formula>
    </cfRule>
    <cfRule type="containsText" dxfId="10441" priority="3200" operator="containsText" text="UA">
      <formula>NOT(ISERROR(SEARCH("UA",K62)))</formula>
    </cfRule>
    <cfRule type="containsText" dxfId="10440" priority="3201" operator="containsText" text="LWOP UA">
      <formula>NOT(ISERROR(SEARCH("LWOP UA",K62)))</formula>
    </cfRule>
  </conditionalFormatting>
  <conditionalFormatting sqref="K63:Q63">
    <cfRule type="cellIs" dxfId="10439" priority="2925" operator="between">
      <formula>1</formula>
      <formula>400</formula>
    </cfRule>
    <cfRule type="containsText" dxfId="10438" priority="2926" operator="containsText" text="LWOP UA">
      <formula>NOT(ISERROR(SEARCH("LWOP UA",K63)))</formula>
    </cfRule>
    <cfRule type="containsText" dxfId="10437" priority="2927" operator="containsText" text="P">
      <formula>NOT(ISERROR(SEARCH("P",K63)))</formula>
    </cfRule>
    <cfRule type="containsText" dxfId="10436" priority="2928" operator="containsText" text="TFO">
      <formula>NOT(ISERROR(SEARCH("TFO",K63)))</formula>
    </cfRule>
    <cfRule type="containsText" dxfId="10435" priority="2929" operator="containsText" text="AA">
      <formula>NOT(ISERROR(SEARCH("AA",K63)))</formula>
    </cfRule>
    <cfRule type="containsText" dxfId="10434" priority="2930" operator="containsText" text="RESIGNED">
      <formula>NOT(ISERROR(SEARCH("RESIGNED",K63)))</formula>
    </cfRule>
    <cfRule type="containsText" dxfId="10433" priority="2931" operator="containsText" text="P">
      <formula>NOT(ISERROR(SEARCH("P",K63)))</formula>
    </cfRule>
    <cfRule type="containsText" dxfId="10432" priority="2932" operator="containsText" text="TARDY">
      <formula>NOT(ISERROR(SEARCH("TARDY",K63)))</formula>
    </cfRule>
    <cfRule type="containsText" dxfId="10431" priority="2933" operator="containsText" text="REST DAY">
      <formula>NOT(ISERROR(SEARCH("REST DAY",K63)))</formula>
    </cfRule>
    <cfRule type="containsText" dxfId="10430" priority="2934" operator="containsText" text="UA">
      <formula>NOT(ISERROR(SEARCH("UA",K63)))</formula>
    </cfRule>
    <cfRule type="containsText" dxfId="10429" priority="2935" operator="containsText" text="LWOP UA">
      <formula>NOT(ISERROR(SEARCH("LWOP UA",K63)))</formula>
    </cfRule>
  </conditionalFormatting>
  <conditionalFormatting sqref="K64:Q64">
    <cfRule type="cellIs" dxfId="10428" priority="2911" operator="between">
      <formula>1</formula>
      <formula>400</formula>
    </cfRule>
    <cfRule type="containsText" dxfId="10427" priority="2912" operator="containsText" text="LWOP UA">
      <formula>NOT(ISERROR(SEARCH("LWOP UA",K64)))</formula>
    </cfRule>
    <cfRule type="containsText" dxfId="10426" priority="2913" operator="containsText" text="P">
      <formula>NOT(ISERROR(SEARCH("P",K64)))</formula>
    </cfRule>
    <cfRule type="containsText" dxfId="10425" priority="2914" operator="containsText" text="TFO">
      <formula>NOT(ISERROR(SEARCH("TFO",K64)))</formula>
    </cfRule>
    <cfRule type="containsText" dxfId="10424" priority="2915" operator="containsText" text="AA">
      <formula>NOT(ISERROR(SEARCH("AA",K64)))</formula>
    </cfRule>
    <cfRule type="containsText" dxfId="10423" priority="2916" operator="containsText" text="RESIGNED">
      <formula>NOT(ISERROR(SEARCH("RESIGNED",K64)))</formula>
    </cfRule>
    <cfRule type="containsText" dxfId="10422" priority="2917" operator="containsText" text="P">
      <formula>NOT(ISERROR(SEARCH("P",K64)))</formula>
    </cfRule>
    <cfRule type="containsText" dxfId="10421" priority="2918" operator="containsText" text="TARDY">
      <formula>NOT(ISERROR(SEARCH("TARDY",K64)))</formula>
    </cfRule>
    <cfRule type="containsText" dxfId="10420" priority="2919" operator="containsText" text="REST DAY">
      <formula>NOT(ISERROR(SEARCH("REST DAY",K64)))</formula>
    </cfRule>
    <cfRule type="containsText" dxfId="10419" priority="2920" operator="containsText" text="UA">
      <formula>NOT(ISERROR(SEARCH("UA",K64)))</formula>
    </cfRule>
    <cfRule type="containsText" dxfId="10418" priority="2921" operator="containsText" text="LWOP UA">
      <formula>NOT(ISERROR(SEARCH("LWOP UA",K64)))</formula>
    </cfRule>
  </conditionalFormatting>
  <conditionalFormatting sqref="K65:Q65">
    <cfRule type="cellIs" dxfId="10417" priority="3177" operator="between">
      <formula>1</formula>
      <formula>400</formula>
    </cfRule>
    <cfRule type="containsText" dxfId="10416" priority="3178" operator="containsText" text="LWOP UA">
      <formula>NOT(ISERROR(SEARCH("LWOP UA",K65)))</formula>
    </cfRule>
    <cfRule type="containsText" dxfId="10415" priority="3179" operator="containsText" text="P">
      <formula>NOT(ISERROR(SEARCH("P",K65)))</formula>
    </cfRule>
    <cfRule type="containsText" dxfId="10414" priority="3180" operator="containsText" text="TFO">
      <formula>NOT(ISERROR(SEARCH("TFO",K65)))</formula>
    </cfRule>
    <cfRule type="containsText" dxfId="10413" priority="3181" operator="containsText" text="AA">
      <formula>NOT(ISERROR(SEARCH("AA",K65)))</formula>
    </cfRule>
    <cfRule type="containsText" dxfId="10412" priority="3182" operator="containsText" text="RESIGNED">
      <formula>NOT(ISERROR(SEARCH("RESIGNED",K65)))</formula>
    </cfRule>
    <cfRule type="containsText" dxfId="10411" priority="3183" operator="containsText" text="P">
      <formula>NOT(ISERROR(SEARCH("P",K65)))</formula>
    </cfRule>
    <cfRule type="containsText" dxfId="10410" priority="3184" operator="containsText" text="TARDY">
      <formula>NOT(ISERROR(SEARCH("TARDY",K65)))</formula>
    </cfRule>
    <cfRule type="containsText" dxfId="10409" priority="3185" operator="containsText" text="REST DAY">
      <formula>NOT(ISERROR(SEARCH("REST DAY",K65)))</formula>
    </cfRule>
    <cfRule type="containsText" dxfId="10408" priority="3186" operator="containsText" text="UA">
      <formula>NOT(ISERROR(SEARCH("UA",K65)))</formula>
    </cfRule>
    <cfRule type="containsText" dxfId="10407" priority="3187" operator="containsText" text="LWOP UA">
      <formula>NOT(ISERROR(SEARCH("LWOP UA",K65)))</formula>
    </cfRule>
  </conditionalFormatting>
  <conditionalFormatting sqref="K66:Q66">
    <cfRule type="cellIs" dxfId="10406" priority="3611" operator="between">
      <formula>1</formula>
      <formula>400</formula>
    </cfRule>
    <cfRule type="containsText" dxfId="10405" priority="3612" operator="containsText" text="LWOP UA">
      <formula>NOT(ISERROR(SEARCH("LWOP UA",K66)))</formula>
    </cfRule>
    <cfRule type="containsText" dxfId="10404" priority="3613" operator="containsText" text="P">
      <formula>NOT(ISERROR(SEARCH("P",K66)))</formula>
    </cfRule>
    <cfRule type="containsText" dxfId="10403" priority="3614" operator="containsText" text="TFO">
      <formula>NOT(ISERROR(SEARCH("TFO",K66)))</formula>
    </cfRule>
    <cfRule type="containsText" dxfId="10402" priority="3615" operator="containsText" text="AA">
      <formula>NOT(ISERROR(SEARCH("AA",K66)))</formula>
    </cfRule>
    <cfRule type="containsText" dxfId="10401" priority="3616" operator="containsText" text="RESIGNED">
      <formula>NOT(ISERROR(SEARCH("RESIGNED",K66)))</formula>
    </cfRule>
    <cfRule type="containsText" dxfId="10400" priority="3617" operator="containsText" text="P">
      <formula>NOT(ISERROR(SEARCH("P",K66)))</formula>
    </cfRule>
    <cfRule type="containsText" dxfId="10399" priority="3618" operator="containsText" text="TARDY">
      <formula>NOT(ISERROR(SEARCH("TARDY",K66)))</formula>
    </cfRule>
    <cfRule type="containsText" dxfId="10398" priority="3619" operator="containsText" text="REST DAY">
      <formula>NOT(ISERROR(SEARCH("REST DAY",K66)))</formula>
    </cfRule>
    <cfRule type="containsText" dxfId="10397" priority="3620" operator="containsText" text="UA">
      <formula>NOT(ISERROR(SEARCH("UA",K66)))</formula>
    </cfRule>
    <cfRule type="containsText" dxfId="10396" priority="3621" operator="containsText" text="LWOP UA">
      <formula>NOT(ISERROR(SEARCH("LWOP UA",K66)))</formula>
    </cfRule>
  </conditionalFormatting>
  <conditionalFormatting sqref="K67:Q67">
    <cfRule type="cellIs" dxfId="10395" priority="2762" operator="between">
      <formula>1</formula>
      <formula>400</formula>
    </cfRule>
    <cfRule type="containsText" dxfId="10394" priority="2763" operator="containsText" text="LWOP UA">
      <formula>NOT(ISERROR(SEARCH("LWOP UA",K67)))</formula>
    </cfRule>
    <cfRule type="containsText" dxfId="10393" priority="2764" operator="containsText" text="P">
      <formula>NOT(ISERROR(SEARCH("P",K67)))</formula>
    </cfRule>
    <cfRule type="containsText" dxfId="10392" priority="2765" operator="containsText" text="TFO">
      <formula>NOT(ISERROR(SEARCH("TFO",K67)))</formula>
    </cfRule>
    <cfRule type="containsText" dxfId="10391" priority="2766" operator="containsText" text="AA">
      <formula>NOT(ISERROR(SEARCH("AA",K67)))</formula>
    </cfRule>
    <cfRule type="containsText" dxfId="10390" priority="2767" operator="containsText" text="RESIGNED">
      <formula>NOT(ISERROR(SEARCH("RESIGNED",K67)))</formula>
    </cfRule>
    <cfRule type="containsText" dxfId="10389" priority="2768" operator="containsText" text="P">
      <formula>NOT(ISERROR(SEARCH("P",K67)))</formula>
    </cfRule>
    <cfRule type="containsText" dxfId="10388" priority="2769" operator="containsText" text="TARDY">
      <formula>NOT(ISERROR(SEARCH("TARDY",K67)))</formula>
    </cfRule>
    <cfRule type="containsText" dxfId="10387" priority="2770" operator="containsText" text="REST DAY">
      <formula>NOT(ISERROR(SEARCH("REST DAY",K67)))</formula>
    </cfRule>
    <cfRule type="containsText" dxfId="10386" priority="2771" operator="containsText" text="UA">
      <formula>NOT(ISERROR(SEARCH("UA",K67)))</formula>
    </cfRule>
    <cfRule type="containsText" dxfId="10385" priority="2772" operator="containsText" text="LWOP UA">
      <formula>NOT(ISERROR(SEARCH("LWOP UA",K67)))</formula>
    </cfRule>
  </conditionalFormatting>
  <conditionalFormatting sqref="K68:Q68">
    <cfRule type="cellIs" dxfId="10384" priority="4299" operator="between">
      <formula>1</formula>
      <formula>400</formula>
    </cfRule>
    <cfRule type="containsText" dxfId="10383" priority="4300" operator="containsText" text="LWOP UA">
      <formula>NOT(ISERROR(SEARCH("LWOP UA",K68)))</formula>
    </cfRule>
    <cfRule type="containsText" dxfId="10382" priority="4301" operator="containsText" text="P">
      <formula>NOT(ISERROR(SEARCH("P",K68)))</formula>
    </cfRule>
    <cfRule type="containsText" dxfId="10381" priority="4302" operator="containsText" text="TFO">
      <formula>NOT(ISERROR(SEARCH("TFO",K68)))</formula>
    </cfRule>
    <cfRule type="containsText" dxfId="10380" priority="4303" operator="containsText" text="AA">
      <formula>NOT(ISERROR(SEARCH("AA",K68)))</formula>
    </cfRule>
    <cfRule type="containsText" dxfId="10379" priority="4304" operator="containsText" text="RESIGNED">
      <formula>NOT(ISERROR(SEARCH("RESIGNED",K68)))</formula>
    </cfRule>
    <cfRule type="containsText" dxfId="10378" priority="4305" operator="containsText" text="P">
      <formula>NOT(ISERROR(SEARCH("P",K68)))</formula>
    </cfRule>
    <cfRule type="containsText" dxfId="10377" priority="4306" operator="containsText" text="TARDY">
      <formula>NOT(ISERROR(SEARCH("TARDY",K68)))</formula>
    </cfRule>
    <cfRule type="containsText" dxfId="10376" priority="4307" operator="containsText" text="REST DAY">
      <formula>NOT(ISERROR(SEARCH("REST DAY",K68)))</formula>
    </cfRule>
    <cfRule type="containsText" dxfId="10375" priority="4308" operator="containsText" text="UA">
      <formula>NOT(ISERROR(SEARCH("UA",K68)))</formula>
    </cfRule>
    <cfRule type="containsText" dxfId="10374" priority="4309" operator="containsText" text="LWOP UA">
      <formula>NOT(ISERROR(SEARCH("LWOP UA",K68)))</formula>
    </cfRule>
  </conditionalFormatting>
  <conditionalFormatting sqref="K69:Q69">
    <cfRule type="cellIs" dxfId="10373" priority="3163" operator="between">
      <formula>1</formula>
      <formula>400</formula>
    </cfRule>
    <cfRule type="containsText" dxfId="10372" priority="3164" operator="containsText" text="LWOP UA">
      <formula>NOT(ISERROR(SEARCH("LWOP UA",K69)))</formula>
    </cfRule>
    <cfRule type="containsText" dxfId="10371" priority="3165" operator="containsText" text="P">
      <formula>NOT(ISERROR(SEARCH("P",K69)))</formula>
    </cfRule>
    <cfRule type="containsText" dxfId="10370" priority="3166" operator="containsText" text="TFO">
      <formula>NOT(ISERROR(SEARCH("TFO",K69)))</formula>
    </cfRule>
    <cfRule type="containsText" dxfId="10369" priority="3167" operator="containsText" text="AA">
      <formula>NOT(ISERROR(SEARCH("AA",K69)))</formula>
    </cfRule>
    <cfRule type="containsText" dxfId="10368" priority="3168" operator="containsText" text="RESIGNED">
      <formula>NOT(ISERROR(SEARCH("RESIGNED",K69)))</formula>
    </cfRule>
    <cfRule type="containsText" dxfId="10367" priority="3169" operator="containsText" text="P">
      <formula>NOT(ISERROR(SEARCH("P",K69)))</formula>
    </cfRule>
    <cfRule type="containsText" dxfId="10366" priority="3170" operator="containsText" text="TARDY">
      <formula>NOT(ISERROR(SEARCH("TARDY",K69)))</formula>
    </cfRule>
    <cfRule type="containsText" dxfId="10365" priority="3171" operator="containsText" text="REST DAY">
      <formula>NOT(ISERROR(SEARCH("REST DAY",K69)))</formula>
    </cfRule>
    <cfRule type="containsText" dxfId="10364" priority="3172" operator="containsText" text="UA">
      <formula>NOT(ISERROR(SEARCH("UA",K69)))</formula>
    </cfRule>
    <cfRule type="containsText" dxfId="10363" priority="3173" operator="containsText" text="LWOP UA">
      <formula>NOT(ISERROR(SEARCH("LWOP UA",K69)))</formula>
    </cfRule>
  </conditionalFormatting>
  <conditionalFormatting sqref="K70:Q70">
    <cfRule type="cellIs" dxfId="10362" priority="4285" operator="between">
      <formula>1</formula>
      <formula>400</formula>
    </cfRule>
    <cfRule type="containsText" dxfId="10361" priority="4286" operator="containsText" text="LWOP UA">
      <formula>NOT(ISERROR(SEARCH("LWOP UA",K70)))</formula>
    </cfRule>
    <cfRule type="containsText" dxfId="10360" priority="4287" operator="containsText" text="P">
      <formula>NOT(ISERROR(SEARCH("P",K70)))</formula>
    </cfRule>
    <cfRule type="containsText" dxfId="10359" priority="4288" operator="containsText" text="TFO">
      <formula>NOT(ISERROR(SEARCH("TFO",K70)))</formula>
    </cfRule>
    <cfRule type="containsText" dxfId="10358" priority="4289" operator="containsText" text="AA">
      <formula>NOT(ISERROR(SEARCH("AA",K70)))</formula>
    </cfRule>
    <cfRule type="containsText" dxfId="10357" priority="4290" operator="containsText" text="RESIGNED">
      <formula>NOT(ISERROR(SEARCH("RESIGNED",K70)))</formula>
    </cfRule>
    <cfRule type="containsText" dxfId="10356" priority="4291" operator="containsText" text="P">
      <formula>NOT(ISERROR(SEARCH("P",K70)))</formula>
    </cfRule>
    <cfRule type="containsText" dxfId="10355" priority="4292" operator="containsText" text="TARDY">
      <formula>NOT(ISERROR(SEARCH("TARDY",K70)))</formula>
    </cfRule>
    <cfRule type="containsText" dxfId="10354" priority="4293" operator="containsText" text="REST DAY">
      <formula>NOT(ISERROR(SEARCH("REST DAY",K70)))</formula>
    </cfRule>
    <cfRule type="containsText" dxfId="10353" priority="4294" operator="containsText" text="UA">
      <formula>NOT(ISERROR(SEARCH("UA",K70)))</formula>
    </cfRule>
    <cfRule type="containsText" dxfId="10352" priority="4295" operator="containsText" text="LWOP UA">
      <formula>NOT(ISERROR(SEARCH("LWOP UA",K70)))</formula>
    </cfRule>
  </conditionalFormatting>
  <conditionalFormatting sqref="K71:Q71">
    <cfRule type="cellIs" dxfId="10351" priority="3597" operator="between">
      <formula>1</formula>
      <formula>400</formula>
    </cfRule>
    <cfRule type="containsText" dxfId="10350" priority="3598" operator="containsText" text="LWOP UA">
      <formula>NOT(ISERROR(SEARCH("LWOP UA",K71)))</formula>
    </cfRule>
    <cfRule type="containsText" dxfId="10349" priority="3599" operator="containsText" text="P">
      <formula>NOT(ISERROR(SEARCH("P",K71)))</formula>
    </cfRule>
    <cfRule type="containsText" dxfId="10348" priority="3600" operator="containsText" text="TFO">
      <formula>NOT(ISERROR(SEARCH("TFO",K71)))</formula>
    </cfRule>
    <cfRule type="containsText" dxfId="10347" priority="3601" operator="containsText" text="AA">
      <formula>NOT(ISERROR(SEARCH("AA",K71)))</formula>
    </cfRule>
    <cfRule type="containsText" dxfId="10346" priority="3602" operator="containsText" text="RESIGNED">
      <formula>NOT(ISERROR(SEARCH("RESIGNED",K71)))</formula>
    </cfRule>
    <cfRule type="containsText" dxfId="10345" priority="3603" operator="containsText" text="P">
      <formula>NOT(ISERROR(SEARCH("P",K71)))</formula>
    </cfRule>
    <cfRule type="containsText" dxfId="10344" priority="3604" operator="containsText" text="TARDY">
      <formula>NOT(ISERROR(SEARCH("TARDY",K71)))</formula>
    </cfRule>
    <cfRule type="containsText" dxfId="10343" priority="3605" operator="containsText" text="REST DAY">
      <formula>NOT(ISERROR(SEARCH("REST DAY",K71)))</formula>
    </cfRule>
    <cfRule type="containsText" dxfId="10342" priority="3606" operator="containsText" text="UA">
      <formula>NOT(ISERROR(SEARCH("UA",K71)))</formula>
    </cfRule>
    <cfRule type="containsText" dxfId="10341" priority="3607" operator="containsText" text="LWOP UA">
      <formula>NOT(ISERROR(SEARCH("LWOP UA",K71)))</formula>
    </cfRule>
  </conditionalFormatting>
  <conditionalFormatting sqref="K71:Q75">
    <cfRule type="containsText" dxfId="10340" priority="3118" operator="containsText" text="VL">
      <formula>NOT(ISERROR(SEARCH("VL",K71)))</formula>
    </cfRule>
    <cfRule type="containsText" dxfId="10339" priority="3119" operator="containsText" text="RD">
      <formula>NOT(ISERROR(SEARCH("RD",K71)))</formula>
    </cfRule>
    <cfRule type="containsText" dxfId="10338" priority="3120" operator="containsText" text="540">
      <formula>NOT(ISERROR(SEARCH("540",K71)))</formula>
    </cfRule>
  </conditionalFormatting>
  <conditionalFormatting sqref="K72:Q72">
    <cfRule type="cellIs" dxfId="10337" priority="3149" operator="between">
      <formula>1</formula>
      <formula>400</formula>
    </cfRule>
    <cfRule type="containsText" dxfId="10336" priority="3150" operator="containsText" text="LWOP UA">
      <formula>NOT(ISERROR(SEARCH("LWOP UA",K72)))</formula>
    </cfRule>
    <cfRule type="containsText" dxfId="10335" priority="3151" operator="containsText" text="P">
      <formula>NOT(ISERROR(SEARCH("P",K72)))</formula>
    </cfRule>
    <cfRule type="containsText" dxfId="10334" priority="3152" operator="containsText" text="TFO">
      <formula>NOT(ISERROR(SEARCH("TFO",K72)))</formula>
    </cfRule>
    <cfRule type="containsText" dxfId="10333" priority="3153" operator="containsText" text="AA">
      <formula>NOT(ISERROR(SEARCH("AA",K72)))</formula>
    </cfRule>
    <cfRule type="containsText" dxfId="10332" priority="3154" operator="containsText" text="RESIGNED">
      <formula>NOT(ISERROR(SEARCH("RESIGNED",K72)))</formula>
    </cfRule>
    <cfRule type="containsText" dxfId="10331" priority="3155" operator="containsText" text="P">
      <formula>NOT(ISERROR(SEARCH("P",K72)))</formula>
    </cfRule>
    <cfRule type="containsText" dxfId="10330" priority="3156" operator="containsText" text="TARDY">
      <formula>NOT(ISERROR(SEARCH("TARDY",K72)))</formula>
    </cfRule>
    <cfRule type="containsText" dxfId="10329" priority="3157" operator="containsText" text="REST DAY">
      <formula>NOT(ISERROR(SEARCH("REST DAY",K72)))</formula>
    </cfRule>
    <cfRule type="containsText" dxfId="10328" priority="3158" operator="containsText" text="UA">
      <formula>NOT(ISERROR(SEARCH("UA",K72)))</formula>
    </cfRule>
    <cfRule type="containsText" dxfId="10327" priority="3159" operator="containsText" text="LWOP UA">
      <formula>NOT(ISERROR(SEARCH("LWOP UA",K72)))</formula>
    </cfRule>
  </conditionalFormatting>
  <conditionalFormatting sqref="K73:Q73">
    <cfRule type="cellIs" dxfId="10326" priority="3583" operator="between">
      <formula>1</formula>
      <formula>400</formula>
    </cfRule>
    <cfRule type="containsText" dxfId="10325" priority="3584" operator="containsText" text="LWOP UA">
      <formula>NOT(ISERROR(SEARCH("LWOP UA",K73)))</formula>
    </cfRule>
    <cfRule type="containsText" dxfId="10324" priority="3585" operator="containsText" text="P">
      <formula>NOT(ISERROR(SEARCH("P",K73)))</formula>
    </cfRule>
    <cfRule type="containsText" dxfId="10323" priority="3586" operator="containsText" text="TFO">
      <formula>NOT(ISERROR(SEARCH("TFO",K73)))</formula>
    </cfRule>
    <cfRule type="containsText" dxfId="10322" priority="3587" operator="containsText" text="AA">
      <formula>NOT(ISERROR(SEARCH("AA",K73)))</formula>
    </cfRule>
    <cfRule type="containsText" dxfId="10321" priority="3588" operator="containsText" text="RESIGNED">
      <formula>NOT(ISERROR(SEARCH("RESIGNED",K73)))</formula>
    </cfRule>
    <cfRule type="containsText" dxfId="10320" priority="3589" operator="containsText" text="P">
      <formula>NOT(ISERROR(SEARCH("P",K73)))</formula>
    </cfRule>
    <cfRule type="containsText" dxfId="10319" priority="3590" operator="containsText" text="TARDY">
      <formula>NOT(ISERROR(SEARCH("TARDY",K73)))</formula>
    </cfRule>
    <cfRule type="containsText" dxfId="10318" priority="3591" operator="containsText" text="REST DAY">
      <formula>NOT(ISERROR(SEARCH("REST DAY",K73)))</formula>
    </cfRule>
    <cfRule type="containsText" dxfId="10317" priority="3592" operator="containsText" text="UA">
      <formula>NOT(ISERROR(SEARCH("UA",K73)))</formula>
    </cfRule>
    <cfRule type="containsText" dxfId="10316" priority="3593" operator="containsText" text="LWOP UA">
      <formula>NOT(ISERROR(SEARCH("LWOP UA",K73)))</formula>
    </cfRule>
  </conditionalFormatting>
  <conditionalFormatting sqref="K74:Q74">
    <cfRule type="cellIs" dxfId="10315" priority="3135" operator="between">
      <formula>1</formula>
      <formula>400</formula>
    </cfRule>
    <cfRule type="containsText" dxfId="10314" priority="3136" operator="containsText" text="LWOP UA">
      <formula>NOT(ISERROR(SEARCH("LWOP UA",K74)))</formula>
    </cfRule>
    <cfRule type="containsText" dxfId="10313" priority="3137" operator="containsText" text="P">
      <formula>NOT(ISERROR(SEARCH("P",K74)))</formula>
    </cfRule>
    <cfRule type="containsText" dxfId="10312" priority="3138" operator="containsText" text="TFO">
      <formula>NOT(ISERROR(SEARCH("TFO",K74)))</formula>
    </cfRule>
    <cfRule type="containsText" dxfId="10311" priority="3139" operator="containsText" text="AA">
      <formula>NOT(ISERROR(SEARCH("AA",K74)))</formula>
    </cfRule>
    <cfRule type="containsText" dxfId="10310" priority="3140" operator="containsText" text="RESIGNED">
      <formula>NOT(ISERROR(SEARCH("RESIGNED",K74)))</formula>
    </cfRule>
    <cfRule type="containsText" dxfId="10309" priority="3141" operator="containsText" text="P">
      <formula>NOT(ISERROR(SEARCH("P",K74)))</formula>
    </cfRule>
    <cfRule type="containsText" dxfId="10308" priority="3142" operator="containsText" text="TARDY">
      <formula>NOT(ISERROR(SEARCH("TARDY",K74)))</formula>
    </cfRule>
    <cfRule type="containsText" dxfId="10307" priority="3143" operator="containsText" text="REST DAY">
      <formula>NOT(ISERROR(SEARCH("REST DAY",K74)))</formula>
    </cfRule>
    <cfRule type="containsText" dxfId="10306" priority="3144" operator="containsText" text="UA">
      <formula>NOT(ISERROR(SEARCH("UA",K74)))</formula>
    </cfRule>
    <cfRule type="containsText" dxfId="10305" priority="3145" operator="containsText" text="LWOP UA">
      <formula>NOT(ISERROR(SEARCH("LWOP UA",K74)))</formula>
    </cfRule>
  </conditionalFormatting>
  <conditionalFormatting sqref="K75:Q75">
    <cfRule type="cellIs" dxfId="10304" priority="3121" operator="between">
      <formula>1</formula>
      <formula>400</formula>
    </cfRule>
    <cfRule type="containsText" dxfId="10303" priority="3122" operator="containsText" text="LWOP UA">
      <formula>NOT(ISERROR(SEARCH("LWOP UA",K75)))</formula>
    </cfRule>
    <cfRule type="containsText" dxfId="10302" priority="3123" operator="containsText" text="P">
      <formula>NOT(ISERROR(SEARCH("P",K75)))</formula>
    </cfRule>
    <cfRule type="containsText" dxfId="10301" priority="3124" operator="containsText" text="TFO">
      <formula>NOT(ISERROR(SEARCH("TFO",K75)))</formula>
    </cfRule>
    <cfRule type="containsText" dxfId="10300" priority="3125" operator="containsText" text="AA">
      <formula>NOT(ISERROR(SEARCH("AA",K75)))</formula>
    </cfRule>
    <cfRule type="containsText" dxfId="10299" priority="3126" operator="containsText" text="RESIGNED">
      <formula>NOT(ISERROR(SEARCH("RESIGNED",K75)))</formula>
    </cfRule>
    <cfRule type="containsText" dxfId="10298" priority="3127" operator="containsText" text="P">
      <formula>NOT(ISERROR(SEARCH("P",K75)))</formula>
    </cfRule>
    <cfRule type="containsText" dxfId="10297" priority="3128" operator="containsText" text="TARDY">
      <formula>NOT(ISERROR(SEARCH("TARDY",K75)))</formula>
    </cfRule>
    <cfRule type="containsText" dxfId="10296" priority="3129" operator="containsText" text="REST DAY">
      <formula>NOT(ISERROR(SEARCH("REST DAY",K75)))</formula>
    </cfRule>
    <cfRule type="containsText" dxfId="10295" priority="3130" operator="containsText" text="UA">
      <formula>NOT(ISERROR(SEARCH("UA",K75)))</formula>
    </cfRule>
    <cfRule type="containsText" dxfId="10294" priority="3131" operator="containsText" text="LWOP UA">
      <formula>NOT(ISERROR(SEARCH("LWOP UA",K75)))</formula>
    </cfRule>
  </conditionalFormatting>
  <conditionalFormatting sqref="K76:Q76">
    <cfRule type="cellIs" dxfId="10293" priority="4271" operator="between">
      <formula>1</formula>
      <formula>400</formula>
    </cfRule>
    <cfRule type="containsText" dxfId="10292" priority="4272" operator="containsText" text="LWOP UA">
      <formula>NOT(ISERROR(SEARCH("LWOP UA",K76)))</formula>
    </cfRule>
    <cfRule type="containsText" dxfId="10291" priority="4273" operator="containsText" text="P">
      <formula>NOT(ISERROR(SEARCH("P",K76)))</formula>
    </cfRule>
    <cfRule type="containsText" dxfId="10290" priority="4274" operator="containsText" text="TFO">
      <formula>NOT(ISERROR(SEARCH("TFO",K76)))</formula>
    </cfRule>
    <cfRule type="containsText" dxfId="10289" priority="4275" operator="containsText" text="AA">
      <formula>NOT(ISERROR(SEARCH("AA",K76)))</formula>
    </cfRule>
    <cfRule type="containsText" dxfId="10288" priority="4276" operator="containsText" text="RESIGNED">
      <formula>NOT(ISERROR(SEARCH("RESIGNED",K76)))</formula>
    </cfRule>
    <cfRule type="containsText" dxfId="10287" priority="4277" operator="containsText" text="P">
      <formula>NOT(ISERROR(SEARCH("P",K76)))</formula>
    </cfRule>
    <cfRule type="containsText" dxfId="10286" priority="4278" operator="containsText" text="TARDY">
      <formula>NOT(ISERROR(SEARCH("TARDY",K76)))</formula>
    </cfRule>
    <cfRule type="containsText" dxfId="10285" priority="4279" operator="containsText" text="REST DAY">
      <formula>NOT(ISERROR(SEARCH("REST DAY",K76)))</formula>
    </cfRule>
    <cfRule type="containsText" dxfId="10284" priority="4280" operator="containsText" text="UA">
      <formula>NOT(ISERROR(SEARCH("UA",K76)))</formula>
    </cfRule>
    <cfRule type="containsText" dxfId="10283" priority="4281" operator="containsText" text="LWOP UA">
      <formula>NOT(ISERROR(SEARCH("LWOP UA",K76)))</formula>
    </cfRule>
  </conditionalFormatting>
  <conditionalFormatting sqref="K77:Q77">
    <cfRule type="cellIs" dxfId="10282" priority="2897" operator="between">
      <formula>1</formula>
      <formula>400</formula>
    </cfRule>
    <cfRule type="containsText" dxfId="10281" priority="2898" operator="containsText" text="LWOP UA">
      <formula>NOT(ISERROR(SEARCH("LWOP UA",K77)))</formula>
    </cfRule>
    <cfRule type="containsText" dxfId="10280" priority="2899" operator="containsText" text="P">
      <formula>NOT(ISERROR(SEARCH("P",K77)))</formula>
    </cfRule>
    <cfRule type="containsText" dxfId="10279" priority="2900" operator="containsText" text="TFO">
      <formula>NOT(ISERROR(SEARCH("TFO",K77)))</formula>
    </cfRule>
    <cfRule type="containsText" dxfId="10278" priority="2901" operator="containsText" text="AA">
      <formula>NOT(ISERROR(SEARCH("AA",K77)))</formula>
    </cfRule>
    <cfRule type="containsText" dxfId="10277" priority="2902" operator="containsText" text="RESIGNED">
      <formula>NOT(ISERROR(SEARCH("RESIGNED",K77)))</formula>
    </cfRule>
    <cfRule type="containsText" dxfId="10276" priority="2903" operator="containsText" text="P">
      <formula>NOT(ISERROR(SEARCH("P",K77)))</formula>
    </cfRule>
    <cfRule type="containsText" dxfId="10275" priority="2904" operator="containsText" text="TARDY">
      <formula>NOT(ISERROR(SEARCH("TARDY",K77)))</formula>
    </cfRule>
    <cfRule type="containsText" dxfId="10274" priority="2905" operator="containsText" text="REST DAY">
      <formula>NOT(ISERROR(SEARCH("REST DAY",K77)))</formula>
    </cfRule>
    <cfRule type="containsText" dxfId="10273" priority="2906" operator="containsText" text="UA">
      <formula>NOT(ISERROR(SEARCH("UA",K77)))</formula>
    </cfRule>
    <cfRule type="containsText" dxfId="10272" priority="2907" operator="containsText" text="LWOP UA">
      <formula>NOT(ISERROR(SEARCH("LWOP UA",K77)))</formula>
    </cfRule>
  </conditionalFormatting>
  <conditionalFormatting sqref="K78:Q78">
    <cfRule type="cellIs" dxfId="10271" priority="3457" operator="between">
      <formula>1</formula>
      <formula>400</formula>
    </cfRule>
    <cfRule type="containsText" dxfId="10270" priority="3458" operator="containsText" text="LWOP UA">
      <formula>NOT(ISERROR(SEARCH("LWOP UA",K78)))</formula>
    </cfRule>
    <cfRule type="containsText" dxfId="10269" priority="3459" operator="containsText" text="P">
      <formula>NOT(ISERROR(SEARCH("P",K78)))</formula>
    </cfRule>
    <cfRule type="containsText" dxfId="10268" priority="3460" operator="containsText" text="TFO">
      <formula>NOT(ISERROR(SEARCH("TFO",K78)))</formula>
    </cfRule>
    <cfRule type="containsText" dxfId="10267" priority="3461" operator="containsText" text="AA">
      <formula>NOT(ISERROR(SEARCH("AA",K78)))</formula>
    </cfRule>
    <cfRule type="containsText" dxfId="10266" priority="3462" operator="containsText" text="RESIGNED">
      <formula>NOT(ISERROR(SEARCH("RESIGNED",K78)))</formula>
    </cfRule>
    <cfRule type="containsText" dxfId="10265" priority="3463" operator="containsText" text="P">
      <formula>NOT(ISERROR(SEARCH("P",K78)))</formula>
    </cfRule>
    <cfRule type="containsText" dxfId="10264" priority="3464" operator="containsText" text="TARDY">
      <formula>NOT(ISERROR(SEARCH("TARDY",K78)))</formula>
    </cfRule>
    <cfRule type="containsText" dxfId="10263" priority="3465" operator="containsText" text="REST DAY">
      <formula>NOT(ISERROR(SEARCH("REST DAY",K78)))</formula>
    </cfRule>
    <cfRule type="containsText" dxfId="10262" priority="3466" operator="containsText" text="UA">
      <formula>NOT(ISERROR(SEARCH("UA",K78)))</formula>
    </cfRule>
    <cfRule type="containsText" dxfId="10261" priority="3467" operator="containsText" text="LWOP UA">
      <formula>NOT(ISERROR(SEARCH("LWOP UA",K78)))</formula>
    </cfRule>
  </conditionalFormatting>
  <conditionalFormatting sqref="K79:Q79">
    <cfRule type="cellIs" dxfId="10260" priority="4257" operator="between">
      <formula>1</formula>
      <formula>400</formula>
    </cfRule>
    <cfRule type="containsText" dxfId="10259" priority="4258" operator="containsText" text="LWOP UA">
      <formula>NOT(ISERROR(SEARCH("LWOP UA",K79)))</formula>
    </cfRule>
    <cfRule type="containsText" dxfId="10258" priority="4259" operator="containsText" text="P">
      <formula>NOT(ISERROR(SEARCH("P",K79)))</formula>
    </cfRule>
    <cfRule type="containsText" dxfId="10257" priority="4260" operator="containsText" text="TFO">
      <formula>NOT(ISERROR(SEARCH("TFO",K79)))</formula>
    </cfRule>
    <cfRule type="containsText" dxfId="10256" priority="4261" operator="containsText" text="AA">
      <formula>NOT(ISERROR(SEARCH("AA",K79)))</formula>
    </cfRule>
    <cfRule type="containsText" dxfId="10255" priority="4262" operator="containsText" text="RESIGNED">
      <formula>NOT(ISERROR(SEARCH("RESIGNED",K79)))</formula>
    </cfRule>
    <cfRule type="containsText" dxfId="10254" priority="4263" operator="containsText" text="P">
      <formula>NOT(ISERROR(SEARCH("P",K79)))</formula>
    </cfRule>
    <cfRule type="containsText" dxfId="10253" priority="4264" operator="containsText" text="TARDY">
      <formula>NOT(ISERROR(SEARCH("TARDY",K79)))</formula>
    </cfRule>
    <cfRule type="containsText" dxfId="10252" priority="4265" operator="containsText" text="REST DAY">
      <formula>NOT(ISERROR(SEARCH("REST DAY",K79)))</formula>
    </cfRule>
    <cfRule type="containsText" dxfId="10251" priority="4266" operator="containsText" text="UA">
      <formula>NOT(ISERROR(SEARCH("UA",K79)))</formula>
    </cfRule>
    <cfRule type="containsText" dxfId="10250" priority="4267" operator="containsText" text="LWOP UA">
      <formula>NOT(ISERROR(SEARCH("LWOP UA",K79)))</formula>
    </cfRule>
  </conditionalFormatting>
  <conditionalFormatting sqref="K80:Q80">
    <cfRule type="cellIs" dxfId="10249" priority="3107" operator="between">
      <formula>1</formula>
      <formula>400</formula>
    </cfRule>
    <cfRule type="containsText" dxfId="10248" priority="3108" operator="containsText" text="LWOP UA">
      <formula>NOT(ISERROR(SEARCH("LWOP UA",K80)))</formula>
    </cfRule>
    <cfRule type="containsText" dxfId="10247" priority="3109" operator="containsText" text="P">
      <formula>NOT(ISERROR(SEARCH("P",K80)))</formula>
    </cfRule>
    <cfRule type="containsText" dxfId="10246" priority="3110" operator="containsText" text="TFO">
      <formula>NOT(ISERROR(SEARCH("TFO",K80)))</formula>
    </cfRule>
    <cfRule type="containsText" dxfId="10245" priority="3111" operator="containsText" text="AA">
      <formula>NOT(ISERROR(SEARCH("AA",K80)))</formula>
    </cfRule>
    <cfRule type="containsText" dxfId="10244" priority="3112" operator="containsText" text="RESIGNED">
      <formula>NOT(ISERROR(SEARCH("RESIGNED",K80)))</formula>
    </cfRule>
    <cfRule type="containsText" dxfId="10243" priority="3113" operator="containsText" text="P">
      <formula>NOT(ISERROR(SEARCH("P",K80)))</formula>
    </cfRule>
    <cfRule type="containsText" dxfId="10242" priority="3114" operator="containsText" text="TARDY">
      <formula>NOT(ISERROR(SEARCH("TARDY",K80)))</formula>
    </cfRule>
    <cfRule type="containsText" dxfId="10241" priority="3115" operator="containsText" text="REST DAY">
      <formula>NOT(ISERROR(SEARCH("REST DAY",K80)))</formula>
    </cfRule>
    <cfRule type="containsText" dxfId="10240" priority="3116" operator="containsText" text="UA">
      <formula>NOT(ISERROR(SEARCH("UA",K80)))</formula>
    </cfRule>
    <cfRule type="containsText" dxfId="10239" priority="3117" operator="containsText" text="LWOP UA">
      <formula>NOT(ISERROR(SEARCH("LWOP UA",K80)))</formula>
    </cfRule>
  </conditionalFormatting>
  <conditionalFormatting sqref="K81:Q81">
    <cfRule type="cellIs" dxfId="10238" priority="3569" operator="between">
      <formula>1</formula>
      <formula>400</formula>
    </cfRule>
    <cfRule type="containsText" dxfId="10237" priority="3570" operator="containsText" text="LWOP UA">
      <formula>NOT(ISERROR(SEARCH("LWOP UA",K81)))</formula>
    </cfRule>
    <cfRule type="containsText" dxfId="10236" priority="3571" operator="containsText" text="P">
      <formula>NOT(ISERROR(SEARCH("P",K81)))</formula>
    </cfRule>
    <cfRule type="containsText" dxfId="10235" priority="3572" operator="containsText" text="TFO">
      <formula>NOT(ISERROR(SEARCH("TFO",K81)))</formula>
    </cfRule>
    <cfRule type="containsText" dxfId="10234" priority="3573" operator="containsText" text="AA">
      <formula>NOT(ISERROR(SEARCH("AA",K81)))</formula>
    </cfRule>
    <cfRule type="containsText" dxfId="10233" priority="3574" operator="containsText" text="RESIGNED">
      <formula>NOT(ISERROR(SEARCH("RESIGNED",K81)))</formula>
    </cfRule>
    <cfRule type="containsText" dxfId="10232" priority="3575" operator="containsText" text="P">
      <formula>NOT(ISERROR(SEARCH("P",K81)))</formula>
    </cfRule>
    <cfRule type="containsText" dxfId="10231" priority="3576" operator="containsText" text="TARDY">
      <formula>NOT(ISERROR(SEARCH("TARDY",K81)))</formula>
    </cfRule>
    <cfRule type="containsText" dxfId="10230" priority="3577" operator="containsText" text="REST DAY">
      <formula>NOT(ISERROR(SEARCH("REST DAY",K81)))</formula>
    </cfRule>
    <cfRule type="containsText" dxfId="10229" priority="3578" operator="containsText" text="UA">
      <formula>NOT(ISERROR(SEARCH("UA",K81)))</formula>
    </cfRule>
    <cfRule type="containsText" dxfId="10228" priority="3579" operator="containsText" text="LWOP UA">
      <formula>NOT(ISERROR(SEARCH("LWOP UA",K81)))</formula>
    </cfRule>
  </conditionalFormatting>
  <conditionalFormatting sqref="K82:Q82">
    <cfRule type="cellIs" dxfId="10227" priority="4243" operator="between">
      <formula>1</formula>
      <formula>400</formula>
    </cfRule>
    <cfRule type="containsText" dxfId="10226" priority="4244" operator="containsText" text="LWOP UA">
      <formula>NOT(ISERROR(SEARCH("LWOP UA",K82)))</formula>
    </cfRule>
    <cfRule type="containsText" dxfId="10225" priority="4245" operator="containsText" text="P">
      <formula>NOT(ISERROR(SEARCH("P",K82)))</formula>
    </cfRule>
    <cfRule type="containsText" dxfId="10224" priority="4246" operator="containsText" text="TFO">
      <formula>NOT(ISERROR(SEARCH("TFO",K82)))</formula>
    </cfRule>
    <cfRule type="containsText" dxfId="10223" priority="4247" operator="containsText" text="AA">
      <formula>NOT(ISERROR(SEARCH("AA",K82)))</formula>
    </cfRule>
    <cfRule type="containsText" dxfId="10222" priority="4248" operator="containsText" text="RESIGNED">
      <formula>NOT(ISERROR(SEARCH("RESIGNED",K82)))</formula>
    </cfRule>
    <cfRule type="containsText" dxfId="10221" priority="4249" operator="containsText" text="P">
      <formula>NOT(ISERROR(SEARCH("P",K82)))</formula>
    </cfRule>
    <cfRule type="containsText" dxfId="10220" priority="4250" operator="containsText" text="TARDY">
      <formula>NOT(ISERROR(SEARCH("TARDY",K82)))</formula>
    </cfRule>
    <cfRule type="containsText" dxfId="10219" priority="4251" operator="containsText" text="REST DAY">
      <formula>NOT(ISERROR(SEARCH("REST DAY",K82)))</formula>
    </cfRule>
    <cfRule type="containsText" dxfId="10218" priority="4252" operator="containsText" text="UA">
      <formula>NOT(ISERROR(SEARCH("UA",K82)))</formula>
    </cfRule>
    <cfRule type="containsText" dxfId="10217" priority="4253" operator="containsText" text="LWOP UA">
      <formula>NOT(ISERROR(SEARCH("LWOP UA",K82)))</formula>
    </cfRule>
  </conditionalFormatting>
  <conditionalFormatting sqref="K83:Q83">
    <cfRule type="cellIs" dxfId="10216" priority="4229" operator="between">
      <formula>1</formula>
      <formula>400</formula>
    </cfRule>
    <cfRule type="containsText" dxfId="10215" priority="4230" operator="containsText" text="LWOP UA">
      <formula>NOT(ISERROR(SEARCH("LWOP UA",K83)))</formula>
    </cfRule>
    <cfRule type="containsText" dxfId="10214" priority="4231" operator="containsText" text="P">
      <formula>NOT(ISERROR(SEARCH("P",K83)))</formula>
    </cfRule>
    <cfRule type="containsText" dxfId="10213" priority="4232" operator="containsText" text="TFO">
      <formula>NOT(ISERROR(SEARCH("TFO",K83)))</formula>
    </cfRule>
    <cfRule type="containsText" dxfId="10212" priority="4233" operator="containsText" text="AA">
      <formula>NOT(ISERROR(SEARCH("AA",K83)))</formula>
    </cfRule>
    <cfRule type="containsText" dxfId="10211" priority="4234" operator="containsText" text="RESIGNED">
      <formula>NOT(ISERROR(SEARCH("RESIGNED",K83)))</formula>
    </cfRule>
    <cfRule type="containsText" dxfId="10210" priority="4235" operator="containsText" text="P">
      <formula>NOT(ISERROR(SEARCH("P",K83)))</formula>
    </cfRule>
    <cfRule type="containsText" dxfId="10209" priority="4236" operator="containsText" text="TARDY">
      <formula>NOT(ISERROR(SEARCH("TARDY",K83)))</formula>
    </cfRule>
    <cfRule type="containsText" dxfId="10208" priority="4237" operator="containsText" text="REST DAY">
      <formula>NOT(ISERROR(SEARCH("REST DAY",K83)))</formula>
    </cfRule>
    <cfRule type="containsText" dxfId="10207" priority="4238" operator="containsText" text="UA">
      <formula>NOT(ISERROR(SEARCH("UA",K83)))</formula>
    </cfRule>
    <cfRule type="containsText" dxfId="10206" priority="4239" operator="containsText" text="LWOP UA">
      <formula>NOT(ISERROR(SEARCH("LWOP UA",K83)))</formula>
    </cfRule>
  </conditionalFormatting>
  <conditionalFormatting sqref="K84:Q84">
    <cfRule type="cellIs" dxfId="10205" priority="3093" operator="between">
      <formula>1</formula>
      <formula>400</formula>
    </cfRule>
    <cfRule type="containsText" dxfId="10204" priority="3094" operator="containsText" text="LWOP UA">
      <formula>NOT(ISERROR(SEARCH("LWOP UA",K84)))</formula>
    </cfRule>
    <cfRule type="containsText" dxfId="10203" priority="3095" operator="containsText" text="P">
      <formula>NOT(ISERROR(SEARCH("P",K84)))</formula>
    </cfRule>
    <cfRule type="containsText" dxfId="10202" priority="3096" operator="containsText" text="TFO">
      <formula>NOT(ISERROR(SEARCH("TFO",K84)))</formula>
    </cfRule>
    <cfRule type="containsText" dxfId="10201" priority="3097" operator="containsText" text="AA">
      <formula>NOT(ISERROR(SEARCH("AA",K84)))</formula>
    </cfRule>
    <cfRule type="containsText" dxfId="10200" priority="3098" operator="containsText" text="RESIGNED">
      <formula>NOT(ISERROR(SEARCH("RESIGNED",K84)))</formula>
    </cfRule>
    <cfRule type="containsText" dxfId="10199" priority="3099" operator="containsText" text="P">
      <formula>NOT(ISERROR(SEARCH("P",K84)))</formula>
    </cfRule>
    <cfRule type="containsText" dxfId="10198" priority="3100" operator="containsText" text="TARDY">
      <formula>NOT(ISERROR(SEARCH("TARDY",K84)))</formula>
    </cfRule>
    <cfRule type="containsText" dxfId="10197" priority="3101" operator="containsText" text="REST DAY">
      <formula>NOT(ISERROR(SEARCH("REST DAY",K84)))</formula>
    </cfRule>
    <cfRule type="containsText" dxfId="10196" priority="3102" operator="containsText" text="UA">
      <formula>NOT(ISERROR(SEARCH("UA",K84)))</formula>
    </cfRule>
    <cfRule type="containsText" dxfId="10195" priority="3103" operator="containsText" text="LWOP UA">
      <formula>NOT(ISERROR(SEARCH("LWOP UA",K84)))</formula>
    </cfRule>
  </conditionalFormatting>
  <conditionalFormatting sqref="K84:Q86">
    <cfRule type="containsText" dxfId="10194" priority="3090" operator="containsText" text="VL">
      <formula>NOT(ISERROR(SEARCH("VL",K84)))</formula>
    </cfRule>
    <cfRule type="containsText" dxfId="10193" priority="3091" operator="containsText" text="RD">
      <formula>NOT(ISERROR(SEARCH("RD",K84)))</formula>
    </cfRule>
    <cfRule type="containsText" dxfId="10192" priority="3092" operator="containsText" text="540">
      <formula>NOT(ISERROR(SEARCH("540",K84)))</formula>
    </cfRule>
  </conditionalFormatting>
  <conditionalFormatting sqref="K85:Q85">
    <cfRule type="cellIs" dxfId="10191" priority="3555" operator="between">
      <formula>1</formula>
      <formula>400</formula>
    </cfRule>
    <cfRule type="containsText" dxfId="10190" priority="3556" operator="containsText" text="LWOP UA">
      <formula>NOT(ISERROR(SEARCH("LWOP UA",K85)))</formula>
    </cfRule>
    <cfRule type="containsText" dxfId="10189" priority="3557" operator="containsText" text="P">
      <formula>NOT(ISERROR(SEARCH("P",K85)))</formula>
    </cfRule>
    <cfRule type="containsText" dxfId="10188" priority="3558" operator="containsText" text="TFO">
      <formula>NOT(ISERROR(SEARCH("TFO",K85)))</formula>
    </cfRule>
    <cfRule type="containsText" dxfId="10187" priority="3559" operator="containsText" text="AA">
      <formula>NOT(ISERROR(SEARCH("AA",K85)))</formula>
    </cfRule>
    <cfRule type="containsText" dxfId="10186" priority="3560" operator="containsText" text="RESIGNED">
      <formula>NOT(ISERROR(SEARCH("RESIGNED",K85)))</formula>
    </cfRule>
    <cfRule type="containsText" dxfId="10185" priority="3561" operator="containsText" text="P">
      <formula>NOT(ISERROR(SEARCH("P",K85)))</formula>
    </cfRule>
    <cfRule type="containsText" dxfId="10184" priority="3562" operator="containsText" text="TARDY">
      <formula>NOT(ISERROR(SEARCH("TARDY",K85)))</formula>
    </cfRule>
    <cfRule type="containsText" dxfId="10183" priority="3563" operator="containsText" text="REST DAY">
      <formula>NOT(ISERROR(SEARCH("REST DAY",K85)))</formula>
    </cfRule>
    <cfRule type="containsText" dxfId="10182" priority="3564" operator="containsText" text="UA">
      <formula>NOT(ISERROR(SEARCH("UA",K85)))</formula>
    </cfRule>
    <cfRule type="containsText" dxfId="10181" priority="3565" operator="containsText" text="LWOP UA">
      <formula>NOT(ISERROR(SEARCH("LWOP UA",K85)))</formula>
    </cfRule>
  </conditionalFormatting>
  <conditionalFormatting sqref="K86:Q86">
    <cfRule type="cellIs" dxfId="10180" priority="3541" operator="between">
      <formula>1</formula>
      <formula>400</formula>
    </cfRule>
    <cfRule type="containsText" dxfId="10179" priority="3542" operator="containsText" text="LWOP UA">
      <formula>NOT(ISERROR(SEARCH("LWOP UA",K86)))</formula>
    </cfRule>
    <cfRule type="containsText" dxfId="10178" priority="3543" operator="containsText" text="P">
      <formula>NOT(ISERROR(SEARCH("P",K86)))</formula>
    </cfRule>
    <cfRule type="containsText" dxfId="10177" priority="3544" operator="containsText" text="TFO">
      <formula>NOT(ISERROR(SEARCH("TFO",K86)))</formula>
    </cfRule>
    <cfRule type="containsText" dxfId="10176" priority="3545" operator="containsText" text="AA">
      <formula>NOT(ISERROR(SEARCH("AA",K86)))</formula>
    </cfRule>
    <cfRule type="containsText" dxfId="10175" priority="3546" operator="containsText" text="RESIGNED">
      <formula>NOT(ISERROR(SEARCH("RESIGNED",K86)))</formula>
    </cfRule>
    <cfRule type="containsText" dxfId="10174" priority="3547" operator="containsText" text="P">
      <formula>NOT(ISERROR(SEARCH("P",K86)))</formula>
    </cfRule>
    <cfRule type="containsText" dxfId="10173" priority="3548" operator="containsText" text="TARDY">
      <formula>NOT(ISERROR(SEARCH("TARDY",K86)))</formula>
    </cfRule>
    <cfRule type="containsText" dxfId="10172" priority="3549" operator="containsText" text="REST DAY">
      <formula>NOT(ISERROR(SEARCH("REST DAY",K86)))</formula>
    </cfRule>
    <cfRule type="containsText" dxfId="10171" priority="3550" operator="containsText" text="UA">
      <formula>NOT(ISERROR(SEARCH("UA",K86)))</formula>
    </cfRule>
    <cfRule type="containsText" dxfId="10170" priority="3551" operator="containsText" text="LWOP UA">
      <formula>NOT(ISERROR(SEARCH("LWOP UA",K86)))</formula>
    </cfRule>
  </conditionalFormatting>
  <conditionalFormatting sqref="K87:Q87">
    <cfRule type="cellIs" dxfId="10169" priority="4215" operator="between">
      <formula>1</formula>
      <formula>400</formula>
    </cfRule>
    <cfRule type="containsText" dxfId="10168" priority="4216" operator="containsText" text="LWOP UA">
      <formula>NOT(ISERROR(SEARCH("LWOP UA",K87)))</formula>
    </cfRule>
    <cfRule type="containsText" dxfId="10167" priority="4217" operator="containsText" text="P">
      <formula>NOT(ISERROR(SEARCH("P",K87)))</formula>
    </cfRule>
    <cfRule type="containsText" dxfId="10166" priority="4218" operator="containsText" text="TFO">
      <formula>NOT(ISERROR(SEARCH("TFO",K87)))</formula>
    </cfRule>
    <cfRule type="containsText" dxfId="10165" priority="4219" operator="containsText" text="AA">
      <formula>NOT(ISERROR(SEARCH("AA",K87)))</formula>
    </cfRule>
    <cfRule type="containsText" dxfId="10164" priority="4220" operator="containsText" text="RESIGNED">
      <formula>NOT(ISERROR(SEARCH("RESIGNED",K87)))</formula>
    </cfRule>
    <cfRule type="containsText" dxfId="10163" priority="4221" operator="containsText" text="P">
      <formula>NOT(ISERROR(SEARCH("P",K87)))</formula>
    </cfRule>
    <cfRule type="containsText" dxfId="10162" priority="4222" operator="containsText" text="TARDY">
      <formula>NOT(ISERROR(SEARCH("TARDY",K87)))</formula>
    </cfRule>
    <cfRule type="containsText" dxfId="10161" priority="4223" operator="containsText" text="REST DAY">
      <formula>NOT(ISERROR(SEARCH("REST DAY",K87)))</formula>
    </cfRule>
    <cfRule type="containsText" dxfId="10160" priority="4224" operator="containsText" text="UA">
      <formula>NOT(ISERROR(SEARCH("UA",K87)))</formula>
    </cfRule>
    <cfRule type="containsText" dxfId="10159" priority="4225" operator="containsText" text="LWOP UA">
      <formula>NOT(ISERROR(SEARCH("LWOP UA",K87)))</formula>
    </cfRule>
  </conditionalFormatting>
  <conditionalFormatting sqref="K88:Q88">
    <cfRule type="cellIs" dxfId="10158" priority="2883" operator="between">
      <formula>1</formula>
      <formula>400</formula>
    </cfRule>
    <cfRule type="containsText" dxfId="10157" priority="2884" operator="containsText" text="LWOP UA">
      <formula>NOT(ISERROR(SEARCH("LWOP UA",K88)))</formula>
    </cfRule>
    <cfRule type="containsText" dxfId="10156" priority="2885" operator="containsText" text="P">
      <formula>NOT(ISERROR(SEARCH("P",K88)))</formula>
    </cfRule>
    <cfRule type="containsText" dxfId="10155" priority="2886" operator="containsText" text="TFO">
      <formula>NOT(ISERROR(SEARCH("TFO",K88)))</formula>
    </cfRule>
    <cfRule type="containsText" dxfId="10154" priority="2887" operator="containsText" text="AA">
      <formula>NOT(ISERROR(SEARCH("AA",K88)))</formula>
    </cfRule>
    <cfRule type="containsText" dxfId="10153" priority="2888" operator="containsText" text="RESIGNED">
      <formula>NOT(ISERROR(SEARCH("RESIGNED",K88)))</formula>
    </cfRule>
    <cfRule type="containsText" dxfId="10152" priority="2889" operator="containsText" text="P">
      <formula>NOT(ISERROR(SEARCH("P",K88)))</formula>
    </cfRule>
    <cfRule type="containsText" dxfId="10151" priority="2890" operator="containsText" text="TARDY">
      <formula>NOT(ISERROR(SEARCH("TARDY",K88)))</formula>
    </cfRule>
    <cfRule type="containsText" dxfId="10150" priority="2891" operator="containsText" text="REST DAY">
      <formula>NOT(ISERROR(SEARCH("REST DAY",K88)))</formula>
    </cfRule>
    <cfRule type="containsText" dxfId="10149" priority="2892" operator="containsText" text="UA">
      <formula>NOT(ISERROR(SEARCH("UA",K88)))</formula>
    </cfRule>
    <cfRule type="containsText" dxfId="10148" priority="2893" operator="containsText" text="LWOP UA">
      <formula>NOT(ISERROR(SEARCH("LWOP UA",K88)))</formula>
    </cfRule>
  </conditionalFormatting>
  <conditionalFormatting sqref="K88:Q91">
    <cfRule type="containsText" dxfId="10147" priority="2736" operator="containsText" text="VL">
      <formula>NOT(ISERROR(SEARCH("VL",K88)))</formula>
    </cfRule>
    <cfRule type="containsText" dxfId="10146" priority="2737" operator="containsText" text="RD">
      <formula>NOT(ISERROR(SEARCH("RD",K88)))</formula>
    </cfRule>
    <cfRule type="containsText" dxfId="10145" priority="2738" operator="containsText" text="540">
      <formula>NOT(ISERROR(SEARCH("540",K88)))</formula>
    </cfRule>
  </conditionalFormatting>
  <conditionalFormatting sqref="K89:Q89">
    <cfRule type="cellIs" dxfId="10144" priority="2869" operator="between">
      <formula>1</formula>
      <formula>400</formula>
    </cfRule>
    <cfRule type="containsText" dxfId="10143" priority="2870" operator="containsText" text="LWOP UA">
      <formula>NOT(ISERROR(SEARCH("LWOP UA",K89)))</formula>
    </cfRule>
    <cfRule type="containsText" dxfId="10142" priority="2871" operator="containsText" text="P">
      <formula>NOT(ISERROR(SEARCH("P",K89)))</formula>
    </cfRule>
    <cfRule type="containsText" dxfId="10141" priority="2872" operator="containsText" text="TFO">
      <formula>NOT(ISERROR(SEARCH("TFO",K89)))</formula>
    </cfRule>
    <cfRule type="containsText" dxfId="10140" priority="2873" operator="containsText" text="AA">
      <formula>NOT(ISERROR(SEARCH("AA",K89)))</formula>
    </cfRule>
    <cfRule type="containsText" dxfId="10139" priority="2874" operator="containsText" text="RESIGNED">
      <formula>NOT(ISERROR(SEARCH("RESIGNED",K89)))</formula>
    </cfRule>
    <cfRule type="containsText" dxfId="10138" priority="2875" operator="containsText" text="P">
      <formula>NOT(ISERROR(SEARCH("P",K89)))</formula>
    </cfRule>
    <cfRule type="containsText" dxfId="10137" priority="2876" operator="containsText" text="TARDY">
      <formula>NOT(ISERROR(SEARCH("TARDY",K89)))</formula>
    </cfRule>
    <cfRule type="containsText" dxfId="10136" priority="2877" operator="containsText" text="REST DAY">
      <formula>NOT(ISERROR(SEARCH("REST DAY",K89)))</formula>
    </cfRule>
    <cfRule type="containsText" dxfId="10135" priority="2878" operator="containsText" text="UA">
      <formula>NOT(ISERROR(SEARCH("UA",K89)))</formula>
    </cfRule>
    <cfRule type="containsText" dxfId="10134" priority="2879" operator="containsText" text="LWOP UA">
      <formula>NOT(ISERROR(SEARCH("LWOP UA",K89)))</formula>
    </cfRule>
  </conditionalFormatting>
  <conditionalFormatting sqref="K90:Q90">
    <cfRule type="cellIs" dxfId="10133" priority="2739" operator="between">
      <formula>1</formula>
      <formula>400</formula>
    </cfRule>
    <cfRule type="containsText" dxfId="10132" priority="2740" operator="containsText" text="LWOP UA">
      <formula>NOT(ISERROR(SEARCH("LWOP UA",K90)))</formula>
    </cfRule>
    <cfRule type="containsText" dxfId="10131" priority="2741" operator="containsText" text="P">
      <formula>NOT(ISERROR(SEARCH("P",K90)))</formula>
    </cfRule>
    <cfRule type="containsText" dxfId="10130" priority="2742" operator="containsText" text="TFO">
      <formula>NOT(ISERROR(SEARCH("TFO",K90)))</formula>
    </cfRule>
    <cfRule type="containsText" dxfId="10129" priority="2743" operator="containsText" text="AA">
      <formula>NOT(ISERROR(SEARCH("AA",K90)))</formula>
    </cfRule>
    <cfRule type="containsText" dxfId="10128" priority="2744" operator="containsText" text="RESIGNED">
      <formula>NOT(ISERROR(SEARCH("RESIGNED",K90)))</formula>
    </cfRule>
    <cfRule type="containsText" dxfId="10127" priority="2745" operator="containsText" text="P">
      <formula>NOT(ISERROR(SEARCH("P",K90)))</formula>
    </cfRule>
    <cfRule type="containsText" dxfId="10126" priority="2746" operator="containsText" text="TARDY">
      <formula>NOT(ISERROR(SEARCH("TARDY",K90)))</formula>
    </cfRule>
    <cfRule type="containsText" dxfId="10125" priority="2747" operator="containsText" text="REST DAY">
      <formula>NOT(ISERROR(SEARCH("REST DAY",K90)))</formula>
    </cfRule>
    <cfRule type="containsText" dxfId="10124" priority="2748" operator="containsText" text="UA">
      <formula>NOT(ISERROR(SEARCH("UA",K90)))</formula>
    </cfRule>
    <cfRule type="containsText" dxfId="10123" priority="2749" operator="containsText" text="LWOP UA">
      <formula>NOT(ISERROR(SEARCH("LWOP UA",K90)))</formula>
    </cfRule>
  </conditionalFormatting>
  <conditionalFormatting sqref="K91:Q91">
    <cfRule type="cellIs" dxfId="10122" priority="2855" operator="between">
      <formula>1</formula>
      <formula>400</formula>
    </cfRule>
    <cfRule type="containsText" dxfId="10121" priority="2856" operator="containsText" text="LWOP UA">
      <formula>NOT(ISERROR(SEARCH("LWOP UA",K91)))</formula>
    </cfRule>
    <cfRule type="containsText" dxfId="10120" priority="2857" operator="containsText" text="P">
      <formula>NOT(ISERROR(SEARCH("P",K91)))</formula>
    </cfRule>
    <cfRule type="containsText" dxfId="10119" priority="2858" operator="containsText" text="TFO">
      <formula>NOT(ISERROR(SEARCH("TFO",K91)))</formula>
    </cfRule>
    <cfRule type="containsText" dxfId="10118" priority="2859" operator="containsText" text="AA">
      <formula>NOT(ISERROR(SEARCH("AA",K91)))</formula>
    </cfRule>
    <cfRule type="containsText" dxfId="10117" priority="2860" operator="containsText" text="RESIGNED">
      <formula>NOT(ISERROR(SEARCH("RESIGNED",K91)))</formula>
    </cfRule>
    <cfRule type="containsText" dxfId="10116" priority="2861" operator="containsText" text="P">
      <formula>NOT(ISERROR(SEARCH("P",K91)))</formula>
    </cfRule>
    <cfRule type="containsText" dxfId="10115" priority="2862" operator="containsText" text="TARDY">
      <formula>NOT(ISERROR(SEARCH("TARDY",K91)))</formula>
    </cfRule>
    <cfRule type="containsText" dxfId="10114" priority="2863" operator="containsText" text="REST DAY">
      <formula>NOT(ISERROR(SEARCH("REST DAY",K91)))</formula>
    </cfRule>
    <cfRule type="containsText" dxfId="10113" priority="2864" operator="containsText" text="UA">
      <formula>NOT(ISERROR(SEARCH("UA",K91)))</formula>
    </cfRule>
    <cfRule type="containsText" dxfId="10112" priority="2865" operator="containsText" text="LWOP UA">
      <formula>NOT(ISERROR(SEARCH("LWOP UA",K91)))</formula>
    </cfRule>
  </conditionalFormatting>
  <conditionalFormatting sqref="K92:Q92">
    <cfRule type="containsText" dxfId="10111" priority="3081" operator="containsText" text="P">
      <formula>NOT(ISERROR(SEARCH("P",K92)))</formula>
    </cfRule>
    <cfRule type="containsText" dxfId="10110" priority="3082" operator="containsText" text="TFO">
      <formula>NOT(ISERROR(SEARCH("TFO",K92)))</formula>
    </cfRule>
    <cfRule type="containsText" dxfId="10109" priority="3083" operator="containsText" text="AA">
      <formula>NOT(ISERROR(SEARCH("AA",K92)))</formula>
    </cfRule>
    <cfRule type="containsText" dxfId="10108" priority="3084" operator="containsText" text="RESIGNED">
      <formula>NOT(ISERROR(SEARCH("RESIGNED",K92)))</formula>
    </cfRule>
    <cfRule type="containsText" dxfId="10107" priority="3085" operator="containsText" text="P">
      <formula>NOT(ISERROR(SEARCH("P",K92)))</formula>
    </cfRule>
    <cfRule type="containsText" dxfId="10106" priority="3086" operator="containsText" text="TARDY">
      <formula>NOT(ISERROR(SEARCH("TARDY",K92)))</formula>
    </cfRule>
    <cfRule type="containsText" dxfId="10105" priority="3087" operator="containsText" text="REST DAY">
      <formula>NOT(ISERROR(SEARCH("REST DAY",K92)))</formula>
    </cfRule>
    <cfRule type="containsText" dxfId="10104" priority="3088" operator="containsText" text="UA">
      <formula>NOT(ISERROR(SEARCH("UA",K92)))</formula>
    </cfRule>
    <cfRule type="containsText" dxfId="10103" priority="3089" operator="containsText" text="LWOP UA">
      <formula>NOT(ISERROR(SEARCH("LWOP UA",K92)))</formula>
    </cfRule>
  </conditionalFormatting>
  <conditionalFormatting sqref="K92:Q93">
    <cfRule type="containsText" dxfId="10102" priority="3058" operator="containsText" text="VL">
      <formula>NOT(ISERROR(SEARCH("VL",K92)))</formula>
    </cfRule>
    <cfRule type="containsText" dxfId="10101" priority="3059" operator="containsText" text="RD">
      <formula>NOT(ISERROR(SEARCH("RD",K92)))</formula>
    </cfRule>
    <cfRule type="containsText" dxfId="10100" priority="3060" operator="containsText" text="540">
      <formula>NOT(ISERROR(SEARCH("540",K92)))</formula>
    </cfRule>
    <cfRule type="cellIs" dxfId="10099" priority="3061" operator="between">
      <formula>1</formula>
      <formula>400</formula>
    </cfRule>
    <cfRule type="containsText" dxfId="10098" priority="3071" operator="containsText" text="LWOP UA">
      <formula>NOT(ISERROR(SEARCH("LWOP UA",K92)))</formula>
    </cfRule>
  </conditionalFormatting>
  <conditionalFormatting sqref="K94:Q94">
    <cfRule type="cellIs" dxfId="10097" priority="2707" operator="between">
      <formula>1</formula>
      <formula>400</formula>
    </cfRule>
    <cfRule type="containsText" dxfId="10096" priority="2708" operator="containsText" text="LWOP UA">
      <formula>NOT(ISERROR(SEARCH("LWOP UA",K94)))</formula>
    </cfRule>
    <cfRule type="containsText" dxfId="10095" priority="2709" operator="containsText" text="P">
      <formula>NOT(ISERROR(SEARCH("P",K94)))</formula>
    </cfRule>
    <cfRule type="containsText" dxfId="10094" priority="2710" operator="containsText" text="TFO">
      <formula>NOT(ISERROR(SEARCH("TFO",K94)))</formula>
    </cfRule>
    <cfRule type="containsText" dxfId="10093" priority="2711" operator="containsText" text="AA">
      <formula>NOT(ISERROR(SEARCH("AA",K94)))</formula>
    </cfRule>
    <cfRule type="containsText" dxfId="10092" priority="2712" operator="containsText" text="RESIGNED">
      <formula>NOT(ISERROR(SEARCH("RESIGNED",K94)))</formula>
    </cfRule>
    <cfRule type="containsText" dxfId="10091" priority="2713" operator="containsText" text="P">
      <formula>NOT(ISERROR(SEARCH("P",K94)))</formula>
    </cfRule>
    <cfRule type="containsText" dxfId="10090" priority="2714" operator="containsText" text="TARDY">
      <formula>NOT(ISERROR(SEARCH("TARDY",K94)))</formula>
    </cfRule>
    <cfRule type="containsText" dxfId="10089" priority="2715" operator="containsText" text="REST DAY">
      <formula>NOT(ISERROR(SEARCH("REST DAY",K94)))</formula>
    </cfRule>
    <cfRule type="containsText" dxfId="10088" priority="2716" operator="containsText" text="UA">
      <formula>NOT(ISERROR(SEARCH("UA",K94)))</formula>
    </cfRule>
    <cfRule type="containsText" dxfId="10087" priority="2717" operator="containsText" text="LWOP UA">
      <formula>NOT(ISERROR(SEARCH("LWOP UA",K94)))</formula>
    </cfRule>
  </conditionalFormatting>
  <conditionalFormatting sqref="K59:X59">
    <cfRule type="containsText" dxfId="10086" priority="4056" operator="containsText" text="540">
      <formula>NOT(ISERROR(SEARCH("540",K59)))</formula>
    </cfRule>
  </conditionalFormatting>
  <conditionalFormatting sqref="K69:X70">
    <cfRule type="containsText" dxfId="10085" priority="760" operator="containsText" text="VL">
      <formula>NOT(ISERROR(SEARCH("VL",K69)))</formula>
    </cfRule>
    <cfRule type="containsText" dxfId="10084" priority="761" operator="containsText" text="RD">
      <formula>NOT(ISERROR(SEARCH("RD",K69)))</formula>
    </cfRule>
    <cfRule type="containsText" dxfId="10083" priority="762" operator="containsText" text="540">
      <formula>NOT(ISERROR(SEARCH("540",K69)))</formula>
    </cfRule>
  </conditionalFormatting>
  <conditionalFormatting sqref="K80:X83">
    <cfRule type="containsText" dxfId="10082" priority="693" operator="containsText" text="VL">
      <formula>NOT(ISERROR(SEARCH("VL",K80)))</formula>
    </cfRule>
    <cfRule type="containsText" dxfId="10081" priority="694" operator="containsText" text="RD">
      <formula>NOT(ISERROR(SEARCH("RD",K80)))</formula>
    </cfRule>
    <cfRule type="containsText" dxfId="10080" priority="695" operator="containsText" text="540">
      <formula>NOT(ISERROR(SEARCH("540",K80)))</formula>
    </cfRule>
  </conditionalFormatting>
  <conditionalFormatting sqref="K3:AG13">
    <cfRule type="containsText" dxfId="10079" priority="1" operator="containsText" text="VL">
      <formula>NOT(ISERROR(SEARCH("VL",K3)))</formula>
    </cfRule>
    <cfRule type="containsText" dxfId="10078" priority="2" operator="containsText" text="RD">
      <formula>NOT(ISERROR(SEARCH("RD",K3)))</formula>
    </cfRule>
  </conditionalFormatting>
  <conditionalFormatting sqref="K5:AG5">
    <cfRule type="containsText" dxfId="10077" priority="3935" operator="containsText" text="540">
      <formula>NOT(ISERROR(SEARCH("540",K5)))</formula>
    </cfRule>
  </conditionalFormatting>
  <conditionalFormatting sqref="K13:AG13">
    <cfRule type="containsText" dxfId="10076" priority="3912" operator="containsText" text="540">
      <formula>NOT(ISERROR(SEARCH("540",K13)))</formula>
    </cfRule>
  </conditionalFormatting>
  <conditionalFormatting sqref="K24:AG25">
    <cfRule type="containsText" dxfId="10075" priority="1288" operator="containsText" text="540">
      <formula>NOT(ISERROR(SEARCH("540",K24)))</formula>
    </cfRule>
  </conditionalFormatting>
  <conditionalFormatting sqref="K24:AG36">
    <cfRule type="containsText" dxfId="10074" priority="412" operator="containsText" text="RD">
      <formula>NOT(ISERROR(SEARCH("RD",K24)))</formula>
    </cfRule>
  </conditionalFormatting>
  <conditionalFormatting sqref="K24:AG49">
    <cfRule type="containsText" dxfId="10073" priority="337" operator="containsText" text="VL">
      <formula>NOT(ISERROR(SEARCH("VL",K24)))</formula>
    </cfRule>
  </conditionalFormatting>
  <conditionalFormatting sqref="K36:AG36">
    <cfRule type="containsText" dxfId="10072" priority="3856" operator="containsText" text="540">
      <formula>NOT(ISERROR(SEARCH("540",K36)))</formula>
    </cfRule>
  </conditionalFormatting>
  <conditionalFormatting sqref="K49:AG49">
    <cfRule type="containsText" dxfId="10071" priority="3832" operator="containsText" text="RD">
      <formula>NOT(ISERROR(SEARCH("RD",K49)))</formula>
    </cfRule>
    <cfRule type="containsText" dxfId="10070" priority="3833" operator="containsText" text="540">
      <formula>NOT(ISERROR(SEARCH("540",K49)))</formula>
    </cfRule>
  </conditionalFormatting>
  <conditionalFormatting sqref="K59:AG59">
    <cfRule type="containsText" dxfId="10069" priority="71" operator="containsText" text="VL">
      <formula>NOT(ISERROR(SEARCH("VL",K59)))</formula>
    </cfRule>
    <cfRule type="containsText" dxfId="10068" priority="72" operator="containsText" text="RD">
      <formula>NOT(ISERROR(SEARCH("RD",K59)))</formula>
    </cfRule>
  </conditionalFormatting>
  <conditionalFormatting sqref="K68:AG68">
    <cfRule type="containsText" dxfId="10067" priority="3799" operator="containsText" text="VL">
      <formula>NOT(ISERROR(SEARCH("VL",K68)))</formula>
    </cfRule>
    <cfRule type="containsText" dxfId="10066" priority="3800" operator="containsText" text="RD">
      <formula>NOT(ISERROR(SEARCH("RD",K68)))</formula>
    </cfRule>
    <cfRule type="containsText" dxfId="10065" priority="3801" operator="containsText" text="540">
      <formula>NOT(ISERROR(SEARCH("540",K68)))</formula>
    </cfRule>
  </conditionalFormatting>
  <conditionalFormatting sqref="K76:AG79">
    <cfRule type="containsText" dxfId="10064" priority="1532" operator="containsText" text="VL">
      <formula>NOT(ISERROR(SEARCH("VL",K76)))</formula>
    </cfRule>
    <cfRule type="containsText" dxfId="10063" priority="1533" operator="containsText" text="RD">
      <formula>NOT(ISERROR(SEARCH("RD",K76)))</formula>
    </cfRule>
    <cfRule type="containsText" dxfId="10062" priority="1534" operator="containsText" text="540">
      <formula>NOT(ISERROR(SEARCH("540",K76)))</formula>
    </cfRule>
  </conditionalFormatting>
  <conditionalFormatting sqref="K87:AG87">
    <cfRule type="containsText" dxfId="10061" priority="3720" operator="containsText" text="VL">
      <formula>NOT(ISERROR(SEARCH("VL",K87)))</formula>
    </cfRule>
    <cfRule type="containsText" dxfId="10060" priority="3721" operator="containsText" text="RD">
      <formula>NOT(ISERROR(SEARCH("RD",K87)))</formula>
    </cfRule>
    <cfRule type="containsText" dxfId="10059" priority="3722" operator="containsText" text="540">
      <formula>NOT(ISERROR(SEARCH("540",K87)))</formula>
    </cfRule>
  </conditionalFormatting>
  <conditionalFormatting sqref="K94:AG94">
    <cfRule type="containsText" dxfId="10058" priority="1157" operator="containsText" text="VL">
      <formula>NOT(ISERROR(SEARCH("VL",K94)))</formula>
    </cfRule>
    <cfRule type="containsText" dxfId="10057" priority="1158" operator="containsText" text="RD">
      <formula>NOT(ISERROR(SEARCH("RD",K94)))</formula>
    </cfRule>
    <cfRule type="containsText" dxfId="10056" priority="1159" operator="containsText" text="540">
      <formula>NOT(ISERROR(SEARCH("540",K94)))</formula>
    </cfRule>
  </conditionalFormatting>
  <conditionalFormatting sqref="L37:P37">
    <cfRule type="containsText" dxfId="10055" priority="3357" operator="containsText" text="RD">
      <formula>NOT(ISERROR(SEARCH("RD",L37)))</formula>
    </cfRule>
    <cfRule type="containsText" dxfId="10054" priority="3358" operator="containsText" text="540">
      <formula>NOT(ISERROR(SEARCH("540",L37)))</formula>
    </cfRule>
    <cfRule type="cellIs" dxfId="10053" priority="3359" operator="between">
      <formula>1</formula>
      <formula>400</formula>
    </cfRule>
    <cfRule type="containsText" dxfId="10052" priority="3360" operator="containsText" text="LWOP UA">
      <formula>NOT(ISERROR(SEARCH("LWOP UA",L37)))</formula>
    </cfRule>
    <cfRule type="containsText" dxfId="10051" priority="3361" operator="containsText" text="P">
      <formula>NOT(ISERROR(SEARCH("P",L37)))</formula>
    </cfRule>
    <cfRule type="containsText" dxfId="10050" priority="3362" operator="containsText" text="TFO">
      <formula>NOT(ISERROR(SEARCH("TFO",L37)))</formula>
    </cfRule>
    <cfRule type="containsText" dxfId="10049" priority="3363" operator="containsText" text="AA">
      <formula>NOT(ISERROR(SEARCH("AA",L37)))</formula>
    </cfRule>
    <cfRule type="containsText" dxfId="10048" priority="3364" operator="containsText" text="RESIGNED">
      <formula>NOT(ISERROR(SEARCH("RESIGNED",L37)))</formula>
    </cfRule>
    <cfRule type="containsText" dxfId="10047" priority="3365" operator="containsText" text="P">
      <formula>NOT(ISERROR(SEARCH("P",L37)))</formula>
    </cfRule>
    <cfRule type="containsText" dxfId="10046" priority="3366" operator="containsText" text="TARDY">
      <formula>NOT(ISERROR(SEARCH("TARDY",L37)))</formula>
    </cfRule>
    <cfRule type="containsText" dxfId="10045" priority="3367" operator="containsText" text="REST DAY">
      <formula>NOT(ISERROR(SEARCH("REST DAY",L37)))</formula>
    </cfRule>
    <cfRule type="containsText" dxfId="10044" priority="3368" operator="containsText" text="UA">
      <formula>NOT(ISERROR(SEARCH("UA",L37)))</formula>
    </cfRule>
    <cfRule type="containsText" dxfId="10043" priority="3369" operator="containsText" text="LWOP UA">
      <formula>NOT(ISERROR(SEARCH("LWOP UA",L37)))</formula>
    </cfRule>
  </conditionalFormatting>
  <conditionalFormatting sqref="L51:P51">
    <cfRule type="containsText" dxfId="10042" priority="3343" operator="containsText" text="RD">
      <formula>NOT(ISERROR(SEARCH("RD",L51)))</formula>
    </cfRule>
    <cfRule type="containsText" dxfId="10041" priority="3344" operator="containsText" text="540">
      <formula>NOT(ISERROR(SEARCH("540",L51)))</formula>
    </cfRule>
    <cfRule type="cellIs" dxfId="10040" priority="3345" operator="between">
      <formula>1</formula>
      <formula>400</formula>
    </cfRule>
    <cfRule type="containsText" dxfId="10039" priority="3346" operator="containsText" text="LWOP UA">
      <formula>NOT(ISERROR(SEARCH("LWOP UA",L51)))</formula>
    </cfRule>
    <cfRule type="containsText" dxfId="10038" priority="3347" operator="containsText" text="P">
      <formula>NOT(ISERROR(SEARCH("P",L51)))</formula>
    </cfRule>
    <cfRule type="containsText" dxfId="10037" priority="3348" operator="containsText" text="TFO">
      <formula>NOT(ISERROR(SEARCH("TFO",L51)))</formula>
    </cfRule>
    <cfRule type="containsText" dxfId="10036" priority="3349" operator="containsText" text="AA">
      <formula>NOT(ISERROR(SEARCH("AA",L51)))</formula>
    </cfRule>
    <cfRule type="containsText" dxfId="10035" priority="3350" operator="containsText" text="RESIGNED">
      <formula>NOT(ISERROR(SEARCH("RESIGNED",L51)))</formula>
    </cfRule>
    <cfRule type="containsText" dxfId="10034" priority="3351" operator="containsText" text="P">
      <formula>NOT(ISERROR(SEARCH("P",L51)))</formula>
    </cfRule>
    <cfRule type="containsText" dxfId="10033" priority="3352" operator="containsText" text="TARDY">
      <formula>NOT(ISERROR(SEARCH("TARDY",L51)))</formula>
    </cfRule>
    <cfRule type="containsText" dxfId="10032" priority="3353" operator="containsText" text="REST DAY">
      <formula>NOT(ISERROR(SEARCH("REST DAY",L51)))</formula>
    </cfRule>
    <cfRule type="containsText" dxfId="10031" priority="3354" operator="containsText" text="UA">
      <formula>NOT(ISERROR(SEARCH("UA",L51)))</formula>
    </cfRule>
    <cfRule type="containsText" dxfId="10030" priority="3355" operator="containsText" text="LWOP UA">
      <formula>NOT(ISERROR(SEARCH("LWOP UA",L51)))</formula>
    </cfRule>
  </conditionalFormatting>
  <conditionalFormatting sqref="M93:N93">
    <cfRule type="containsText" dxfId="10029" priority="3062" operator="containsText" text="LWOP UA">
      <formula>NOT(ISERROR(SEARCH("LWOP UA",M93)))</formula>
    </cfRule>
    <cfRule type="containsText" dxfId="10028" priority="3063" operator="containsText" text="P">
      <formula>NOT(ISERROR(SEARCH("P",M93)))</formula>
    </cfRule>
    <cfRule type="containsText" dxfId="10027" priority="3064" operator="containsText" text="TFO">
      <formula>NOT(ISERROR(SEARCH("TFO",M93)))</formula>
    </cfRule>
    <cfRule type="containsText" dxfId="10026" priority="3065" operator="containsText" text="AA">
      <formula>NOT(ISERROR(SEARCH("AA",M93)))</formula>
    </cfRule>
    <cfRule type="containsText" dxfId="10025" priority="3066" operator="containsText" text="RESIGNED">
      <formula>NOT(ISERROR(SEARCH("RESIGNED",M93)))</formula>
    </cfRule>
    <cfRule type="containsText" dxfId="10024" priority="3067" operator="containsText" text="P">
      <formula>NOT(ISERROR(SEARCH("P",M93)))</formula>
    </cfRule>
    <cfRule type="containsText" dxfId="10023" priority="3068" operator="containsText" text="TARDY">
      <formula>NOT(ISERROR(SEARCH("TARDY",M93)))</formula>
    </cfRule>
    <cfRule type="containsText" dxfId="10022" priority="3069" operator="containsText" text="REST DAY">
      <formula>NOT(ISERROR(SEARCH("REST DAY",M93)))</formula>
    </cfRule>
    <cfRule type="containsText" dxfId="10021" priority="3070" operator="containsText" text="UA">
      <formula>NOT(ISERROR(SEARCH("UA",M93)))</formula>
    </cfRule>
  </conditionalFormatting>
  <conditionalFormatting sqref="Q94">
    <cfRule type="containsText" dxfId="10020" priority="2718" operator="containsText" text="P">
      <formula>NOT(ISERROR(SEARCH("P",Q94)))</formula>
    </cfRule>
    <cfRule type="containsText" dxfId="10019" priority="2719" operator="containsText" text="TFO">
      <formula>NOT(ISERROR(SEARCH("TFO",Q94)))</formula>
    </cfRule>
    <cfRule type="containsText" dxfId="10018" priority="2720" operator="containsText" text="AA">
      <formula>NOT(ISERROR(SEARCH("AA",Q94)))</formula>
    </cfRule>
    <cfRule type="containsText" dxfId="10017" priority="2721" operator="containsText" text="RESIGNED">
      <formula>NOT(ISERROR(SEARCH("RESIGNED",Q94)))</formula>
    </cfRule>
    <cfRule type="containsText" dxfId="10016" priority="2722" operator="containsText" text="P">
      <formula>NOT(ISERROR(SEARCH("P",Q94)))</formula>
    </cfRule>
    <cfRule type="containsText" dxfId="10015" priority="2723" operator="containsText" text="TARDY">
      <formula>NOT(ISERROR(SEARCH("TARDY",Q94)))</formula>
    </cfRule>
    <cfRule type="containsText" dxfId="10014" priority="2724" operator="containsText" text="REST DAY">
      <formula>NOT(ISERROR(SEARCH("REST DAY",Q94)))</formula>
    </cfRule>
    <cfRule type="containsText" dxfId="10013" priority="2725" operator="containsText" text="UA">
      <formula>NOT(ISERROR(SEARCH("UA",Q94)))</formula>
    </cfRule>
    <cfRule type="containsText" dxfId="10012" priority="2726" operator="containsText" text="LWOP UA">
      <formula>NOT(ISERROR(SEARCH("LWOP UA",Q94)))</formula>
    </cfRule>
  </conditionalFormatting>
  <conditionalFormatting sqref="R20">
    <cfRule type="containsText" dxfId="10011" priority="1467" operator="containsText" text="P">
      <formula>NOT(ISERROR(SEARCH("P",R20)))</formula>
    </cfRule>
    <cfRule type="containsText" dxfId="10010" priority="1468" operator="containsText" text="TFO">
      <formula>NOT(ISERROR(SEARCH("TFO",R20)))</formula>
    </cfRule>
    <cfRule type="containsText" dxfId="10009" priority="1469" operator="containsText" text="AA">
      <formula>NOT(ISERROR(SEARCH("AA",R20)))</formula>
    </cfRule>
    <cfRule type="containsText" dxfId="10008" priority="1470" operator="containsText" text="RESIGNED">
      <formula>NOT(ISERROR(SEARCH("RESIGNED",R20)))</formula>
    </cfRule>
    <cfRule type="containsText" dxfId="10007" priority="1471" operator="containsText" text="P">
      <formula>NOT(ISERROR(SEARCH("P",R20)))</formula>
    </cfRule>
    <cfRule type="containsText" dxfId="10006" priority="1472" operator="containsText" text="TARDY">
      <formula>NOT(ISERROR(SEARCH("TARDY",R20)))</formula>
    </cfRule>
    <cfRule type="containsText" dxfId="10005" priority="1473" operator="containsText" text="REST DAY">
      <formula>NOT(ISERROR(SEARCH("REST DAY",R20)))</formula>
    </cfRule>
    <cfRule type="containsText" dxfId="10004" priority="1474" operator="containsText" text="UA">
      <formula>NOT(ISERROR(SEARCH("UA",R20)))</formula>
    </cfRule>
    <cfRule type="containsText" dxfId="10003" priority="1475" operator="containsText" text="LWOP UA">
      <formula>NOT(ISERROR(SEARCH("LWOP UA",R20)))</formula>
    </cfRule>
  </conditionalFormatting>
  <conditionalFormatting sqref="R49">
    <cfRule type="containsText" dxfId="10002" priority="4091" operator="containsText" text="LWOP UA">
      <formula>NOT(ISERROR(SEARCH("LWOP UA",R49)))</formula>
    </cfRule>
    <cfRule type="containsText" dxfId="10001" priority="4092" operator="containsText" text="P">
      <formula>NOT(ISERROR(SEARCH("P",R49)))</formula>
    </cfRule>
    <cfRule type="containsText" dxfId="10000" priority="4093" operator="containsText" text="TFO">
      <formula>NOT(ISERROR(SEARCH("TFO",R49)))</formula>
    </cfRule>
    <cfRule type="containsText" dxfId="9999" priority="4094" operator="containsText" text="AA">
      <formula>NOT(ISERROR(SEARCH("AA",R49)))</formula>
    </cfRule>
    <cfRule type="containsText" dxfId="9998" priority="4095" operator="containsText" text="RESIGNED">
      <formula>NOT(ISERROR(SEARCH("RESIGNED",R49)))</formula>
    </cfRule>
    <cfRule type="containsText" dxfId="9997" priority="4096" operator="containsText" text="P">
      <formula>NOT(ISERROR(SEARCH("P",R49)))</formula>
    </cfRule>
    <cfRule type="containsText" dxfId="9996" priority="4097" operator="containsText" text="TARDY">
      <formula>NOT(ISERROR(SEARCH("TARDY",R49)))</formula>
    </cfRule>
    <cfRule type="containsText" dxfId="9995" priority="4098" operator="containsText" text="REST DAY">
      <formula>NOT(ISERROR(SEARCH("REST DAY",R49)))</formula>
    </cfRule>
    <cfRule type="containsText" dxfId="9994" priority="4099" operator="containsText" text="UA">
      <formula>NOT(ISERROR(SEARCH("UA",R49)))</formula>
    </cfRule>
  </conditionalFormatting>
  <conditionalFormatting sqref="R57">
    <cfRule type="containsText" dxfId="9993" priority="1396" operator="containsText" text="LWOP UA">
      <formula>NOT(ISERROR(SEARCH("LWOP UA",R57)))</formula>
    </cfRule>
    <cfRule type="containsText" dxfId="9992" priority="1397" operator="containsText" text="P">
      <formula>NOT(ISERROR(SEARCH("P",R57)))</formula>
    </cfRule>
    <cfRule type="containsText" dxfId="9991" priority="1398" operator="containsText" text="TFO">
      <formula>NOT(ISERROR(SEARCH("TFO",R57)))</formula>
    </cfRule>
    <cfRule type="containsText" dxfId="9990" priority="1399" operator="containsText" text="AA">
      <formula>NOT(ISERROR(SEARCH("AA",R57)))</formula>
    </cfRule>
    <cfRule type="containsText" dxfId="9989" priority="1400" operator="containsText" text="RESIGNED">
      <formula>NOT(ISERROR(SEARCH("RESIGNED",R57)))</formula>
    </cfRule>
    <cfRule type="containsText" dxfId="9988" priority="1401" operator="containsText" text="P">
      <formula>NOT(ISERROR(SEARCH("P",R57)))</formula>
    </cfRule>
    <cfRule type="containsText" dxfId="9987" priority="1402" operator="containsText" text="TARDY">
      <formula>NOT(ISERROR(SEARCH("TARDY",R57)))</formula>
    </cfRule>
    <cfRule type="containsText" dxfId="9986" priority="1403" operator="containsText" text="REST DAY">
      <formula>NOT(ISERROR(SEARCH("REST DAY",R57)))</formula>
    </cfRule>
    <cfRule type="containsText" dxfId="9985" priority="1404" operator="containsText" text="UA">
      <formula>NOT(ISERROR(SEARCH("UA",R57)))</formula>
    </cfRule>
  </conditionalFormatting>
  <conditionalFormatting sqref="R59">
    <cfRule type="containsText" dxfId="9984" priority="4058" operator="containsText" text="LWOP UA">
      <formula>NOT(ISERROR(SEARCH("LWOP UA",R59)))</formula>
    </cfRule>
    <cfRule type="containsText" dxfId="9983" priority="4059" operator="containsText" text="P">
      <formula>NOT(ISERROR(SEARCH("P",R59)))</formula>
    </cfRule>
    <cfRule type="containsText" dxfId="9982" priority="4060" operator="containsText" text="TFO">
      <formula>NOT(ISERROR(SEARCH("TFO",R59)))</formula>
    </cfRule>
    <cfRule type="containsText" dxfId="9981" priority="4061" operator="containsText" text="AA">
      <formula>NOT(ISERROR(SEARCH("AA",R59)))</formula>
    </cfRule>
    <cfRule type="containsText" dxfId="9980" priority="4062" operator="containsText" text="RESIGNED">
      <formula>NOT(ISERROR(SEARCH("RESIGNED",R59)))</formula>
    </cfRule>
    <cfRule type="containsText" dxfId="9979" priority="4063" operator="containsText" text="P">
      <formula>NOT(ISERROR(SEARCH("P",R59)))</formula>
    </cfRule>
    <cfRule type="containsText" dxfId="9978" priority="4064" operator="containsText" text="TARDY">
      <formula>NOT(ISERROR(SEARCH("TARDY",R59)))</formula>
    </cfRule>
    <cfRule type="containsText" dxfId="9977" priority="4065" operator="containsText" text="REST DAY">
      <formula>NOT(ISERROR(SEARCH("REST DAY",R59)))</formula>
    </cfRule>
    <cfRule type="containsText" dxfId="9976" priority="4066" operator="containsText" text="UA">
      <formula>NOT(ISERROR(SEARCH("UA",R59)))</formula>
    </cfRule>
  </conditionalFormatting>
  <conditionalFormatting sqref="R67">
    <cfRule type="containsText" dxfId="9975" priority="1369" operator="containsText" text="P">
      <formula>NOT(ISERROR(SEARCH("P",R67)))</formula>
    </cfRule>
    <cfRule type="containsText" dxfId="9974" priority="1370" operator="containsText" text="TFO">
      <formula>NOT(ISERROR(SEARCH("TFO",R67)))</formula>
    </cfRule>
    <cfRule type="containsText" dxfId="9973" priority="1371" operator="containsText" text="AA">
      <formula>NOT(ISERROR(SEARCH("AA",R67)))</formula>
    </cfRule>
    <cfRule type="containsText" dxfId="9972" priority="1372" operator="containsText" text="RESIGNED">
      <formula>NOT(ISERROR(SEARCH("RESIGNED",R67)))</formula>
    </cfRule>
    <cfRule type="containsText" dxfId="9971" priority="1373" operator="containsText" text="P">
      <formula>NOT(ISERROR(SEARCH("P",R67)))</formula>
    </cfRule>
    <cfRule type="containsText" dxfId="9970" priority="1374" operator="containsText" text="TARDY">
      <formula>NOT(ISERROR(SEARCH("TARDY",R67)))</formula>
    </cfRule>
    <cfRule type="containsText" dxfId="9969" priority="1375" operator="containsText" text="REST DAY">
      <formula>NOT(ISERROR(SEARCH("REST DAY",R67)))</formula>
    </cfRule>
    <cfRule type="containsText" dxfId="9968" priority="1376" operator="containsText" text="UA">
      <formula>NOT(ISERROR(SEARCH("UA",R67)))</formula>
    </cfRule>
    <cfRule type="containsText" dxfId="9967" priority="1377" operator="containsText" text="LWOP UA">
      <formula>NOT(ISERROR(SEARCH("LWOP UA",R67)))</formula>
    </cfRule>
  </conditionalFormatting>
  <conditionalFormatting sqref="R90">
    <cfRule type="containsText" dxfId="9966" priority="1346" operator="containsText" text="P">
      <formula>NOT(ISERROR(SEARCH("P",R90)))</formula>
    </cfRule>
    <cfRule type="containsText" dxfId="9965" priority="1347" operator="containsText" text="TFO">
      <formula>NOT(ISERROR(SEARCH("TFO",R90)))</formula>
    </cfRule>
    <cfRule type="containsText" dxfId="9964" priority="1348" operator="containsText" text="AA">
      <formula>NOT(ISERROR(SEARCH("AA",R90)))</formula>
    </cfRule>
    <cfRule type="containsText" dxfId="9963" priority="1349" operator="containsText" text="RESIGNED">
      <formula>NOT(ISERROR(SEARCH("RESIGNED",R90)))</formula>
    </cfRule>
    <cfRule type="containsText" dxfId="9962" priority="1350" operator="containsText" text="P">
      <formula>NOT(ISERROR(SEARCH("P",R90)))</formula>
    </cfRule>
    <cfRule type="containsText" dxfId="9961" priority="1351" operator="containsText" text="TARDY">
      <formula>NOT(ISERROR(SEARCH("TARDY",R90)))</formula>
    </cfRule>
    <cfRule type="containsText" dxfId="9960" priority="1352" operator="containsText" text="REST DAY">
      <formula>NOT(ISERROR(SEARCH("REST DAY",R90)))</formula>
    </cfRule>
    <cfRule type="containsText" dxfId="9959" priority="1353" operator="containsText" text="UA">
      <formula>NOT(ISERROR(SEARCH("UA",R90)))</formula>
    </cfRule>
    <cfRule type="containsText" dxfId="9958" priority="1354" operator="containsText" text="LWOP UA">
      <formula>NOT(ISERROR(SEARCH("LWOP UA",R90)))</formula>
    </cfRule>
  </conditionalFormatting>
  <conditionalFormatting sqref="R93 X93">
    <cfRule type="containsText" dxfId="9957" priority="656" operator="containsText" text="P">
      <formula>NOT(ISERROR(SEARCH("P",R93)))</formula>
    </cfRule>
    <cfRule type="containsText" dxfId="9956" priority="657" operator="containsText" text="TFO">
      <formula>NOT(ISERROR(SEARCH("TFO",R93)))</formula>
    </cfRule>
    <cfRule type="containsText" dxfId="9955" priority="658" operator="containsText" text="AA">
      <formula>NOT(ISERROR(SEARCH("AA",R93)))</formula>
    </cfRule>
    <cfRule type="containsText" dxfId="9954" priority="659" operator="containsText" text="RESIGNED">
      <formula>NOT(ISERROR(SEARCH("RESIGNED",R93)))</formula>
    </cfRule>
    <cfRule type="containsText" dxfId="9953" priority="660" operator="containsText" text="P">
      <formula>NOT(ISERROR(SEARCH("P",R93)))</formula>
    </cfRule>
    <cfRule type="containsText" dxfId="9952" priority="661" operator="containsText" text="TARDY">
      <formula>NOT(ISERROR(SEARCH("TARDY",R93)))</formula>
    </cfRule>
    <cfRule type="containsText" dxfId="9951" priority="662" operator="containsText" text="REST DAY">
      <formula>NOT(ISERROR(SEARCH("REST DAY",R93)))</formula>
    </cfRule>
    <cfRule type="containsText" dxfId="9950" priority="663" operator="containsText" text="UA">
      <formula>NOT(ISERROR(SEARCH("UA",R93)))</formula>
    </cfRule>
    <cfRule type="containsText" dxfId="9949" priority="664" operator="containsText" text="LWOP UA">
      <formula>NOT(ISERROR(SEARCH("LWOP UA",R93)))</formula>
    </cfRule>
  </conditionalFormatting>
  <conditionalFormatting sqref="R93">
    <cfRule type="containsText" dxfId="9948" priority="623" operator="containsText" text="LWOP UA">
      <formula>NOT(ISERROR(SEARCH("LWOP UA",R93)))</formula>
    </cfRule>
    <cfRule type="containsText" dxfId="9947" priority="624" operator="containsText" text="P">
      <formula>NOT(ISERROR(SEARCH("P",R93)))</formula>
    </cfRule>
    <cfRule type="containsText" dxfId="9946" priority="625" operator="containsText" text="TFO">
      <formula>NOT(ISERROR(SEARCH("TFO",R93)))</formula>
    </cfRule>
    <cfRule type="containsText" dxfId="9945" priority="626" operator="containsText" text="AA">
      <formula>NOT(ISERROR(SEARCH("AA",R93)))</formula>
    </cfRule>
    <cfRule type="containsText" dxfId="9944" priority="627" operator="containsText" text="RESIGNED">
      <formula>NOT(ISERROR(SEARCH("RESIGNED",R93)))</formula>
    </cfRule>
    <cfRule type="containsText" dxfId="9943" priority="628" operator="containsText" text="P">
      <formula>NOT(ISERROR(SEARCH("P",R93)))</formula>
    </cfRule>
    <cfRule type="containsText" dxfId="9942" priority="629" operator="containsText" text="TARDY">
      <formula>NOT(ISERROR(SEARCH("TARDY",R93)))</formula>
    </cfRule>
    <cfRule type="containsText" dxfId="9941" priority="630" operator="containsText" text="REST DAY">
      <formula>NOT(ISERROR(SEARCH("REST DAY",R93)))</formula>
    </cfRule>
    <cfRule type="containsText" dxfId="9940" priority="631" operator="containsText" text="UA">
      <formula>NOT(ISERROR(SEARCH("UA",R93)))</formula>
    </cfRule>
    <cfRule type="containsText" dxfId="9939" priority="632" operator="containsText" text="LWOP UA">
      <formula>NOT(ISERROR(SEARCH("LWOP UA",R93)))</formula>
    </cfRule>
  </conditionalFormatting>
  <conditionalFormatting sqref="R94 X94">
    <cfRule type="containsText" dxfId="9938" priority="1337" operator="containsText" text="P">
      <formula>NOT(ISERROR(SEARCH("P",R94)))</formula>
    </cfRule>
    <cfRule type="containsText" dxfId="9937" priority="1338" operator="containsText" text="TFO">
      <formula>NOT(ISERROR(SEARCH("TFO",R94)))</formula>
    </cfRule>
    <cfRule type="containsText" dxfId="9936" priority="1339" operator="containsText" text="AA">
      <formula>NOT(ISERROR(SEARCH("AA",R94)))</formula>
    </cfRule>
    <cfRule type="containsText" dxfId="9935" priority="1340" operator="containsText" text="RESIGNED">
      <formula>NOT(ISERROR(SEARCH("RESIGNED",R94)))</formula>
    </cfRule>
    <cfRule type="containsText" dxfId="9934" priority="1341" operator="containsText" text="P">
      <formula>NOT(ISERROR(SEARCH("P",R94)))</formula>
    </cfRule>
    <cfRule type="containsText" dxfId="9933" priority="1342" operator="containsText" text="TARDY">
      <formula>NOT(ISERROR(SEARCH("TARDY",R94)))</formula>
    </cfRule>
    <cfRule type="containsText" dxfId="9932" priority="1343" operator="containsText" text="REST DAY">
      <formula>NOT(ISERROR(SEARCH("REST DAY",R94)))</formula>
    </cfRule>
    <cfRule type="containsText" dxfId="9931" priority="1344" operator="containsText" text="UA">
      <formula>NOT(ISERROR(SEARCH("UA",R94)))</formula>
    </cfRule>
    <cfRule type="containsText" dxfId="9930" priority="1345" operator="containsText" text="LWOP UA">
      <formula>NOT(ISERROR(SEARCH("LWOP UA",R94)))</formula>
    </cfRule>
  </conditionalFormatting>
  <conditionalFormatting sqref="R4:S4 V4:X4">
    <cfRule type="containsText" dxfId="9929" priority="2639" operator="containsText" text="P">
      <formula>NOT(ISERROR(SEARCH("P",R4)))</formula>
    </cfRule>
    <cfRule type="containsText" dxfId="9928" priority="2640" operator="containsText" text="TFO">
      <formula>NOT(ISERROR(SEARCH("TFO",R4)))</formula>
    </cfRule>
    <cfRule type="containsText" dxfId="9927" priority="2641" operator="containsText" text="AA">
      <formula>NOT(ISERROR(SEARCH("AA",R4)))</formula>
    </cfRule>
    <cfRule type="containsText" dxfId="9926" priority="2642" operator="containsText" text="RESIGNED">
      <formula>NOT(ISERROR(SEARCH("RESIGNED",R4)))</formula>
    </cfRule>
    <cfRule type="containsText" dxfId="9925" priority="2643" operator="containsText" text="P">
      <formula>NOT(ISERROR(SEARCH("P",R4)))</formula>
    </cfRule>
    <cfRule type="containsText" dxfId="9924" priority="2644" operator="containsText" text="TARDY">
      <formula>NOT(ISERROR(SEARCH("TARDY",R4)))</formula>
    </cfRule>
    <cfRule type="containsText" dxfId="9923" priority="2645" operator="containsText" text="REST DAY">
      <formula>NOT(ISERROR(SEARCH("REST DAY",R4)))</formula>
    </cfRule>
    <cfRule type="containsText" dxfId="9922" priority="2646" operator="containsText" text="UA">
      <formula>NOT(ISERROR(SEARCH("UA",R4)))</formula>
    </cfRule>
    <cfRule type="containsText" dxfId="9921" priority="2647" operator="containsText" text="LWOP UA">
      <formula>NOT(ISERROR(SEARCH("LWOP UA",R4)))</formula>
    </cfRule>
  </conditionalFormatting>
  <conditionalFormatting sqref="R5:S5 V5:X5">
    <cfRule type="containsText" dxfId="9920" priority="4203" operator="containsText" text="P">
      <formula>NOT(ISERROR(SEARCH("P",R5)))</formula>
    </cfRule>
    <cfRule type="containsText" dxfId="9919" priority="4204" operator="containsText" text="TFO">
      <formula>NOT(ISERROR(SEARCH("TFO",R5)))</formula>
    </cfRule>
    <cfRule type="containsText" dxfId="9918" priority="4205" operator="containsText" text="AA">
      <formula>NOT(ISERROR(SEARCH("AA",R5)))</formula>
    </cfRule>
    <cfRule type="containsText" dxfId="9917" priority="4206" operator="containsText" text="RESIGNED">
      <formula>NOT(ISERROR(SEARCH("RESIGNED",R5)))</formula>
    </cfRule>
    <cfRule type="containsText" dxfId="9916" priority="4207" operator="containsText" text="P">
      <formula>NOT(ISERROR(SEARCH("P",R5)))</formula>
    </cfRule>
    <cfRule type="containsText" dxfId="9915" priority="4208" operator="containsText" text="TARDY">
      <formula>NOT(ISERROR(SEARCH("TARDY",R5)))</formula>
    </cfRule>
    <cfRule type="containsText" dxfId="9914" priority="4209" operator="containsText" text="REST DAY">
      <formula>NOT(ISERROR(SEARCH("REST DAY",R5)))</formula>
    </cfRule>
    <cfRule type="containsText" dxfId="9913" priority="4210" operator="containsText" text="UA">
      <formula>NOT(ISERROR(SEARCH("UA",R5)))</formula>
    </cfRule>
    <cfRule type="containsText" dxfId="9912" priority="4211" operator="containsText" text="LWOP UA">
      <formula>NOT(ISERROR(SEARCH("LWOP UA",R5)))</formula>
    </cfRule>
  </conditionalFormatting>
  <conditionalFormatting sqref="R12:S12">
    <cfRule type="containsText" dxfId="9911" priority="1101" operator="containsText" text="LWOP UA">
      <formula>NOT(ISERROR(SEARCH("LWOP UA",R12)))</formula>
    </cfRule>
    <cfRule type="containsText" dxfId="9910" priority="1102" operator="containsText" text="P">
      <formula>NOT(ISERROR(SEARCH("P",R12)))</formula>
    </cfRule>
    <cfRule type="containsText" dxfId="9909" priority="1103" operator="containsText" text="TFO">
      <formula>NOT(ISERROR(SEARCH("TFO",R12)))</formula>
    </cfRule>
    <cfRule type="containsText" dxfId="9908" priority="1104" operator="containsText" text="AA">
      <formula>NOT(ISERROR(SEARCH("AA",R12)))</formula>
    </cfRule>
    <cfRule type="containsText" dxfId="9907" priority="1105" operator="containsText" text="RESIGNED">
      <formula>NOT(ISERROR(SEARCH("RESIGNED",R12)))</formula>
    </cfRule>
    <cfRule type="containsText" dxfId="9906" priority="1106" operator="containsText" text="P">
      <formula>NOT(ISERROR(SEARCH("P",R12)))</formula>
    </cfRule>
    <cfRule type="containsText" dxfId="9905" priority="1107" operator="containsText" text="TARDY">
      <formula>NOT(ISERROR(SEARCH("TARDY",R12)))</formula>
    </cfRule>
    <cfRule type="containsText" dxfId="9904" priority="1108" operator="containsText" text="REST DAY">
      <formula>NOT(ISERROR(SEARCH("REST DAY",R12)))</formula>
    </cfRule>
    <cfRule type="containsText" dxfId="9903" priority="1109" operator="containsText" text="UA">
      <formula>NOT(ISERROR(SEARCH("UA",R12)))</formula>
    </cfRule>
  </conditionalFormatting>
  <conditionalFormatting sqref="R33:S33 V33:X33">
    <cfRule type="containsText" dxfId="9902" priority="1000" operator="containsText" text="P">
      <formula>NOT(ISERROR(SEARCH("P",R33)))</formula>
    </cfRule>
    <cfRule type="containsText" dxfId="9901" priority="1001" operator="containsText" text="TFO">
      <formula>NOT(ISERROR(SEARCH("TFO",R33)))</formula>
    </cfRule>
    <cfRule type="containsText" dxfId="9900" priority="1002" operator="containsText" text="AA">
      <formula>NOT(ISERROR(SEARCH("AA",R33)))</formula>
    </cfRule>
    <cfRule type="containsText" dxfId="9899" priority="1003" operator="containsText" text="RESIGNED">
      <formula>NOT(ISERROR(SEARCH("RESIGNED",R33)))</formula>
    </cfRule>
    <cfRule type="containsText" dxfId="9898" priority="1004" operator="containsText" text="P">
      <formula>NOT(ISERROR(SEARCH("P",R33)))</formula>
    </cfRule>
    <cfRule type="containsText" dxfId="9897" priority="1005" operator="containsText" text="TARDY">
      <formula>NOT(ISERROR(SEARCH("TARDY",R33)))</formula>
    </cfRule>
    <cfRule type="containsText" dxfId="9896" priority="1006" operator="containsText" text="REST DAY">
      <formula>NOT(ISERROR(SEARCH("REST DAY",R33)))</formula>
    </cfRule>
    <cfRule type="containsText" dxfId="9895" priority="1007" operator="containsText" text="UA">
      <formula>NOT(ISERROR(SEARCH("UA",R33)))</formula>
    </cfRule>
    <cfRule type="containsText" dxfId="9894" priority="1008" operator="containsText" text="LWOP UA">
      <formula>NOT(ISERROR(SEARCH("LWOP UA",R33)))</formula>
    </cfRule>
  </conditionalFormatting>
  <conditionalFormatting sqref="R39:S39 V39:X39">
    <cfRule type="containsText" dxfId="9893" priority="938" operator="containsText" text="P">
      <formula>NOT(ISERROR(SEARCH("P",R39)))</formula>
    </cfRule>
    <cfRule type="containsText" dxfId="9892" priority="939" operator="containsText" text="TFO">
      <formula>NOT(ISERROR(SEARCH("TFO",R39)))</formula>
    </cfRule>
    <cfRule type="containsText" dxfId="9891" priority="940" operator="containsText" text="AA">
      <formula>NOT(ISERROR(SEARCH("AA",R39)))</formula>
    </cfRule>
    <cfRule type="containsText" dxfId="9890" priority="941" operator="containsText" text="RESIGNED">
      <formula>NOT(ISERROR(SEARCH("RESIGNED",R39)))</formula>
    </cfRule>
    <cfRule type="containsText" dxfId="9889" priority="942" operator="containsText" text="P">
      <formula>NOT(ISERROR(SEARCH("P",R39)))</formula>
    </cfRule>
    <cfRule type="containsText" dxfId="9888" priority="943" operator="containsText" text="TARDY">
      <formula>NOT(ISERROR(SEARCH("TARDY",R39)))</formula>
    </cfRule>
    <cfRule type="containsText" dxfId="9887" priority="944" operator="containsText" text="REST DAY">
      <formula>NOT(ISERROR(SEARCH("REST DAY",R39)))</formula>
    </cfRule>
    <cfRule type="containsText" dxfId="9886" priority="945" operator="containsText" text="UA">
      <formula>NOT(ISERROR(SEARCH("UA",R39)))</formula>
    </cfRule>
    <cfRule type="containsText" dxfId="9885" priority="946" operator="containsText" text="LWOP UA">
      <formula>NOT(ISERROR(SEARCH("LWOP UA",R39)))</formula>
    </cfRule>
  </conditionalFormatting>
  <conditionalFormatting sqref="R48:S48">
    <cfRule type="containsText" dxfId="9884" priority="877" operator="containsText" text="LWOP UA">
      <formula>NOT(ISERROR(SEARCH("LWOP UA",R48)))</formula>
    </cfRule>
    <cfRule type="containsText" dxfId="9883" priority="878" operator="containsText" text="P">
      <formula>NOT(ISERROR(SEARCH("P",R48)))</formula>
    </cfRule>
    <cfRule type="containsText" dxfId="9882" priority="879" operator="containsText" text="TFO">
      <formula>NOT(ISERROR(SEARCH("TFO",R48)))</formula>
    </cfRule>
    <cfRule type="containsText" dxfId="9881" priority="880" operator="containsText" text="AA">
      <formula>NOT(ISERROR(SEARCH("AA",R48)))</formula>
    </cfRule>
    <cfRule type="containsText" dxfId="9880" priority="881" operator="containsText" text="RESIGNED">
      <formula>NOT(ISERROR(SEARCH("RESIGNED",R48)))</formula>
    </cfRule>
    <cfRule type="containsText" dxfId="9879" priority="882" operator="containsText" text="P">
      <formula>NOT(ISERROR(SEARCH("P",R48)))</formula>
    </cfRule>
    <cfRule type="containsText" dxfId="9878" priority="883" operator="containsText" text="TARDY">
      <formula>NOT(ISERROR(SEARCH("TARDY",R48)))</formula>
    </cfRule>
    <cfRule type="containsText" dxfId="9877" priority="884" operator="containsText" text="REST DAY">
      <formula>NOT(ISERROR(SEARCH("REST DAY",R48)))</formula>
    </cfRule>
    <cfRule type="containsText" dxfId="9876" priority="885" operator="containsText" text="UA">
      <formula>NOT(ISERROR(SEARCH("UA",R48)))</formula>
    </cfRule>
  </conditionalFormatting>
  <conditionalFormatting sqref="R50:S50">
    <cfRule type="containsText" dxfId="9875" priority="1819" operator="containsText" text="LWOP UA">
      <formula>NOT(ISERROR(SEARCH("LWOP UA",R50)))</formula>
    </cfRule>
    <cfRule type="containsText" dxfId="9874" priority="1820" operator="containsText" text="P">
      <formula>NOT(ISERROR(SEARCH("P",R50)))</formula>
    </cfRule>
    <cfRule type="containsText" dxfId="9873" priority="1821" operator="containsText" text="TFO">
      <formula>NOT(ISERROR(SEARCH("TFO",R50)))</formula>
    </cfRule>
    <cfRule type="containsText" dxfId="9872" priority="1822" operator="containsText" text="AA">
      <formula>NOT(ISERROR(SEARCH("AA",R50)))</formula>
    </cfRule>
    <cfRule type="containsText" dxfId="9871" priority="1823" operator="containsText" text="RESIGNED">
      <formula>NOT(ISERROR(SEARCH("RESIGNED",R50)))</formula>
    </cfRule>
    <cfRule type="containsText" dxfId="9870" priority="1824" operator="containsText" text="P">
      <formula>NOT(ISERROR(SEARCH("P",R50)))</formula>
    </cfRule>
    <cfRule type="containsText" dxfId="9869" priority="1825" operator="containsText" text="TARDY">
      <formula>NOT(ISERROR(SEARCH("TARDY",R50)))</formula>
    </cfRule>
    <cfRule type="containsText" dxfId="9868" priority="1826" operator="containsText" text="REST DAY">
      <formula>NOT(ISERROR(SEARCH("REST DAY",R50)))</formula>
    </cfRule>
    <cfRule type="containsText" dxfId="9867" priority="1827" operator="containsText" text="UA">
      <formula>NOT(ISERROR(SEARCH("UA",R50)))</formula>
    </cfRule>
  </conditionalFormatting>
  <conditionalFormatting sqref="R56:S56">
    <cfRule type="containsText" dxfId="9866" priority="839" operator="containsText" text="LWOP UA">
      <formula>NOT(ISERROR(SEARCH("LWOP UA",R56)))</formula>
    </cfRule>
    <cfRule type="containsText" dxfId="9865" priority="840" operator="containsText" text="P">
      <formula>NOT(ISERROR(SEARCH("P",R56)))</formula>
    </cfRule>
    <cfRule type="containsText" dxfId="9864" priority="841" operator="containsText" text="TFO">
      <formula>NOT(ISERROR(SEARCH("TFO",R56)))</formula>
    </cfRule>
    <cfRule type="containsText" dxfId="9863" priority="842" operator="containsText" text="AA">
      <formula>NOT(ISERROR(SEARCH("AA",R56)))</formula>
    </cfRule>
    <cfRule type="containsText" dxfId="9862" priority="843" operator="containsText" text="RESIGNED">
      <formula>NOT(ISERROR(SEARCH("RESIGNED",R56)))</formula>
    </cfRule>
    <cfRule type="containsText" dxfId="9861" priority="844" operator="containsText" text="P">
      <formula>NOT(ISERROR(SEARCH("P",R56)))</formula>
    </cfRule>
    <cfRule type="containsText" dxfId="9860" priority="845" operator="containsText" text="TARDY">
      <formula>NOT(ISERROR(SEARCH("TARDY",R56)))</formula>
    </cfRule>
    <cfRule type="containsText" dxfId="9859" priority="846" operator="containsText" text="REST DAY">
      <formula>NOT(ISERROR(SEARCH("REST DAY",R56)))</formula>
    </cfRule>
    <cfRule type="containsText" dxfId="9858" priority="847" operator="containsText" text="UA">
      <formula>NOT(ISERROR(SEARCH("UA",R56)))</formula>
    </cfRule>
  </conditionalFormatting>
  <conditionalFormatting sqref="R57:S57">
    <cfRule type="containsText" dxfId="9857" priority="1405" operator="containsText" text="LWOP UA">
      <formula>NOT(ISERROR(SEARCH("LWOP UA",R57)))</formula>
    </cfRule>
  </conditionalFormatting>
  <conditionalFormatting sqref="R58:S58">
    <cfRule type="containsText" dxfId="9856" priority="815" operator="containsText" text="LWOP UA">
      <formula>NOT(ISERROR(SEARCH("LWOP UA",R58)))</formula>
    </cfRule>
    <cfRule type="containsText" dxfId="9855" priority="816" operator="containsText" text="P">
      <formula>NOT(ISERROR(SEARCH("P",R58)))</formula>
    </cfRule>
    <cfRule type="containsText" dxfId="9854" priority="817" operator="containsText" text="TFO">
      <formula>NOT(ISERROR(SEARCH("TFO",R58)))</formula>
    </cfRule>
    <cfRule type="containsText" dxfId="9853" priority="818" operator="containsText" text="AA">
      <formula>NOT(ISERROR(SEARCH("AA",R58)))</formula>
    </cfRule>
    <cfRule type="containsText" dxfId="9852" priority="819" operator="containsText" text="RESIGNED">
      <formula>NOT(ISERROR(SEARCH("RESIGNED",R58)))</formula>
    </cfRule>
    <cfRule type="containsText" dxfId="9851" priority="820" operator="containsText" text="P">
      <formula>NOT(ISERROR(SEARCH("P",R58)))</formula>
    </cfRule>
    <cfRule type="containsText" dxfId="9850" priority="821" operator="containsText" text="TARDY">
      <formula>NOT(ISERROR(SEARCH("TARDY",R58)))</formula>
    </cfRule>
    <cfRule type="containsText" dxfId="9849" priority="822" operator="containsText" text="REST DAY">
      <formula>NOT(ISERROR(SEARCH("REST DAY",R58)))</formula>
    </cfRule>
    <cfRule type="containsText" dxfId="9848" priority="823" operator="containsText" text="UA">
      <formula>NOT(ISERROR(SEARCH("UA",R58)))</formula>
    </cfRule>
  </conditionalFormatting>
  <conditionalFormatting sqref="R59:S59">
    <cfRule type="containsText" dxfId="9847" priority="4067" operator="containsText" text="LWOP UA">
      <formula>NOT(ISERROR(SEARCH("LWOP UA",R59)))</formula>
    </cfRule>
  </conditionalFormatting>
  <conditionalFormatting sqref="R65:S65 V65:X65">
    <cfRule type="containsText" dxfId="9846" priority="788" operator="containsText" text="P">
      <formula>NOT(ISERROR(SEARCH("P",R65)))</formula>
    </cfRule>
    <cfRule type="containsText" dxfId="9845" priority="789" operator="containsText" text="TFO">
      <formula>NOT(ISERROR(SEARCH("TFO",R65)))</formula>
    </cfRule>
    <cfRule type="containsText" dxfId="9844" priority="790" operator="containsText" text="AA">
      <formula>NOT(ISERROR(SEARCH("AA",R65)))</formula>
    </cfRule>
    <cfRule type="containsText" dxfId="9843" priority="791" operator="containsText" text="RESIGNED">
      <formula>NOT(ISERROR(SEARCH("RESIGNED",R65)))</formula>
    </cfRule>
    <cfRule type="containsText" dxfId="9842" priority="792" operator="containsText" text="P">
      <formula>NOT(ISERROR(SEARCH("P",R65)))</formula>
    </cfRule>
    <cfRule type="containsText" dxfId="9841" priority="793" operator="containsText" text="TARDY">
      <formula>NOT(ISERROR(SEARCH("TARDY",R65)))</formula>
    </cfRule>
    <cfRule type="containsText" dxfId="9840" priority="794" operator="containsText" text="REST DAY">
      <formula>NOT(ISERROR(SEARCH("REST DAY",R65)))</formula>
    </cfRule>
    <cfRule type="containsText" dxfId="9839" priority="795" operator="containsText" text="UA">
      <formula>NOT(ISERROR(SEARCH("UA",R65)))</formula>
    </cfRule>
    <cfRule type="containsText" dxfId="9838" priority="796" operator="containsText" text="LWOP UA">
      <formula>NOT(ISERROR(SEARCH("LWOP UA",R65)))</formula>
    </cfRule>
  </conditionalFormatting>
  <conditionalFormatting sqref="R74:S74 V74:X74">
    <cfRule type="containsText" dxfId="9837" priority="737" operator="containsText" text="P">
      <formula>NOT(ISERROR(SEARCH("P",R74)))</formula>
    </cfRule>
    <cfRule type="containsText" dxfId="9836" priority="738" operator="containsText" text="TFO">
      <formula>NOT(ISERROR(SEARCH("TFO",R74)))</formula>
    </cfRule>
    <cfRule type="containsText" dxfId="9835" priority="739" operator="containsText" text="AA">
      <formula>NOT(ISERROR(SEARCH("AA",R74)))</formula>
    </cfRule>
    <cfRule type="containsText" dxfId="9834" priority="740" operator="containsText" text="RESIGNED">
      <formula>NOT(ISERROR(SEARCH("RESIGNED",R74)))</formula>
    </cfRule>
    <cfRule type="containsText" dxfId="9833" priority="741" operator="containsText" text="P">
      <formula>NOT(ISERROR(SEARCH("P",R74)))</formula>
    </cfRule>
    <cfRule type="containsText" dxfId="9832" priority="742" operator="containsText" text="TARDY">
      <formula>NOT(ISERROR(SEARCH("TARDY",R74)))</formula>
    </cfRule>
    <cfRule type="containsText" dxfId="9831" priority="743" operator="containsText" text="REST DAY">
      <formula>NOT(ISERROR(SEARCH("REST DAY",R74)))</formula>
    </cfRule>
    <cfRule type="containsText" dxfId="9830" priority="744" operator="containsText" text="UA">
      <formula>NOT(ISERROR(SEARCH("UA",R74)))</formula>
    </cfRule>
    <cfRule type="containsText" dxfId="9829" priority="745" operator="containsText" text="LWOP UA">
      <formula>NOT(ISERROR(SEARCH("LWOP UA",R74)))</formula>
    </cfRule>
  </conditionalFormatting>
  <conditionalFormatting sqref="R77:S77">
    <cfRule type="containsText" dxfId="9828" priority="1754" operator="containsText" text="LWOP UA">
      <formula>NOT(ISERROR(SEARCH("LWOP UA",R77)))</formula>
    </cfRule>
    <cfRule type="containsText" dxfId="9827" priority="1755" operator="containsText" text="P">
      <formula>NOT(ISERROR(SEARCH("P",R77)))</formula>
    </cfRule>
    <cfRule type="containsText" dxfId="9826" priority="1756" operator="containsText" text="TFO">
      <formula>NOT(ISERROR(SEARCH("TFO",R77)))</formula>
    </cfRule>
    <cfRule type="containsText" dxfId="9825" priority="1757" operator="containsText" text="AA">
      <formula>NOT(ISERROR(SEARCH("AA",R77)))</formula>
    </cfRule>
    <cfRule type="containsText" dxfId="9824" priority="1758" operator="containsText" text="RESIGNED">
      <formula>NOT(ISERROR(SEARCH("RESIGNED",R77)))</formula>
    </cfRule>
    <cfRule type="containsText" dxfId="9823" priority="1759" operator="containsText" text="P">
      <formula>NOT(ISERROR(SEARCH("P",R77)))</formula>
    </cfRule>
    <cfRule type="containsText" dxfId="9822" priority="1760" operator="containsText" text="TARDY">
      <formula>NOT(ISERROR(SEARCH("TARDY",R77)))</formula>
    </cfRule>
    <cfRule type="containsText" dxfId="9821" priority="1761" operator="containsText" text="REST DAY">
      <formula>NOT(ISERROR(SEARCH("REST DAY",R77)))</formula>
    </cfRule>
    <cfRule type="containsText" dxfId="9820" priority="1762" operator="containsText" text="UA">
      <formula>NOT(ISERROR(SEARCH("UA",R77)))</formula>
    </cfRule>
  </conditionalFormatting>
  <conditionalFormatting sqref="R81:S81 V81:X81">
    <cfRule type="containsText" dxfId="9819" priority="2490" operator="containsText" text="P">
      <formula>NOT(ISERROR(SEARCH("P",R81)))</formula>
    </cfRule>
    <cfRule type="containsText" dxfId="9818" priority="2491" operator="containsText" text="TFO">
      <formula>NOT(ISERROR(SEARCH("TFO",R81)))</formula>
    </cfRule>
    <cfRule type="containsText" dxfId="9817" priority="2492" operator="containsText" text="AA">
      <formula>NOT(ISERROR(SEARCH("AA",R81)))</formula>
    </cfRule>
    <cfRule type="containsText" dxfId="9816" priority="2493" operator="containsText" text="RESIGNED">
      <formula>NOT(ISERROR(SEARCH("RESIGNED",R81)))</formula>
    </cfRule>
    <cfRule type="containsText" dxfId="9815" priority="2494" operator="containsText" text="P">
      <formula>NOT(ISERROR(SEARCH("P",R81)))</formula>
    </cfRule>
    <cfRule type="containsText" dxfId="9814" priority="2495" operator="containsText" text="TARDY">
      <formula>NOT(ISERROR(SEARCH("TARDY",R81)))</formula>
    </cfRule>
    <cfRule type="containsText" dxfId="9813" priority="2496" operator="containsText" text="REST DAY">
      <formula>NOT(ISERROR(SEARCH("REST DAY",R81)))</formula>
    </cfRule>
    <cfRule type="containsText" dxfId="9812" priority="2497" operator="containsText" text="UA">
      <formula>NOT(ISERROR(SEARCH("UA",R81)))</formula>
    </cfRule>
    <cfRule type="containsText" dxfId="9811" priority="2498" operator="containsText" text="LWOP UA">
      <formula>NOT(ISERROR(SEARCH("LWOP UA",R81)))</formula>
    </cfRule>
  </conditionalFormatting>
  <conditionalFormatting sqref="R93:S93 V93:X93">
    <cfRule type="containsText" dxfId="9810" priority="647" operator="containsText" text="P">
      <formula>NOT(ISERROR(SEARCH("P",R93)))</formula>
    </cfRule>
    <cfRule type="containsText" dxfId="9809" priority="648" operator="containsText" text="TFO">
      <formula>NOT(ISERROR(SEARCH("TFO",R93)))</formula>
    </cfRule>
    <cfRule type="containsText" dxfId="9808" priority="649" operator="containsText" text="AA">
      <formula>NOT(ISERROR(SEARCH("AA",R93)))</formula>
    </cfRule>
    <cfRule type="containsText" dxfId="9807" priority="650" operator="containsText" text="RESIGNED">
      <formula>NOT(ISERROR(SEARCH("RESIGNED",R93)))</formula>
    </cfRule>
    <cfRule type="containsText" dxfId="9806" priority="651" operator="containsText" text="P">
      <formula>NOT(ISERROR(SEARCH("P",R93)))</formula>
    </cfRule>
    <cfRule type="containsText" dxfId="9805" priority="652" operator="containsText" text="TARDY">
      <formula>NOT(ISERROR(SEARCH("TARDY",R93)))</formula>
    </cfRule>
    <cfRule type="containsText" dxfId="9804" priority="653" operator="containsText" text="REST DAY">
      <formula>NOT(ISERROR(SEARCH("REST DAY",R93)))</formula>
    </cfRule>
    <cfRule type="containsText" dxfId="9803" priority="654" operator="containsText" text="UA">
      <formula>NOT(ISERROR(SEARCH("UA",R93)))</formula>
    </cfRule>
    <cfRule type="containsText" dxfId="9802" priority="655" operator="containsText" text="LWOP UA">
      <formula>NOT(ISERROR(SEARCH("LWOP UA",R93)))</formula>
    </cfRule>
  </conditionalFormatting>
  <conditionalFormatting sqref="R13:T13 W13:X13">
    <cfRule type="containsText" dxfId="9801" priority="4180" operator="containsText" text="P">
      <formula>NOT(ISERROR(SEARCH("P",R13)))</formula>
    </cfRule>
    <cfRule type="containsText" dxfId="9800" priority="4181" operator="containsText" text="TFO">
      <formula>NOT(ISERROR(SEARCH("TFO",R13)))</formula>
    </cfRule>
    <cfRule type="containsText" dxfId="9799" priority="4182" operator="containsText" text="AA">
      <formula>NOT(ISERROR(SEARCH("AA",R13)))</formula>
    </cfRule>
    <cfRule type="containsText" dxfId="9798" priority="4183" operator="containsText" text="RESIGNED">
      <formula>NOT(ISERROR(SEARCH("RESIGNED",R13)))</formula>
    </cfRule>
    <cfRule type="containsText" dxfId="9797" priority="4184" operator="containsText" text="P">
      <formula>NOT(ISERROR(SEARCH("P",R13)))</formula>
    </cfRule>
    <cfRule type="containsText" dxfId="9796" priority="4185" operator="containsText" text="TARDY">
      <formula>NOT(ISERROR(SEARCH("TARDY",R13)))</formula>
    </cfRule>
    <cfRule type="containsText" dxfId="9795" priority="4186" operator="containsText" text="REST DAY">
      <formula>NOT(ISERROR(SEARCH("REST DAY",R13)))</formula>
    </cfRule>
    <cfRule type="containsText" dxfId="9794" priority="4187" operator="containsText" text="UA">
      <formula>NOT(ISERROR(SEARCH("UA",R13)))</formula>
    </cfRule>
    <cfRule type="containsText" dxfId="9793" priority="4188" operator="containsText" text="LWOP UA">
      <formula>NOT(ISERROR(SEARCH("LWOP UA",R13)))</formula>
    </cfRule>
  </conditionalFormatting>
  <conditionalFormatting sqref="R19:T19 W19:X19">
    <cfRule type="containsText" dxfId="9792" priority="1065" operator="containsText" text="P">
      <formula>NOT(ISERROR(SEARCH("P",R19)))</formula>
    </cfRule>
    <cfRule type="containsText" dxfId="9791" priority="1066" operator="containsText" text="TFO">
      <formula>NOT(ISERROR(SEARCH("TFO",R19)))</formula>
    </cfRule>
    <cfRule type="containsText" dxfId="9790" priority="1067" operator="containsText" text="AA">
      <formula>NOT(ISERROR(SEARCH("AA",R19)))</formula>
    </cfRule>
    <cfRule type="containsText" dxfId="9789" priority="1068" operator="containsText" text="RESIGNED">
      <formula>NOT(ISERROR(SEARCH("RESIGNED",R19)))</formula>
    </cfRule>
    <cfRule type="containsText" dxfId="9788" priority="1069" operator="containsText" text="P">
      <formula>NOT(ISERROR(SEARCH("P",R19)))</formula>
    </cfRule>
    <cfRule type="containsText" dxfId="9787" priority="1070" operator="containsText" text="TARDY">
      <formula>NOT(ISERROR(SEARCH("TARDY",R19)))</formula>
    </cfRule>
    <cfRule type="containsText" dxfId="9786" priority="1071" operator="containsText" text="REST DAY">
      <formula>NOT(ISERROR(SEARCH("REST DAY",R19)))</formula>
    </cfRule>
    <cfRule type="containsText" dxfId="9785" priority="1072" operator="containsText" text="UA">
      <formula>NOT(ISERROR(SEARCH("UA",R19)))</formula>
    </cfRule>
    <cfRule type="containsText" dxfId="9784" priority="1073" operator="containsText" text="LWOP UA">
      <formula>NOT(ISERROR(SEARCH("LWOP UA",R19)))</formula>
    </cfRule>
  </conditionalFormatting>
  <conditionalFormatting sqref="R34:T34 W34:X34">
    <cfRule type="containsText" dxfId="9783" priority="978" operator="containsText" text="TFO">
      <formula>NOT(ISERROR(SEARCH("TFO",R34)))</formula>
    </cfRule>
    <cfRule type="containsText" dxfId="9782" priority="979" operator="containsText" text="AA">
      <formula>NOT(ISERROR(SEARCH("AA",R34)))</formula>
    </cfRule>
    <cfRule type="containsText" dxfId="9781" priority="980" operator="containsText" text="RESIGNED">
      <formula>NOT(ISERROR(SEARCH("RESIGNED",R34)))</formula>
    </cfRule>
    <cfRule type="containsText" dxfId="9780" priority="981" operator="containsText" text="P">
      <formula>NOT(ISERROR(SEARCH("P",R34)))</formula>
    </cfRule>
    <cfRule type="containsText" dxfId="9779" priority="982" operator="containsText" text="TARDY">
      <formula>NOT(ISERROR(SEARCH("TARDY",R34)))</formula>
    </cfRule>
    <cfRule type="containsText" dxfId="9778" priority="983" operator="containsText" text="REST DAY">
      <formula>NOT(ISERROR(SEARCH("REST DAY",R34)))</formula>
    </cfRule>
    <cfRule type="containsText" dxfId="9777" priority="984" operator="containsText" text="UA">
      <formula>NOT(ISERROR(SEARCH("UA",R34)))</formula>
    </cfRule>
    <cfRule type="containsText" dxfId="9776" priority="985" operator="containsText" text="LWOP UA">
      <formula>NOT(ISERROR(SEARCH("LWOP UA",R34)))</formula>
    </cfRule>
  </conditionalFormatting>
  <conditionalFormatting sqref="R8:V8">
    <cfRule type="containsText" dxfId="9775" priority="1134" operator="containsText" text="P">
      <formula>NOT(ISERROR(SEARCH("P",R8)))</formula>
    </cfRule>
    <cfRule type="containsText" dxfId="9774" priority="1135" operator="containsText" text="TFO">
      <formula>NOT(ISERROR(SEARCH("TFO",R8)))</formula>
    </cfRule>
    <cfRule type="containsText" dxfId="9773" priority="1136" operator="containsText" text="AA">
      <formula>NOT(ISERROR(SEARCH("AA",R8)))</formula>
    </cfRule>
    <cfRule type="containsText" dxfId="9772" priority="1137" operator="containsText" text="RESIGNED">
      <formula>NOT(ISERROR(SEARCH("RESIGNED",R8)))</formula>
    </cfRule>
    <cfRule type="containsText" dxfId="9771" priority="1138" operator="containsText" text="P">
      <formula>NOT(ISERROR(SEARCH("P",R8)))</formula>
    </cfRule>
    <cfRule type="containsText" dxfId="9770" priority="1139" operator="containsText" text="TARDY">
      <formula>NOT(ISERROR(SEARCH("TARDY",R8)))</formula>
    </cfRule>
    <cfRule type="containsText" dxfId="9769" priority="1140" operator="containsText" text="REST DAY">
      <formula>NOT(ISERROR(SEARCH("REST DAY",R8)))</formula>
    </cfRule>
    <cfRule type="containsText" dxfId="9768" priority="1141" operator="containsText" text="UA">
      <formula>NOT(ISERROR(SEARCH("UA",R8)))</formula>
    </cfRule>
    <cfRule type="containsText" dxfId="9767" priority="1142" operator="containsText" text="LWOP UA">
      <formula>NOT(ISERROR(SEARCH("LWOP UA",R8)))</formula>
    </cfRule>
  </conditionalFormatting>
  <conditionalFormatting sqref="R17:V17">
    <cfRule type="containsText" dxfId="9766" priority="1088" operator="containsText" text="P">
      <formula>NOT(ISERROR(SEARCH("P",R17)))</formula>
    </cfRule>
    <cfRule type="containsText" dxfId="9765" priority="1089" operator="containsText" text="TFO">
      <formula>NOT(ISERROR(SEARCH("TFO",R17)))</formula>
    </cfRule>
    <cfRule type="containsText" dxfId="9764" priority="1090" operator="containsText" text="AA">
      <formula>NOT(ISERROR(SEARCH("AA",R17)))</formula>
    </cfRule>
    <cfRule type="containsText" dxfId="9763" priority="1091" operator="containsText" text="RESIGNED">
      <formula>NOT(ISERROR(SEARCH("RESIGNED",R17)))</formula>
    </cfRule>
    <cfRule type="containsText" dxfId="9762" priority="1092" operator="containsText" text="P">
      <formula>NOT(ISERROR(SEARCH("P",R17)))</formula>
    </cfRule>
    <cfRule type="containsText" dxfId="9761" priority="1093" operator="containsText" text="TARDY">
      <formula>NOT(ISERROR(SEARCH("TARDY",R17)))</formula>
    </cfRule>
    <cfRule type="containsText" dxfId="9760" priority="1094" operator="containsText" text="REST DAY">
      <formula>NOT(ISERROR(SEARCH("REST DAY",R17)))</formula>
    </cfRule>
    <cfRule type="containsText" dxfId="9759" priority="1095" operator="containsText" text="UA">
      <formula>NOT(ISERROR(SEARCH("UA",R17)))</formula>
    </cfRule>
    <cfRule type="containsText" dxfId="9758" priority="1096" operator="containsText" text="LWOP UA">
      <formula>NOT(ISERROR(SEARCH("LWOP UA",R17)))</formula>
    </cfRule>
  </conditionalFormatting>
  <conditionalFormatting sqref="R3:X3">
    <cfRule type="cellIs" dxfId="9757" priority="2651" operator="between">
      <formula>1</formula>
      <formula>400</formula>
    </cfRule>
    <cfRule type="containsText" dxfId="9756" priority="2652" operator="containsText" text="LWOP UA">
      <formula>NOT(ISERROR(SEARCH("LWOP UA",R3)))</formula>
    </cfRule>
    <cfRule type="containsText" dxfId="9755" priority="2653" operator="containsText" text="P">
      <formula>NOT(ISERROR(SEARCH("P",R3)))</formula>
    </cfRule>
    <cfRule type="containsText" dxfId="9754" priority="2654" operator="containsText" text="TFO">
      <formula>NOT(ISERROR(SEARCH("TFO",R3)))</formula>
    </cfRule>
    <cfRule type="containsText" dxfId="9753" priority="2655" operator="containsText" text="AA">
      <formula>NOT(ISERROR(SEARCH("AA",R3)))</formula>
    </cfRule>
    <cfRule type="containsText" dxfId="9752" priority="2656" operator="containsText" text="RESIGNED">
      <formula>NOT(ISERROR(SEARCH("RESIGNED",R3)))</formula>
    </cfRule>
    <cfRule type="containsText" dxfId="9751" priority="2657" operator="containsText" text="P">
      <formula>NOT(ISERROR(SEARCH("P",R3)))</formula>
    </cfRule>
    <cfRule type="containsText" dxfId="9750" priority="2658" operator="containsText" text="TARDY">
      <formula>NOT(ISERROR(SEARCH("TARDY",R3)))</formula>
    </cfRule>
    <cfRule type="containsText" dxfId="9749" priority="2659" operator="containsText" text="REST DAY">
      <formula>NOT(ISERROR(SEARCH("REST DAY",R3)))</formula>
    </cfRule>
    <cfRule type="containsText" dxfId="9748" priority="2660" operator="containsText" text="UA">
      <formula>NOT(ISERROR(SEARCH("UA",R3)))</formula>
    </cfRule>
    <cfRule type="containsText" dxfId="9747" priority="2661" operator="containsText" text="LWOP UA">
      <formula>NOT(ISERROR(SEARCH("LWOP UA",R3)))</formula>
    </cfRule>
  </conditionalFormatting>
  <conditionalFormatting sqref="R4:X4">
    <cfRule type="cellIs" dxfId="9746" priority="2628" operator="between">
      <formula>1</formula>
      <formula>400</formula>
    </cfRule>
    <cfRule type="containsText" dxfId="9745" priority="2638" operator="containsText" text="LWOP UA">
      <formula>NOT(ISERROR(SEARCH("LWOP UA",R4)))</formula>
    </cfRule>
  </conditionalFormatting>
  <conditionalFormatting sqref="R5:X5">
    <cfRule type="cellIs" dxfId="9744" priority="4192" operator="between">
      <formula>1</formula>
      <formula>400</formula>
    </cfRule>
    <cfRule type="containsText" dxfId="9743" priority="4202" operator="containsText" text="LWOP UA">
      <formula>NOT(ISERROR(SEARCH("LWOP UA",R5)))</formula>
    </cfRule>
  </conditionalFormatting>
  <conditionalFormatting sqref="R6:X6">
    <cfRule type="cellIs" dxfId="9742" priority="1911" operator="between">
      <formula>1</formula>
      <formula>400</formula>
    </cfRule>
    <cfRule type="containsText" dxfId="9741" priority="1912" operator="containsText" text="LWOP UA">
      <formula>NOT(ISERROR(SEARCH("LWOP UA",R6)))</formula>
    </cfRule>
    <cfRule type="containsText" dxfId="9740" priority="1913" operator="containsText" text="P">
      <formula>NOT(ISERROR(SEARCH("P",R6)))</formula>
    </cfRule>
    <cfRule type="containsText" dxfId="9739" priority="1914" operator="containsText" text="TFO">
      <formula>NOT(ISERROR(SEARCH("TFO",R6)))</formula>
    </cfRule>
    <cfRule type="containsText" dxfId="9738" priority="1915" operator="containsText" text="AA">
      <formula>NOT(ISERROR(SEARCH("AA",R6)))</formula>
    </cfRule>
    <cfRule type="containsText" dxfId="9737" priority="1916" operator="containsText" text="RESIGNED">
      <formula>NOT(ISERROR(SEARCH("RESIGNED",R6)))</formula>
    </cfRule>
    <cfRule type="containsText" dxfId="9736" priority="1917" operator="containsText" text="P">
      <formula>NOT(ISERROR(SEARCH("P",R6)))</formula>
    </cfRule>
    <cfRule type="containsText" dxfId="9735" priority="1918" operator="containsText" text="TARDY">
      <formula>NOT(ISERROR(SEARCH("TARDY",R6)))</formula>
    </cfRule>
    <cfRule type="containsText" dxfId="9734" priority="1919" operator="containsText" text="REST DAY">
      <formula>NOT(ISERROR(SEARCH("REST DAY",R6)))</formula>
    </cfRule>
    <cfRule type="containsText" dxfId="9733" priority="1920" operator="containsText" text="UA">
      <formula>NOT(ISERROR(SEARCH("UA",R6)))</formula>
    </cfRule>
    <cfRule type="containsText" dxfId="9732" priority="1921" operator="containsText" text="LWOP UA">
      <formula>NOT(ISERROR(SEARCH("LWOP UA",R6)))</formula>
    </cfRule>
  </conditionalFormatting>
  <conditionalFormatting sqref="R7:X7">
    <cfRule type="cellIs" dxfId="9731" priority="2265" operator="between">
      <formula>1</formula>
      <formula>400</formula>
    </cfRule>
    <cfRule type="containsText" dxfId="9730" priority="2266" operator="containsText" text="LWOP UA">
      <formula>NOT(ISERROR(SEARCH("LWOP UA",R7)))</formula>
    </cfRule>
    <cfRule type="containsText" dxfId="9729" priority="2267" operator="containsText" text="P">
      <formula>NOT(ISERROR(SEARCH("P",R7)))</formula>
    </cfRule>
    <cfRule type="containsText" dxfId="9728" priority="2268" operator="containsText" text="TFO">
      <formula>NOT(ISERROR(SEARCH("TFO",R7)))</formula>
    </cfRule>
    <cfRule type="containsText" dxfId="9727" priority="2269" operator="containsText" text="AA">
      <formula>NOT(ISERROR(SEARCH("AA",R7)))</formula>
    </cfRule>
    <cfRule type="containsText" dxfId="9726" priority="2270" operator="containsText" text="RESIGNED">
      <formula>NOT(ISERROR(SEARCH("RESIGNED",R7)))</formula>
    </cfRule>
    <cfRule type="containsText" dxfId="9725" priority="2271" operator="containsText" text="P">
      <formula>NOT(ISERROR(SEARCH("P",R7)))</formula>
    </cfRule>
    <cfRule type="containsText" dxfId="9724" priority="2272" operator="containsText" text="TARDY">
      <formula>NOT(ISERROR(SEARCH("TARDY",R7)))</formula>
    </cfRule>
    <cfRule type="containsText" dxfId="9723" priority="2273" operator="containsText" text="REST DAY">
      <formula>NOT(ISERROR(SEARCH("REST DAY",R7)))</formula>
    </cfRule>
    <cfRule type="containsText" dxfId="9722" priority="2274" operator="containsText" text="UA">
      <formula>NOT(ISERROR(SEARCH("UA",R7)))</formula>
    </cfRule>
    <cfRule type="containsText" dxfId="9721" priority="2275" operator="containsText" text="LWOP UA">
      <formula>NOT(ISERROR(SEARCH("LWOP UA",R7)))</formula>
    </cfRule>
  </conditionalFormatting>
  <conditionalFormatting sqref="R8:X8">
    <cfRule type="containsText" dxfId="9720" priority="1122" operator="containsText" text="540">
      <formula>NOT(ISERROR(SEARCH("540",R8)))</formula>
    </cfRule>
    <cfRule type="cellIs" dxfId="9719" priority="1123" operator="between">
      <formula>1</formula>
      <formula>400</formula>
    </cfRule>
    <cfRule type="containsText" dxfId="9718" priority="1133" operator="containsText" text="LWOP UA">
      <formula>NOT(ISERROR(SEARCH("LWOP UA",R8)))</formula>
    </cfRule>
  </conditionalFormatting>
  <conditionalFormatting sqref="R9:X9">
    <cfRule type="cellIs" dxfId="9717" priority="1897" operator="between">
      <formula>1</formula>
      <formula>400</formula>
    </cfRule>
    <cfRule type="containsText" dxfId="9716" priority="1898" operator="containsText" text="LWOP UA">
      <formula>NOT(ISERROR(SEARCH("LWOP UA",R9)))</formula>
    </cfRule>
    <cfRule type="containsText" dxfId="9715" priority="1899" operator="containsText" text="P">
      <formula>NOT(ISERROR(SEARCH("P",R9)))</formula>
    </cfRule>
    <cfRule type="containsText" dxfId="9714" priority="1900" operator="containsText" text="TFO">
      <formula>NOT(ISERROR(SEARCH("TFO",R9)))</formula>
    </cfRule>
    <cfRule type="containsText" dxfId="9713" priority="1901" operator="containsText" text="AA">
      <formula>NOT(ISERROR(SEARCH("AA",R9)))</formula>
    </cfRule>
    <cfRule type="containsText" dxfId="9712" priority="1902" operator="containsText" text="RESIGNED">
      <formula>NOT(ISERROR(SEARCH("RESIGNED",R9)))</formula>
    </cfRule>
    <cfRule type="containsText" dxfId="9711" priority="1903" operator="containsText" text="P">
      <formula>NOT(ISERROR(SEARCH("P",R9)))</formula>
    </cfRule>
    <cfRule type="containsText" dxfId="9710" priority="1904" operator="containsText" text="TARDY">
      <formula>NOT(ISERROR(SEARCH("TARDY",R9)))</formula>
    </cfRule>
    <cfRule type="containsText" dxfId="9709" priority="1905" operator="containsText" text="REST DAY">
      <formula>NOT(ISERROR(SEARCH("REST DAY",R9)))</formula>
    </cfRule>
    <cfRule type="containsText" dxfId="9708" priority="1906" operator="containsText" text="UA">
      <formula>NOT(ISERROR(SEARCH("UA",R9)))</formula>
    </cfRule>
    <cfRule type="containsText" dxfId="9707" priority="1907" operator="containsText" text="LWOP UA">
      <formula>NOT(ISERROR(SEARCH("LWOP UA",R9)))</formula>
    </cfRule>
  </conditionalFormatting>
  <conditionalFormatting sqref="R10:X11">
    <cfRule type="cellIs" dxfId="9706" priority="2614" operator="between">
      <formula>1</formula>
      <formula>400</formula>
    </cfRule>
    <cfRule type="containsText" dxfId="9705" priority="2615" operator="containsText" text="LWOP UA">
      <formula>NOT(ISERROR(SEARCH("LWOP UA",R10)))</formula>
    </cfRule>
    <cfRule type="containsText" dxfId="9704" priority="2616" operator="containsText" text="P">
      <formula>NOT(ISERROR(SEARCH("P",R10)))</formula>
    </cfRule>
    <cfRule type="containsText" dxfId="9703" priority="2617" operator="containsText" text="TFO">
      <formula>NOT(ISERROR(SEARCH("TFO",R10)))</formula>
    </cfRule>
    <cfRule type="containsText" dxfId="9702" priority="2618" operator="containsText" text="AA">
      <formula>NOT(ISERROR(SEARCH("AA",R10)))</formula>
    </cfRule>
    <cfRule type="containsText" dxfId="9701" priority="2619" operator="containsText" text="RESIGNED">
      <formula>NOT(ISERROR(SEARCH("RESIGNED",R10)))</formula>
    </cfRule>
    <cfRule type="containsText" dxfId="9700" priority="2620" operator="containsText" text="P">
      <formula>NOT(ISERROR(SEARCH("P",R10)))</formula>
    </cfRule>
    <cfRule type="containsText" dxfId="9699" priority="2621" operator="containsText" text="TARDY">
      <formula>NOT(ISERROR(SEARCH("TARDY",R10)))</formula>
    </cfRule>
    <cfRule type="containsText" dxfId="9698" priority="2622" operator="containsText" text="REST DAY">
      <formula>NOT(ISERROR(SEARCH("REST DAY",R10)))</formula>
    </cfRule>
    <cfRule type="containsText" dxfId="9697" priority="2623" operator="containsText" text="UA">
      <formula>NOT(ISERROR(SEARCH("UA",R10)))</formula>
    </cfRule>
    <cfRule type="containsText" dxfId="9696" priority="2624" operator="containsText" text="LWOP UA">
      <formula>NOT(ISERROR(SEARCH("LWOP UA",R10)))</formula>
    </cfRule>
  </conditionalFormatting>
  <conditionalFormatting sqref="R12:X12">
    <cfRule type="containsText" dxfId="9695" priority="1099" operator="containsText" text="540">
      <formula>NOT(ISERROR(SEARCH("540",R12)))</formula>
    </cfRule>
    <cfRule type="cellIs" dxfId="9694" priority="1100" operator="between">
      <formula>1</formula>
      <formula>400</formula>
    </cfRule>
    <cfRule type="containsText" dxfId="9693" priority="1110" operator="containsText" text="LWOP UA">
      <formula>NOT(ISERROR(SEARCH("LWOP UA",R12)))</formula>
    </cfRule>
  </conditionalFormatting>
  <conditionalFormatting sqref="R13:X13">
    <cfRule type="cellIs" dxfId="9692" priority="4169" operator="between">
      <formula>1</formula>
      <formula>400</formula>
    </cfRule>
    <cfRule type="containsText" dxfId="9691" priority="4179" operator="containsText" text="LWOP UA">
      <formula>NOT(ISERROR(SEARCH("LWOP UA",R13)))</formula>
    </cfRule>
  </conditionalFormatting>
  <conditionalFormatting sqref="R14:X15">
    <cfRule type="cellIs" dxfId="9690" priority="1883" operator="between">
      <formula>1</formula>
      <formula>400</formula>
    </cfRule>
    <cfRule type="containsText" dxfId="9689" priority="1884" operator="containsText" text="LWOP UA">
      <formula>NOT(ISERROR(SEARCH("LWOP UA",R14)))</formula>
    </cfRule>
    <cfRule type="containsText" dxfId="9688" priority="1885" operator="containsText" text="P">
      <formula>NOT(ISERROR(SEARCH("P",R14)))</formula>
    </cfRule>
    <cfRule type="containsText" dxfId="9687" priority="1886" operator="containsText" text="TFO">
      <formula>NOT(ISERROR(SEARCH("TFO",R14)))</formula>
    </cfRule>
    <cfRule type="containsText" dxfId="9686" priority="1887" operator="containsText" text="AA">
      <formula>NOT(ISERROR(SEARCH("AA",R14)))</formula>
    </cfRule>
    <cfRule type="containsText" dxfId="9685" priority="1888" operator="containsText" text="RESIGNED">
      <formula>NOT(ISERROR(SEARCH("RESIGNED",R14)))</formula>
    </cfRule>
    <cfRule type="containsText" dxfId="9684" priority="1889" operator="containsText" text="P">
      <formula>NOT(ISERROR(SEARCH("P",R14)))</formula>
    </cfRule>
    <cfRule type="containsText" dxfId="9683" priority="1890" operator="containsText" text="TARDY">
      <formula>NOT(ISERROR(SEARCH("TARDY",R14)))</formula>
    </cfRule>
    <cfRule type="containsText" dxfId="9682" priority="1891" operator="containsText" text="REST DAY">
      <formula>NOT(ISERROR(SEARCH("REST DAY",R14)))</formula>
    </cfRule>
    <cfRule type="containsText" dxfId="9681" priority="1892" operator="containsText" text="UA">
      <formula>NOT(ISERROR(SEARCH("UA",R14)))</formula>
    </cfRule>
    <cfRule type="containsText" dxfId="9680" priority="1893" operator="containsText" text="LWOP UA">
      <formula>NOT(ISERROR(SEARCH("LWOP UA",R14)))</formula>
    </cfRule>
  </conditionalFormatting>
  <conditionalFormatting sqref="R16:X16">
    <cfRule type="cellIs" dxfId="9679" priority="2600" operator="between">
      <formula>1</formula>
      <formula>400</formula>
    </cfRule>
    <cfRule type="containsText" dxfId="9678" priority="2601" operator="containsText" text="LWOP UA">
      <formula>NOT(ISERROR(SEARCH("LWOP UA",R16)))</formula>
    </cfRule>
    <cfRule type="containsText" dxfId="9677" priority="2602" operator="containsText" text="P">
      <formula>NOT(ISERROR(SEARCH("P",R16)))</formula>
    </cfRule>
    <cfRule type="containsText" dxfId="9676" priority="2603" operator="containsText" text="TFO">
      <formula>NOT(ISERROR(SEARCH("TFO",R16)))</formula>
    </cfRule>
    <cfRule type="containsText" dxfId="9675" priority="2604" operator="containsText" text="AA">
      <formula>NOT(ISERROR(SEARCH("AA",R16)))</formula>
    </cfRule>
    <cfRule type="containsText" dxfId="9674" priority="2605" operator="containsText" text="RESIGNED">
      <formula>NOT(ISERROR(SEARCH("RESIGNED",R16)))</formula>
    </cfRule>
    <cfRule type="containsText" dxfId="9673" priority="2606" operator="containsText" text="P">
      <formula>NOT(ISERROR(SEARCH("P",R16)))</formula>
    </cfRule>
    <cfRule type="containsText" dxfId="9672" priority="2607" operator="containsText" text="TARDY">
      <formula>NOT(ISERROR(SEARCH("TARDY",R16)))</formula>
    </cfRule>
    <cfRule type="containsText" dxfId="9671" priority="2608" operator="containsText" text="REST DAY">
      <formula>NOT(ISERROR(SEARCH("REST DAY",R16)))</formula>
    </cfRule>
    <cfRule type="containsText" dxfId="9670" priority="2609" operator="containsText" text="UA">
      <formula>NOT(ISERROR(SEARCH("UA",R16)))</formula>
    </cfRule>
    <cfRule type="containsText" dxfId="9669" priority="2610" operator="containsText" text="LWOP UA">
      <formula>NOT(ISERROR(SEARCH("LWOP UA",R16)))</formula>
    </cfRule>
  </conditionalFormatting>
  <conditionalFormatting sqref="R17:X17">
    <cfRule type="containsText" dxfId="9668" priority="1076" operator="containsText" text="540">
      <formula>NOT(ISERROR(SEARCH("540",R17)))</formula>
    </cfRule>
    <cfRule type="cellIs" dxfId="9667" priority="1077" operator="between">
      <formula>1</formula>
      <formula>400</formula>
    </cfRule>
    <cfRule type="containsText" dxfId="9666" priority="1087" operator="containsText" text="LWOP UA">
      <formula>NOT(ISERROR(SEARCH("LWOP UA",R17)))</formula>
    </cfRule>
  </conditionalFormatting>
  <conditionalFormatting sqref="R18:X18">
    <cfRule type="cellIs" dxfId="9665" priority="2586" operator="between">
      <formula>1</formula>
      <formula>400</formula>
    </cfRule>
    <cfRule type="containsText" dxfId="9664" priority="2587" operator="containsText" text="LWOP UA">
      <formula>NOT(ISERROR(SEARCH("LWOP UA",R18)))</formula>
    </cfRule>
    <cfRule type="containsText" dxfId="9663" priority="2588" operator="containsText" text="P">
      <formula>NOT(ISERROR(SEARCH("P",R18)))</formula>
    </cfRule>
    <cfRule type="containsText" dxfId="9662" priority="2589" operator="containsText" text="TFO">
      <formula>NOT(ISERROR(SEARCH("TFO",R18)))</formula>
    </cfRule>
    <cfRule type="containsText" dxfId="9661" priority="2590" operator="containsText" text="AA">
      <formula>NOT(ISERROR(SEARCH("AA",R18)))</formula>
    </cfRule>
    <cfRule type="containsText" dxfId="9660" priority="2591" operator="containsText" text="RESIGNED">
      <formula>NOT(ISERROR(SEARCH("RESIGNED",R18)))</formula>
    </cfRule>
    <cfRule type="containsText" dxfId="9659" priority="2592" operator="containsText" text="P">
      <formula>NOT(ISERROR(SEARCH("P",R18)))</formula>
    </cfRule>
    <cfRule type="containsText" dxfId="9658" priority="2593" operator="containsText" text="TARDY">
      <formula>NOT(ISERROR(SEARCH("TARDY",R18)))</formula>
    </cfRule>
    <cfRule type="containsText" dxfId="9657" priority="2594" operator="containsText" text="REST DAY">
      <formula>NOT(ISERROR(SEARCH("REST DAY",R18)))</formula>
    </cfRule>
    <cfRule type="containsText" dxfId="9656" priority="2595" operator="containsText" text="UA">
      <formula>NOT(ISERROR(SEARCH("UA",R18)))</formula>
    </cfRule>
    <cfRule type="containsText" dxfId="9655" priority="2596" operator="containsText" text="LWOP UA">
      <formula>NOT(ISERROR(SEARCH("LWOP UA",R18)))</formula>
    </cfRule>
  </conditionalFormatting>
  <conditionalFormatting sqref="R19:X19">
    <cfRule type="containsText" dxfId="9654" priority="1053" operator="containsText" text="540">
      <formula>NOT(ISERROR(SEARCH("540",R19)))</formula>
    </cfRule>
    <cfRule type="cellIs" dxfId="9653" priority="1054" operator="between">
      <formula>1</formula>
      <formula>400</formula>
    </cfRule>
    <cfRule type="containsText" dxfId="9652" priority="1064" operator="containsText" text="LWOP UA">
      <formula>NOT(ISERROR(SEARCH("LWOP UA",R19)))</formula>
    </cfRule>
  </conditionalFormatting>
  <conditionalFormatting sqref="R20:X20">
    <cfRule type="containsText" dxfId="9651" priority="1476" operator="containsText" text="VL">
      <formula>NOT(ISERROR(SEARCH("VL",R20)))</formula>
    </cfRule>
    <cfRule type="containsText" dxfId="9650" priority="1477" operator="containsText" text="RD">
      <formula>NOT(ISERROR(SEARCH("RD",R20)))</formula>
    </cfRule>
    <cfRule type="containsText" dxfId="9649" priority="1478" operator="containsText" text="540">
      <formula>NOT(ISERROR(SEARCH("540",R20)))</formula>
    </cfRule>
    <cfRule type="cellIs" dxfId="9648" priority="1479" operator="between">
      <formula>1</formula>
      <formula>400</formula>
    </cfRule>
    <cfRule type="containsText" dxfId="9647" priority="1480" operator="containsText" text="LWOP UA">
      <formula>NOT(ISERROR(SEARCH("LWOP UA",R20)))</formula>
    </cfRule>
    <cfRule type="containsText" dxfId="9646" priority="1481" operator="containsText" text="P">
      <formula>NOT(ISERROR(SEARCH("P",R20)))</formula>
    </cfRule>
    <cfRule type="containsText" dxfId="9645" priority="1482" operator="containsText" text="TFO">
      <formula>NOT(ISERROR(SEARCH("TFO",R20)))</formula>
    </cfRule>
    <cfRule type="containsText" dxfId="9644" priority="1483" operator="containsText" text="AA">
      <formula>NOT(ISERROR(SEARCH("AA",R20)))</formula>
    </cfRule>
    <cfRule type="containsText" dxfId="9643" priority="1484" operator="containsText" text="RESIGNED">
      <formula>NOT(ISERROR(SEARCH("RESIGNED",R20)))</formula>
    </cfRule>
    <cfRule type="containsText" dxfId="9642" priority="1485" operator="containsText" text="P">
      <formula>NOT(ISERROR(SEARCH("P",R20)))</formula>
    </cfRule>
    <cfRule type="containsText" dxfId="9641" priority="1486" operator="containsText" text="TARDY">
      <formula>NOT(ISERROR(SEARCH("TARDY",R20)))</formula>
    </cfRule>
    <cfRule type="containsText" dxfId="9640" priority="1487" operator="containsText" text="REST DAY">
      <formula>NOT(ISERROR(SEARCH("REST DAY",R20)))</formula>
    </cfRule>
    <cfRule type="containsText" dxfId="9639" priority="1488" operator="containsText" text="UA">
      <formula>NOT(ISERROR(SEARCH("UA",R20)))</formula>
    </cfRule>
    <cfRule type="containsText" dxfId="9638" priority="1489" operator="containsText" text="LWOP UA">
      <formula>NOT(ISERROR(SEARCH("LWOP UA",R20)))</formula>
    </cfRule>
  </conditionalFormatting>
  <conditionalFormatting sqref="R21:X21">
    <cfRule type="containsText" dxfId="9637" priority="1039" operator="containsText" text="540">
      <formula>NOT(ISERROR(SEARCH("540",R21)))</formula>
    </cfRule>
    <cfRule type="cellIs" dxfId="9636" priority="1040" operator="between">
      <formula>1</formula>
      <formula>400</formula>
    </cfRule>
    <cfRule type="containsText" dxfId="9635" priority="1041" operator="containsText" text="LWOP UA">
      <formula>NOT(ISERROR(SEARCH("LWOP UA",R21)))</formula>
    </cfRule>
    <cfRule type="containsText" dxfId="9634" priority="1042" operator="containsText" text="P">
      <formula>NOT(ISERROR(SEARCH("P",R21)))</formula>
    </cfRule>
    <cfRule type="containsText" dxfId="9633" priority="1043" operator="containsText" text="TFO">
      <formula>NOT(ISERROR(SEARCH("TFO",R21)))</formula>
    </cfRule>
    <cfRule type="containsText" dxfId="9632" priority="1044" operator="containsText" text="AA">
      <formula>NOT(ISERROR(SEARCH("AA",R21)))</formula>
    </cfRule>
    <cfRule type="containsText" dxfId="9631" priority="1045" operator="containsText" text="RESIGNED">
      <formula>NOT(ISERROR(SEARCH("RESIGNED",R21)))</formula>
    </cfRule>
    <cfRule type="containsText" dxfId="9630" priority="1046" operator="containsText" text="P">
      <formula>NOT(ISERROR(SEARCH("P",R21)))</formula>
    </cfRule>
    <cfRule type="containsText" dxfId="9629" priority="1047" operator="containsText" text="TARDY">
      <formula>NOT(ISERROR(SEARCH("TARDY",R21)))</formula>
    </cfRule>
    <cfRule type="containsText" dxfId="9628" priority="1048" operator="containsText" text="REST DAY">
      <formula>NOT(ISERROR(SEARCH("REST DAY",R21)))</formula>
    </cfRule>
    <cfRule type="containsText" dxfId="9627" priority="1049" operator="containsText" text="UA">
      <formula>NOT(ISERROR(SEARCH("UA",R21)))</formula>
    </cfRule>
    <cfRule type="containsText" dxfId="9626" priority="1050" operator="containsText" text="LWOP UA">
      <formula>NOT(ISERROR(SEARCH("LWOP UA",R21)))</formula>
    </cfRule>
  </conditionalFormatting>
  <conditionalFormatting sqref="R22:X22">
    <cfRule type="cellIs" dxfId="9625" priority="2195" operator="between">
      <formula>1</formula>
      <formula>400</formula>
    </cfRule>
    <cfRule type="containsText" dxfId="9624" priority="2196" operator="containsText" text="LWOP UA">
      <formula>NOT(ISERROR(SEARCH("LWOP UA",R22)))</formula>
    </cfRule>
    <cfRule type="containsText" dxfId="9623" priority="2197" operator="containsText" text="P">
      <formula>NOT(ISERROR(SEARCH("P",R22)))</formula>
    </cfRule>
    <cfRule type="containsText" dxfId="9622" priority="2198" operator="containsText" text="TFO">
      <formula>NOT(ISERROR(SEARCH("TFO",R22)))</formula>
    </cfRule>
    <cfRule type="containsText" dxfId="9621" priority="2199" operator="containsText" text="AA">
      <formula>NOT(ISERROR(SEARCH("AA",R22)))</formula>
    </cfRule>
    <cfRule type="containsText" dxfId="9620" priority="2200" operator="containsText" text="RESIGNED">
      <formula>NOT(ISERROR(SEARCH("RESIGNED",R22)))</formula>
    </cfRule>
    <cfRule type="containsText" dxfId="9619" priority="2201" operator="containsText" text="P">
      <formula>NOT(ISERROR(SEARCH("P",R22)))</formula>
    </cfRule>
    <cfRule type="containsText" dxfId="9618" priority="2202" operator="containsText" text="TARDY">
      <formula>NOT(ISERROR(SEARCH("TARDY",R22)))</formula>
    </cfRule>
    <cfRule type="containsText" dxfId="9617" priority="2203" operator="containsText" text="REST DAY">
      <formula>NOT(ISERROR(SEARCH("REST DAY",R22)))</formula>
    </cfRule>
    <cfRule type="containsText" dxfId="9616" priority="2204" operator="containsText" text="UA">
      <formula>NOT(ISERROR(SEARCH("UA",R22)))</formula>
    </cfRule>
    <cfRule type="containsText" dxfId="9615" priority="2205" operator="containsText" text="LWOP UA">
      <formula>NOT(ISERROR(SEARCH("LWOP UA",R22)))</formula>
    </cfRule>
  </conditionalFormatting>
  <conditionalFormatting sqref="R23:X23">
    <cfRule type="cellIs" dxfId="9614" priority="2181" operator="between">
      <formula>1</formula>
      <formula>400</formula>
    </cfRule>
    <cfRule type="containsText" dxfId="9613" priority="2182" operator="containsText" text="LWOP UA">
      <formula>NOT(ISERROR(SEARCH("LWOP UA",R23)))</formula>
    </cfRule>
    <cfRule type="containsText" dxfId="9612" priority="2183" operator="containsText" text="P">
      <formula>NOT(ISERROR(SEARCH("P",R23)))</formula>
    </cfRule>
    <cfRule type="containsText" dxfId="9611" priority="2184" operator="containsText" text="TFO">
      <formula>NOT(ISERROR(SEARCH("TFO",R23)))</formula>
    </cfRule>
    <cfRule type="containsText" dxfId="9610" priority="2185" operator="containsText" text="AA">
      <formula>NOT(ISERROR(SEARCH("AA",R23)))</formula>
    </cfRule>
    <cfRule type="containsText" dxfId="9609" priority="2186" operator="containsText" text="RESIGNED">
      <formula>NOT(ISERROR(SEARCH("RESIGNED",R23)))</formula>
    </cfRule>
    <cfRule type="containsText" dxfId="9608" priority="2187" operator="containsText" text="P">
      <formula>NOT(ISERROR(SEARCH("P",R23)))</formula>
    </cfRule>
    <cfRule type="containsText" dxfId="9607" priority="2188" operator="containsText" text="TARDY">
      <formula>NOT(ISERROR(SEARCH("TARDY",R23)))</formula>
    </cfRule>
    <cfRule type="containsText" dxfId="9606" priority="2189" operator="containsText" text="REST DAY">
      <formula>NOT(ISERROR(SEARCH("REST DAY",R23)))</formula>
    </cfRule>
    <cfRule type="containsText" dxfId="9605" priority="2190" operator="containsText" text="UA">
      <formula>NOT(ISERROR(SEARCH("UA",R23)))</formula>
    </cfRule>
    <cfRule type="containsText" dxfId="9604" priority="2191" operator="containsText" text="LWOP UA">
      <formula>NOT(ISERROR(SEARCH("LWOP UA",R23)))</formula>
    </cfRule>
  </conditionalFormatting>
  <conditionalFormatting sqref="R24:X24">
    <cfRule type="cellIs" dxfId="9603" priority="1456" operator="between">
      <formula>1</formula>
      <formula>400</formula>
    </cfRule>
    <cfRule type="containsText" dxfId="9602" priority="1457" operator="containsText" text="LWOP UA">
      <formula>NOT(ISERROR(SEARCH("LWOP UA",R24)))</formula>
    </cfRule>
    <cfRule type="containsText" dxfId="9601" priority="1458" operator="containsText" text="P">
      <formula>NOT(ISERROR(SEARCH("P",R24)))</formula>
    </cfRule>
    <cfRule type="containsText" dxfId="9600" priority="1459" operator="containsText" text="TFO">
      <formula>NOT(ISERROR(SEARCH("TFO",R24)))</formula>
    </cfRule>
    <cfRule type="containsText" dxfId="9599" priority="1460" operator="containsText" text="AA">
      <formula>NOT(ISERROR(SEARCH("AA",R24)))</formula>
    </cfRule>
    <cfRule type="containsText" dxfId="9598" priority="1461" operator="containsText" text="RESIGNED">
      <formula>NOT(ISERROR(SEARCH("RESIGNED",R24)))</formula>
    </cfRule>
    <cfRule type="containsText" dxfId="9597" priority="1462" operator="containsText" text="P">
      <formula>NOT(ISERROR(SEARCH("P",R24)))</formula>
    </cfRule>
    <cfRule type="containsText" dxfId="9596" priority="1463" operator="containsText" text="TARDY">
      <formula>NOT(ISERROR(SEARCH("TARDY",R24)))</formula>
    </cfRule>
    <cfRule type="containsText" dxfId="9595" priority="1464" operator="containsText" text="REST DAY">
      <formula>NOT(ISERROR(SEARCH("REST DAY",R24)))</formula>
    </cfRule>
    <cfRule type="containsText" dxfId="9594" priority="1465" operator="containsText" text="UA">
      <formula>NOT(ISERROR(SEARCH("UA",R24)))</formula>
    </cfRule>
    <cfRule type="containsText" dxfId="9593" priority="1466" operator="containsText" text="LWOP UA">
      <formula>NOT(ISERROR(SEARCH("LWOP UA",R24)))</formula>
    </cfRule>
  </conditionalFormatting>
  <conditionalFormatting sqref="R25:X25">
    <cfRule type="cellIs" dxfId="9592" priority="4155" operator="between">
      <formula>1</formula>
      <formula>400</formula>
    </cfRule>
    <cfRule type="containsText" dxfId="9591" priority="4156" operator="containsText" text="LWOP UA">
      <formula>NOT(ISERROR(SEARCH("LWOP UA",R25)))</formula>
    </cfRule>
    <cfRule type="containsText" dxfId="9590" priority="4157" operator="containsText" text="P">
      <formula>NOT(ISERROR(SEARCH("P",R25)))</formula>
    </cfRule>
    <cfRule type="containsText" dxfId="9589" priority="4158" operator="containsText" text="TFO">
      <formula>NOT(ISERROR(SEARCH("TFO",R25)))</formula>
    </cfRule>
    <cfRule type="containsText" dxfId="9588" priority="4159" operator="containsText" text="AA">
      <formula>NOT(ISERROR(SEARCH("AA",R25)))</formula>
    </cfRule>
    <cfRule type="containsText" dxfId="9587" priority="4160" operator="containsText" text="RESIGNED">
      <formula>NOT(ISERROR(SEARCH("RESIGNED",R25)))</formula>
    </cfRule>
    <cfRule type="containsText" dxfId="9586" priority="4161" operator="containsText" text="P">
      <formula>NOT(ISERROR(SEARCH("P",R25)))</formula>
    </cfRule>
    <cfRule type="containsText" dxfId="9585" priority="4162" operator="containsText" text="TARDY">
      <formula>NOT(ISERROR(SEARCH("TARDY",R25)))</formula>
    </cfRule>
    <cfRule type="containsText" dxfId="9584" priority="4163" operator="containsText" text="REST DAY">
      <formula>NOT(ISERROR(SEARCH("REST DAY",R25)))</formula>
    </cfRule>
    <cfRule type="containsText" dxfId="9583" priority="4164" operator="containsText" text="UA">
      <formula>NOT(ISERROR(SEARCH("UA",R25)))</formula>
    </cfRule>
    <cfRule type="containsText" dxfId="9582" priority="4165" operator="containsText" text="LWOP UA">
      <formula>NOT(ISERROR(SEARCH("LWOP UA",R25)))</formula>
    </cfRule>
  </conditionalFormatting>
  <conditionalFormatting sqref="R26:X26">
    <cfRule type="containsText" dxfId="9581" priority="1025" operator="containsText" text="540">
      <formula>NOT(ISERROR(SEARCH("540",R26)))</formula>
    </cfRule>
    <cfRule type="cellIs" dxfId="9580" priority="1026" operator="between">
      <formula>1</formula>
      <formula>400</formula>
    </cfRule>
    <cfRule type="containsText" dxfId="9579" priority="1027" operator="containsText" text="LWOP UA">
      <formula>NOT(ISERROR(SEARCH("LWOP UA",R26)))</formula>
    </cfRule>
    <cfRule type="containsText" dxfId="9578" priority="1028" operator="containsText" text="P">
      <formula>NOT(ISERROR(SEARCH("P",R26)))</formula>
    </cfRule>
    <cfRule type="containsText" dxfId="9577" priority="1029" operator="containsText" text="TFO">
      <formula>NOT(ISERROR(SEARCH("TFO",R26)))</formula>
    </cfRule>
    <cfRule type="containsText" dxfId="9576" priority="1030" operator="containsText" text="AA">
      <formula>NOT(ISERROR(SEARCH("AA",R26)))</formula>
    </cfRule>
    <cfRule type="containsText" dxfId="9575" priority="1031" operator="containsText" text="RESIGNED">
      <formula>NOT(ISERROR(SEARCH("RESIGNED",R26)))</formula>
    </cfRule>
    <cfRule type="containsText" dxfId="9574" priority="1032" operator="containsText" text="P">
      <formula>NOT(ISERROR(SEARCH("P",R26)))</formula>
    </cfRule>
    <cfRule type="containsText" dxfId="9573" priority="1033" operator="containsText" text="TARDY">
      <formula>NOT(ISERROR(SEARCH("TARDY",R26)))</formula>
    </cfRule>
    <cfRule type="containsText" dxfId="9572" priority="1034" operator="containsText" text="REST DAY">
      <formula>NOT(ISERROR(SEARCH("REST DAY",R26)))</formula>
    </cfRule>
    <cfRule type="containsText" dxfId="9571" priority="1035" operator="containsText" text="UA">
      <formula>NOT(ISERROR(SEARCH("UA",R26)))</formula>
    </cfRule>
    <cfRule type="containsText" dxfId="9570" priority="1036" operator="containsText" text="LWOP UA">
      <formula>NOT(ISERROR(SEARCH("LWOP UA",R26)))</formula>
    </cfRule>
  </conditionalFormatting>
  <conditionalFormatting sqref="R27:X27">
    <cfRule type="cellIs" dxfId="9569" priority="4141" operator="between">
      <formula>1</formula>
      <formula>400</formula>
    </cfRule>
    <cfRule type="containsText" dxfId="9568" priority="4142" operator="containsText" text="LWOP UA">
      <formula>NOT(ISERROR(SEARCH("LWOP UA",R27)))</formula>
    </cfRule>
    <cfRule type="containsText" dxfId="9567" priority="4143" operator="containsText" text="P">
      <formula>NOT(ISERROR(SEARCH("P",R27)))</formula>
    </cfRule>
    <cfRule type="containsText" dxfId="9566" priority="4144" operator="containsText" text="TFO">
      <formula>NOT(ISERROR(SEARCH("TFO",R27)))</formula>
    </cfRule>
    <cfRule type="containsText" dxfId="9565" priority="4145" operator="containsText" text="AA">
      <formula>NOT(ISERROR(SEARCH("AA",R27)))</formula>
    </cfRule>
    <cfRule type="containsText" dxfId="9564" priority="4146" operator="containsText" text="RESIGNED">
      <formula>NOT(ISERROR(SEARCH("RESIGNED",R27)))</formula>
    </cfRule>
    <cfRule type="containsText" dxfId="9563" priority="4147" operator="containsText" text="P">
      <formula>NOT(ISERROR(SEARCH("P",R27)))</formula>
    </cfRule>
    <cfRule type="containsText" dxfId="9562" priority="4148" operator="containsText" text="TARDY">
      <formula>NOT(ISERROR(SEARCH("TARDY",R27)))</formula>
    </cfRule>
    <cfRule type="containsText" dxfId="9561" priority="4149" operator="containsText" text="REST DAY">
      <formula>NOT(ISERROR(SEARCH("REST DAY",R27)))</formula>
    </cfRule>
    <cfRule type="containsText" dxfId="9560" priority="4150" operator="containsText" text="UA">
      <formula>NOT(ISERROR(SEARCH("UA",R27)))</formula>
    </cfRule>
    <cfRule type="containsText" dxfId="9559" priority="4151" operator="containsText" text="LWOP UA">
      <formula>NOT(ISERROR(SEARCH("LWOP UA",R27)))</formula>
    </cfRule>
  </conditionalFormatting>
  <conditionalFormatting sqref="R28:X28">
    <cfRule type="cellIs" dxfId="9558" priority="2167" operator="between">
      <formula>1</formula>
      <formula>400</formula>
    </cfRule>
    <cfRule type="containsText" dxfId="9557" priority="2168" operator="containsText" text="LWOP UA">
      <formula>NOT(ISERROR(SEARCH("LWOP UA",R28)))</formula>
    </cfRule>
    <cfRule type="containsText" dxfId="9556" priority="2169" operator="containsText" text="P">
      <formula>NOT(ISERROR(SEARCH("P",R28)))</formula>
    </cfRule>
    <cfRule type="containsText" dxfId="9555" priority="2170" operator="containsText" text="TFO">
      <formula>NOT(ISERROR(SEARCH("TFO",R28)))</formula>
    </cfRule>
    <cfRule type="containsText" dxfId="9554" priority="2171" operator="containsText" text="AA">
      <formula>NOT(ISERROR(SEARCH("AA",R28)))</formula>
    </cfRule>
    <cfRule type="containsText" dxfId="9553" priority="2172" operator="containsText" text="RESIGNED">
      <formula>NOT(ISERROR(SEARCH("RESIGNED",R28)))</formula>
    </cfRule>
    <cfRule type="containsText" dxfId="9552" priority="2173" operator="containsText" text="P">
      <formula>NOT(ISERROR(SEARCH("P",R28)))</formula>
    </cfRule>
    <cfRule type="containsText" dxfId="9551" priority="2174" operator="containsText" text="TARDY">
      <formula>NOT(ISERROR(SEARCH("TARDY",R28)))</formula>
    </cfRule>
    <cfRule type="containsText" dxfId="9550" priority="2175" operator="containsText" text="REST DAY">
      <formula>NOT(ISERROR(SEARCH("REST DAY",R28)))</formula>
    </cfRule>
    <cfRule type="containsText" dxfId="9549" priority="2176" operator="containsText" text="UA">
      <formula>NOT(ISERROR(SEARCH("UA",R28)))</formula>
    </cfRule>
    <cfRule type="containsText" dxfId="9548" priority="2177" operator="containsText" text="LWOP UA">
      <formula>NOT(ISERROR(SEARCH("LWOP UA",R28)))</formula>
    </cfRule>
  </conditionalFormatting>
  <conditionalFormatting sqref="R29:X29">
    <cfRule type="cellIs" dxfId="9547" priority="2572" operator="between">
      <formula>1</formula>
      <formula>400</formula>
    </cfRule>
    <cfRule type="containsText" dxfId="9546" priority="2573" operator="containsText" text="LWOP UA">
      <formula>NOT(ISERROR(SEARCH("LWOP UA",R29)))</formula>
    </cfRule>
    <cfRule type="containsText" dxfId="9545" priority="2574" operator="containsText" text="P">
      <formula>NOT(ISERROR(SEARCH("P",R29)))</formula>
    </cfRule>
    <cfRule type="containsText" dxfId="9544" priority="2575" operator="containsText" text="TFO">
      <formula>NOT(ISERROR(SEARCH("TFO",R29)))</formula>
    </cfRule>
    <cfRule type="containsText" dxfId="9543" priority="2576" operator="containsText" text="AA">
      <formula>NOT(ISERROR(SEARCH("AA",R29)))</formula>
    </cfRule>
    <cfRule type="containsText" dxfId="9542" priority="2577" operator="containsText" text="RESIGNED">
      <formula>NOT(ISERROR(SEARCH("RESIGNED",R29)))</formula>
    </cfRule>
    <cfRule type="containsText" dxfId="9541" priority="2578" operator="containsText" text="P">
      <formula>NOT(ISERROR(SEARCH("P",R29)))</formula>
    </cfRule>
    <cfRule type="containsText" dxfId="9540" priority="2579" operator="containsText" text="TARDY">
      <formula>NOT(ISERROR(SEARCH("TARDY",R29)))</formula>
    </cfRule>
    <cfRule type="containsText" dxfId="9539" priority="2580" operator="containsText" text="REST DAY">
      <formula>NOT(ISERROR(SEARCH("REST DAY",R29)))</formula>
    </cfRule>
    <cfRule type="containsText" dxfId="9538" priority="2581" operator="containsText" text="UA">
      <formula>NOT(ISERROR(SEARCH("UA",R29)))</formula>
    </cfRule>
    <cfRule type="containsText" dxfId="9537" priority="2582" operator="containsText" text="LWOP UA">
      <formula>NOT(ISERROR(SEARCH("LWOP UA",R29)))</formula>
    </cfRule>
  </conditionalFormatting>
  <conditionalFormatting sqref="R30:X30">
    <cfRule type="cellIs" dxfId="9536" priority="4127" operator="between">
      <formula>1</formula>
      <formula>400</formula>
    </cfRule>
    <cfRule type="containsText" dxfId="9535" priority="4128" operator="containsText" text="LWOP UA">
      <formula>NOT(ISERROR(SEARCH("LWOP UA",R30)))</formula>
    </cfRule>
    <cfRule type="containsText" dxfId="9534" priority="4129" operator="containsText" text="P">
      <formula>NOT(ISERROR(SEARCH("P",R30)))</formula>
    </cfRule>
    <cfRule type="containsText" dxfId="9533" priority="4130" operator="containsText" text="TFO">
      <formula>NOT(ISERROR(SEARCH("TFO",R30)))</formula>
    </cfRule>
    <cfRule type="containsText" dxfId="9532" priority="4131" operator="containsText" text="AA">
      <formula>NOT(ISERROR(SEARCH("AA",R30)))</formula>
    </cfRule>
    <cfRule type="containsText" dxfId="9531" priority="4132" operator="containsText" text="RESIGNED">
      <formula>NOT(ISERROR(SEARCH("RESIGNED",R30)))</formula>
    </cfRule>
    <cfRule type="containsText" dxfId="9530" priority="4133" operator="containsText" text="P">
      <formula>NOT(ISERROR(SEARCH("P",R30)))</formula>
    </cfRule>
    <cfRule type="containsText" dxfId="9529" priority="4134" operator="containsText" text="TARDY">
      <formula>NOT(ISERROR(SEARCH("TARDY",R30)))</formula>
    </cfRule>
    <cfRule type="containsText" dxfId="9528" priority="4135" operator="containsText" text="REST DAY">
      <formula>NOT(ISERROR(SEARCH("REST DAY",R30)))</formula>
    </cfRule>
    <cfRule type="containsText" dxfId="9527" priority="4136" operator="containsText" text="UA">
      <formula>NOT(ISERROR(SEARCH("UA",R30)))</formula>
    </cfRule>
    <cfRule type="containsText" dxfId="9526" priority="4137" operator="containsText" text="LWOP UA">
      <formula>NOT(ISERROR(SEARCH("LWOP UA",R30)))</formula>
    </cfRule>
  </conditionalFormatting>
  <conditionalFormatting sqref="R31:X31">
    <cfRule type="cellIs" dxfId="9525" priority="2558" operator="between">
      <formula>1</formula>
      <formula>400</formula>
    </cfRule>
    <cfRule type="containsText" dxfId="9524" priority="2559" operator="containsText" text="LWOP UA">
      <formula>NOT(ISERROR(SEARCH("LWOP UA",R31)))</formula>
    </cfRule>
    <cfRule type="containsText" dxfId="9523" priority="2560" operator="containsText" text="P">
      <formula>NOT(ISERROR(SEARCH("P",R31)))</formula>
    </cfRule>
    <cfRule type="containsText" dxfId="9522" priority="2561" operator="containsText" text="TFO">
      <formula>NOT(ISERROR(SEARCH("TFO",R31)))</formula>
    </cfRule>
    <cfRule type="containsText" dxfId="9521" priority="2562" operator="containsText" text="AA">
      <formula>NOT(ISERROR(SEARCH("AA",R31)))</formula>
    </cfRule>
    <cfRule type="containsText" dxfId="9520" priority="2563" operator="containsText" text="RESIGNED">
      <formula>NOT(ISERROR(SEARCH("RESIGNED",R31)))</formula>
    </cfRule>
    <cfRule type="containsText" dxfId="9519" priority="2564" operator="containsText" text="P">
      <formula>NOT(ISERROR(SEARCH("P",R31)))</formula>
    </cfRule>
    <cfRule type="containsText" dxfId="9518" priority="2565" operator="containsText" text="TARDY">
      <formula>NOT(ISERROR(SEARCH("TARDY",R31)))</formula>
    </cfRule>
    <cfRule type="containsText" dxfId="9517" priority="2566" operator="containsText" text="REST DAY">
      <formula>NOT(ISERROR(SEARCH("REST DAY",R31)))</formula>
    </cfRule>
    <cfRule type="containsText" dxfId="9516" priority="2567" operator="containsText" text="UA">
      <formula>NOT(ISERROR(SEARCH("UA",R31)))</formula>
    </cfRule>
    <cfRule type="containsText" dxfId="9515" priority="2568" operator="containsText" text="LWOP UA">
      <formula>NOT(ISERROR(SEARCH("LWOP UA",R31)))</formula>
    </cfRule>
  </conditionalFormatting>
  <conditionalFormatting sqref="R32:X32">
    <cfRule type="cellIs" dxfId="9514" priority="1012" operator="between">
      <formula>1</formula>
      <formula>400</formula>
    </cfRule>
    <cfRule type="containsText" dxfId="9513" priority="1013" operator="containsText" text="LWOP UA">
      <formula>NOT(ISERROR(SEARCH("LWOP UA",R32)))</formula>
    </cfRule>
    <cfRule type="containsText" dxfId="9512" priority="1014" operator="containsText" text="P">
      <formula>NOT(ISERROR(SEARCH("P",R32)))</formula>
    </cfRule>
    <cfRule type="containsText" dxfId="9511" priority="1015" operator="containsText" text="TFO">
      <formula>NOT(ISERROR(SEARCH("TFO",R32)))</formula>
    </cfRule>
    <cfRule type="containsText" dxfId="9510" priority="1016" operator="containsText" text="AA">
      <formula>NOT(ISERROR(SEARCH("AA",R32)))</formula>
    </cfRule>
    <cfRule type="containsText" dxfId="9509" priority="1017" operator="containsText" text="RESIGNED">
      <formula>NOT(ISERROR(SEARCH("RESIGNED",R32)))</formula>
    </cfRule>
    <cfRule type="containsText" dxfId="9508" priority="1018" operator="containsText" text="P">
      <formula>NOT(ISERROR(SEARCH("P",R32)))</formula>
    </cfRule>
    <cfRule type="containsText" dxfId="9507" priority="1019" operator="containsText" text="TARDY">
      <formula>NOT(ISERROR(SEARCH("TARDY",R32)))</formula>
    </cfRule>
    <cfRule type="containsText" dxfId="9506" priority="1020" operator="containsText" text="REST DAY">
      <formula>NOT(ISERROR(SEARCH("REST DAY",R32)))</formula>
    </cfRule>
    <cfRule type="containsText" dxfId="9505" priority="1021" operator="containsText" text="UA">
      <formula>NOT(ISERROR(SEARCH("UA",R32)))</formula>
    </cfRule>
    <cfRule type="containsText" dxfId="9504" priority="1022" operator="containsText" text="LWOP UA">
      <formula>NOT(ISERROR(SEARCH("LWOP UA",R32)))</formula>
    </cfRule>
  </conditionalFormatting>
  <conditionalFormatting sqref="R32:X35">
    <cfRule type="containsText" dxfId="9503" priority="949" operator="containsText" text="540">
      <formula>NOT(ISERROR(SEARCH("540",R32)))</formula>
    </cfRule>
  </conditionalFormatting>
  <conditionalFormatting sqref="R33:X33">
    <cfRule type="cellIs" dxfId="9502" priority="989" operator="between">
      <formula>1</formula>
      <formula>400</formula>
    </cfRule>
    <cfRule type="containsText" dxfId="9501" priority="999" operator="containsText" text="LWOP UA">
      <formula>NOT(ISERROR(SEARCH("LWOP UA",R33)))</formula>
    </cfRule>
  </conditionalFormatting>
  <conditionalFormatting sqref="R34:X34">
    <cfRule type="cellIs" dxfId="9500" priority="965" operator="between">
      <formula>1</formula>
      <formula>400</formula>
    </cfRule>
    <cfRule type="containsText" dxfId="9499" priority="975" operator="containsText" text="LWOP UA">
      <formula>NOT(ISERROR(SEARCH("LWOP UA",R34)))</formula>
    </cfRule>
  </conditionalFormatting>
  <conditionalFormatting sqref="R35:X35">
    <cfRule type="cellIs" dxfId="9498" priority="950" operator="between">
      <formula>1</formula>
      <formula>400</formula>
    </cfRule>
    <cfRule type="containsText" dxfId="9497" priority="951" operator="containsText" text="LWOP UA">
      <formula>NOT(ISERROR(SEARCH("LWOP UA",R35)))</formula>
    </cfRule>
    <cfRule type="containsText" dxfId="9496" priority="952" operator="containsText" text="P">
      <formula>NOT(ISERROR(SEARCH("P",R35)))</formula>
    </cfRule>
    <cfRule type="containsText" dxfId="9495" priority="953" operator="containsText" text="TFO">
      <formula>NOT(ISERROR(SEARCH("TFO",R35)))</formula>
    </cfRule>
    <cfRule type="containsText" dxfId="9494" priority="954" operator="containsText" text="AA">
      <formula>NOT(ISERROR(SEARCH("AA",R35)))</formula>
    </cfRule>
    <cfRule type="containsText" dxfId="9493" priority="955" operator="containsText" text="RESIGNED">
      <formula>NOT(ISERROR(SEARCH("RESIGNED",R35)))</formula>
    </cfRule>
    <cfRule type="containsText" dxfId="9492" priority="956" operator="containsText" text="P">
      <formula>NOT(ISERROR(SEARCH("P",R35)))</formula>
    </cfRule>
    <cfRule type="containsText" dxfId="9491" priority="957" operator="containsText" text="TARDY">
      <formula>NOT(ISERROR(SEARCH("TARDY",R35)))</formula>
    </cfRule>
    <cfRule type="containsText" dxfId="9490" priority="958" operator="containsText" text="REST DAY">
      <formula>NOT(ISERROR(SEARCH("REST DAY",R35)))</formula>
    </cfRule>
    <cfRule type="containsText" dxfId="9489" priority="959" operator="containsText" text="UA">
      <formula>NOT(ISERROR(SEARCH("UA",R35)))</formula>
    </cfRule>
    <cfRule type="containsText" dxfId="9488" priority="960" operator="containsText" text="LWOP UA">
      <formula>NOT(ISERROR(SEARCH("LWOP UA",R35)))</formula>
    </cfRule>
  </conditionalFormatting>
  <conditionalFormatting sqref="R36:X36">
    <cfRule type="cellIs" dxfId="9487" priority="4113" operator="between">
      <formula>1</formula>
      <formula>400</formula>
    </cfRule>
    <cfRule type="containsText" dxfId="9486" priority="4114" operator="containsText" text="LWOP UA">
      <formula>NOT(ISERROR(SEARCH("LWOP UA",R36)))</formula>
    </cfRule>
    <cfRule type="containsText" dxfId="9485" priority="4115" operator="containsText" text="P">
      <formula>NOT(ISERROR(SEARCH("P",R36)))</formula>
    </cfRule>
    <cfRule type="containsText" dxfId="9484" priority="4116" operator="containsText" text="TFO">
      <formula>NOT(ISERROR(SEARCH("TFO",R36)))</formula>
    </cfRule>
    <cfRule type="containsText" dxfId="9483" priority="4117" operator="containsText" text="AA">
      <formula>NOT(ISERROR(SEARCH("AA",R36)))</formula>
    </cfRule>
    <cfRule type="containsText" dxfId="9482" priority="4118" operator="containsText" text="RESIGNED">
      <formula>NOT(ISERROR(SEARCH("RESIGNED",R36)))</formula>
    </cfRule>
    <cfRule type="containsText" dxfId="9481" priority="4119" operator="containsText" text="P">
      <formula>NOT(ISERROR(SEARCH("P",R36)))</formula>
    </cfRule>
    <cfRule type="containsText" dxfId="9480" priority="4120" operator="containsText" text="TARDY">
      <formula>NOT(ISERROR(SEARCH("TARDY",R36)))</formula>
    </cfRule>
    <cfRule type="containsText" dxfId="9479" priority="4121" operator="containsText" text="REST DAY">
      <formula>NOT(ISERROR(SEARCH("REST DAY",R36)))</formula>
    </cfRule>
    <cfRule type="containsText" dxfId="9478" priority="4122" operator="containsText" text="UA">
      <formula>NOT(ISERROR(SEARCH("UA",R36)))</formula>
    </cfRule>
    <cfRule type="containsText" dxfId="9477" priority="4123" operator="containsText" text="LWOP UA">
      <formula>NOT(ISERROR(SEARCH("LWOP UA",R36)))</formula>
    </cfRule>
  </conditionalFormatting>
  <conditionalFormatting sqref="R37:X37">
    <cfRule type="cellIs" dxfId="9476" priority="2153" operator="between">
      <formula>1</formula>
      <formula>400</formula>
    </cfRule>
    <cfRule type="containsText" dxfId="9475" priority="2154" operator="containsText" text="LWOP UA">
      <formula>NOT(ISERROR(SEARCH("LWOP UA",R37)))</formula>
    </cfRule>
    <cfRule type="containsText" dxfId="9474" priority="2155" operator="containsText" text="P">
      <formula>NOT(ISERROR(SEARCH("P",R37)))</formula>
    </cfRule>
    <cfRule type="containsText" dxfId="9473" priority="2156" operator="containsText" text="TFO">
      <formula>NOT(ISERROR(SEARCH("TFO",R37)))</formula>
    </cfRule>
    <cfRule type="containsText" dxfId="9472" priority="2157" operator="containsText" text="AA">
      <formula>NOT(ISERROR(SEARCH("AA",R37)))</formula>
    </cfRule>
    <cfRule type="containsText" dxfId="9471" priority="2158" operator="containsText" text="RESIGNED">
      <formula>NOT(ISERROR(SEARCH("RESIGNED",R37)))</formula>
    </cfRule>
    <cfRule type="containsText" dxfId="9470" priority="2159" operator="containsText" text="P">
      <formula>NOT(ISERROR(SEARCH("P",R37)))</formula>
    </cfRule>
    <cfRule type="containsText" dxfId="9469" priority="2160" operator="containsText" text="TARDY">
      <formula>NOT(ISERROR(SEARCH("TARDY",R37)))</formula>
    </cfRule>
    <cfRule type="containsText" dxfId="9468" priority="2161" operator="containsText" text="REST DAY">
      <formula>NOT(ISERROR(SEARCH("REST DAY",R37)))</formula>
    </cfRule>
    <cfRule type="containsText" dxfId="9467" priority="2162" operator="containsText" text="UA">
      <formula>NOT(ISERROR(SEARCH("UA",R37)))</formula>
    </cfRule>
    <cfRule type="containsText" dxfId="9466" priority="2163" operator="containsText" text="LWOP UA">
      <formula>NOT(ISERROR(SEARCH("LWOP UA",R37)))</formula>
    </cfRule>
  </conditionalFormatting>
  <conditionalFormatting sqref="R38:X38">
    <cfRule type="cellIs" dxfId="9465" priority="2679" operator="between">
      <formula>1</formula>
      <formula>400</formula>
    </cfRule>
    <cfRule type="containsText" dxfId="9464" priority="2680" operator="containsText" text="LWOP UA">
      <formula>NOT(ISERROR(SEARCH("LWOP UA",R38)))</formula>
    </cfRule>
    <cfRule type="containsText" dxfId="9463" priority="2681" operator="containsText" text="P">
      <formula>NOT(ISERROR(SEARCH("P",R38)))</formula>
    </cfRule>
    <cfRule type="containsText" dxfId="9462" priority="2682" operator="containsText" text="TFO">
      <formula>NOT(ISERROR(SEARCH("TFO",R38)))</formula>
    </cfRule>
    <cfRule type="containsText" dxfId="9461" priority="2683" operator="containsText" text="AA">
      <formula>NOT(ISERROR(SEARCH("AA",R38)))</formula>
    </cfRule>
    <cfRule type="containsText" dxfId="9460" priority="2684" operator="containsText" text="RESIGNED">
      <formula>NOT(ISERROR(SEARCH("RESIGNED",R38)))</formula>
    </cfRule>
    <cfRule type="containsText" dxfId="9459" priority="2685" operator="containsText" text="P">
      <formula>NOT(ISERROR(SEARCH("P",R38)))</formula>
    </cfRule>
    <cfRule type="containsText" dxfId="9458" priority="2686" operator="containsText" text="TARDY">
      <formula>NOT(ISERROR(SEARCH("TARDY",R38)))</formula>
    </cfRule>
    <cfRule type="containsText" dxfId="9457" priority="2687" operator="containsText" text="REST DAY">
      <formula>NOT(ISERROR(SEARCH("REST DAY",R38)))</formula>
    </cfRule>
    <cfRule type="containsText" dxfId="9456" priority="2688" operator="containsText" text="UA">
      <formula>NOT(ISERROR(SEARCH("UA",R38)))</formula>
    </cfRule>
    <cfRule type="containsText" dxfId="9455" priority="2689" operator="containsText" text="LWOP UA">
      <formula>NOT(ISERROR(SEARCH("LWOP UA",R38)))</formula>
    </cfRule>
  </conditionalFormatting>
  <conditionalFormatting sqref="R39:X39">
    <cfRule type="containsText" dxfId="9454" priority="926" operator="containsText" text="540">
      <formula>NOT(ISERROR(SEARCH("540",R39)))</formula>
    </cfRule>
    <cfRule type="cellIs" dxfId="9453" priority="927" operator="between">
      <formula>1</formula>
      <formula>400</formula>
    </cfRule>
    <cfRule type="containsText" dxfId="9452" priority="937" operator="containsText" text="LWOP UA">
      <formula>NOT(ISERROR(SEARCH("LWOP UA",R39)))</formula>
    </cfRule>
  </conditionalFormatting>
  <conditionalFormatting sqref="R40:X40">
    <cfRule type="cellIs" dxfId="9451" priority="1869" operator="between">
      <formula>1</formula>
      <formula>400</formula>
    </cfRule>
    <cfRule type="containsText" dxfId="9450" priority="1870" operator="containsText" text="LWOP UA">
      <formula>NOT(ISERROR(SEARCH("LWOP UA",R40)))</formula>
    </cfRule>
    <cfRule type="containsText" dxfId="9449" priority="1871" operator="containsText" text="P">
      <formula>NOT(ISERROR(SEARCH("P",R40)))</formula>
    </cfRule>
    <cfRule type="containsText" dxfId="9448" priority="1872" operator="containsText" text="TFO">
      <formula>NOT(ISERROR(SEARCH("TFO",R40)))</formula>
    </cfRule>
    <cfRule type="containsText" dxfId="9447" priority="1873" operator="containsText" text="AA">
      <formula>NOT(ISERROR(SEARCH("AA",R40)))</formula>
    </cfRule>
    <cfRule type="containsText" dxfId="9446" priority="1874" operator="containsText" text="RESIGNED">
      <formula>NOT(ISERROR(SEARCH("RESIGNED",R40)))</formula>
    </cfRule>
    <cfRule type="containsText" dxfId="9445" priority="1875" operator="containsText" text="P">
      <formula>NOT(ISERROR(SEARCH("P",R40)))</formula>
    </cfRule>
    <cfRule type="containsText" dxfId="9444" priority="1876" operator="containsText" text="TARDY">
      <formula>NOT(ISERROR(SEARCH("TARDY",R40)))</formula>
    </cfRule>
    <cfRule type="containsText" dxfId="9443" priority="1877" operator="containsText" text="REST DAY">
      <formula>NOT(ISERROR(SEARCH("REST DAY",R40)))</formula>
    </cfRule>
    <cfRule type="containsText" dxfId="9442" priority="1878" operator="containsText" text="UA">
      <formula>NOT(ISERROR(SEARCH("UA",R40)))</formula>
    </cfRule>
    <cfRule type="containsText" dxfId="9441" priority="1879" operator="containsText" text="LWOP UA">
      <formula>NOT(ISERROR(SEARCH("LWOP UA",R40)))</formula>
    </cfRule>
  </conditionalFormatting>
  <conditionalFormatting sqref="R41:X41">
    <cfRule type="cellIs" dxfId="9440" priority="1855" operator="between">
      <formula>1</formula>
      <formula>400</formula>
    </cfRule>
    <cfRule type="containsText" dxfId="9439" priority="1856" operator="containsText" text="LWOP UA">
      <formula>NOT(ISERROR(SEARCH("LWOP UA",R41)))</formula>
    </cfRule>
    <cfRule type="containsText" dxfId="9438" priority="1857" operator="containsText" text="P">
      <formula>NOT(ISERROR(SEARCH("P",R41)))</formula>
    </cfRule>
    <cfRule type="containsText" dxfId="9437" priority="1858" operator="containsText" text="TFO">
      <formula>NOT(ISERROR(SEARCH("TFO",R41)))</formula>
    </cfRule>
    <cfRule type="containsText" dxfId="9436" priority="1859" operator="containsText" text="AA">
      <formula>NOT(ISERROR(SEARCH("AA",R41)))</formula>
    </cfRule>
    <cfRule type="containsText" dxfId="9435" priority="1860" operator="containsText" text="RESIGNED">
      <formula>NOT(ISERROR(SEARCH("RESIGNED",R41)))</formula>
    </cfRule>
    <cfRule type="containsText" dxfId="9434" priority="1861" operator="containsText" text="P">
      <formula>NOT(ISERROR(SEARCH("P",R41)))</formula>
    </cfRule>
    <cfRule type="containsText" dxfId="9433" priority="1862" operator="containsText" text="TARDY">
      <formula>NOT(ISERROR(SEARCH("TARDY",R41)))</formula>
    </cfRule>
    <cfRule type="containsText" dxfId="9432" priority="1863" operator="containsText" text="REST DAY">
      <formula>NOT(ISERROR(SEARCH("REST DAY",R41)))</formula>
    </cfRule>
    <cfRule type="containsText" dxfId="9431" priority="1864" operator="containsText" text="UA">
      <formula>NOT(ISERROR(SEARCH("UA",R41)))</formula>
    </cfRule>
    <cfRule type="containsText" dxfId="9430" priority="1865" operator="containsText" text="LWOP UA">
      <formula>NOT(ISERROR(SEARCH("LWOP UA",R41)))</formula>
    </cfRule>
  </conditionalFormatting>
  <conditionalFormatting sqref="R42:X42">
    <cfRule type="containsText" dxfId="9429" priority="912" operator="containsText" text="540">
      <formula>NOT(ISERROR(SEARCH("540",R42)))</formula>
    </cfRule>
    <cfRule type="cellIs" dxfId="9428" priority="913" operator="between">
      <formula>1</formula>
      <formula>400</formula>
    </cfRule>
    <cfRule type="containsText" dxfId="9427" priority="914" operator="containsText" text="LWOP UA">
      <formula>NOT(ISERROR(SEARCH("LWOP UA",R42)))</formula>
    </cfRule>
    <cfRule type="containsText" dxfId="9426" priority="915" operator="containsText" text="P">
      <formula>NOT(ISERROR(SEARCH("P",R42)))</formula>
    </cfRule>
    <cfRule type="containsText" dxfId="9425" priority="916" operator="containsText" text="TFO">
      <formula>NOT(ISERROR(SEARCH("TFO",R42)))</formula>
    </cfRule>
    <cfRule type="containsText" dxfId="9424" priority="917" operator="containsText" text="AA">
      <formula>NOT(ISERROR(SEARCH("AA",R42)))</formula>
    </cfRule>
    <cfRule type="containsText" dxfId="9423" priority="918" operator="containsText" text="RESIGNED">
      <formula>NOT(ISERROR(SEARCH("RESIGNED",R42)))</formula>
    </cfRule>
    <cfRule type="containsText" dxfId="9422" priority="919" operator="containsText" text="P">
      <formula>NOT(ISERROR(SEARCH("P",R42)))</formula>
    </cfRule>
    <cfRule type="containsText" dxfId="9421" priority="920" operator="containsText" text="TARDY">
      <formula>NOT(ISERROR(SEARCH("TARDY",R42)))</formula>
    </cfRule>
    <cfRule type="containsText" dxfId="9420" priority="921" operator="containsText" text="REST DAY">
      <formula>NOT(ISERROR(SEARCH("REST DAY",R42)))</formula>
    </cfRule>
    <cfRule type="containsText" dxfId="9419" priority="922" operator="containsText" text="UA">
      <formula>NOT(ISERROR(SEARCH("UA",R42)))</formula>
    </cfRule>
    <cfRule type="containsText" dxfId="9418" priority="923" operator="containsText" text="LWOP UA">
      <formula>NOT(ISERROR(SEARCH("LWOP UA",R42)))</formula>
    </cfRule>
  </conditionalFormatting>
  <conditionalFormatting sqref="R43:X43">
    <cfRule type="cellIs" dxfId="9417" priority="2139" operator="between">
      <formula>1</formula>
      <formula>400</formula>
    </cfRule>
    <cfRule type="containsText" dxfId="9416" priority="2140" operator="containsText" text="LWOP UA">
      <formula>NOT(ISERROR(SEARCH("LWOP UA",R43)))</formula>
    </cfRule>
    <cfRule type="containsText" dxfId="9415" priority="2141" operator="containsText" text="P">
      <formula>NOT(ISERROR(SEARCH("P",R43)))</formula>
    </cfRule>
    <cfRule type="containsText" dxfId="9414" priority="2142" operator="containsText" text="TFO">
      <formula>NOT(ISERROR(SEARCH("TFO",R43)))</formula>
    </cfRule>
    <cfRule type="containsText" dxfId="9413" priority="2143" operator="containsText" text="AA">
      <formula>NOT(ISERROR(SEARCH("AA",R43)))</formula>
    </cfRule>
    <cfRule type="containsText" dxfId="9412" priority="2144" operator="containsText" text="RESIGNED">
      <formula>NOT(ISERROR(SEARCH("RESIGNED",R43)))</formula>
    </cfRule>
    <cfRule type="containsText" dxfId="9411" priority="2145" operator="containsText" text="P">
      <formula>NOT(ISERROR(SEARCH("P",R43)))</formula>
    </cfRule>
    <cfRule type="containsText" dxfId="9410" priority="2146" operator="containsText" text="TARDY">
      <formula>NOT(ISERROR(SEARCH("TARDY",R43)))</formula>
    </cfRule>
    <cfRule type="containsText" dxfId="9409" priority="2147" operator="containsText" text="REST DAY">
      <formula>NOT(ISERROR(SEARCH("REST DAY",R43)))</formula>
    </cfRule>
    <cfRule type="containsText" dxfId="9408" priority="2148" operator="containsText" text="UA">
      <formula>NOT(ISERROR(SEARCH("UA",R43)))</formula>
    </cfRule>
    <cfRule type="containsText" dxfId="9407" priority="2149" operator="containsText" text="LWOP UA">
      <formula>NOT(ISERROR(SEARCH("LWOP UA",R43)))</formula>
    </cfRule>
  </conditionalFormatting>
  <conditionalFormatting sqref="R44:X44">
    <cfRule type="cellIs" dxfId="9406" priority="1442" operator="between">
      <formula>1</formula>
      <formula>400</formula>
    </cfRule>
    <cfRule type="containsText" dxfId="9405" priority="1443" operator="containsText" text="LWOP UA">
      <formula>NOT(ISERROR(SEARCH("LWOP UA",R44)))</formula>
    </cfRule>
    <cfRule type="containsText" dxfId="9404" priority="1444" operator="containsText" text="P">
      <formula>NOT(ISERROR(SEARCH("P",R44)))</formula>
    </cfRule>
    <cfRule type="containsText" dxfId="9403" priority="1445" operator="containsText" text="TFO">
      <formula>NOT(ISERROR(SEARCH("TFO",R44)))</formula>
    </cfRule>
    <cfRule type="containsText" dxfId="9402" priority="1446" operator="containsText" text="AA">
      <formula>NOT(ISERROR(SEARCH("AA",R44)))</formula>
    </cfRule>
    <cfRule type="containsText" dxfId="9401" priority="1447" operator="containsText" text="RESIGNED">
      <formula>NOT(ISERROR(SEARCH("RESIGNED",R44)))</formula>
    </cfRule>
    <cfRule type="containsText" dxfId="9400" priority="1448" operator="containsText" text="P">
      <formula>NOT(ISERROR(SEARCH("P",R44)))</formula>
    </cfRule>
    <cfRule type="containsText" dxfId="9399" priority="1449" operator="containsText" text="TARDY">
      <formula>NOT(ISERROR(SEARCH("TARDY",R44)))</formula>
    </cfRule>
    <cfRule type="containsText" dxfId="9398" priority="1450" operator="containsText" text="REST DAY">
      <formula>NOT(ISERROR(SEARCH("REST DAY",R44)))</formula>
    </cfRule>
    <cfRule type="containsText" dxfId="9397" priority="1451" operator="containsText" text="UA">
      <formula>NOT(ISERROR(SEARCH("UA",R44)))</formula>
    </cfRule>
    <cfRule type="containsText" dxfId="9396" priority="1452" operator="containsText" text="LWOP UA">
      <formula>NOT(ISERROR(SEARCH("LWOP UA",R44)))</formula>
    </cfRule>
  </conditionalFormatting>
  <conditionalFormatting sqref="R45:X45">
    <cfRule type="cellIs" dxfId="9395" priority="1841" operator="between">
      <formula>1</formula>
      <formula>400</formula>
    </cfRule>
    <cfRule type="containsText" dxfId="9394" priority="1842" operator="containsText" text="LWOP UA">
      <formula>NOT(ISERROR(SEARCH("LWOP UA",R45)))</formula>
    </cfRule>
    <cfRule type="containsText" dxfId="9393" priority="1843" operator="containsText" text="P">
      <formula>NOT(ISERROR(SEARCH("P",R45)))</formula>
    </cfRule>
    <cfRule type="containsText" dxfId="9392" priority="1844" operator="containsText" text="TFO">
      <formula>NOT(ISERROR(SEARCH("TFO",R45)))</formula>
    </cfRule>
    <cfRule type="containsText" dxfId="9391" priority="1845" operator="containsText" text="AA">
      <formula>NOT(ISERROR(SEARCH("AA",R45)))</formula>
    </cfRule>
    <cfRule type="containsText" dxfId="9390" priority="1846" operator="containsText" text="RESIGNED">
      <formula>NOT(ISERROR(SEARCH("RESIGNED",R45)))</formula>
    </cfRule>
    <cfRule type="containsText" dxfId="9389" priority="1847" operator="containsText" text="P">
      <formula>NOT(ISERROR(SEARCH("P",R45)))</formula>
    </cfRule>
    <cfRule type="containsText" dxfId="9388" priority="1848" operator="containsText" text="TARDY">
      <formula>NOT(ISERROR(SEARCH("TARDY",R45)))</formula>
    </cfRule>
    <cfRule type="containsText" dxfId="9387" priority="1849" operator="containsText" text="REST DAY">
      <formula>NOT(ISERROR(SEARCH("REST DAY",R45)))</formula>
    </cfRule>
    <cfRule type="containsText" dxfId="9386" priority="1850" operator="containsText" text="UA">
      <formula>NOT(ISERROR(SEARCH("UA",R45)))</formula>
    </cfRule>
    <cfRule type="containsText" dxfId="9385" priority="1851" operator="containsText" text="LWOP UA">
      <formula>NOT(ISERROR(SEARCH("LWOP UA",R45)))</formula>
    </cfRule>
  </conditionalFormatting>
  <conditionalFormatting sqref="R46:X46">
    <cfRule type="cellIs" dxfId="9384" priority="2544" operator="between">
      <formula>1</formula>
      <formula>400</formula>
    </cfRule>
    <cfRule type="containsText" dxfId="9383" priority="2545" operator="containsText" text="LWOP UA">
      <formula>NOT(ISERROR(SEARCH("LWOP UA",R46)))</formula>
    </cfRule>
    <cfRule type="containsText" dxfId="9382" priority="2546" operator="containsText" text="P">
      <formula>NOT(ISERROR(SEARCH("P",R46)))</formula>
    </cfRule>
    <cfRule type="containsText" dxfId="9381" priority="2547" operator="containsText" text="TFO">
      <formula>NOT(ISERROR(SEARCH("TFO",R46)))</formula>
    </cfRule>
    <cfRule type="containsText" dxfId="9380" priority="2548" operator="containsText" text="AA">
      <formula>NOT(ISERROR(SEARCH("AA",R46)))</formula>
    </cfRule>
    <cfRule type="containsText" dxfId="9379" priority="2549" operator="containsText" text="RESIGNED">
      <formula>NOT(ISERROR(SEARCH("RESIGNED",R46)))</formula>
    </cfRule>
    <cfRule type="containsText" dxfId="9378" priority="2550" operator="containsText" text="P">
      <formula>NOT(ISERROR(SEARCH("P",R46)))</formula>
    </cfRule>
    <cfRule type="containsText" dxfId="9377" priority="2551" operator="containsText" text="TARDY">
      <formula>NOT(ISERROR(SEARCH("TARDY",R46)))</formula>
    </cfRule>
    <cfRule type="containsText" dxfId="9376" priority="2552" operator="containsText" text="REST DAY">
      <formula>NOT(ISERROR(SEARCH("REST DAY",R46)))</formula>
    </cfRule>
    <cfRule type="containsText" dxfId="9375" priority="2553" operator="containsText" text="UA">
      <formula>NOT(ISERROR(SEARCH("UA",R46)))</formula>
    </cfRule>
    <cfRule type="containsText" dxfId="9374" priority="2554" operator="containsText" text="LWOP UA">
      <formula>NOT(ISERROR(SEARCH("LWOP UA",R46)))</formula>
    </cfRule>
  </conditionalFormatting>
  <conditionalFormatting sqref="R47:X47">
    <cfRule type="cellIs" dxfId="9373" priority="899" operator="between">
      <formula>1</formula>
      <formula>400</formula>
    </cfRule>
    <cfRule type="containsText" dxfId="9372" priority="900" operator="containsText" text="LWOP UA">
      <formula>NOT(ISERROR(SEARCH("LWOP UA",R47)))</formula>
    </cfRule>
    <cfRule type="containsText" dxfId="9371" priority="901" operator="containsText" text="P">
      <formula>NOT(ISERROR(SEARCH("P",R47)))</formula>
    </cfRule>
    <cfRule type="containsText" dxfId="9370" priority="902" operator="containsText" text="TFO">
      <formula>NOT(ISERROR(SEARCH("TFO",R47)))</formula>
    </cfRule>
    <cfRule type="containsText" dxfId="9369" priority="903" operator="containsText" text="AA">
      <formula>NOT(ISERROR(SEARCH("AA",R47)))</formula>
    </cfRule>
    <cfRule type="containsText" dxfId="9368" priority="904" operator="containsText" text="RESIGNED">
      <formula>NOT(ISERROR(SEARCH("RESIGNED",R47)))</formula>
    </cfRule>
    <cfRule type="containsText" dxfId="9367" priority="905" operator="containsText" text="P">
      <formula>NOT(ISERROR(SEARCH("P",R47)))</formula>
    </cfRule>
    <cfRule type="containsText" dxfId="9366" priority="906" operator="containsText" text="TARDY">
      <formula>NOT(ISERROR(SEARCH("TARDY",R47)))</formula>
    </cfRule>
    <cfRule type="containsText" dxfId="9365" priority="907" operator="containsText" text="REST DAY">
      <formula>NOT(ISERROR(SEARCH("REST DAY",R47)))</formula>
    </cfRule>
    <cfRule type="containsText" dxfId="9364" priority="908" operator="containsText" text="UA">
      <formula>NOT(ISERROR(SEARCH("UA",R47)))</formula>
    </cfRule>
    <cfRule type="containsText" dxfId="9363" priority="909" operator="containsText" text="LWOP UA">
      <formula>NOT(ISERROR(SEARCH("LWOP UA",R47)))</formula>
    </cfRule>
  </conditionalFormatting>
  <conditionalFormatting sqref="R47:X48">
    <cfRule type="containsText" dxfId="9362" priority="875" operator="containsText" text="540">
      <formula>NOT(ISERROR(SEARCH("540",R47)))</formula>
    </cfRule>
  </conditionalFormatting>
  <conditionalFormatting sqref="R48:X48">
    <cfRule type="cellIs" dxfId="9361" priority="876" operator="between">
      <formula>1</formula>
      <formula>400</formula>
    </cfRule>
    <cfRule type="containsText" dxfId="9360" priority="886" operator="containsText" text="LWOP UA">
      <formula>NOT(ISERROR(SEARCH("LWOP UA",R48)))</formula>
    </cfRule>
  </conditionalFormatting>
  <conditionalFormatting sqref="R49:X49">
    <cfRule type="cellIs" dxfId="9359" priority="4090" operator="between">
      <formula>1</formula>
      <formula>400</formula>
    </cfRule>
    <cfRule type="containsText" dxfId="9358" priority="4100" operator="containsText" text="LWOP UA">
      <formula>NOT(ISERROR(SEARCH("LWOP UA",R49)))</formula>
    </cfRule>
  </conditionalFormatting>
  <conditionalFormatting sqref="R50:X50">
    <cfRule type="cellIs" dxfId="9357" priority="1818" operator="between">
      <formula>1</formula>
      <formula>400</formula>
    </cfRule>
    <cfRule type="containsText" dxfId="9356" priority="1828" operator="containsText" text="LWOP UA">
      <formula>NOT(ISERROR(SEARCH("LWOP UA",R50)))</formula>
    </cfRule>
  </conditionalFormatting>
  <conditionalFormatting sqref="R51:X51">
    <cfRule type="cellIs" dxfId="9355" priority="2125" operator="between">
      <formula>1</formula>
      <formula>400</formula>
    </cfRule>
    <cfRule type="containsText" dxfId="9354" priority="2126" operator="containsText" text="LWOP UA">
      <formula>NOT(ISERROR(SEARCH("LWOP UA",R51)))</formula>
    </cfRule>
    <cfRule type="containsText" dxfId="9353" priority="2127" operator="containsText" text="P">
      <formula>NOT(ISERROR(SEARCH("P",R51)))</formula>
    </cfRule>
    <cfRule type="containsText" dxfId="9352" priority="2128" operator="containsText" text="TFO">
      <formula>NOT(ISERROR(SEARCH("TFO",R51)))</formula>
    </cfRule>
    <cfRule type="containsText" dxfId="9351" priority="2129" operator="containsText" text="AA">
      <formula>NOT(ISERROR(SEARCH("AA",R51)))</formula>
    </cfRule>
    <cfRule type="containsText" dxfId="9350" priority="2130" operator="containsText" text="RESIGNED">
      <formula>NOT(ISERROR(SEARCH("RESIGNED",R51)))</formula>
    </cfRule>
    <cfRule type="containsText" dxfId="9349" priority="2131" operator="containsText" text="P">
      <formula>NOT(ISERROR(SEARCH("P",R51)))</formula>
    </cfRule>
    <cfRule type="containsText" dxfId="9348" priority="2132" operator="containsText" text="TARDY">
      <formula>NOT(ISERROR(SEARCH("TARDY",R51)))</formula>
    </cfRule>
    <cfRule type="containsText" dxfId="9347" priority="2133" operator="containsText" text="REST DAY">
      <formula>NOT(ISERROR(SEARCH("REST DAY",R51)))</formula>
    </cfRule>
    <cfRule type="containsText" dxfId="9346" priority="2134" operator="containsText" text="UA">
      <formula>NOT(ISERROR(SEARCH("UA",R51)))</formula>
    </cfRule>
    <cfRule type="containsText" dxfId="9345" priority="2135" operator="containsText" text="LWOP UA">
      <formula>NOT(ISERROR(SEARCH("LWOP UA",R51)))</formula>
    </cfRule>
  </conditionalFormatting>
  <conditionalFormatting sqref="R52:X52">
    <cfRule type="cellIs" dxfId="9344" priority="1428" operator="between">
      <formula>1</formula>
      <formula>400</formula>
    </cfRule>
    <cfRule type="containsText" dxfId="9343" priority="1429" operator="containsText" text="LWOP UA">
      <formula>NOT(ISERROR(SEARCH("LWOP UA",R52)))</formula>
    </cfRule>
    <cfRule type="containsText" dxfId="9342" priority="1430" operator="containsText" text="P">
      <formula>NOT(ISERROR(SEARCH("P",R52)))</formula>
    </cfRule>
    <cfRule type="containsText" dxfId="9341" priority="1431" operator="containsText" text="TFO">
      <formula>NOT(ISERROR(SEARCH("TFO",R52)))</formula>
    </cfRule>
    <cfRule type="containsText" dxfId="9340" priority="1432" operator="containsText" text="AA">
      <formula>NOT(ISERROR(SEARCH("AA",R52)))</formula>
    </cfRule>
    <cfRule type="containsText" dxfId="9339" priority="1433" operator="containsText" text="RESIGNED">
      <formula>NOT(ISERROR(SEARCH("RESIGNED",R52)))</formula>
    </cfRule>
    <cfRule type="containsText" dxfId="9338" priority="1434" operator="containsText" text="P">
      <formula>NOT(ISERROR(SEARCH("P",R52)))</formula>
    </cfRule>
    <cfRule type="containsText" dxfId="9337" priority="1435" operator="containsText" text="TARDY">
      <formula>NOT(ISERROR(SEARCH("TARDY",R52)))</formula>
    </cfRule>
    <cfRule type="containsText" dxfId="9336" priority="1436" operator="containsText" text="REST DAY">
      <formula>NOT(ISERROR(SEARCH("REST DAY",R52)))</formula>
    </cfRule>
    <cfRule type="containsText" dxfId="9335" priority="1437" operator="containsText" text="UA">
      <formula>NOT(ISERROR(SEARCH("UA",R52)))</formula>
    </cfRule>
    <cfRule type="containsText" dxfId="9334" priority="1438" operator="containsText" text="LWOP UA">
      <formula>NOT(ISERROR(SEARCH("LWOP UA",R52)))</formula>
    </cfRule>
  </conditionalFormatting>
  <conditionalFormatting sqref="R53:X53">
    <cfRule type="containsText" dxfId="9333" priority="861" operator="containsText" text="540">
      <formula>NOT(ISERROR(SEARCH("540",R53)))</formula>
    </cfRule>
    <cfRule type="cellIs" dxfId="9332" priority="862" operator="between">
      <formula>1</formula>
      <formula>400</formula>
    </cfRule>
    <cfRule type="containsText" dxfId="9331" priority="863" operator="containsText" text="LWOP UA">
      <formula>NOT(ISERROR(SEARCH("LWOP UA",R53)))</formula>
    </cfRule>
    <cfRule type="containsText" dxfId="9330" priority="864" operator="containsText" text="P">
      <formula>NOT(ISERROR(SEARCH("P",R53)))</formula>
    </cfRule>
    <cfRule type="containsText" dxfId="9329" priority="865" operator="containsText" text="TFO">
      <formula>NOT(ISERROR(SEARCH("TFO",R53)))</formula>
    </cfRule>
    <cfRule type="containsText" dxfId="9328" priority="866" operator="containsText" text="AA">
      <formula>NOT(ISERROR(SEARCH("AA",R53)))</formula>
    </cfRule>
    <cfRule type="containsText" dxfId="9327" priority="867" operator="containsText" text="RESIGNED">
      <formula>NOT(ISERROR(SEARCH("RESIGNED",R53)))</formula>
    </cfRule>
    <cfRule type="containsText" dxfId="9326" priority="868" operator="containsText" text="P">
      <formula>NOT(ISERROR(SEARCH("P",R53)))</formula>
    </cfRule>
    <cfRule type="containsText" dxfId="9325" priority="869" operator="containsText" text="TARDY">
      <formula>NOT(ISERROR(SEARCH("TARDY",R53)))</formula>
    </cfRule>
    <cfRule type="containsText" dxfId="9324" priority="870" operator="containsText" text="REST DAY">
      <formula>NOT(ISERROR(SEARCH("REST DAY",R53)))</formula>
    </cfRule>
    <cfRule type="containsText" dxfId="9323" priority="871" operator="containsText" text="UA">
      <formula>NOT(ISERROR(SEARCH("UA",R53)))</formula>
    </cfRule>
    <cfRule type="containsText" dxfId="9322" priority="872" operator="containsText" text="LWOP UA">
      <formula>NOT(ISERROR(SEARCH("LWOP UA",R53)))</formula>
    </cfRule>
  </conditionalFormatting>
  <conditionalFormatting sqref="R55:X55">
    <cfRule type="cellIs" dxfId="9321" priority="2530" operator="between">
      <formula>1</formula>
      <formula>400</formula>
    </cfRule>
    <cfRule type="containsText" dxfId="9320" priority="2531" operator="containsText" text="LWOP UA">
      <formula>NOT(ISERROR(SEARCH("LWOP UA",R55)))</formula>
    </cfRule>
    <cfRule type="containsText" dxfId="9319" priority="2532" operator="containsText" text="P">
      <formula>NOT(ISERROR(SEARCH("P",R55)))</formula>
    </cfRule>
    <cfRule type="containsText" dxfId="9318" priority="2533" operator="containsText" text="TFO">
      <formula>NOT(ISERROR(SEARCH("TFO",R55)))</formula>
    </cfRule>
    <cfRule type="containsText" dxfId="9317" priority="2534" operator="containsText" text="AA">
      <formula>NOT(ISERROR(SEARCH("AA",R55)))</formula>
    </cfRule>
    <cfRule type="containsText" dxfId="9316" priority="2535" operator="containsText" text="RESIGNED">
      <formula>NOT(ISERROR(SEARCH("RESIGNED",R55)))</formula>
    </cfRule>
    <cfRule type="containsText" dxfId="9315" priority="2536" operator="containsText" text="P">
      <formula>NOT(ISERROR(SEARCH("P",R55)))</formula>
    </cfRule>
    <cfRule type="containsText" dxfId="9314" priority="2537" operator="containsText" text="TARDY">
      <formula>NOT(ISERROR(SEARCH("TARDY",R55)))</formula>
    </cfRule>
    <cfRule type="containsText" dxfId="9313" priority="2538" operator="containsText" text="REST DAY">
      <formula>NOT(ISERROR(SEARCH("REST DAY",R55)))</formula>
    </cfRule>
    <cfRule type="containsText" dxfId="9312" priority="2539" operator="containsText" text="UA">
      <formula>NOT(ISERROR(SEARCH("UA",R55)))</formula>
    </cfRule>
    <cfRule type="containsText" dxfId="9311" priority="2540" operator="containsText" text="LWOP UA">
      <formula>NOT(ISERROR(SEARCH("LWOP UA",R55)))</formula>
    </cfRule>
  </conditionalFormatting>
  <conditionalFormatting sqref="R55:X56">
    <cfRule type="containsText" dxfId="9310" priority="837" operator="containsText" text="540">
      <formula>NOT(ISERROR(SEARCH("540",R55)))</formula>
    </cfRule>
  </conditionalFormatting>
  <conditionalFormatting sqref="R56:X56">
    <cfRule type="cellIs" dxfId="9309" priority="838" operator="between">
      <formula>1</formula>
      <formula>400</formula>
    </cfRule>
    <cfRule type="containsText" dxfId="9308" priority="848" operator="containsText" text="LWOP UA">
      <formula>NOT(ISERROR(SEARCH("LWOP UA",R56)))</formula>
    </cfRule>
  </conditionalFormatting>
  <conditionalFormatting sqref="R57:X57">
    <cfRule type="cellIs" dxfId="9307" priority="1395" operator="between">
      <formula>1</formula>
      <formula>400</formula>
    </cfRule>
  </conditionalFormatting>
  <conditionalFormatting sqref="R58:X58">
    <cfRule type="containsText" dxfId="9306" priority="813" operator="containsText" text="540">
      <formula>NOT(ISERROR(SEARCH("540",R58)))</formula>
    </cfRule>
    <cfRule type="cellIs" dxfId="9305" priority="814" operator="between">
      <formula>1</formula>
      <formula>400</formula>
    </cfRule>
    <cfRule type="containsText" dxfId="9304" priority="824" operator="containsText" text="LWOP UA">
      <formula>NOT(ISERROR(SEARCH("LWOP UA",R58)))</formula>
    </cfRule>
  </conditionalFormatting>
  <conditionalFormatting sqref="R59:X59">
    <cfRule type="cellIs" dxfId="9303" priority="4057" operator="between">
      <formula>1</formula>
      <formula>400</formula>
    </cfRule>
  </conditionalFormatting>
  <conditionalFormatting sqref="R60:X60">
    <cfRule type="cellIs" dxfId="9302" priority="2111" operator="between">
      <formula>1</formula>
      <formula>400</formula>
    </cfRule>
    <cfRule type="containsText" dxfId="9301" priority="2112" operator="containsText" text="LWOP UA">
      <formula>NOT(ISERROR(SEARCH("LWOP UA",R60)))</formula>
    </cfRule>
    <cfRule type="containsText" dxfId="9300" priority="2113" operator="containsText" text="P">
      <formula>NOT(ISERROR(SEARCH("P",R60)))</formula>
    </cfRule>
    <cfRule type="containsText" dxfId="9299" priority="2114" operator="containsText" text="TFO">
      <formula>NOT(ISERROR(SEARCH("TFO",R60)))</formula>
    </cfRule>
    <cfRule type="containsText" dxfId="9298" priority="2115" operator="containsText" text="AA">
      <formula>NOT(ISERROR(SEARCH("AA",R60)))</formula>
    </cfRule>
    <cfRule type="containsText" dxfId="9297" priority="2116" operator="containsText" text="RESIGNED">
      <formula>NOT(ISERROR(SEARCH("RESIGNED",R60)))</formula>
    </cfRule>
    <cfRule type="containsText" dxfId="9296" priority="2117" operator="containsText" text="P">
      <formula>NOT(ISERROR(SEARCH("P",R60)))</formula>
    </cfRule>
    <cfRule type="containsText" dxfId="9295" priority="2118" operator="containsText" text="TARDY">
      <formula>NOT(ISERROR(SEARCH("TARDY",R60)))</formula>
    </cfRule>
    <cfRule type="containsText" dxfId="9294" priority="2119" operator="containsText" text="REST DAY">
      <formula>NOT(ISERROR(SEARCH("REST DAY",R60)))</formula>
    </cfRule>
    <cfRule type="containsText" dxfId="9293" priority="2120" operator="containsText" text="UA">
      <formula>NOT(ISERROR(SEARCH("UA",R60)))</formula>
    </cfRule>
    <cfRule type="containsText" dxfId="9292" priority="2121" operator="containsText" text="LWOP UA">
      <formula>NOT(ISERROR(SEARCH("LWOP UA",R60)))</formula>
    </cfRule>
  </conditionalFormatting>
  <conditionalFormatting sqref="R60:X62">
    <cfRule type="containsText" dxfId="9291" priority="799" operator="containsText" text="540">
      <formula>NOT(ISERROR(SEARCH("540",R60)))</formula>
    </cfRule>
  </conditionalFormatting>
  <conditionalFormatting sqref="R61:X61">
    <cfRule type="cellIs" dxfId="9290" priority="2097" operator="between">
      <formula>1</formula>
      <formula>400</formula>
    </cfRule>
    <cfRule type="containsText" dxfId="9289" priority="2098" operator="containsText" text="LWOP UA">
      <formula>NOT(ISERROR(SEARCH("LWOP UA",R61)))</formula>
    </cfRule>
    <cfRule type="containsText" dxfId="9288" priority="2099" operator="containsText" text="P">
      <formula>NOT(ISERROR(SEARCH("P",R61)))</formula>
    </cfRule>
    <cfRule type="containsText" dxfId="9287" priority="2100" operator="containsText" text="TFO">
      <formula>NOT(ISERROR(SEARCH("TFO",R61)))</formula>
    </cfRule>
    <cfRule type="containsText" dxfId="9286" priority="2101" operator="containsText" text="AA">
      <formula>NOT(ISERROR(SEARCH("AA",R61)))</formula>
    </cfRule>
    <cfRule type="containsText" dxfId="9285" priority="2102" operator="containsText" text="RESIGNED">
      <formula>NOT(ISERROR(SEARCH("RESIGNED",R61)))</formula>
    </cfRule>
    <cfRule type="containsText" dxfId="9284" priority="2103" operator="containsText" text="P">
      <formula>NOT(ISERROR(SEARCH("P",R61)))</formula>
    </cfRule>
    <cfRule type="containsText" dxfId="9283" priority="2104" operator="containsText" text="TARDY">
      <formula>NOT(ISERROR(SEARCH("TARDY",R61)))</formula>
    </cfRule>
    <cfRule type="containsText" dxfId="9282" priority="2105" operator="containsText" text="REST DAY">
      <formula>NOT(ISERROR(SEARCH("REST DAY",R61)))</formula>
    </cfRule>
    <cfRule type="containsText" dxfId="9281" priority="2106" operator="containsText" text="UA">
      <formula>NOT(ISERROR(SEARCH("UA",R61)))</formula>
    </cfRule>
    <cfRule type="containsText" dxfId="9280" priority="2107" operator="containsText" text="LWOP UA">
      <formula>NOT(ISERROR(SEARCH("LWOP UA",R61)))</formula>
    </cfRule>
  </conditionalFormatting>
  <conditionalFormatting sqref="R62:X62">
    <cfRule type="cellIs" dxfId="9279" priority="800" operator="between">
      <formula>1</formula>
      <formula>400</formula>
    </cfRule>
    <cfRule type="containsText" dxfId="9278" priority="801" operator="containsText" text="LWOP UA">
      <formula>NOT(ISERROR(SEARCH("LWOP UA",R62)))</formula>
    </cfRule>
    <cfRule type="containsText" dxfId="9277" priority="802" operator="containsText" text="P">
      <formula>NOT(ISERROR(SEARCH("P",R62)))</formula>
    </cfRule>
    <cfRule type="containsText" dxfId="9276" priority="803" operator="containsText" text="TFO">
      <formula>NOT(ISERROR(SEARCH("TFO",R62)))</formula>
    </cfRule>
    <cfRule type="containsText" dxfId="9275" priority="804" operator="containsText" text="AA">
      <formula>NOT(ISERROR(SEARCH("AA",R62)))</formula>
    </cfRule>
    <cfRule type="containsText" dxfId="9274" priority="805" operator="containsText" text="RESIGNED">
      <formula>NOT(ISERROR(SEARCH("RESIGNED",R62)))</formula>
    </cfRule>
    <cfRule type="containsText" dxfId="9273" priority="806" operator="containsText" text="P">
      <formula>NOT(ISERROR(SEARCH("P",R62)))</formula>
    </cfRule>
    <cfRule type="containsText" dxfId="9272" priority="807" operator="containsText" text="TARDY">
      <formula>NOT(ISERROR(SEARCH("TARDY",R62)))</formula>
    </cfRule>
    <cfRule type="containsText" dxfId="9271" priority="808" operator="containsText" text="REST DAY">
      <formula>NOT(ISERROR(SEARCH("REST DAY",R62)))</formula>
    </cfRule>
    <cfRule type="containsText" dxfId="9270" priority="809" operator="containsText" text="UA">
      <formula>NOT(ISERROR(SEARCH("UA",R62)))</formula>
    </cfRule>
    <cfRule type="containsText" dxfId="9269" priority="810" operator="containsText" text="LWOP UA">
      <formula>NOT(ISERROR(SEARCH("LWOP UA",R62)))</formula>
    </cfRule>
  </conditionalFormatting>
  <conditionalFormatting sqref="R63:X63">
    <cfRule type="cellIs" dxfId="9268" priority="1790" operator="between">
      <formula>1</formula>
      <formula>400</formula>
    </cfRule>
    <cfRule type="containsText" dxfId="9267" priority="1791" operator="containsText" text="LWOP UA">
      <formula>NOT(ISERROR(SEARCH("LWOP UA",R63)))</formula>
    </cfRule>
    <cfRule type="containsText" dxfId="9266" priority="1792" operator="containsText" text="P">
      <formula>NOT(ISERROR(SEARCH("P",R63)))</formula>
    </cfRule>
    <cfRule type="containsText" dxfId="9265" priority="1793" operator="containsText" text="TFO">
      <formula>NOT(ISERROR(SEARCH("TFO",R63)))</formula>
    </cfRule>
    <cfRule type="containsText" dxfId="9264" priority="1794" operator="containsText" text="AA">
      <formula>NOT(ISERROR(SEARCH("AA",R63)))</formula>
    </cfRule>
    <cfRule type="containsText" dxfId="9263" priority="1795" operator="containsText" text="RESIGNED">
      <formula>NOT(ISERROR(SEARCH("RESIGNED",R63)))</formula>
    </cfRule>
    <cfRule type="containsText" dxfId="9262" priority="1796" operator="containsText" text="P">
      <formula>NOT(ISERROR(SEARCH("P",R63)))</formula>
    </cfRule>
    <cfRule type="containsText" dxfId="9261" priority="1797" operator="containsText" text="TARDY">
      <formula>NOT(ISERROR(SEARCH("TARDY",R63)))</formula>
    </cfRule>
    <cfRule type="containsText" dxfId="9260" priority="1798" operator="containsText" text="REST DAY">
      <formula>NOT(ISERROR(SEARCH("REST DAY",R63)))</formula>
    </cfRule>
    <cfRule type="containsText" dxfId="9259" priority="1799" operator="containsText" text="UA">
      <formula>NOT(ISERROR(SEARCH("UA",R63)))</formula>
    </cfRule>
    <cfRule type="containsText" dxfId="9258" priority="1800" operator="containsText" text="LWOP UA">
      <formula>NOT(ISERROR(SEARCH("LWOP UA",R63)))</formula>
    </cfRule>
  </conditionalFormatting>
  <conditionalFormatting sqref="R64:X64">
    <cfRule type="cellIs" dxfId="9257" priority="1776" operator="between">
      <formula>1</formula>
      <formula>400</formula>
    </cfRule>
    <cfRule type="containsText" dxfId="9256" priority="1777" operator="containsText" text="LWOP UA">
      <formula>NOT(ISERROR(SEARCH("LWOP UA",R64)))</formula>
    </cfRule>
    <cfRule type="containsText" dxfId="9255" priority="1778" operator="containsText" text="P">
      <formula>NOT(ISERROR(SEARCH("P",R64)))</formula>
    </cfRule>
    <cfRule type="containsText" dxfId="9254" priority="1779" operator="containsText" text="TFO">
      <formula>NOT(ISERROR(SEARCH("TFO",R64)))</formula>
    </cfRule>
    <cfRule type="containsText" dxfId="9253" priority="1780" operator="containsText" text="AA">
      <formula>NOT(ISERROR(SEARCH("AA",R64)))</formula>
    </cfRule>
    <cfRule type="containsText" dxfId="9252" priority="1781" operator="containsText" text="RESIGNED">
      <formula>NOT(ISERROR(SEARCH("RESIGNED",R64)))</formula>
    </cfRule>
    <cfRule type="containsText" dxfId="9251" priority="1782" operator="containsText" text="P">
      <formula>NOT(ISERROR(SEARCH("P",R64)))</formula>
    </cfRule>
    <cfRule type="containsText" dxfId="9250" priority="1783" operator="containsText" text="TARDY">
      <formula>NOT(ISERROR(SEARCH("TARDY",R64)))</formula>
    </cfRule>
    <cfRule type="containsText" dxfId="9249" priority="1784" operator="containsText" text="REST DAY">
      <formula>NOT(ISERROR(SEARCH("REST DAY",R64)))</formula>
    </cfRule>
    <cfRule type="containsText" dxfId="9248" priority="1785" operator="containsText" text="UA">
      <formula>NOT(ISERROR(SEARCH("UA",R64)))</formula>
    </cfRule>
    <cfRule type="containsText" dxfId="9247" priority="1786" operator="containsText" text="LWOP UA">
      <formula>NOT(ISERROR(SEARCH("LWOP UA",R64)))</formula>
    </cfRule>
  </conditionalFormatting>
  <conditionalFormatting sqref="R65:X65">
    <cfRule type="containsText" dxfId="9246" priority="776" operator="containsText" text="540">
      <formula>NOT(ISERROR(SEARCH("540",R65)))</formula>
    </cfRule>
    <cfRule type="cellIs" dxfId="9245" priority="777" operator="between">
      <formula>1</formula>
      <formula>400</formula>
    </cfRule>
    <cfRule type="containsText" dxfId="9244" priority="787" operator="containsText" text="LWOP UA">
      <formula>NOT(ISERROR(SEARCH("LWOP UA",R65)))</formula>
    </cfRule>
  </conditionalFormatting>
  <conditionalFormatting sqref="R66:X66">
    <cfRule type="cellIs" dxfId="9243" priority="2516" operator="between">
      <formula>1</formula>
      <formula>400</formula>
    </cfRule>
    <cfRule type="containsText" dxfId="9242" priority="2517" operator="containsText" text="LWOP UA">
      <formula>NOT(ISERROR(SEARCH("LWOP UA",R66)))</formula>
    </cfRule>
    <cfRule type="containsText" dxfId="9241" priority="2518" operator="containsText" text="P">
      <formula>NOT(ISERROR(SEARCH("P",R66)))</formula>
    </cfRule>
    <cfRule type="containsText" dxfId="9240" priority="2519" operator="containsText" text="TFO">
      <formula>NOT(ISERROR(SEARCH("TFO",R66)))</formula>
    </cfRule>
    <cfRule type="containsText" dxfId="9239" priority="2520" operator="containsText" text="AA">
      <formula>NOT(ISERROR(SEARCH("AA",R66)))</formula>
    </cfRule>
    <cfRule type="containsText" dxfId="9238" priority="2521" operator="containsText" text="RESIGNED">
      <formula>NOT(ISERROR(SEARCH("RESIGNED",R66)))</formula>
    </cfRule>
    <cfRule type="containsText" dxfId="9237" priority="2522" operator="containsText" text="P">
      <formula>NOT(ISERROR(SEARCH("P",R66)))</formula>
    </cfRule>
    <cfRule type="containsText" dxfId="9236" priority="2523" operator="containsText" text="TARDY">
      <formula>NOT(ISERROR(SEARCH("TARDY",R66)))</formula>
    </cfRule>
    <cfRule type="containsText" dxfId="9235" priority="2524" operator="containsText" text="REST DAY">
      <formula>NOT(ISERROR(SEARCH("REST DAY",R66)))</formula>
    </cfRule>
    <cfRule type="containsText" dxfId="9234" priority="2525" operator="containsText" text="UA">
      <formula>NOT(ISERROR(SEARCH("UA",R66)))</formula>
    </cfRule>
    <cfRule type="containsText" dxfId="9233" priority="2526" operator="containsText" text="LWOP UA">
      <formula>NOT(ISERROR(SEARCH("LWOP UA",R66)))</formula>
    </cfRule>
  </conditionalFormatting>
  <conditionalFormatting sqref="R66:X67">
    <cfRule type="containsText" dxfId="9232" priority="1378" operator="containsText" text="VL">
      <formula>NOT(ISERROR(SEARCH("VL",R66)))</formula>
    </cfRule>
    <cfRule type="containsText" dxfId="9231" priority="1379" operator="containsText" text="RD">
      <formula>NOT(ISERROR(SEARCH("RD",R66)))</formula>
    </cfRule>
    <cfRule type="containsText" dxfId="9230" priority="1380" operator="containsText" text="540">
      <formula>NOT(ISERROR(SEARCH("540",R66)))</formula>
    </cfRule>
  </conditionalFormatting>
  <conditionalFormatting sqref="R67:X67">
    <cfRule type="cellIs" dxfId="9229" priority="1381" operator="between">
      <formula>1</formula>
      <formula>400</formula>
    </cfRule>
    <cfRule type="containsText" dxfId="9228" priority="1382" operator="containsText" text="LWOP UA">
      <formula>NOT(ISERROR(SEARCH("LWOP UA",R67)))</formula>
    </cfRule>
    <cfRule type="containsText" dxfId="9227" priority="1383" operator="containsText" text="P">
      <formula>NOT(ISERROR(SEARCH("P",R67)))</formula>
    </cfRule>
    <cfRule type="containsText" dxfId="9226" priority="1384" operator="containsText" text="TFO">
      <formula>NOT(ISERROR(SEARCH("TFO",R67)))</formula>
    </cfRule>
    <cfRule type="containsText" dxfId="9225" priority="1385" operator="containsText" text="AA">
      <formula>NOT(ISERROR(SEARCH("AA",R67)))</formula>
    </cfRule>
    <cfRule type="containsText" dxfId="9224" priority="1386" operator="containsText" text="RESIGNED">
      <formula>NOT(ISERROR(SEARCH("RESIGNED",R67)))</formula>
    </cfRule>
    <cfRule type="containsText" dxfId="9223" priority="1387" operator="containsText" text="P">
      <formula>NOT(ISERROR(SEARCH("P",R67)))</formula>
    </cfRule>
    <cfRule type="containsText" dxfId="9222" priority="1388" operator="containsText" text="TARDY">
      <formula>NOT(ISERROR(SEARCH("TARDY",R67)))</formula>
    </cfRule>
    <cfRule type="containsText" dxfId="9221" priority="1389" operator="containsText" text="REST DAY">
      <formula>NOT(ISERROR(SEARCH("REST DAY",R67)))</formula>
    </cfRule>
    <cfRule type="containsText" dxfId="9220" priority="1390" operator="containsText" text="UA">
      <formula>NOT(ISERROR(SEARCH("UA",R67)))</formula>
    </cfRule>
    <cfRule type="containsText" dxfId="9219" priority="1391" operator="containsText" text="LWOP UA">
      <formula>NOT(ISERROR(SEARCH("LWOP UA",R67)))</formula>
    </cfRule>
  </conditionalFormatting>
  <conditionalFormatting sqref="R68:X68">
    <cfRule type="cellIs" dxfId="9218" priority="4043" operator="between">
      <formula>1</formula>
      <formula>400</formula>
    </cfRule>
    <cfRule type="containsText" dxfId="9217" priority="4044" operator="containsText" text="LWOP UA">
      <formula>NOT(ISERROR(SEARCH("LWOP UA",R68)))</formula>
    </cfRule>
    <cfRule type="containsText" dxfId="9216" priority="4045" operator="containsText" text="P">
      <formula>NOT(ISERROR(SEARCH("P",R68)))</formula>
    </cfRule>
    <cfRule type="containsText" dxfId="9215" priority="4046" operator="containsText" text="TFO">
      <formula>NOT(ISERROR(SEARCH("TFO",R68)))</formula>
    </cfRule>
    <cfRule type="containsText" dxfId="9214" priority="4047" operator="containsText" text="AA">
      <formula>NOT(ISERROR(SEARCH("AA",R68)))</formula>
    </cfRule>
    <cfRule type="containsText" dxfId="9213" priority="4048" operator="containsText" text="RESIGNED">
      <formula>NOT(ISERROR(SEARCH("RESIGNED",R68)))</formula>
    </cfRule>
    <cfRule type="containsText" dxfId="9212" priority="4049" operator="containsText" text="P">
      <formula>NOT(ISERROR(SEARCH("P",R68)))</formula>
    </cfRule>
    <cfRule type="containsText" dxfId="9211" priority="4050" operator="containsText" text="TARDY">
      <formula>NOT(ISERROR(SEARCH("TARDY",R68)))</formula>
    </cfRule>
    <cfRule type="containsText" dxfId="9210" priority="4051" operator="containsText" text="REST DAY">
      <formula>NOT(ISERROR(SEARCH("REST DAY",R68)))</formula>
    </cfRule>
    <cfRule type="containsText" dxfId="9209" priority="4052" operator="containsText" text="UA">
      <formula>NOT(ISERROR(SEARCH("UA",R68)))</formula>
    </cfRule>
    <cfRule type="containsText" dxfId="9208" priority="4053" operator="containsText" text="LWOP UA">
      <formula>NOT(ISERROR(SEARCH("LWOP UA",R68)))</formula>
    </cfRule>
  </conditionalFormatting>
  <conditionalFormatting sqref="R69:X69">
    <cfRule type="cellIs" dxfId="9207" priority="763" operator="between">
      <formula>1</formula>
      <formula>400</formula>
    </cfRule>
    <cfRule type="containsText" dxfId="9206" priority="764" operator="containsText" text="LWOP UA">
      <formula>NOT(ISERROR(SEARCH("LWOP UA",R69)))</formula>
    </cfRule>
    <cfRule type="containsText" dxfId="9205" priority="765" operator="containsText" text="P">
      <formula>NOT(ISERROR(SEARCH("P",R69)))</formula>
    </cfRule>
    <cfRule type="containsText" dxfId="9204" priority="766" operator="containsText" text="TFO">
      <formula>NOT(ISERROR(SEARCH("TFO",R69)))</formula>
    </cfRule>
    <cfRule type="containsText" dxfId="9203" priority="767" operator="containsText" text="AA">
      <formula>NOT(ISERROR(SEARCH("AA",R69)))</formula>
    </cfRule>
    <cfRule type="containsText" dxfId="9202" priority="768" operator="containsText" text="RESIGNED">
      <formula>NOT(ISERROR(SEARCH("RESIGNED",R69)))</formula>
    </cfRule>
    <cfRule type="containsText" dxfId="9201" priority="769" operator="containsText" text="P">
      <formula>NOT(ISERROR(SEARCH("P",R69)))</formula>
    </cfRule>
    <cfRule type="containsText" dxfId="9200" priority="770" operator="containsText" text="TARDY">
      <formula>NOT(ISERROR(SEARCH("TARDY",R69)))</formula>
    </cfRule>
    <cfRule type="containsText" dxfId="9199" priority="771" operator="containsText" text="REST DAY">
      <formula>NOT(ISERROR(SEARCH("REST DAY",R69)))</formula>
    </cfRule>
    <cfRule type="containsText" dxfId="9198" priority="772" operator="containsText" text="UA">
      <formula>NOT(ISERROR(SEARCH("UA",R69)))</formula>
    </cfRule>
    <cfRule type="containsText" dxfId="9197" priority="773" operator="containsText" text="LWOP UA">
      <formula>NOT(ISERROR(SEARCH("LWOP UA",R69)))</formula>
    </cfRule>
  </conditionalFormatting>
  <conditionalFormatting sqref="R70:X70">
    <cfRule type="cellIs" dxfId="9196" priority="4029" operator="between">
      <formula>1</formula>
      <formula>400</formula>
    </cfRule>
    <cfRule type="containsText" dxfId="9195" priority="4030" operator="containsText" text="LWOP UA">
      <formula>NOT(ISERROR(SEARCH("LWOP UA",R70)))</formula>
    </cfRule>
    <cfRule type="containsText" dxfId="9194" priority="4031" operator="containsText" text="P">
      <formula>NOT(ISERROR(SEARCH("P",R70)))</formula>
    </cfRule>
    <cfRule type="containsText" dxfId="9193" priority="4032" operator="containsText" text="TFO">
      <formula>NOT(ISERROR(SEARCH("TFO",R70)))</formula>
    </cfRule>
    <cfRule type="containsText" dxfId="9192" priority="4033" operator="containsText" text="AA">
      <formula>NOT(ISERROR(SEARCH("AA",R70)))</formula>
    </cfRule>
    <cfRule type="containsText" dxfId="9191" priority="4034" operator="containsText" text="RESIGNED">
      <formula>NOT(ISERROR(SEARCH("RESIGNED",R70)))</formula>
    </cfRule>
    <cfRule type="containsText" dxfId="9190" priority="4035" operator="containsText" text="P">
      <formula>NOT(ISERROR(SEARCH("P",R70)))</formula>
    </cfRule>
    <cfRule type="containsText" dxfId="9189" priority="4036" operator="containsText" text="TARDY">
      <formula>NOT(ISERROR(SEARCH("TARDY",R70)))</formula>
    </cfRule>
    <cfRule type="containsText" dxfId="9188" priority="4037" operator="containsText" text="REST DAY">
      <formula>NOT(ISERROR(SEARCH("REST DAY",R70)))</formula>
    </cfRule>
    <cfRule type="containsText" dxfId="9187" priority="4038" operator="containsText" text="UA">
      <formula>NOT(ISERROR(SEARCH("UA",R70)))</formula>
    </cfRule>
    <cfRule type="containsText" dxfId="9186" priority="4039" operator="containsText" text="LWOP UA">
      <formula>NOT(ISERROR(SEARCH("LWOP UA",R70)))</formula>
    </cfRule>
  </conditionalFormatting>
  <conditionalFormatting sqref="R71:X71">
    <cfRule type="cellIs" dxfId="9185" priority="2251" operator="between">
      <formula>1</formula>
      <formula>400</formula>
    </cfRule>
    <cfRule type="containsText" dxfId="9184" priority="2252" operator="containsText" text="LWOP UA">
      <formula>NOT(ISERROR(SEARCH("LWOP UA",R71)))</formula>
    </cfRule>
    <cfRule type="containsText" dxfId="9183" priority="2253" operator="containsText" text="P">
      <formula>NOT(ISERROR(SEARCH("P",R71)))</formula>
    </cfRule>
    <cfRule type="containsText" dxfId="9182" priority="2254" operator="containsText" text="TFO">
      <formula>NOT(ISERROR(SEARCH("TFO",R71)))</formula>
    </cfRule>
    <cfRule type="containsText" dxfId="9181" priority="2255" operator="containsText" text="AA">
      <formula>NOT(ISERROR(SEARCH("AA",R71)))</formula>
    </cfRule>
    <cfRule type="containsText" dxfId="9180" priority="2256" operator="containsText" text="RESIGNED">
      <formula>NOT(ISERROR(SEARCH("RESIGNED",R71)))</formula>
    </cfRule>
    <cfRule type="containsText" dxfId="9179" priority="2257" operator="containsText" text="P">
      <formula>NOT(ISERROR(SEARCH("P",R71)))</formula>
    </cfRule>
    <cfRule type="containsText" dxfId="9178" priority="2258" operator="containsText" text="TARDY">
      <formula>NOT(ISERROR(SEARCH("TARDY",R71)))</formula>
    </cfRule>
    <cfRule type="containsText" dxfId="9177" priority="2259" operator="containsText" text="REST DAY">
      <formula>NOT(ISERROR(SEARCH("REST DAY",R71)))</formula>
    </cfRule>
    <cfRule type="containsText" dxfId="9176" priority="2260" operator="containsText" text="UA">
      <formula>NOT(ISERROR(SEARCH("UA",R71)))</formula>
    </cfRule>
    <cfRule type="containsText" dxfId="9175" priority="2261" operator="containsText" text="LWOP UA">
      <formula>NOT(ISERROR(SEARCH("LWOP UA",R71)))</formula>
    </cfRule>
  </conditionalFormatting>
  <conditionalFormatting sqref="R71:X72">
    <cfRule type="containsText" dxfId="9174" priority="746" operator="containsText" text="VL">
      <formula>NOT(ISERROR(SEARCH("VL",R71)))</formula>
    </cfRule>
    <cfRule type="containsText" dxfId="9173" priority="747" operator="containsText" text="RD">
      <formula>NOT(ISERROR(SEARCH("RD",R71)))</formula>
    </cfRule>
    <cfRule type="containsText" dxfId="9172" priority="748" operator="containsText" text="540">
      <formula>NOT(ISERROR(SEARCH("540",R71)))</formula>
    </cfRule>
  </conditionalFormatting>
  <conditionalFormatting sqref="R72:X72">
    <cfRule type="cellIs" dxfId="9171" priority="749" operator="between">
      <formula>1</formula>
      <formula>400</formula>
    </cfRule>
    <cfRule type="containsText" dxfId="9170" priority="750" operator="containsText" text="LWOP UA">
      <formula>NOT(ISERROR(SEARCH("LWOP UA",R72)))</formula>
    </cfRule>
    <cfRule type="containsText" dxfId="9169" priority="751" operator="containsText" text="P">
      <formula>NOT(ISERROR(SEARCH("P",R72)))</formula>
    </cfRule>
    <cfRule type="containsText" dxfId="9168" priority="752" operator="containsText" text="TFO">
      <formula>NOT(ISERROR(SEARCH("TFO",R72)))</formula>
    </cfRule>
    <cfRule type="containsText" dxfId="9167" priority="753" operator="containsText" text="AA">
      <formula>NOT(ISERROR(SEARCH("AA",R72)))</formula>
    </cfRule>
    <cfRule type="containsText" dxfId="9166" priority="754" operator="containsText" text="RESIGNED">
      <formula>NOT(ISERROR(SEARCH("RESIGNED",R72)))</formula>
    </cfRule>
    <cfRule type="containsText" dxfId="9165" priority="755" operator="containsText" text="P">
      <formula>NOT(ISERROR(SEARCH("P",R72)))</formula>
    </cfRule>
    <cfRule type="containsText" dxfId="9164" priority="756" operator="containsText" text="TARDY">
      <formula>NOT(ISERROR(SEARCH("TARDY",R72)))</formula>
    </cfRule>
    <cfRule type="containsText" dxfId="9163" priority="757" operator="containsText" text="REST DAY">
      <formula>NOT(ISERROR(SEARCH("REST DAY",R72)))</formula>
    </cfRule>
    <cfRule type="containsText" dxfId="9162" priority="758" operator="containsText" text="UA">
      <formula>NOT(ISERROR(SEARCH("UA",R72)))</formula>
    </cfRule>
    <cfRule type="containsText" dxfId="9161" priority="759" operator="containsText" text="LWOP UA">
      <formula>NOT(ISERROR(SEARCH("LWOP UA",R72)))</formula>
    </cfRule>
  </conditionalFormatting>
  <conditionalFormatting sqref="R73:X73">
    <cfRule type="cellIs" dxfId="9160" priority="2502" operator="between">
      <formula>1</formula>
      <formula>400</formula>
    </cfRule>
    <cfRule type="containsText" dxfId="9159" priority="2503" operator="containsText" text="LWOP UA">
      <formula>NOT(ISERROR(SEARCH("LWOP UA",R73)))</formula>
    </cfRule>
    <cfRule type="containsText" dxfId="9158" priority="2504" operator="containsText" text="P">
      <formula>NOT(ISERROR(SEARCH("P",R73)))</formula>
    </cfRule>
    <cfRule type="containsText" dxfId="9157" priority="2505" operator="containsText" text="TFO">
      <formula>NOT(ISERROR(SEARCH("TFO",R73)))</formula>
    </cfRule>
    <cfRule type="containsText" dxfId="9156" priority="2506" operator="containsText" text="AA">
      <formula>NOT(ISERROR(SEARCH("AA",R73)))</formula>
    </cfRule>
    <cfRule type="containsText" dxfId="9155" priority="2507" operator="containsText" text="RESIGNED">
      <formula>NOT(ISERROR(SEARCH("RESIGNED",R73)))</formula>
    </cfRule>
    <cfRule type="containsText" dxfId="9154" priority="2508" operator="containsText" text="P">
      <formula>NOT(ISERROR(SEARCH("P",R73)))</formula>
    </cfRule>
    <cfRule type="containsText" dxfId="9153" priority="2509" operator="containsText" text="TARDY">
      <formula>NOT(ISERROR(SEARCH("TARDY",R73)))</formula>
    </cfRule>
    <cfRule type="containsText" dxfId="9152" priority="2510" operator="containsText" text="REST DAY">
      <formula>NOT(ISERROR(SEARCH("REST DAY",R73)))</formula>
    </cfRule>
    <cfRule type="containsText" dxfId="9151" priority="2511" operator="containsText" text="UA">
      <formula>NOT(ISERROR(SEARCH("UA",R73)))</formula>
    </cfRule>
    <cfRule type="containsText" dxfId="9150" priority="2512" operator="containsText" text="LWOP UA">
      <formula>NOT(ISERROR(SEARCH("LWOP UA",R73)))</formula>
    </cfRule>
  </conditionalFormatting>
  <conditionalFormatting sqref="R74:X74">
    <cfRule type="cellIs" dxfId="9149" priority="725" operator="between">
      <formula>1</formula>
      <formula>400</formula>
    </cfRule>
    <cfRule type="containsText" dxfId="9148" priority="735" operator="containsText" text="LWOP UA">
      <formula>NOT(ISERROR(SEARCH("LWOP UA",R74)))</formula>
    </cfRule>
  </conditionalFormatting>
  <conditionalFormatting sqref="R74:X75">
    <cfRule type="containsText" dxfId="9147" priority="709" operator="containsText" text="540">
      <formula>NOT(ISERROR(SEARCH("540",R74)))</formula>
    </cfRule>
  </conditionalFormatting>
  <conditionalFormatting sqref="R75:X75">
    <cfRule type="cellIs" dxfId="9146" priority="710" operator="between">
      <formula>1</formula>
      <formula>400</formula>
    </cfRule>
    <cfRule type="containsText" dxfId="9145" priority="711" operator="containsText" text="LWOP UA">
      <formula>NOT(ISERROR(SEARCH("LWOP UA",R75)))</formula>
    </cfRule>
    <cfRule type="containsText" dxfId="9144" priority="712" operator="containsText" text="P">
      <formula>NOT(ISERROR(SEARCH("P",R75)))</formula>
    </cfRule>
    <cfRule type="containsText" dxfId="9143" priority="713" operator="containsText" text="TFO">
      <formula>NOT(ISERROR(SEARCH("TFO",R75)))</formula>
    </cfRule>
    <cfRule type="containsText" dxfId="9142" priority="714" operator="containsText" text="AA">
      <formula>NOT(ISERROR(SEARCH("AA",R75)))</formula>
    </cfRule>
    <cfRule type="containsText" dxfId="9141" priority="715" operator="containsText" text="RESIGNED">
      <formula>NOT(ISERROR(SEARCH("RESIGNED",R75)))</formula>
    </cfRule>
    <cfRule type="containsText" dxfId="9140" priority="716" operator="containsText" text="P">
      <formula>NOT(ISERROR(SEARCH("P",R75)))</formula>
    </cfRule>
    <cfRule type="containsText" dxfId="9139" priority="717" operator="containsText" text="TARDY">
      <formula>NOT(ISERROR(SEARCH("TARDY",R75)))</formula>
    </cfRule>
    <cfRule type="containsText" dxfId="9138" priority="718" operator="containsText" text="REST DAY">
      <formula>NOT(ISERROR(SEARCH("REST DAY",R75)))</formula>
    </cfRule>
    <cfRule type="containsText" dxfId="9137" priority="719" operator="containsText" text="UA">
      <formula>NOT(ISERROR(SEARCH("UA",R75)))</formula>
    </cfRule>
    <cfRule type="containsText" dxfId="9136" priority="720" operator="containsText" text="LWOP UA">
      <formula>NOT(ISERROR(SEARCH("LWOP UA",R75)))</formula>
    </cfRule>
  </conditionalFormatting>
  <conditionalFormatting sqref="R76:X76">
    <cfRule type="cellIs" dxfId="9135" priority="4015" operator="between">
      <formula>1</formula>
      <formula>400</formula>
    </cfRule>
    <cfRule type="containsText" dxfId="9134" priority="4016" operator="containsText" text="LWOP UA">
      <formula>NOT(ISERROR(SEARCH("LWOP UA",R76)))</formula>
    </cfRule>
    <cfRule type="containsText" dxfId="9133" priority="4017" operator="containsText" text="P">
      <formula>NOT(ISERROR(SEARCH("P",R76)))</formula>
    </cfRule>
    <cfRule type="containsText" dxfId="9132" priority="4018" operator="containsText" text="TFO">
      <formula>NOT(ISERROR(SEARCH("TFO",R76)))</formula>
    </cfRule>
    <cfRule type="containsText" dxfId="9131" priority="4019" operator="containsText" text="AA">
      <formula>NOT(ISERROR(SEARCH("AA",R76)))</formula>
    </cfRule>
    <cfRule type="containsText" dxfId="9130" priority="4020" operator="containsText" text="RESIGNED">
      <formula>NOT(ISERROR(SEARCH("RESIGNED",R76)))</formula>
    </cfRule>
    <cfRule type="containsText" dxfId="9129" priority="4021" operator="containsText" text="P">
      <formula>NOT(ISERROR(SEARCH("P",R76)))</formula>
    </cfRule>
    <cfRule type="containsText" dxfId="9128" priority="4022" operator="containsText" text="TARDY">
      <formula>NOT(ISERROR(SEARCH("TARDY",R76)))</formula>
    </cfRule>
    <cfRule type="containsText" dxfId="9127" priority="4023" operator="containsText" text="REST DAY">
      <formula>NOT(ISERROR(SEARCH("REST DAY",R76)))</formula>
    </cfRule>
    <cfRule type="containsText" dxfId="9126" priority="4024" operator="containsText" text="UA">
      <formula>NOT(ISERROR(SEARCH("UA",R76)))</formula>
    </cfRule>
    <cfRule type="containsText" dxfId="9125" priority="4025" operator="containsText" text="LWOP UA">
      <formula>NOT(ISERROR(SEARCH("LWOP UA",R76)))</formula>
    </cfRule>
  </conditionalFormatting>
  <conditionalFormatting sqref="R77:X77">
    <cfRule type="cellIs" dxfId="9124" priority="1753" operator="between">
      <formula>1</formula>
      <formula>400</formula>
    </cfRule>
    <cfRule type="containsText" dxfId="9123" priority="1763" operator="containsText" text="LWOP UA">
      <formula>NOT(ISERROR(SEARCH("LWOP UA",R77)))</formula>
    </cfRule>
  </conditionalFormatting>
  <conditionalFormatting sqref="R78:X78">
    <cfRule type="cellIs" dxfId="9122" priority="2083" operator="between">
      <formula>1</formula>
      <formula>400</formula>
    </cfRule>
    <cfRule type="containsText" dxfId="9121" priority="2084" operator="containsText" text="LWOP UA">
      <formula>NOT(ISERROR(SEARCH("LWOP UA",R78)))</formula>
    </cfRule>
    <cfRule type="containsText" dxfId="9120" priority="2085" operator="containsText" text="P">
      <formula>NOT(ISERROR(SEARCH("P",R78)))</formula>
    </cfRule>
    <cfRule type="containsText" dxfId="9119" priority="2086" operator="containsText" text="TFO">
      <formula>NOT(ISERROR(SEARCH("TFO",R78)))</formula>
    </cfRule>
    <cfRule type="containsText" dxfId="9118" priority="2087" operator="containsText" text="AA">
      <formula>NOT(ISERROR(SEARCH("AA",R78)))</formula>
    </cfRule>
    <cfRule type="containsText" dxfId="9117" priority="2088" operator="containsText" text="RESIGNED">
      <formula>NOT(ISERROR(SEARCH("RESIGNED",R78)))</formula>
    </cfRule>
    <cfRule type="containsText" dxfId="9116" priority="2089" operator="containsText" text="P">
      <formula>NOT(ISERROR(SEARCH("P",R78)))</formula>
    </cfRule>
    <cfRule type="containsText" dxfId="9115" priority="2090" operator="containsText" text="TARDY">
      <formula>NOT(ISERROR(SEARCH("TARDY",R78)))</formula>
    </cfRule>
    <cfRule type="containsText" dxfId="9114" priority="2091" operator="containsText" text="REST DAY">
      <formula>NOT(ISERROR(SEARCH("REST DAY",R78)))</formula>
    </cfRule>
    <cfRule type="containsText" dxfId="9113" priority="2092" operator="containsText" text="UA">
      <formula>NOT(ISERROR(SEARCH("UA",R78)))</formula>
    </cfRule>
    <cfRule type="containsText" dxfId="9112" priority="2093" operator="containsText" text="LWOP UA">
      <formula>NOT(ISERROR(SEARCH("LWOP UA",R78)))</formula>
    </cfRule>
  </conditionalFormatting>
  <conditionalFormatting sqref="R79:X79">
    <cfRule type="cellIs" dxfId="9111" priority="4001" operator="between">
      <formula>1</formula>
      <formula>400</formula>
    </cfRule>
    <cfRule type="containsText" dxfId="9110" priority="4002" operator="containsText" text="LWOP UA">
      <formula>NOT(ISERROR(SEARCH("LWOP UA",R79)))</formula>
    </cfRule>
    <cfRule type="containsText" dxfId="9109" priority="4003" operator="containsText" text="P">
      <formula>NOT(ISERROR(SEARCH("P",R79)))</formula>
    </cfRule>
    <cfRule type="containsText" dxfId="9108" priority="4004" operator="containsText" text="TFO">
      <formula>NOT(ISERROR(SEARCH("TFO",R79)))</formula>
    </cfRule>
    <cfRule type="containsText" dxfId="9107" priority="4005" operator="containsText" text="AA">
      <formula>NOT(ISERROR(SEARCH("AA",R79)))</formula>
    </cfRule>
    <cfRule type="containsText" dxfId="9106" priority="4006" operator="containsText" text="RESIGNED">
      <formula>NOT(ISERROR(SEARCH("RESIGNED",R79)))</formula>
    </cfRule>
    <cfRule type="containsText" dxfId="9105" priority="4007" operator="containsText" text="P">
      <formula>NOT(ISERROR(SEARCH("P",R79)))</formula>
    </cfRule>
    <cfRule type="containsText" dxfId="9104" priority="4008" operator="containsText" text="TARDY">
      <formula>NOT(ISERROR(SEARCH("TARDY",R79)))</formula>
    </cfRule>
    <cfRule type="containsText" dxfId="9103" priority="4009" operator="containsText" text="REST DAY">
      <formula>NOT(ISERROR(SEARCH("REST DAY",R79)))</formula>
    </cfRule>
    <cfRule type="containsText" dxfId="9102" priority="4010" operator="containsText" text="UA">
      <formula>NOT(ISERROR(SEARCH("UA",R79)))</formula>
    </cfRule>
    <cfRule type="containsText" dxfId="9101" priority="4011" operator="containsText" text="LWOP UA">
      <formula>NOT(ISERROR(SEARCH("LWOP UA",R79)))</formula>
    </cfRule>
  </conditionalFormatting>
  <conditionalFormatting sqref="R80:X80">
    <cfRule type="cellIs" dxfId="9100" priority="696" operator="between">
      <formula>1</formula>
      <formula>400</formula>
    </cfRule>
    <cfRule type="containsText" dxfId="9099" priority="697" operator="containsText" text="LWOP UA">
      <formula>NOT(ISERROR(SEARCH("LWOP UA",R80)))</formula>
    </cfRule>
    <cfRule type="containsText" dxfId="9098" priority="698" operator="containsText" text="P">
      <formula>NOT(ISERROR(SEARCH("P",R80)))</formula>
    </cfRule>
    <cfRule type="containsText" dxfId="9097" priority="699" operator="containsText" text="TFO">
      <formula>NOT(ISERROR(SEARCH("TFO",R80)))</formula>
    </cfRule>
    <cfRule type="containsText" dxfId="9096" priority="700" operator="containsText" text="AA">
      <formula>NOT(ISERROR(SEARCH("AA",R80)))</formula>
    </cfRule>
    <cfRule type="containsText" dxfId="9095" priority="701" operator="containsText" text="RESIGNED">
      <formula>NOT(ISERROR(SEARCH("RESIGNED",R80)))</formula>
    </cfRule>
    <cfRule type="containsText" dxfId="9094" priority="702" operator="containsText" text="P">
      <formula>NOT(ISERROR(SEARCH("P",R80)))</formula>
    </cfRule>
    <cfRule type="containsText" dxfId="9093" priority="703" operator="containsText" text="TARDY">
      <formula>NOT(ISERROR(SEARCH("TARDY",R80)))</formula>
    </cfRule>
    <cfRule type="containsText" dxfId="9092" priority="704" operator="containsText" text="REST DAY">
      <formula>NOT(ISERROR(SEARCH("REST DAY",R80)))</formula>
    </cfRule>
    <cfRule type="containsText" dxfId="9091" priority="705" operator="containsText" text="UA">
      <formula>NOT(ISERROR(SEARCH("UA",R80)))</formula>
    </cfRule>
    <cfRule type="containsText" dxfId="9090" priority="706" operator="containsText" text="LWOP UA">
      <formula>NOT(ISERROR(SEARCH("LWOP UA",R80)))</formula>
    </cfRule>
  </conditionalFormatting>
  <conditionalFormatting sqref="R81:X81">
    <cfRule type="cellIs" dxfId="9089" priority="2479" operator="between">
      <formula>1</formula>
      <formula>400</formula>
    </cfRule>
    <cfRule type="containsText" dxfId="9088" priority="2489" operator="containsText" text="LWOP UA">
      <formula>NOT(ISERROR(SEARCH("LWOP UA",R81)))</formula>
    </cfRule>
  </conditionalFormatting>
  <conditionalFormatting sqref="R82:X82">
    <cfRule type="cellIs" dxfId="9087" priority="3987" operator="between">
      <formula>1</formula>
      <formula>400</formula>
    </cfRule>
    <cfRule type="containsText" dxfId="9086" priority="3988" operator="containsText" text="LWOP UA">
      <formula>NOT(ISERROR(SEARCH("LWOP UA",R82)))</formula>
    </cfRule>
    <cfRule type="containsText" dxfId="9085" priority="3989" operator="containsText" text="P">
      <formula>NOT(ISERROR(SEARCH("P",R82)))</formula>
    </cfRule>
    <cfRule type="containsText" dxfId="9084" priority="3990" operator="containsText" text="TFO">
      <formula>NOT(ISERROR(SEARCH("TFO",R82)))</formula>
    </cfRule>
    <cfRule type="containsText" dxfId="9083" priority="3991" operator="containsText" text="AA">
      <formula>NOT(ISERROR(SEARCH("AA",R82)))</formula>
    </cfRule>
    <cfRule type="containsText" dxfId="9082" priority="3992" operator="containsText" text="RESIGNED">
      <formula>NOT(ISERROR(SEARCH("RESIGNED",R82)))</formula>
    </cfRule>
    <cfRule type="containsText" dxfId="9081" priority="3993" operator="containsText" text="P">
      <formula>NOT(ISERROR(SEARCH("P",R82)))</formula>
    </cfRule>
    <cfRule type="containsText" dxfId="9080" priority="3994" operator="containsText" text="TARDY">
      <formula>NOT(ISERROR(SEARCH("TARDY",R82)))</formula>
    </cfRule>
    <cfRule type="containsText" dxfId="9079" priority="3995" operator="containsText" text="REST DAY">
      <formula>NOT(ISERROR(SEARCH("REST DAY",R82)))</formula>
    </cfRule>
    <cfRule type="containsText" dxfId="9078" priority="3996" operator="containsText" text="UA">
      <formula>NOT(ISERROR(SEARCH("UA",R82)))</formula>
    </cfRule>
    <cfRule type="containsText" dxfId="9077" priority="3997" operator="containsText" text="LWOP UA">
      <formula>NOT(ISERROR(SEARCH("LWOP UA",R82)))</formula>
    </cfRule>
  </conditionalFormatting>
  <conditionalFormatting sqref="R83:X83">
    <cfRule type="cellIs" dxfId="9076" priority="3973" operator="between">
      <formula>1</formula>
      <formula>400</formula>
    </cfRule>
    <cfRule type="containsText" dxfId="9075" priority="3974" operator="containsText" text="LWOP UA">
      <formula>NOT(ISERROR(SEARCH("LWOP UA",R83)))</formula>
    </cfRule>
    <cfRule type="containsText" dxfId="9074" priority="3975" operator="containsText" text="P">
      <formula>NOT(ISERROR(SEARCH("P",R83)))</formula>
    </cfRule>
    <cfRule type="containsText" dxfId="9073" priority="3976" operator="containsText" text="TFO">
      <formula>NOT(ISERROR(SEARCH("TFO",R83)))</formula>
    </cfRule>
    <cfRule type="containsText" dxfId="9072" priority="3977" operator="containsText" text="AA">
      <formula>NOT(ISERROR(SEARCH("AA",R83)))</formula>
    </cfRule>
    <cfRule type="containsText" dxfId="9071" priority="3978" operator="containsText" text="RESIGNED">
      <formula>NOT(ISERROR(SEARCH("RESIGNED",R83)))</formula>
    </cfRule>
    <cfRule type="containsText" dxfId="9070" priority="3979" operator="containsText" text="P">
      <formula>NOT(ISERROR(SEARCH("P",R83)))</formula>
    </cfRule>
    <cfRule type="containsText" dxfId="9069" priority="3980" operator="containsText" text="TARDY">
      <formula>NOT(ISERROR(SEARCH("TARDY",R83)))</formula>
    </cfRule>
    <cfRule type="containsText" dxfId="9068" priority="3981" operator="containsText" text="REST DAY">
      <formula>NOT(ISERROR(SEARCH("REST DAY",R83)))</formula>
    </cfRule>
    <cfRule type="containsText" dxfId="9067" priority="3982" operator="containsText" text="UA">
      <formula>NOT(ISERROR(SEARCH("UA",R83)))</formula>
    </cfRule>
    <cfRule type="containsText" dxfId="9066" priority="3983" operator="containsText" text="LWOP UA">
      <formula>NOT(ISERROR(SEARCH("LWOP UA",R83)))</formula>
    </cfRule>
  </conditionalFormatting>
  <conditionalFormatting sqref="R84:X84">
    <cfRule type="cellIs" dxfId="9065" priority="682" operator="between">
      <formula>1</formula>
      <formula>400</formula>
    </cfRule>
    <cfRule type="containsText" dxfId="9064" priority="683" operator="containsText" text="LWOP UA">
      <formula>NOT(ISERROR(SEARCH("LWOP UA",R84)))</formula>
    </cfRule>
    <cfRule type="containsText" dxfId="9063" priority="684" operator="containsText" text="P">
      <formula>NOT(ISERROR(SEARCH("P",R84)))</formula>
    </cfRule>
    <cfRule type="containsText" dxfId="9062" priority="685" operator="containsText" text="TFO">
      <formula>NOT(ISERROR(SEARCH("TFO",R84)))</formula>
    </cfRule>
    <cfRule type="containsText" dxfId="9061" priority="686" operator="containsText" text="AA">
      <formula>NOT(ISERROR(SEARCH("AA",R84)))</formula>
    </cfRule>
    <cfRule type="containsText" dxfId="9060" priority="687" operator="containsText" text="RESIGNED">
      <formula>NOT(ISERROR(SEARCH("RESIGNED",R84)))</formula>
    </cfRule>
    <cfRule type="containsText" dxfId="9059" priority="688" operator="containsText" text="P">
      <formula>NOT(ISERROR(SEARCH("P",R84)))</formula>
    </cfRule>
    <cfRule type="containsText" dxfId="9058" priority="689" operator="containsText" text="TARDY">
      <formula>NOT(ISERROR(SEARCH("TARDY",R84)))</formula>
    </cfRule>
    <cfRule type="containsText" dxfId="9057" priority="690" operator="containsText" text="REST DAY">
      <formula>NOT(ISERROR(SEARCH("REST DAY",R84)))</formula>
    </cfRule>
    <cfRule type="containsText" dxfId="9056" priority="691" operator="containsText" text="UA">
      <formula>NOT(ISERROR(SEARCH("UA",R84)))</formula>
    </cfRule>
    <cfRule type="containsText" dxfId="9055" priority="692" operator="containsText" text="LWOP UA">
      <formula>NOT(ISERROR(SEARCH("LWOP UA",R84)))</formula>
    </cfRule>
  </conditionalFormatting>
  <conditionalFormatting sqref="R84:X85">
    <cfRule type="containsText" dxfId="9054" priority="679" operator="containsText" text="VL">
      <formula>NOT(ISERROR(SEARCH("VL",R84)))</formula>
    </cfRule>
    <cfRule type="containsText" dxfId="9053" priority="680" operator="containsText" text="RD">
      <formula>NOT(ISERROR(SEARCH("RD",R84)))</formula>
    </cfRule>
    <cfRule type="containsText" dxfId="9052" priority="681" operator="containsText" text="540">
      <formula>NOT(ISERROR(SEARCH("540",R84)))</formula>
    </cfRule>
  </conditionalFormatting>
  <conditionalFormatting sqref="R85:X85">
    <cfRule type="cellIs" dxfId="9051" priority="2237" operator="between">
      <formula>1</formula>
      <formula>400</formula>
    </cfRule>
    <cfRule type="containsText" dxfId="9050" priority="2238" operator="containsText" text="LWOP UA">
      <formula>NOT(ISERROR(SEARCH("LWOP UA",R85)))</formula>
    </cfRule>
    <cfRule type="containsText" dxfId="9049" priority="2239" operator="containsText" text="P">
      <formula>NOT(ISERROR(SEARCH("P",R85)))</formula>
    </cfRule>
    <cfRule type="containsText" dxfId="9048" priority="2240" operator="containsText" text="TFO">
      <formula>NOT(ISERROR(SEARCH("TFO",R85)))</formula>
    </cfRule>
    <cfRule type="containsText" dxfId="9047" priority="2241" operator="containsText" text="AA">
      <formula>NOT(ISERROR(SEARCH("AA",R85)))</formula>
    </cfRule>
    <cfRule type="containsText" dxfId="9046" priority="2242" operator="containsText" text="RESIGNED">
      <formula>NOT(ISERROR(SEARCH("RESIGNED",R85)))</formula>
    </cfRule>
    <cfRule type="containsText" dxfId="9045" priority="2243" operator="containsText" text="P">
      <formula>NOT(ISERROR(SEARCH("P",R85)))</formula>
    </cfRule>
    <cfRule type="containsText" dxfId="9044" priority="2244" operator="containsText" text="TARDY">
      <formula>NOT(ISERROR(SEARCH("TARDY",R85)))</formula>
    </cfRule>
    <cfRule type="containsText" dxfId="9043" priority="2245" operator="containsText" text="REST DAY">
      <formula>NOT(ISERROR(SEARCH("REST DAY",R85)))</formula>
    </cfRule>
    <cfRule type="containsText" dxfId="9042" priority="2246" operator="containsText" text="UA">
      <formula>NOT(ISERROR(SEARCH("UA",R85)))</formula>
    </cfRule>
    <cfRule type="containsText" dxfId="9041" priority="2247" operator="containsText" text="LWOP UA">
      <formula>NOT(ISERROR(SEARCH("LWOP UA",R85)))</formula>
    </cfRule>
  </conditionalFormatting>
  <conditionalFormatting sqref="R86:X86">
    <cfRule type="cellIs" dxfId="9040" priority="2465" operator="between">
      <formula>1</formula>
      <formula>400</formula>
    </cfRule>
    <cfRule type="containsText" dxfId="9039" priority="2466" operator="containsText" text="LWOP UA">
      <formula>NOT(ISERROR(SEARCH("LWOP UA",R86)))</formula>
    </cfRule>
    <cfRule type="containsText" dxfId="9038" priority="2467" operator="containsText" text="P">
      <formula>NOT(ISERROR(SEARCH("P",R86)))</formula>
    </cfRule>
    <cfRule type="containsText" dxfId="9037" priority="2468" operator="containsText" text="TFO">
      <formula>NOT(ISERROR(SEARCH("TFO",R86)))</formula>
    </cfRule>
    <cfRule type="containsText" dxfId="9036" priority="2469" operator="containsText" text="AA">
      <formula>NOT(ISERROR(SEARCH("AA",R86)))</formula>
    </cfRule>
    <cfRule type="containsText" dxfId="9035" priority="2470" operator="containsText" text="RESIGNED">
      <formula>NOT(ISERROR(SEARCH("RESIGNED",R86)))</formula>
    </cfRule>
    <cfRule type="containsText" dxfId="9034" priority="2471" operator="containsText" text="P">
      <formula>NOT(ISERROR(SEARCH("P",R86)))</formula>
    </cfRule>
    <cfRule type="containsText" dxfId="9033" priority="2472" operator="containsText" text="TARDY">
      <formula>NOT(ISERROR(SEARCH("TARDY",R86)))</formula>
    </cfRule>
    <cfRule type="containsText" dxfId="9032" priority="2473" operator="containsText" text="REST DAY">
      <formula>NOT(ISERROR(SEARCH("REST DAY",R86)))</formula>
    </cfRule>
    <cfRule type="containsText" dxfId="9031" priority="2474" operator="containsText" text="UA">
      <formula>NOT(ISERROR(SEARCH("UA",R86)))</formula>
    </cfRule>
    <cfRule type="containsText" dxfId="9030" priority="2475" operator="containsText" text="LWOP UA">
      <formula>NOT(ISERROR(SEARCH("LWOP UA",R86)))</formula>
    </cfRule>
  </conditionalFormatting>
  <conditionalFormatting sqref="R87:X87">
    <cfRule type="cellIs" dxfId="9029" priority="3959" operator="between">
      <formula>1</formula>
      <formula>400</formula>
    </cfRule>
    <cfRule type="containsText" dxfId="9028" priority="3960" operator="containsText" text="LWOP UA">
      <formula>NOT(ISERROR(SEARCH("LWOP UA",R87)))</formula>
    </cfRule>
    <cfRule type="containsText" dxfId="9027" priority="3961" operator="containsText" text="P">
      <formula>NOT(ISERROR(SEARCH("P",R87)))</formula>
    </cfRule>
    <cfRule type="containsText" dxfId="9026" priority="3962" operator="containsText" text="TFO">
      <formula>NOT(ISERROR(SEARCH("TFO",R87)))</formula>
    </cfRule>
    <cfRule type="containsText" dxfId="9025" priority="3963" operator="containsText" text="AA">
      <formula>NOT(ISERROR(SEARCH("AA",R87)))</formula>
    </cfRule>
    <cfRule type="containsText" dxfId="9024" priority="3964" operator="containsText" text="RESIGNED">
      <formula>NOT(ISERROR(SEARCH("RESIGNED",R87)))</formula>
    </cfRule>
    <cfRule type="containsText" dxfId="9023" priority="3965" operator="containsText" text="P">
      <formula>NOT(ISERROR(SEARCH("P",R87)))</formula>
    </cfRule>
    <cfRule type="containsText" dxfId="9022" priority="3966" operator="containsText" text="TARDY">
      <formula>NOT(ISERROR(SEARCH("TARDY",R87)))</formula>
    </cfRule>
    <cfRule type="containsText" dxfId="9021" priority="3967" operator="containsText" text="REST DAY">
      <formula>NOT(ISERROR(SEARCH("REST DAY",R87)))</formula>
    </cfRule>
    <cfRule type="containsText" dxfId="9020" priority="3968" operator="containsText" text="UA">
      <formula>NOT(ISERROR(SEARCH("UA",R87)))</formula>
    </cfRule>
    <cfRule type="containsText" dxfId="9019" priority="3969" operator="containsText" text="LWOP UA">
      <formula>NOT(ISERROR(SEARCH("LWOP UA",R87)))</formula>
    </cfRule>
  </conditionalFormatting>
  <conditionalFormatting sqref="R88:X88">
    <cfRule type="cellIs" dxfId="9018" priority="1739" operator="between">
      <formula>1</formula>
      <formula>400</formula>
    </cfRule>
    <cfRule type="containsText" dxfId="9017" priority="1740" operator="containsText" text="LWOP UA">
      <formula>NOT(ISERROR(SEARCH("LWOP UA",R88)))</formula>
    </cfRule>
    <cfRule type="containsText" dxfId="9016" priority="1741" operator="containsText" text="P">
      <formula>NOT(ISERROR(SEARCH("P",R88)))</formula>
    </cfRule>
    <cfRule type="containsText" dxfId="9015" priority="1742" operator="containsText" text="TFO">
      <formula>NOT(ISERROR(SEARCH("TFO",R88)))</formula>
    </cfRule>
    <cfRule type="containsText" dxfId="9014" priority="1743" operator="containsText" text="AA">
      <formula>NOT(ISERROR(SEARCH("AA",R88)))</formula>
    </cfRule>
    <cfRule type="containsText" dxfId="9013" priority="1744" operator="containsText" text="RESIGNED">
      <formula>NOT(ISERROR(SEARCH("RESIGNED",R88)))</formula>
    </cfRule>
    <cfRule type="containsText" dxfId="9012" priority="1745" operator="containsText" text="P">
      <formula>NOT(ISERROR(SEARCH("P",R88)))</formula>
    </cfRule>
    <cfRule type="containsText" dxfId="9011" priority="1746" operator="containsText" text="TARDY">
      <formula>NOT(ISERROR(SEARCH("TARDY",R88)))</formula>
    </cfRule>
    <cfRule type="containsText" dxfId="9010" priority="1747" operator="containsText" text="REST DAY">
      <formula>NOT(ISERROR(SEARCH("REST DAY",R88)))</formula>
    </cfRule>
    <cfRule type="containsText" dxfId="9009" priority="1748" operator="containsText" text="UA">
      <formula>NOT(ISERROR(SEARCH("UA",R88)))</formula>
    </cfRule>
    <cfRule type="containsText" dxfId="9008" priority="1749" operator="containsText" text="LWOP UA">
      <formula>NOT(ISERROR(SEARCH("LWOP UA",R88)))</formula>
    </cfRule>
  </conditionalFormatting>
  <conditionalFormatting sqref="R89:X89">
    <cfRule type="cellIs" dxfId="9007" priority="1725" operator="between">
      <formula>1</formula>
      <formula>400</formula>
    </cfRule>
    <cfRule type="containsText" dxfId="9006" priority="1726" operator="containsText" text="LWOP UA">
      <formula>NOT(ISERROR(SEARCH("LWOP UA",R89)))</formula>
    </cfRule>
    <cfRule type="containsText" dxfId="9005" priority="1727" operator="containsText" text="P">
      <formula>NOT(ISERROR(SEARCH("P",R89)))</formula>
    </cfRule>
    <cfRule type="containsText" dxfId="9004" priority="1728" operator="containsText" text="TFO">
      <formula>NOT(ISERROR(SEARCH("TFO",R89)))</formula>
    </cfRule>
    <cfRule type="containsText" dxfId="9003" priority="1729" operator="containsText" text="AA">
      <formula>NOT(ISERROR(SEARCH("AA",R89)))</formula>
    </cfRule>
    <cfRule type="containsText" dxfId="9002" priority="1730" operator="containsText" text="RESIGNED">
      <formula>NOT(ISERROR(SEARCH("RESIGNED",R89)))</formula>
    </cfRule>
    <cfRule type="containsText" dxfId="9001" priority="1731" operator="containsText" text="P">
      <formula>NOT(ISERROR(SEARCH("P",R89)))</formula>
    </cfRule>
    <cfRule type="containsText" dxfId="9000" priority="1732" operator="containsText" text="TARDY">
      <formula>NOT(ISERROR(SEARCH("TARDY",R89)))</formula>
    </cfRule>
    <cfRule type="containsText" dxfId="8999" priority="1733" operator="containsText" text="REST DAY">
      <formula>NOT(ISERROR(SEARCH("REST DAY",R89)))</formula>
    </cfRule>
    <cfRule type="containsText" dxfId="8998" priority="1734" operator="containsText" text="UA">
      <formula>NOT(ISERROR(SEARCH("UA",R89)))</formula>
    </cfRule>
    <cfRule type="containsText" dxfId="8997" priority="1735" operator="containsText" text="LWOP UA">
      <formula>NOT(ISERROR(SEARCH("LWOP UA",R89)))</formula>
    </cfRule>
  </conditionalFormatting>
  <conditionalFormatting sqref="R90:X90">
    <cfRule type="containsText" dxfId="8996" priority="1355" operator="containsText" text="VL">
      <formula>NOT(ISERROR(SEARCH("VL",R90)))</formula>
    </cfRule>
    <cfRule type="containsText" dxfId="8995" priority="1356" operator="containsText" text="RD">
      <formula>NOT(ISERROR(SEARCH("RD",R90)))</formula>
    </cfRule>
    <cfRule type="containsText" dxfId="8994" priority="1357" operator="containsText" text="540">
      <formula>NOT(ISERROR(SEARCH("540",R90)))</formula>
    </cfRule>
    <cfRule type="cellIs" dxfId="8993" priority="1358" operator="between">
      <formula>1</formula>
      <formula>400</formula>
    </cfRule>
    <cfRule type="containsText" dxfId="8992" priority="1359" operator="containsText" text="LWOP UA">
      <formula>NOT(ISERROR(SEARCH("LWOP UA",R90)))</formula>
    </cfRule>
    <cfRule type="containsText" dxfId="8991" priority="1360" operator="containsText" text="P">
      <formula>NOT(ISERROR(SEARCH("P",R90)))</formula>
    </cfRule>
    <cfRule type="containsText" dxfId="8990" priority="1361" operator="containsText" text="TFO">
      <formula>NOT(ISERROR(SEARCH("TFO",R90)))</formula>
    </cfRule>
    <cfRule type="containsText" dxfId="8989" priority="1362" operator="containsText" text="AA">
      <formula>NOT(ISERROR(SEARCH("AA",R90)))</formula>
    </cfRule>
    <cfRule type="containsText" dxfId="8988" priority="1363" operator="containsText" text="RESIGNED">
      <formula>NOT(ISERROR(SEARCH("RESIGNED",R90)))</formula>
    </cfRule>
    <cfRule type="containsText" dxfId="8987" priority="1364" operator="containsText" text="P">
      <formula>NOT(ISERROR(SEARCH("P",R90)))</formula>
    </cfRule>
    <cfRule type="containsText" dxfId="8986" priority="1365" operator="containsText" text="TARDY">
      <formula>NOT(ISERROR(SEARCH("TARDY",R90)))</formula>
    </cfRule>
    <cfRule type="containsText" dxfId="8985" priority="1366" operator="containsText" text="REST DAY">
      <formula>NOT(ISERROR(SEARCH("REST DAY",R90)))</formula>
    </cfRule>
    <cfRule type="containsText" dxfId="8984" priority="1367" operator="containsText" text="UA">
      <formula>NOT(ISERROR(SEARCH("UA",R90)))</formula>
    </cfRule>
    <cfRule type="containsText" dxfId="8983" priority="1368" operator="containsText" text="LWOP UA">
      <formula>NOT(ISERROR(SEARCH("LWOP UA",R90)))</formula>
    </cfRule>
  </conditionalFormatting>
  <conditionalFormatting sqref="R91:X91">
    <cfRule type="cellIs" dxfId="8982" priority="1711" operator="between">
      <formula>1</formula>
      <formula>400</formula>
    </cfRule>
    <cfRule type="containsText" dxfId="8981" priority="1712" operator="containsText" text="LWOP UA">
      <formula>NOT(ISERROR(SEARCH("LWOP UA",R91)))</formula>
    </cfRule>
    <cfRule type="containsText" dxfId="8980" priority="1713" operator="containsText" text="P">
      <formula>NOT(ISERROR(SEARCH("P",R91)))</formula>
    </cfRule>
    <cfRule type="containsText" dxfId="8979" priority="1714" operator="containsText" text="TFO">
      <formula>NOT(ISERROR(SEARCH("TFO",R91)))</formula>
    </cfRule>
    <cfRule type="containsText" dxfId="8978" priority="1715" operator="containsText" text="AA">
      <formula>NOT(ISERROR(SEARCH("AA",R91)))</formula>
    </cfRule>
    <cfRule type="containsText" dxfId="8977" priority="1716" operator="containsText" text="RESIGNED">
      <formula>NOT(ISERROR(SEARCH("RESIGNED",R91)))</formula>
    </cfRule>
    <cfRule type="containsText" dxfId="8976" priority="1717" operator="containsText" text="P">
      <formula>NOT(ISERROR(SEARCH("P",R91)))</formula>
    </cfRule>
    <cfRule type="containsText" dxfId="8975" priority="1718" operator="containsText" text="TARDY">
      <formula>NOT(ISERROR(SEARCH("TARDY",R91)))</formula>
    </cfRule>
    <cfRule type="containsText" dxfId="8974" priority="1719" operator="containsText" text="REST DAY">
      <formula>NOT(ISERROR(SEARCH("REST DAY",R91)))</formula>
    </cfRule>
    <cfRule type="containsText" dxfId="8973" priority="1720" operator="containsText" text="UA">
      <formula>NOT(ISERROR(SEARCH("UA",R91)))</formula>
    </cfRule>
    <cfRule type="containsText" dxfId="8972" priority="1721" operator="containsText" text="LWOP UA">
      <formula>NOT(ISERROR(SEARCH("LWOP UA",R91)))</formula>
    </cfRule>
  </conditionalFormatting>
  <conditionalFormatting sqref="R92:X92">
    <cfRule type="containsText" dxfId="8971" priority="667" operator="containsText" text="540">
      <formula>NOT(ISERROR(SEARCH("540",R92)))</formula>
    </cfRule>
    <cfRule type="cellIs" dxfId="8970" priority="668" operator="between">
      <formula>1</formula>
      <formula>400</formula>
    </cfRule>
    <cfRule type="containsText" dxfId="8969" priority="669" operator="containsText" text="LWOP UA">
      <formula>NOT(ISERROR(SEARCH("LWOP UA",R92)))</formula>
    </cfRule>
    <cfRule type="containsText" dxfId="8968" priority="670" operator="containsText" text="P">
      <formula>NOT(ISERROR(SEARCH("P",R92)))</formula>
    </cfRule>
    <cfRule type="containsText" dxfId="8967" priority="671" operator="containsText" text="TFO">
      <formula>NOT(ISERROR(SEARCH("TFO",R92)))</formula>
    </cfRule>
    <cfRule type="containsText" dxfId="8966" priority="672" operator="containsText" text="AA">
      <formula>NOT(ISERROR(SEARCH("AA",R92)))</formula>
    </cfRule>
    <cfRule type="containsText" dxfId="8965" priority="673" operator="containsText" text="RESIGNED">
      <formula>NOT(ISERROR(SEARCH("RESIGNED",R92)))</formula>
    </cfRule>
    <cfRule type="containsText" dxfId="8964" priority="674" operator="containsText" text="P">
      <formula>NOT(ISERROR(SEARCH("P",R92)))</formula>
    </cfRule>
    <cfRule type="containsText" dxfId="8963" priority="675" operator="containsText" text="TARDY">
      <formula>NOT(ISERROR(SEARCH("TARDY",R92)))</formula>
    </cfRule>
    <cfRule type="containsText" dxfId="8962" priority="676" operator="containsText" text="REST DAY">
      <formula>NOT(ISERROR(SEARCH("REST DAY",R92)))</formula>
    </cfRule>
    <cfRule type="containsText" dxfId="8961" priority="677" operator="containsText" text="UA">
      <formula>NOT(ISERROR(SEARCH("UA",R92)))</formula>
    </cfRule>
    <cfRule type="containsText" dxfId="8960" priority="678" operator="containsText" text="LWOP UA">
      <formula>NOT(ISERROR(SEARCH("LWOP UA",R92)))</formula>
    </cfRule>
  </conditionalFormatting>
  <conditionalFormatting sqref="R92:X93">
    <cfRule type="containsText" dxfId="8959" priority="633" operator="containsText" text="VL">
      <formula>NOT(ISERROR(SEARCH("VL",R92)))</formula>
    </cfRule>
    <cfRule type="containsText" dxfId="8958" priority="634" operator="containsText" text="RD">
      <formula>NOT(ISERROR(SEARCH("RD",R92)))</formula>
    </cfRule>
  </conditionalFormatting>
  <conditionalFormatting sqref="R93:X93">
    <cfRule type="containsText" dxfId="8957" priority="635" operator="containsText" text="540">
      <formula>NOT(ISERROR(SEARCH("540",R93)))</formula>
    </cfRule>
    <cfRule type="cellIs" dxfId="8956" priority="636" operator="between">
      <formula>1</formula>
      <formula>400</formula>
    </cfRule>
    <cfRule type="containsText" dxfId="8955" priority="646" operator="containsText" text="LWOP UA">
      <formula>NOT(ISERROR(SEARCH("LWOP UA",R93)))</formula>
    </cfRule>
  </conditionalFormatting>
  <conditionalFormatting sqref="R94:X94">
    <cfRule type="cellIs" dxfId="8954" priority="1326" operator="between">
      <formula>1</formula>
      <formula>400</formula>
    </cfRule>
    <cfRule type="containsText" dxfId="8953" priority="1327" operator="containsText" text="LWOP UA">
      <formula>NOT(ISERROR(SEARCH("LWOP UA",R94)))</formula>
    </cfRule>
    <cfRule type="containsText" dxfId="8952" priority="1328" operator="containsText" text="P">
      <formula>NOT(ISERROR(SEARCH("P",R94)))</formula>
    </cfRule>
    <cfRule type="containsText" dxfId="8951" priority="1329" operator="containsText" text="TFO">
      <formula>NOT(ISERROR(SEARCH("TFO",R94)))</formula>
    </cfRule>
    <cfRule type="containsText" dxfId="8950" priority="1330" operator="containsText" text="AA">
      <formula>NOT(ISERROR(SEARCH("AA",R94)))</formula>
    </cfRule>
    <cfRule type="containsText" dxfId="8949" priority="1331" operator="containsText" text="RESIGNED">
      <formula>NOT(ISERROR(SEARCH("RESIGNED",R94)))</formula>
    </cfRule>
    <cfRule type="containsText" dxfId="8948" priority="1332" operator="containsText" text="P">
      <formula>NOT(ISERROR(SEARCH("P",R94)))</formula>
    </cfRule>
    <cfRule type="containsText" dxfId="8947" priority="1333" operator="containsText" text="TARDY">
      <formula>NOT(ISERROR(SEARCH("TARDY",R94)))</formula>
    </cfRule>
    <cfRule type="containsText" dxfId="8946" priority="1334" operator="containsText" text="REST DAY">
      <formula>NOT(ISERROR(SEARCH("REST DAY",R94)))</formula>
    </cfRule>
    <cfRule type="containsText" dxfId="8945" priority="1335" operator="containsText" text="UA">
      <formula>NOT(ISERROR(SEARCH("UA",R94)))</formula>
    </cfRule>
    <cfRule type="containsText" dxfId="8944" priority="1336" operator="containsText" text="LWOP UA">
      <formula>NOT(ISERROR(SEARCH("LWOP UA",R94)))</formula>
    </cfRule>
  </conditionalFormatting>
  <conditionalFormatting sqref="R54:AD54">
    <cfRule type="containsText" dxfId="8943" priority="1803" operator="containsText" text="540">
      <formula>NOT(ISERROR(SEARCH("540",R54)))</formula>
    </cfRule>
    <cfRule type="cellIs" dxfId="8942" priority="1804" operator="between">
      <formula>1</formula>
      <formula>400</formula>
    </cfRule>
    <cfRule type="containsText" dxfId="8941" priority="1805" operator="containsText" text="LWOP UA">
      <formula>NOT(ISERROR(SEARCH("LWOP UA",R54)))</formula>
    </cfRule>
    <cfRule type="containsText" dxfId="8940" priority="1806" operator="containsText" text="P">
      <formula>NOT(ISERROR(SEARCH("P",R54)))</formula>
    </cfRule>
    <cfRule type="containsText" dxfId="8939" priority="1807" operator="containsText" text="TFO">
      <formula>NOT(ISERROR(SEARCH("TFO",R54)))</formula>
    </cfRule>
    <cfRule type="containsText" dxfId="8938" priority="1808" operator="containsText" text="AA">
      <formula>NOT(ISERROR(SEARCH("AA",R54)))</formula>
    </cfRule>
    <cfRule type="containsText" dxfId="8937" priority="1809" operator="containsText" text="RESIGNED">
      <formula>NOT(ISERROR(SEARCH("RESIGNED",R54)))</formula>
    </cfRule>
    <cfRule type="containsText" dxfId="8936" priority="1810" operator="containsText" text="P">
      <formula>NOT(ISERROR(SEARCH("P",R54)))</formula>
    </cfRule>
    <cfRule type="containsText" dxfId="8935" priority="1811" operator="containsText" text="TARDY">
      <formula>NOT(ISERROR(SEARCH("TARDY",R54)))</formula>
    </cfRule>
    <cfRule type="containsText" dxfId="8934" priority="1812" operator="containsText" text="REST DAY">
      <formula>NOT(ISERROR(SEARCH("REST DAY",R54)))</formula>
    </cfRule>
    <cfRule type="containsText" dxfId="8933" priority="1813" operator="containsText" text="UA">
      <formula>NOT(ISERROR(SEARCH("UA",R54)))</formula>
    </cfRule>
    <cfRule type="containsText" dxfId="8932" priority="1814" operator="containsText" text="LWOP UA">
      <formula>NOT(ISERROR(SEARCH("LWOP UA",R54)))</formula>
    </cfRule>
  </conditionalFormatting>
  <conditionalFormatting sqref="R54:AF54">
    <cfRule type="containsText" dxfId="8931" priority="29" operator="containsText" text="VL">
      <formula>NOT(ISERROR(SEARCH("VL",R54)))</formula>
    </cfRule>
    <cfRule type="containsText" dxfId="8930" priority="30" operator="containsText" text="RD">
      <formula>NOT(ISERROR(SEARCH("RD",R54)))</formula>
    </cfRule>
  </conditionalFormatting>
  <conditionalFormatting sqref="R3:AG4">
    <cfRule type="containsText" dxfId="8929" priority="2427" operator="containsText" text="540">
      <formula>NOT(ISERROR(SEARCH("540",R3)))</formula>
    </cfRule>
  </conditionalFormatting>
  <conditionalFormatting sqref="R6:AG7">
    <cfRule type="containsText" dxfId="8928" priority="1696" operator="containsText" text="540">
      <formula>NOT(ISERROR(SEARCH("540",R6)))</formula>
    </cfRule>
  </conditionalFormatting>
  <conditionalFormatting sqref="R9:AG11">
    <cfRule type="containsText" dxfId="8927" priority="1682" operator="containsText" text="540">
      <formula>NOT(ISERROR(SEARCH("540",R9)))</formula>
    </cfRule>
  </conditionalFormatting>
  <conditionalFormatting sqref="R14:AG16">
    <cfRule type="containsText" dxfId="8926" priority="1668" operator="containsText" text="540">
      <formula>NOT(ISERROR(SEARCH("540",R14)))</formula>
    </cfRule>
  </conditionalFormatting>
  <conditionalFormatting sqref="R14:AG19">
    <cfRule type="containsText" dxfId="8925" priority="531" operator="containsText" text="VL">
      <formula>NOT(ISERROR(SEARCH("VL",R14)))</formula>
    </cfRule>
    <cfRule type="containsText" dxfId="8924" priority="532" operator="containsText" text="RD">
      <formula>NOT(ISERROR(SEARCH("RD",R14)))</formula>
    </cfRule>
  </conditionalFormatting>
  <conditionalFormatting sqref="R18:AG18">
    <cfRule type="containsText" dxfId="8923" priority="2385" operator="containsText" text="540">
      <formula>NOT(ISERROR(SEARCH("540",R18)))</formula>
    </cfRule>
  </conditionalFormatting>
  <conditionalFormatting sqref="R21:AG23">
    <cfRule type="containsText" dxfId="8922" priority="517" operator="containsText" text="VL">
      <formula>NOT(ISERROR(SEARCH("VL",R21)))</formula>
    </cfRule>
    <cfRule type="containsText" dxfId="8921" priority="518" operator="containsText" text="RD">
      <formula>NOT(ISERROR(SEARCH("RD",R21)))</formula>
    </cfRule>
  </conditionalFormatting>
  <conditionalFormatting sqref="R22:AG23">
    <cfRule type="containsText" dxfId="8920" priority="2054" operator="containsText" text="540">
      <formula>NOT(ISERROR(SEARCH("540",R22)))</formula>
    </cfRule>
  </conditionalFormatting>
  <conditionalFormatting sqref="R27:AG31">
    <cfRule type="containsText" dxfId="8919" priority="2040" operator="containsText" text="540">
      <formula>NOT(ISERROR(SEARCH("540",R27)))</formula>
    </cfRule>
  </conditionalFormatting>
  <conditionalFormatting sqref="R37:AG38">
    <cfRule type="containsText" dxfId="8918" priority="2026" operator="containsText" text="540">
      <formula>NOT(ISERROR(SEARCH("540",R37)))</formula>
    </cfRule>
  </conditionalFormatting>
  <conditionalFormatting sqref="R37:AG48">
    <cfRule type="containsText" dxfId="8917" priority="338" operator="containsText" text="RD">
      <formula>NOT(ISERROR(SEARCH("RD",R37)))</formula>
    </cfRule>
  </conditionalFormatting>
  <conditionalFormatting sqref="R40:AG41">
    <cfRule type="containsText" dxfId="8916" priority="1640" operator="containsText" text="540">
      <formula>NOT(ISERROR(SEARCH("540",R40)))</formula>
    </cfRule>
  </conditionalFormatting>
  <conditionalFormatting sqref="R43:AG46">
    <cfRule type="containsText" dxfId="8915" priority="1274" operator="containsText" text="540">
      <formula>NOT(ISERROR(SEARCH("540",R43)))</formula>
    </cfRule>
  </conditionalFormatting>
  <conditionalFormatting sqref="R50:AG52">
    <cfRule type="containsText" dxfId="8914" priority="1260" operator="containsText" text="540">
      <formula>NOT(ISERROR(SEARCH("540",R50)))</formula>
    </cfRule>
  </conditionalFormatting>
  <conditionalFormatting sqref="R50:AG53">
    <cfRule type="containsText" dxfId="8913" priority="323" operator="containsText" text="VL">
      <formula>NOT(ISERROR(SEARCH("VL",R50)))</formula>
    </cfRule>
    <cfRule type="containsText" dxfId="8912" priority="324" operator="containsText" text="RD">
      <formula>NOT(ISERROR(SEARCH("RD",R50)))</formula>
    </cfRule>
  </conditionalFormatting>
  <conditionalFormatting sqref="R55:AG58">
    <cfRule type="containsText" dxfId="8911" priority="117" operator="containsText" text="VL">
      <formula>NOT(ISERROR(SEARCH("VL",R55)))</formula>
    </cfRule>
    <cfRule type="containsText" dxfId="8910" priority="118" operator="containsText" text="RD">
      <formula>NOT(ISERROR(SEARCH("RD",R55)))</formula>
    </cfRule>
  </conditionalFormatting>
  <conditionalFormatting sqref="R57:AG57">
    <cfRule type="containsText" dxfId="8909" priority="1228" operator="containsText" text="540">
      <formula>NOT(ISERROR(SEARCH("540",R57)))</formula>
    </cfRule>
  </conditionalFormatting>
  <conditionalFormatting sqref="R60:AG65">
    <cfRule type="containsText" dxfId="8908" priority="43" operator="containsText" text="VL">
      <formula>NOT(ISERROR(SEARCH("VL",R60)))</formula>
    </cfRule>
    <cfRule type="containsText" dxfId="8907" priority="44" operator="containsText" text="RD">
      <formula>NOT(ISERROR(SEARCH("RD",R60)))</formula>
    </cfRule>
  </conditionalFormatting>
  <conditionalFormatting sqref="R63:AG64">
    <cfRule type="containsText" dxfId="8906" priority="1580" operator="containsText" text="540">
      <formula>NOT(ISERROR(SEARCH("540",R63)))</formula>
    </cfRule>
  </conditionalFormatting>
  <conditionalFormatting sqref="R73:AG73">
    <cfRule type="containsText" dxfId="8905" priority="2315" operator="containsText" text="540">
      <formula>NOT(ISERROR(SEARCH("540",R73)))</formula>
    </cfRule>
  </conditionalFormatting>
  <conditionalFormatting sqref="R73:AG75">
    <cfRule type="containsText" dxfId="8904" priority="201" operator="containsText" text="VL">
      <formula>NOT(ISERROR(SEARCH("VL",R73)))</formula>
    </cfRule>
    <cfRule type="containsText" dxfId="8903" priority="202" operator="containsText" text="RD">
      <formula>NOT(ISERROR(SEARCH("RD",R73)))</formula>
    </cfRule>
  </conditionalFormatting>
  <conditionalFormatting sqref="R86:AG86">
    <cfRule type="containsText" dxfId="8902" priority="2276" operator="containsText" text="VL">
      <formula>NOT(ISERROR(SEARCH("VL",R86)))</formula>
    </cfRule>
    <cfRule type="containsText" dxfId="8901" priority="2277" operator="containsText" text="RD">
      <formula>NOT(ISERROR(SEARCH("RD",R86)))</formula>
    </cfRule>
    <cfRule type="containsText" dxfId="8900" priority="2278" operator="containsText" text="540">
      <formula>NOT(ISERROR(SEARCH("540",R86)))</formula>
    </cfRule>
  </conditionalFormatting>
  <conditionalFormatting sqref="R88:AG89">
    <cfRule type="containsText" dxfId="8899" priority="1504" operator="containsText" text="VL">
      <formula>NOT(ISERROR(SEARCH("VL",R88)))</formula>
    </cfRule>
    <cfRule type="containsText" dxfId="8898" priority="1505" operator="containsText" text="RD">
      <formula>NOT(ISERROR(SEARCH("RD",R88)))</formula>
    </cfRule>
    <cfRule type="containsText" dxfId="8897" priority="1506" operator="containsText" text="540">
      <formula>NOT(ISERROR(SEARCH("540",R88)))</formula>
    </cfRule>
  </conditionalFormatting>
  <conditionalFormatting sqref="R91:AG91">
    <cfRule type="containsText" dxfId="8896" priority="1490" operator="containsText" text="VL">
      <formula>NOT(ISERROR(SEARCH("VL",R91)))</formula>
    </cfRule>
    <cfRule type="containsText" dxfId="8895" priority="1491" operator="containsText" text="RD">
      <formula>NOT(ISERROR(SEARCH("RD",R91)))</formula>
    </cfRule>
    <cfRule type="containsText" dxfId="8894" priority="1492" operator="containsText" text="540">
      <formula>NOT(ISERROR(SEARCH("540",R91)))</formula>
    </cfRule>
  </conditionalFormatting>
  <conditionalFormatting sqref="S57">
    <cfRule type="containsText" dxfId="8893" priority="1406" operator="containsText" text="P">
      <formula>NOT(ISERROR(SEARCH("P",S57)))</formula>
    </cfRule>
    <cfRule type="containsText" dxfId="8892" priority="1407" operator="containsText" text="TFO">
      <formula>NOT(ISERROR(SEARCH("TFO",S57)))</formula>
    </cfRule>
    <cfRule type="containsText" dxfId="8891" priority="1408" operator="containsText" text="AA">
      <formula>NOT(ISERROR(SEARCH("AA",S57)))</formula>
    </cfRule>
    <cfRule type="containsText" dxfId="8890" priority="1409" operator="containsText" text="RESIGNED">
      <formula>NOT(ISERROR(SEARCH("RESIGNED",S57)))</formula>
    </cfRule>
    <cfRule type="containsText" dxfId="8889" priority="1410" operator="containsText" text="P">
      <formula>NOT(ISERROR(SEARCH("P",S57)))</formula>
    </cfRule>
    <cfRule type="containsText" dxfId="8888" priority="1411" operator="containsText" text="TARDY">
      <formula>NOT(ISERROR(SEARCH("TARDY",S57)))</formula>
    </cfRule>
    <cfRule type="containsText" dxfId="8887" priority="1412" operator="containsText" text="REST DAY">
      <formula>NOT(ISERROR(SEARCH("REST DAY",S57)))</formula>
    </cfRule>
    <cfRule type="containsText" dxfId="8886" priority="1413" operator="containsText" text="UA">
      <formula>NOT(ISERROR(SEARCH("UA",S57)))</formula>
    </cfRule>
  </conditionalFormatting>
  <conditionalFormatting sqref="S59">
    <cfRule type="containsText" dxfId="8885" priority="4068" operator="containsText" text="P">
      <formula>NOT(ISERROR(SEARCH("P",S59)))</formula>
    </cfRule>
    <cfRule type="containsText" dxfId="8884" priority="4069" operator="containsText" text="TFO">
      <formula>NOT(ISERROR(SEARCH("TFO",S59)))</formula>
    </cfRule>
    <cfRule type="containsText" dxfId="8883" priority="4070" operator="containsText" text="AA">
      <formula>NOT(ISERROR(SEARCH("AA",S59)))</formula>
    </cfRule>
    <cfRule type="containsText" dxfId="8882" priority="4071" operator="containsText" text="RESIGNED">
      <formula>NOT(ISERROR(SEARCH("RESIGNED",S59)))</formula>
    </cfRule>
    <cfRule type="containsText" dxfId="8881" priority="4072" operator="containsText" text="P">
      <formula>NOT(ISERROR(SEARCH("P",S59)))</formula>
    </cfRule>
    <cfRule type="containsText" dxfId="8880" priority="4073" operator="containsText" text="TARDY">
      <formula>NOT(ISERROR(SEARCH("TARDY",S59)))</formula>
    </cfRule>
    <cfRule type="containsText" dxfId="8879" priority="4074" operator="containsText" text="REST DAY">
      <formula>NOT(ISERROR(SEARCH("REST DAY",S59)))</formula>
    </cfRule>
    <cfRule type="containsText" dxfId="8878" priority="4075" operator="containsText" text="UA">
      <formula>NOT(ISERROR(SEARCH("UA",S59)))</formula>
    </cfRule>
  </conditionalFormatting>
  <conditionalFormatting sqref="S49:X49">
    <cfRule type="containsText" dxfId="8877" priority="4101" operator="containsText" text="P">
      <formula>NOT(ISERROR(SEARCH("P",S49)))</formula>
    </cfRule>
    <cfRule type="containsText" dxfId="8876" priority="4102" operator="containsText" text="TFO">
      <formula>NOT(ISERROR(SEARCH("TFO",S49)))</formula>
    </cfRule>
    <cfRule type="containsText" dxfId="8875" priority="4103" operator="containsText" text="AA">
      <formula>NOT(ISERROR(SEARCH("AA",S49)))</formula>
    </cfRule>
    <cfRule type="containsText" dxfId="8874" priority="4104" operator="containsText" text="RESIGNED">
      <formula>NOT(ISERROR(SEARCH("RESIGNED",S49)))</formula>
    </cfRule>
    <cfRule type="containsText" dxfId="8873" priority="4105" operator="containsText" text="P">
      <formula>NOT(ISERROR(SEARCH("P",S49)))</formula>
    </cfRule>
    <cfRule type="containsText" dxfId="8872" priority="4106" operator="containsText" text="TARDY">
      <formula>NOT(ISERROR(SEARCH("TARDY",S49)))</formula>
    </cfRule>
    <cfRule type="containsText" dxfId="8871" priority="4107" operator="containsText" text="REST DAY">
      <formula>NOT(ISERROR(SEARCH("REST DAY",S49)))</formula>
    </cfRule>
    <cfRule type="containsText" dxfId="8870" priority="4108" operator="containsText" text="UA">
      <formula>NOT(ISERROR(SEARCH("UA",S49)))</formula>
    </cfRule>
    <cfRule type="containsText" dxfId="8869" priority="4109" operator="containsText" text="LWOP UA">
      <formula>NOT(ISERROR(SEARCH("LWOP UA",S49)))</formula>
    </cfRule>
  </conditionalFormatting>
  <conditionalFormatting sqref="S57:X57">
    <cfRule type="containsText" dxfId="8868" priority="1414" operator="containsText" text="LWOP UA">
      <formula>NOT(ISERROR(SEARCH("LWOP UA",S57)))</formula>
    </cfRule>
  </conditionalFormatting>
  <conditionalFormatting sqref="S59:X59">
    <cfRule type="containsText" dxfId="8867" priority="4076" operator="containsText" text="LWOP UA">
      <formula>NOT(ISERROR(SEARCH("LWOP UA",S59)))</formula>
    </cfRule>
  </conditionalFormatting>
  <conditionalFormatting sqref="T4:U4">
    <cfRule type="containsText" dxfId="8866" priority="2629" operator="containsText" text="LWOP UA">
      <formula>NOT(ISERROR(SEARCH("LWOP UA",T4)))</formula>
    </cfRule>
    <cfRule type="containsText" dxfId="8865" priority="2630" operator="containsText" text="P">
      <formula>NOT(ISERROR(SEARCH("P",T4)))</formula>
    </cfRule>
    <cfRule type="containsText" dxfId="8864" priority="2631" operator="containsText" text="TFO">
      <formula>NOT(ISERROR(SEARCH("TFO",T4)))</formula>
    </cfRule>
    <cfRule type="containsText" dxfId="8863" priority="2632" operator="containsText" text="AA">
      <formula>NOT(ISERROR(SEARCH("AA",T4)))</formula>
    </cfRule>
    <cfRule type="containsText" dxfId="8862" priority="2633" operator="containsText" text="RESIGNED">
      <formula>NOT(ISERROR(SEARCH("RESIGNED",T4)))</formula>
    </cfRule>
    <cfRule type="containsText" dxfId="8861" priority="2634" operator="containsText" text="P">
      <formula>NOT(ISERROR(SEARCH("P",T4)))</formula>
    </cfRule>
    <cfRule type="containsText" dxfId="8860" priority="2635" operator="containsText" text="TARDY">
      <formula>NOT(ISERROR(SEARCH("TARDY",T4)))</formula>
    </cfRule>
    <cfRule type="containsText" dxfId="8859" priority="2636" operator="containsText" text="REST DAY">
      <formula>NOT(ISERROR(SEARCH("REST DAY",T4)))</formula>
    </cfRule>
    <cfRule type="containsText" dxfId="8858" priority="2637" operator="containsText" text="UA">
      <formula>NOT(ISERROR(SEARCH("UA",T4)))</formula>
    </cfRule>
  </conditionalFormatting>
  <conditionalFormatting sqref="T5:U5">
    <cfRule type="containsText" dxfId="8857" priority="4193" operator="containsText" text="LWOP UA">
      <formula>NOT(ISERROR(SEARCH("LWOP UA",T5)))</formula>
    </cfRule>
    <cfRule type="containsText" dxfId="8856" priority="4194" operator="containsText" text="P">
      <formula>NOT(ISERROR(SEARCH("P",T5)))</formula>
    </cfRule>
    <cfRule type="containsText" dxfId="8855" priority="4195" operator="containsText" text="TFO">
      <formula>NOT(ISERROR(SEARCH("TFO",T5)))</formula>
    </cfRule>
    <cfRule type="containsText" dxfId="8854" priority="4196" operator="containsText" text="AA">
      <formula>NOT(ISERROR(SEARCH("AA",T5)))</formula>
    </cfRule>
    <cfRule type="containsText" dxfId="8853" priority="4197" operator="containsText" text="RESIGNED">
      <formula>NOT(ISERROR(SEARCH("RESIGNED",T5)))</formula>
    </cfRule>
    <cfRule type="containsText" dxfId="8852" priority="4198" operator="containsText" text="P">
      <formula>NOT(ISERROR(SEARCH("P",T5)))</formula>
    </cfRule>
    <cfRule type="containsText" dxfId="8851" priority="4199" operator="containsText" text="TARDY">
      <formula>NOT(ISERROR(SEARCH("TARDY",T5)))</formula>
    </cfRule>
    <cfRule type="containsText" dxfId="8850" priority="4200" operator="containsText" text="REST DAY">
      <formula>NOT(ISERROR(SEARCH("REST DAY",T5)))</formula>
    </cfRule>
    <cfRule type="containsText" dxfId="8849" priority="4201" operator="containsText" text="UA">
      <formula>NOT(ISERROR(SEARCH("UA",T5)))</formula>
    </cfRule>
  </conditionalFormatting>
  <conditionalFormatting sqref="T33:U33">
    <cfRule type="containsText" dxfId="8848" priority="990" operator="containsText" text="LWOP UA">
      <formula>NOT(ISERROR(SEARCH("LWOP UA",T33)))</formula>
    </cfRule>
    <cfRule type="containsText" dxfId="8847" priority="991" operator="containsText" text="P">
      <formula>NOT(ISERROR(SEARCH("P",T33)))</formula>
    </cfRule>
    <cfRule type="containsText" dxfId="8846" priority="992" operator="containsText" text="TFO">
      <formula>NOT(ISERROR(SEARCH("TFO",T33)))</formula>
    </cfRule>
    <cfRule type="containsText" dxfId="8845" priority="993" operator="containsText" text="AA">
      <formula>NOT(ISERROR(SEARCH("AA",T33)))</formula>
    </cfRule>
    <cfRule type="containsText" dxfId="8844" priority="994" operator="containsText" text="RESIGNED">
      <formula>NOT(ISERROR(SEARCH("RESIGNED",T33)))</formula>
    </cfRule>
    <cfRule type="containsText" dxfId="8843" priority="995" operator="containsText" text="P">
      <formula>NOT(ISERROR(SEARCH("P",T33)))</formula>
    </cfRule>
    <cfRule type="containsText" dxfId="8842" priority="996" operator="containsText" text="TARDY">
      <formula>NOT(ISERROR(SEARCH("TARDY",T33)))</formula>
    </cfRule>
    <cfRule type="containsText" dxfId="8841" priority="997" operator="containsText" text="REST DAY">
      <formula>NOT(ISERROR(SEARCH("REST DAY",T33)))</formula>
    </cfRule>
    <cfRule type="containsText" dxfId="8840" priority="998" operator="containsText" text="UA">
      <formula>NOT(ISERROR(SEARCH("UA",T33)))</formula>
    </cfRule>
  </conditionalFormatting>
  <conditionalFormatting sqref="T39:U39">
    <cfRule type="containsText" dxfId="8839" priority="928" operator="containsText" text="LWOP UA">
      <formula>NOT(ISERROR(SEARCH("LWOP UA",T39)))</formula>
    </cfRule>
    <cfRule type="containsText" dxfId="8838" priority="929" operator="containsText" text="P">
      <formula>NOT(ISERROR(SEARCH("P",T39)))</formula>
    </cfRule>
    <cfRule type="containsText" dxfId="8837" priority="930" operator="containsText" text="TFO">
      <formula>NOT(ISERROR(SEARCH("TFO",T39)))</formula>
    </cfRule>
    <cfRule type="containsText" dxfId="8836" priority="931" operator="containsText" text="AA">
      <formula>NOT(ISERROR(SEARCH("AA",T39)))</formula>
    </cfRule>
    <cfRule type="containsText" dxfId="8835" priority="932" operator="containsText" text="RESIGNED">
      <formula>NOT(ISERROR(SEARCH("RESIGNED",T39)))</formula>
    </cfRule>
    <cfRule type="containsText" dxfId="8834" priority="933" operator="containsText" text="P">
      <formula>NOT(ISERROR(SEARCH("P",T39)))</formula>
    </cfRule>
    <cfRule type="containsText" dxfId="8833" priority="934" operator="containsText" text="TARDY">
      <formula>NOT(ISERROR(SEARCH("TARDY",T39)))</formula>
    </cfRule>
    <cfRule type="containsText" dxfId="8832" priority="935" operator="containsText" text="REST DAY">
      <formula>NOT(ISERROR(SEARCH("REST DAY",T39)))</formula>
    </cfRule>
    <cfRule type="containsText" dxfId="8831" priority="936" operator="containsText" text="UA">
      <formula>NOT(ISERROR(SEARCH("UA",T39)))</formula>
    </cfRule>
  </conditionalFormatting>
  <conditionalFormatting sqref="T65:U65">
    <cfRule type="containsText" dxfId="8830" priority="778" operator="containsText" text="LWOP UA">
      <formula>NOT(ISERROR(SEARCH("LWOP UA",T65)))</formula>
    </cfRule>
    <cfRule type="containsText" dxfId="8829" priority="779" operator="containsText" text="P">
      <formula>NOT(ISERROR(SEARCH("P",T65)))</formula>
    </cfRule>
    <cfRule type="containsText" dxfId="8828" priority="780" operator="containsText" text="TFO">
      <formula>NOT(ISERROR(SEARCH("TFO",T65)))</formula>
    </cfRule>
    <cfRule type="containsText" dxfId="8827" priority="781" operator="containsText" text="AA">
      <formula>NOT(ISERROR(SEARCH("AA",T65)))</formula>
    </cfRule>
    <cfRule type="containsText" dxfId="8826" priority="782" operator="containsText" text="RESIGNED">
      <formula>NOT(ISERROR(SEARCH("RESIGNED",T65)))</formula>
    </cfRule>
    <cfRule type="containsText" dxfId="8825" priority="783" operator="containsText" text="P">
      <formula>NOT(ISERROR(SEARCH("P",T65)))</formula>
    </cfRule>
    <cfRule type="containsText" dxfId="8824" priority="784" operator="containsText" text="TARDY">
      <formula>NOT(ISERROR(SEARCH("TARDY",T65)))</formula>
    </cfRule>
    <cfRule type="containsText" dxfId="8823" priority="785" operator="containsText" text="REST DAY">
      <formula>NOT(ISERROR(SEARCH("REST DAY",T65)))</formula>
    </cfRule>
    <cfRule type="containsText" dxfId="8822" priority="786" operator="containsText" text="UA">
      <formula>NOT(ISERROR(SEARCH("UA",T65)))</formula>
    </cfRule>
  </conditionalFormatting>
  <conditionalFormatting sqref="T74:U74">
    <cfRule type="containsText" dxfId="8821" priority="726" operator="containsText" text="LWOP UA">
      <formula>NOT(ISERROR(SEARCH("LWOP UA",T74)))</formula>
    </cfRule>
    <cfRule type="containsText" dxfId="8820" priority="727" operator="containsText" text="P">
      <formula>NOT(ISERROR(SEARCH("P",T74)))</formula>
    </cfRule>
    <cfRule type="containsText" dxfId="8819" priority="728" operator="containsText" text="TFO">
      <formula>NOT(ISERROR(SEARCH("TFO",T74)))</formula>
    </cfRule>
    <cfRule type="containsText" dxfId="8818" priority="729" operator="containsText" text="AA">
      <formula>NOT(ISERROR(SEARCH("AA",T74)))</formula>
    </cfRule>
    <cfRule type="containsText" dxfId="8817" priority="730" operator="containsText" text="RESIGNED">
      <formula>NOT(ISERROR(SEARCH("RESIGNED",T74)))</formula>
    </cfRule>
    <cfRule type="containsText" dxfId="8816" priority="731" operator="containsText" text="P">
      <formula>NOT(ISERROR(SEARCH("P",T74)))</formula>
    </cfRule>
    <cfRule type="containsText" dxfId="8815" priority="732" operator="containsText" text="TARDY">
      <formula>NOT(ISERROR(SEARCH("TARDY",T74)))</formula>
    </cfRule>
    <cfRule type="containsText" dxfId="8814" priority="733" operator="containsText" text="REST DAY">
      <formula>NOT(ISERROR(SEARCH("REST DAY",T74)))</formula>
    </cfRule>
    <cfRule type="containsText" dxfId="8813" priority="734" operator="containsText" text="UA">
      <formula>NOT(ISERROR(SEARCH("UA",T74)))</formula>
    </cfRule>
  </conditionalFormatting>
  <conditionalFormatting sqref="T81:U81">
    <cfRule type="containsText" dxfId="8812" priority="2480" operator="containsText" text="LWOP UA">
      <formula>NOT(ISERROR(SEARCH("LWOP UA",T81)))</formula>
    </cfRule>
    <cfRule type="containsText" dxfId="8811" priority="2481" operator="containsText" text="P">
      <formula>NOT(ISERROR(SEARCH("P",T81)))</formula>
    </cfRule>
    <cfRule type="containsText" dxfId="8810" priority="2482" operator="containsText" text="TFO">
      <formula>NOT(ISERROR(SEARCH("TFO",T81)))</formula>
    </cfRule>
    <cfRule type="containsText" dxfId="8809" priority="2483" operator="containsText" text="AA">
      <formula>NOT(ISERROR(SEARCH("AA",T81)))</formula>
    </cfRule>
    <cfRule type="containsText" dxfId="8808" priority="2484" operator="containsText" text="RESIGNED">
      <formula>NOT(ISERROR(SEARCH("RESIGNED",T81)))</formula>
    </cfRule>
    <cfRule type="containsText" dxfId="8807" priority="2485" operator="containsText" text="P">
      <formula>NOT(ISERROR(SEARCH("P",T81)))</formula>
    </cfRule>
    <cfRule type="containsText" dxfId="8806" priority="2486" operator="containsText" text="TARDY">
      <formula>NOT(ISERROR(SEARCH("TARDY",T81)))</formula>
    </cfRule>
    <cfRule type="containsText" dxfId="8805" priority="2487" operator="containsText" text="REST DAY">
      <formula>NOT(ISERROR(SEARCH("REST DAY",T81)))</formula>
    </cfRule>
    <cfRule type="containsText" dxfId="8804" priority="2488" operator="containsText" text="UA">
      <formula>NOT(ISERROR(SEARCH("UA",T81)))</formula>
    </cfRule>
  </conditionalFormatting>
  <conditionalFormatting sqref="T93:U93">
    <cfRule type="containsText" dxfId="8803" priority="637" operator="containsText" text="LWOP UA">
      <formula>NOT(ISERROR(SEARCH("LWOP UA",T93)))</formula>
    </cfRule>
    <cfRule type="containsText" dxfId="8802" priority="638" operator="containsText" text="P">
      <formula>NOT(ISERROR(SEARCH("P",T93)))</formula>
    </cfRule>
    <cfRule type="containsText" dxfId="8801" priority="639" operator="containsText" text="TFO">
      <formula>NOT(ISERROR(SEARCH("TFO",T93)))</formula>
    </cfRule>
    <cfRule type="containsText" dxfId="8800" priority="640" operator="containsText" text="AA">
      <formula>NOT(ISERROR(SEARCH("AA",T93)))</formula>
    </cfRule>
    <cfRule type="containsText" dxfId="8799" priority="641" operator="containsText" text="RESIGNED">
      <formula>NOT(ISERROR(SEARCH("RESIGNED",T93)))</formula>
    </cfRule>
    <cfRule type="containsText" dxfId="8798" priority="642" operator="containsText" text="P">
      <formula>NOT(ISERROR(SEARCH("P",T93)))</formula>
    </cfRule>
    <cfRule type="containsText" dxfId="8797" priority="643" operator="containsText" text="TARDY">
      <formula>NOT(ISERROR(SEARCH("TARDY",T93)))</formula>
    </cfRule>
    <cfRule type="containsText" dxfId="8796" priority="644" operator="containsText" text="REST DAY">
      <formula>NOT(ISERROR(SEARCH("REST DAY",T93)))</formula>
    </cfRule>
    <cfRule type="containsText" dxfId="8795" priority="645" operator="containsText" text="UA">
      <formula>NOT(ISERROR(SEARCH("UA",T93)))</formula>
    </cfRule>
  </conditionalFormatting>
  <conditionalFormatting sqref="T12:X12">
    <cfRule type="containsText" dxfId="8794" priority="1111" operator="containsText" text="P">
      <formula>NOT(ISERROR(SEARCH("P",T12)))</formula>
    </cfRule>
    <cfRule type="containsText" dxfId="8793" priority="1112" operator="containsText" text="TFO">
      <formula>NOT(ISERROR(SEARCH("TFO",T12)))</formula>
    </cfRule>
    <cfRule type="containsText" dxfId="8792" priority="1113" operator="containsText" text="AA">
      <formula>NOT(ISERROR(SEARCH("AA",T12)))</formula>
    </cfRule>
    <cfRule type="containsText" dxfId="8791" priority="1114" operator="containsText" text="RESIGNED">
      <formula>NOT(ISERROR(SEARCH("RESIGNED",T12)))</formula>
    </cfRule>
    <cfRule type="containsText" dxfId="8790" priority="1115" operator="containsText" text="P">
      <formula>NOT(ISERROR(SEARCH("P",T12)))</formula>
    </cfRule>
    <cfRule type="containsText" dxfId="8789" priority="1116" operator="containsText" text="TARDY">
      <formula>NOT(ISERROR(SEARCH("TARDY",T12)))</formula>
    </cfRule>
    <cfRule type="containsText" dxfId="8788" priority="1117" operator="containsText" text="REST DAY">
      <formula>NOT(ISERROR(SEARCH("REST DAY",T12)))</formula>
    </cfRule>
    <cfRule type="containsText" dxfId="8787" priority="1118" operator="containsText" text="UA">
      <formula>NOT(ISERROR(SEARCH("UA",T12)))</formula>
    </cfRule>
    <cfRule type="containsText" dxfId="8786" priority="1119" operator="containsText" text="LWOP UA">
      <formula>NOT(ISERROR(SEARCH("LWOP UA",T12)))</formula>
    </cfRule>
  </conditionalFormatting>
  <conditionalFormatting sqref="T48:X48">
    <cfRule type="containsText" dxfId="8785" priority="887" operator="containsText" text="P">
      <formula>NOT(ISERROR(SEARCH("P",T48)))</formula>
    </cfRule>
    <cfRule type="containsText" dxfId="8784" priority="888" operator="containsText" text="TFO">
      <formula>NOT(ISERROR(SEARCH("TFO",T48)))</formula>
    </cfRule>
    <cfRule type="containsText" dxfId="8783" priority="889" operator="containsText" text="AA">
      <formula>NOT(ISERROR(SEARCH("AA",T48)))</formula>
    </cfRule>
    <cfRule type="containsText" dxfId="8782" priority="890" operator="containsText" text="RESIGNED">
      <formula>NOT(ISERROR(SEARCH("RESIGNED",T48)))</formula>
    </cfRule>
    <cfRule type="containsText" dxfId="8781" priority="891" operator="containsText" text="P">
      <formula>NOT(ISERROR(SEARCH("P",T48)))</formula>
    </cfRule>
    <cfRule type="containsText" dxfId="8780" priority="892" operator="containsText" text="TARDY">
      <formula>NOT(ISERROR(SEARCH("TARDY",T48)))</formula>
    </cfRule>
    <cfRule type="containsText" dxfId="8779" priority="893" operator="containsText" text="REST DAY">
      <formula>NOT(ISERROR(SEARCH("REST DAY",T48)))</formula>
    </cfRule>
    <cfRule type="containsText" dxfId="8778" priority="894" operator="containsText" text="UA">
      <formula>NOT(ISERROR(SEARCH("UA",T48)))</formula>
    </cfRule>
    <cfRule type="containsText" dxfId="8777" priority="895" operator="containsText" text="LWOP UA">
      <formula>NOT(ISERROR(SEARCH("LWOP UA",T48)))</formula>
    </cfRule>
  </conditionalFormatting>
  <conditionalFormatting sqref="T50:X50">
    <cfRule type="containsText" dxfId="8776" priority="1829" operator="containsText" text="P">
      <formula>NOT(ISERROR(SEARCH("P",T50)))</formula>
    </cfRule>
    <cfRule type="containsText" dxfId="8775" priority="1830" operator="containsText" text="TFO">
      <formula>NOT(ISERROR(SEARCH("TFO",T50)))</formula>
    </cfRule>
    <cfRule type="containsText" dxfId="8774" priority="1831" operator="containsText" text="AA">
      <formula>NOT(ISERROR(SEARCH("AA",T50)))</formula>
    </cfRule>
    <cfRule type="containsText" dxfId="8773" priority="1832" operator="containsText" text="RESIGNED">
      <formula>NOT(ISERROR(SEARCH("RESIGNED",T50)))</formula>
    </cfRule>
    <cfRule type="containsText" dxfId="8772" priority="1833" operator="containsText" text="P">
      <formula>NOT(ISERROR(SEARCH("P",T50)))</formula>
    </cfRule>
    <cfRule type="containsText" dxfId="8771" priority="1834" operator="containsText" text="TARDY">
      <formula>NOT(ISERROR(SEARCH("TARDY",T50)))</formula>
    </cfRule>
    <cfRule type="containsText" dxfId="8770" priority="1835" operator="containsText" text="REST DAY">
      <formula>NOT(ISERROR(SEARCH("REST DAY",T50)))</formula>
    </cfRule>
    <cfRule type="containsText" dxfId="8769" priority="1836" operator="containsText" text="UA">
      <formula>NOT(ISERROR(SEARCH("UA",T50)))</formula>
    </cfRule>
    <cfRule type="containsText" dxfId="8768" priority="1837" operator="containsText" text="LWOP UA">
      <formula>NOT(ISERROR(SEARCH("LWOP UA",T50)))</formula>
    </cfRule>
  </conditionalFormatting>
  <conditionalFormatting sqref="T56:X56">
    <cfRule type="containsText" dxfId="8767" priority="850" operator="containsText" text="P">
      <formula>NOT(ISERROR(SEARCH("P",T56)))</formula>
    </cfRule>
    <cfRule type="containsText" dxfId="8766" priority="851" operator="containsText" text="TFO">
      <formula>NOT(ISERROR(SEARCH("TFO",T56)))</formula>
    </cfRule>
    <cfRule type="containsText" dxfId="8765" priority="852" operator="containsText" text="AA">
      <formula>NOT(ISERROR(SEARCH("AA",T56)))</formula>
    </cfRule>
    <cfRule type="containsText" dxfId="8764" priority="853" operator="containsText" text="RESIGNED">
      <formula>NOT(ISERROR(SEARCH("RESIGNED",T56)))</formula>
    </cfRule>
    <cfRule type="containsText" dxfId="8763" priority="854" operator="containsText" text="P">
      <formula>NOT(ISERROR(SEARCH("P",T56)))</formula>
    </cfRule>
    <cfRule type="containsText" dxfId="8762" priority="855" operator="containsText" text="TARDY">
      <formula>NOT(ISERROR(SEARCH("TARDY",T56)))</formula>
    </cfRule>
    <cfRule type="containsText" dxfId="8761" priority="856" operator="containsText" text="REST DAY">
      <formula>NOT(ISERROR(SEARCH("REST DAY",T56)))</formula>
    </cfRule>
    <cfRule type="containsText" dxfId="8760" priority="857" operator="containsText" text="UA">
      <formula>NOT(ISERROR(SEARCH("UA",T56)))</formula>
    </cfRule>
    <cfRule type="containsText" dxfId="8759" priority="858" operator="containsText" text="LWOP UA">
      <formula>NOT(ISERROR(SEARCH("LWOP UA",T56)))</formula>
    </cfRule>
  </conditionalFormatting>
  <conditionalFormatting sqref="T57:X57">
    <cfRule type="containsText" dxfId="8758" priority="1416" operator="containsText" text="P">
      <formula>NOT(ISERROR(SEARCH("P",T57)))</formula>
    </cfRule>
    <cfRule type="containsText" dxfId="8757" priority="1417" operator="containsText" text="TFO">
      <formula>NOT(ISERROR(SEARCH("TFO",T57)))</formula>
    </cfRule>
    <cfRule type="containsText" dxfId="8756" priority="1418" operator="containsText" text="AA">
      <formula>NOT(ISERROR(SEARCH("AA",T57)))</formula>
    </cfRule>
    <cfRule type="containsText" dxfId="8755" priority="1419" operator="containsText" text="RESIGNED">
      <formula>NOT(ISERROR(SEARCH("RESIGNED",T57)))</formula>
    </cfRule>
    <cfRule type="containsText" dxfId="8754" priority="1420" operator="containsText" text="P">
      <formula>NOT(ISERROR(SEARCH("P",T57)))</formula>
    </cfRule>
    <cfRule type="containsText" dxfId="8753" priority="1421" operator="containsText" text="TARDY">
      <formula>NOT(ISERROR(SEARCH("TARDY",T57)))</formula>
    </cfRule>
    <cfRule type="containsText" dxfId="8752" priority="1422" operator="containsText" text="REST DAY">
      <formula>NOT(ISERROR(SEARCH("REST DAY",T57)))</formula>
    </cfRule>
    <cfRule type="containsText" dxfId="8751" priority="1423" operator="containsText" text="UA">
      <formula>NOT(ISERROR(SEARCH("UA",T57)))</formula>
    </cfRule>
    <cfRule type="containsText" dxfId="8750" priority="1424" operator="containsText" text="LWOP UA">
      <formula>NOT(ISERROR(SEARCH("LWOP UA",T57)))</formula>
    </cfRule>
  </conditionalFormatting>
  <conditionalFormatting sqref="T58:X58">
    <cfRule type="containsText" dxfId="8749" priority="826" operator="containsText" text="P">
      <formula>NOT(ISERROR(SEARCH("P",T58)))</formula>
    </cfRule>
    <cfRule type="containsText" dxfId="8748" priority="827" operator="containsText" text="TFO">
      <formula>NOT(ISERROR(SEARCH("TFO",T58)))</formula>
    </cfRule>
    <cfRule type="containsText" dxfId="8747" priority="828" operator="containsText" text="AA">
      <formula>NOT(ISERROR(SEARCH("AA",T58)))</formula>
    </cfRule>
    <cfRule type="containsText" dxfId="8746" priority="829" operator="containsText" text="RESIGNED">
      <formula>NOT(ISERROR(SEARCH("RESIGNED",T58)))</formula>
    </cfRule>
    <cfRule type="containsText" dxfId="8745" priority="830" operator="containsText" text="P">
      <formula>NOT(ISERROR(SEARCH("P",T58)))</formula>
    </cfRule>
    <cfRule type="containsText" dxfId="8744" priority="831" operator="containsText" text="TARDY">
      <formula>NOT(ISERROR(SEARCH("TARDY",T58)))</formula>
    </cfRule>
    <cfRule type="containsText" dxfId="8743" priority="832" operator="containsText" text="REST DAY">
      <formula>NOT(ISERROR(SEARCH("REST DAY",T58)))</formula>
    </cfRule>
    <cfRule type="containsText" dxfId="8742" priority="833" operator="containsText" text="UA">
      <formula>NOT(ISERROR(SEARCH("UA",T58)))</formula>
    </cfRule>
    <cfRule type="containsText" dxfId="8741" priority="834" operator="containsText" text="LWOP UA">
      <formula>NOT(ISERROR(SEARCH("LWOP UA",T58)))</formula>
    </cfRule>
  </conditionalFormatting>
  <conditionalFormatting sqref="T59:X59">
    <cfRule type="containsText" dxfId="8740" priority="4078" operator="containsText" text="P">
      <formula>NOT(ISERROR(SEARCH("P",T59)))</formula>
    </cfRule>
    <cfRule type="containsText" dxfId="8739" priority="4079" operator="containsText" text="TFO">
      <formula>NOT(ISERROR(SEARCH("TFO",T59)))</formula>
    </cfRule>
    <cfRule type="containsText" dxfId="8738" priority="4080" operator="containsText" text="AA">
      <formula>NOT(ISERROR(SEARCH("AA",T59)))</formula>
    </cfRule>
    <cfRule type="containsText" dxfId="8737" priority="4081" operator="containsText" text="RESIGNED">
      <formula>NOT(ISERROR(SEARCH("RESIGNED",T59)))</formula>
    </cfRule>
    <cfRule type="containsText" dxfId="8736" priority="4082" operator="containsText" text="P">
      <formula>NOT(ISERROR(SEARCH("P",T59)))</formula>
    </cfRule>
    <cfRule type="containsText" dxfId="8735" priority="4083" operator="containsText" text="TARDY">
      <formula>NOT(ISERROR(SEARCH("TARDY",T59)))</formula>
    </cfRule>
    <cfRule type="containsText" dxfId="8734" priority="4084" operator="containsText" text="REST DAY">
      <formula>NOT(ISERROR(SEARCH("REST DAY",T59)))</formula>
    </cfRule>
    <cfRule type="containsText" dxfId="8733" priority="4085" operator="containsText" text="UA">
      <formula>NOT(ISERROR(SEARCH("UA",T59)))</formula>
    </cfRule>
    <cfRule type="containsText" dxfId="8732" priority="4086" operator="containsText" text="LWOP UA">
      <formula>NOT(ISERROR(SEARCH("LWOP UA",T59)))</formula>
    </cfRule>
  </conditionalFormatting>
  <conditionalFormatting sqref="T77:X77">
    <cfRule type="containsText" dxfId="8731" priority="1764" operator="containsText" text="P">
      <formula>NOT(ISERROR(SEARCH("P",T77)))</formula>
    </cfRule>
    <cfRule type="containsText" dxfId="8730" priority="1765" operator="containsText" text="TFO">
      <formula>NOT(ISERROR(SEARCH("TFO",T77)))</formula>
    </cfRule>
    <cfRule type="containsText" dxfId="8729" priority="1766" operator="containsText" text="AA">
      <formula>NOT(ISERROR(SEARCH("AA",T77)))</formula>
    </cfRule>
    <cfRule type="containsText" dxfId="8728" priority="1767" operator="containsText" text="RESIGNED">
      <formula>NOT(ISERROR(SEARCH("RESIGNED",T77)))</formula>
    </cfRule>
    <cfRule type="containsText" dxfId="8727" priority="1768" operator="containsText" text="P">
      <formula>NOT(ISERROR(SEARCH("P",T77)))</formula>
    </cfRule>
    <cfRule type="containsText" dxfId="8726" priority="1769" operator="containsText" text="TARDY">
      <formula>NOT(ISERROR(SEARCH("TARDY",T77)))</formula>
    </cfRule>
    <cfRule type="containsText" dxfId="8725" priority="1770" operator="containsText" text="REST DAY">
      <formula>NOT(ISERROR(SEARCH("REST DAY",T77)))</formula>
    </cfRule>
    <cfRule type="containsText" dxfId="8724" priority="1771" operator="containsText" text="UA">
      <formula>NOT(ISERROR(SEARCH("UA",T77)))</formula>
    </cfRule>
    <cfRule type="containsText" dxfId="8723" priority="1772" operator="containsText" text="LWOP UA">
      <formula>NOT(ISERROR(SEARCH("LWOP UA",T77)))</formula>
    </cfRule>
  </conditionalFormatting>
  <conditionalFormatting sqref="U13:V13">
    <cfRule type="containsText" dxfId="8722" priority="4170" operator="containsText" text="LWOP UA">
      <formula>NOT(ISERROR(SEARCH("LWOP UA",U13)))</formula>
    </cfRule>
    <cfRule type="containsText" dxfId="8721" priority="4171" operator="containsText" text="P">
      <formula>NOT(ISERROR(SEARCH("P",U13)))</formula>
    </cfRule>
    <cfRule type="containsText" dxfId="8720" priority="4172" operator="containsText" text="TFO">
      <formula>NOT(ISERROR(SEARCH("TFO",U13)))</formula>
    </cfRule>
    <cfRule type="containsText" dxfId="8719" priority="4173" operator="containsText" text="AA">
      <formula>NOT(ISERROR(SEARCH("AA",U13)))</formula>
    </cfRule>
    <cfRule type="containsText" dxfId="8718" priority="4174" operator="containsText" text="RESIGNED">
      <formula>NOT(ISERROR(SEARCH("RESIGNED",U13)))</formula>
    </cfRule>
    <cfRule type="containsText" dxfId="8717" priority="4175" operator="containsText" text="P">
      <formula>NOT(ISERROR(SEARCH("P",U13)))</formula>
    </cfRule>
    <cfRule type="containsText" dxfId="8716" priority="4176" operator="containsText" text="TARDY">
      <formula>NOT(ISERROR(SEARCH("TARDY",U13)))</formula>
    </cfRule>
    <cfRule type="containsText" dxfId="8715" priority="4177" operator="containsText" text="REST DAY">
      <formula>NOT(ISERROR(SEARCH("REST DAY",U13)))</formula>
    </cfRule>
    <cfRule type="containsText" dxfId="8714" priority="4178" operator="containsText" text="UA">
      <formula>NOT(ISERROR(SEARCH("UA",U13)))</formula>
    </cfRule>
  </conditionalFormatting>
  <conditionalFormatting sqref="U19:V19">
    <cfRule type="containsText" dxfId="8713" priority="1055" operator="containsText" text="LWOP UA">
      <formula>NOT(ISERROR(SEARCH("LWOP UA",U19)))</formula>
    </cfRule>
    <cfRule type="containsText" dxfId="8712" priority="1056" operator="containsText" text="P">
      <formula>NOT(ISERROR(SEARCH("P",U19)))</formula>
    </cfRule>
    <cfRule type="containsText" dxfId="8711" priority="1057" operator="containsText" text="TFO">
      <formula>NOT(ISERROR(SEARCH("TFO",U19)))</formula>
    </cfRule>
    <cfRule type="containsText" dxfId="8710" priority="1058" operator="containsText" text="AA">
      <formula>NOT(ISERROR(SEARCH("AA",U19)))</formula>
    </cfRule>
    <cfRule type="containsText" dxfId="8709" priority="1059" operator="containsText" text="RESIGNED">
      <formula>NOT(ISERROR(SEARCH("RESIGNED",U19)))</formula>
    </cfRule>
    <cfRule type="containsText" dxfId="8708" priority="1060" operator="containsText" text="P">
      <formula>NOT(ISERROR(SEARCH("P",U19)))</formula>
    </cfRule>
    <cfRule type="containsText" dxfId="8707" priority="1061" operator="containsText" text="TARDY">
      <formula>NOT(ISERROR(SEARCH("TARDY",U19)))</formula>
    </cfRule>
    <cfRule type="containsText" dxfId="8706" priority="1062" operator="containsText" text="REST DAY">
      <formula>NOT(ISERROR(SEARCH("REST DAY",U19)))</formula>
    </cfRule>
    <cfRule type="containsText" dxfId="8705" priority="1063" operator="containsText" text="UA">
      <formula>NOT(ISERROR(SEARCH("UA",U19)))</formula>
    </cfRule>
  </conditionalFormatting>
  <conditionalFormatting sqref="U34:V34">
    <cfRule type="containsText" dxfId="8704" priority="966" operator="containsText" text="LWOP UA">
      <formula>NOT(ISERROR(SEARCH("LWOP UA",U34)))</formula>
    </cfRule>
    <cfRule type="containsText" dxfId="8703" priority="967" operator="containsText" text="P">
      <formula>NOT(ISERROR(SEARCH("P",U34)))</formula>
    </cfRule>
    <cfRule type="containsText" dxfId="8702" priority="968" operator="containsText" text="TFO">
      <formula>NOT(ISERROR(SEARCH("TFO",U34)))</formula>
    </cfRule>
    <cfRule type="containsText" dxfId="8701" priority="969" operator="containsText" text="AA">
      <formula>NOT(ISERROR(SEARCH("AA",U34)))</formula>
    </cfRule>
    <cfRule type="containsText" dxfId="8700" priority="970" operator="containsText" text="RESIGNED">
      <formula>NOT(ISERROR(SEARCH("RESIGNED",U34)))</formula>
    </cfRule>
    <cfRule type="containsText" dxfId="8699" priority="971" operator="containsText" text="P">
      <formula>NOT(ISERROR(SEARCH("P",U34)))</formula>
    </cfRule>
    <cfRule type="containsText" dxfId="8698" priority="972" operator="containsText" text="TARDY">
      <formula>NOT(ISERROR(SEARCH("TARDY",U34)))</formula>
    </cfRule>
    <cfRule type="containsText" dxfId="8697" priority="973" operator="containsText" text="REST DAY">
      <formula>NOT(ISERROR(SEARCH("REST DAY",U34)))</formula>
    </cfRule>
    <cfRule type="containsText" dxfId="8696" priority="974" operator="containsText" text="UA">
      <formula>NOT(ISERROR(SEARCH("UA",U34)))</formula>
    </cfRule>
  </conditionalFormatting>
  <conditionalFormatting sqref="W8:X8">
    <cfRule type="containsText" dxfId="8695" priority="1124" operator="containsText" text="LWOP UA">
      <formula>NOT(ISERROR(SEARCH("LWOP UA",W8)))</formula>
    </cfRule>
    <cfRule type="containsText" dxfId="8694" priority="1125" operator="containsText" text="P">
      <formula>NOT(ISERROR(SEARCH("P",W8)))</formula>
    </cfRule>
    <cfRule type="containsText" dxfId="8693" priority="1126" operator="containsText" text="TFO">
      <formula>NOT(ISERROR(SEARCH("TFO",W8)))</formula>
    </cfRule>
    <cfRule type="containsText" dxfId="8692" priority="1127" operator="containsText" text="AA">
      <formula>NOT(ISERROR(SEARCH("AA",W8)))</formula>
    </cfRule>
    <cfRule type="containsText" dxfId="8691" priority="1128" operator="containsText" text="RESIGNED">
      <formula>NOT(ISERROR(SEARCH("RESIGNED",W8)))</formula>
    </cfRule>
    <cfRule type="containsText" dxfId="8690" priority="1129" operator="containsText" text="P">
      <formula>NOT(ISERROR(SEARCH("P",W8)))</formula>
    </cfRule>
    <cfRule type="containsText" dxfId="8689" priority="1130" operator="containsText" text="TARDY">
      <formula>NOT(ISERROR(SEARCH("TARDY",W8)))</formula>
    </cfRule>
    <cfRule type="containsText" dxfId="8688" priority="1131" operator="containsText" text="REST DAY">
      <formula>NOT(ISERROR(SEARCH("REST DAY",W8)))</formula>
    </cfRule>
    <cfRule type="containsText" dxfId="8687" priority="1132" operator="containsText" text="UA">
      <formula>NOT(ISERROR(SEARCH("UA",W8)))</formula>
    </cfRule>
  </conditionalFormatting>
  <conditionalFormatting sqref="W17:X17">
    <cfRule type="containsText" dxfId="8686" priority="1078" operator="containsText" text="LWOP UA">
      <formula>NOT(ISERROR(SEARCH("LWOP UA",W17)))</formula>
    </cfRule>
    <cfRule type="containsText" dxfId="8685" priority="1079" operator="containsText" text="P">
      <formula>NOT(ISERROR(SEARCH("P",W17)))</formula>
    </cfRule>
    <cfRule type="containsText" dxfId="8684" priority="1080" operator="containsText" text="TFO">
      <formula>NOT(ISERROR(SEARCH("TFO",W17)))</formula>
    </cfRule>
    <cfRule type="containsText" dxfId="8683" priority="1081" operator="containsText" text="AA">
      <formula>NOT(ISERROR(SEARCH("AA",W17)))</formula>
    </cfRule>
    <cfRule type="containsText" dxfId="8682" priority="1082" operator="containsText" text="RESIGNED">
      <formula>NOT(ISERROR(SEARCH("RESIGNED",W17)))</formula>
    </cfRule>
    <cfRule type="containsText" dxfId="8681" priority="1083" operator="containsText" text="P">
      <formula>NOT(ISERROR(SEARCH("P",W17)))</formula>
    </cfRule>
    <cfRule type="containsText" dxfId="8680" priority="1084" operator="containsText" text="TARDY">
      <formula>NOT(ISERROR(SEARCH("TARDY",W17)))</formula>
    </cfRule>
    <cfRule type="containsText" dxfId="8679" priority="1085" operator="containsText" text="REST DAY">
      <formula>NOT(ISERROR(SEARCH("REST DAY",W17)))</formula>
    </cfRule>
    <cfRule type="containsText" dxfId="8678" priority="1086" operator="containsText" text="UA">
      <formula>NOT(ISERROR(SEARCH("UA",W17)))</formula>
    </cfRule>
  </conditionalFormatting>
  <conditionalFormatting sqref="W34:X34 R34:T34">
    <cfRule type="containsText" dxfId="8677" priority="977" operator="containsText" text="P">
      <formula>NOT(ISERROR(SEARCH("P",R34)))</formula>
    </cfRule>
  </conditionalFormatting>
  <conditionalFormatting sqref="Y20">
    <cfRule type="containsText" dxfId="8676" priority="1300" operator="containsText" text="P">
      <formula>NOT(ISERROR(SEARCH("P",Y20)))</formula>
    </cfRule>
    <cfRule type="containsText" dxfId="8675" priority="1301" operator="containsText" text="TFO">
      <formula>NOT(ISERROR(SEARCH("TFO",Y20)))</formula>
    </cfRule>
    <cfRule type="containsText" dxfId="8674" priority="1302" operator="containsText" text="AA">
      <formula>NOT(ISERROR(SEARCH("AA",Y20)))</formula>
    </cfRule>
    <cfRule type="containsText" dxfId="8673" priority="1303" operator="containsText" text="RESIGNED">
      <formula>NOT(ISERROR(SEARCH("RESIGNED",Y20)))</formula>
    </cfRule>
    <cfRule type="containsText" dxfId="8672" priority="1304" operator="containsText" text="P">
      <formula>NOT(ISERROR(SEARCH("P",Y20)))</formula>
    </cfRule>
    <cfRule type="containsText" dxfId="8671" priority="1305" operator="containsText" text="TARDY">
      <formula>NOT(ISERROR(SEARCH("TARDY",Y20)))</formula>
    </cfRule>
    <cfRule type="containsText" dxfId="8670" priority="1306" operator="containsText" text="REST DAY">
      <formula>NOT(ISERROR(SEARCH("REST DAY",Y20)))</formula>
    </cfRule>
    <cfRule type="containsText" dxfId="8669" priority="1307" operator="containsText" text="UA">
      <formula>NOT(ISERROR(SEARCH("UA",Y20)))</formula>
    </cfRule>
    <cfRule type="containsText" dxfId="8668" priority="1308" operator="containsText" text="LWOP UA">
      <formula>NOT(ISERROR(SEARCH("LWOP UA",Y20)))</formula>
    </cfRule>
  </conditionalFormatting>
  <conditionalFormatting sqref="Y49">
    <cfRule type="containsText" dxfId="8667" priority="3835" operator="containsText" text="LWOP UA">
      <formula>NOT(ISERROR(SEARCH("LWOP UA",Y49)))</formula>
    </cfRule>
    <cfRule type="containsText" dxfId="8666" priority="3836" operator="containsText" text="P">
      <formula>NOT(ISERROR(SEARCH("P",Y49)))</formula>
    </cfRule>
    <cfRule type="containsText" dxfId="8665" priority="3837" operator="containsText" text="TFO">
      <formula>NOT(ISERROR(SEARCH("TFO",Y49)))</formula>
    </cfRule>
    <cfRule type="containsText" dxfId="8664" priority="3838" operator="containsText" text="AA">
      <formula>NOT(ISERROR(SEARCH("AA",Y49)))</formula>
    </cfRule>
    <cfRule type="containsText" dxfId="8663" priority="3839" operator="containsText" text="RESIGNED">
      <formula>NOT(ISERROR(SEARCH("RESIGNED",Y49)))</formula>
    </cfRule>
    <cfRule type="containsText" dxfId="8662" priority="3840" operator="containsText" text="P">
      <formula>NOT(ISERROR(SEARCH("P",Y49)))</formula>
    </cfRule>
    <cfRule type="containsText" dxfId="8661" priority="3841" operator="containsText" text="TARDY">
      <formula>NOT(ISERROR(SEARCH("TARDY",Y49)))</formula>
    </cfRule>
    <cfRule type="containsText" dxfId="8660" priority="3842" operator="containsText" text="REST DAY">
      <formula>NOT(ISERROR(SEARCH("REST DAY",Y49)))</formula>
    </cfRule>
    <cfRule type="containsText" dxfId="8659" priority="3843" operator="containsText" text="UA">
      <formula>NOT(ISERROR(SEARCH("UA",Y49)))</formula>
    </cfRule>
  </conditionalFormatting>
  <conditionalFormatting sqref="Y57">
    <cfRule type="containsText" dxfId="8658" priority="1230" operator="containsText" text="LWOP UA">
      <formula>NOT(ISERROR(SEARCH("LWOP UA",Y57)))</formula>
    </cfRule>
    <cfRule type="containsText" dxfId="8657" priority="1231" operator="containsText" text="P">
      <formula>NOT(ISERROR(SEARCH("P",Y57)))</formula>
    </cfRule>
    <cfRule type="containsText" dxfId="8656" priority="1232" operator="containsText" text="TFO">
      <formula>NOT(ISERROR(SEARCH("TFO",Y57)))</formula>
    </cfRule>
    <cfRule type="containsText" dxfId="8655" priority="1233" operator="containsText" text="AA">
      <formula>NOT(ISERROR(SEARCH("AA",Y57)))</formula>
    </cfRule>
    <cfRule type="containsText" dxfId="8654" priority="1234" operator="containsText" text="RESIGNED">
      <formula>NOT(ISERROR(SEARCH("RESIGNED",Y57)))</formula>
    </cfRule>
    <cfRule type="containsText" dxfId="8653" priority="1235" operator="containsText" text="P">
      <formula>NOT(ISERROR(SEARCH("P",Y57)))</formula>
    </cfRule>
    <cfRule type="containsText" dxfId="8652" priority="1236" operator="containsText" text="TARDY">
      <formula>NOT(ISERROR(SEARCH("TARDY",Y57)))</formula>
    </cfRule>
    <cfRule type="containsText" dxfId="8651" priority="1237" operator="containsText" text="REST DAY">
      <formula>NOT(ISERROR(SEARCH("REST DAY",Y57)))</formula>
    </cfRule>
    <cfRule type="containsText" dxfId="8650" priority="1238" operator="containsText" text="UA">
      <formula>NOT(ISERROR(SEARCH("UA",Y57)))</formula>
    </cfRule>
  </conditionalFormatting>
  <conditionalFormatting sqref="Y59">
    <cfRule type="containsText" dxfId="8649" priority="75" operator="containsText" text="LWOP UA">
      <formula>NOT(ISERROR(SEARCH("LWOP UA",Y59)))</formula>
    </cfRule>
    <cfRule type="containsText" dxfId="8648" priority="76" operator="containsText" text="P">
      <formula>NOT(ISERROR(SEARCH("P",Y59)))</formula>
    </cfRule>
    <cfRule type="containsText" dxfId="8647" priority="77" operator="containsText" text="TFO">
      <formula>NOT(ISERROR(SEARCH("TFO",Y59)))</formula>
    </cfRule>
    <cfRule type="containsText" dxfId="8646" priority="78" operator="containsText" text="AA">
      <formula>NOT(ISERROR(SEARCH("AA",Y59)))</formula>
    </cfRule>
    <cfRule type="containsText" dxfId="8645" priority="79" operator="containsText" text="RESIGNED">
      <formula>NOT(ISERROR(SEARCH("RESIGNED",Y59)))</formula>
    </cfRule>
    <cfRule type="containsText" dxfId="8644" priority="80" operator="containsText" text="P">
      <formula>NOT(ISERROR(SEARCH("P",Y59)))</formula>
    </cfRule>
    <cfRule type="containsText" dxfId="8643" priority="81" operator="containsText" text="TARDY">
      <formula>NOT(ISERROR(SEARCH("TARDY",Y59)))</formula>
    </cfRule>
    <cfRule type="containsText" dxfId="8642" priority="82" operator="containsText" text="REST DAY">
      <formula>NOT(ISERROR(SEARCH("REST DAY",Y59)))</formula>
    </cfRule>
    <cfRule type="containsText" dxfId="8641" priority="83" operator="containsText" text="UA">
      <formula>NOT(ISERROR(SEARCH("UA",Y59)))</formula>
    </cfRule>
  </conditionalFormatting>
  <conditionalFormatting sqref="Y67">
    <cfRule type="containsText" dxfId="8640" priority="1203" operator="containsText" text="P">
      <formula>NOT(ISERROR(SEARCH("P",Y67)))</formula>
    </cfRule>
    <cfRule type="containsText" dxfId="8639" priority="1204" operator="containsText" text="TFO">
      <formula>NOT(ISERROR(SEARCH("TFO",Y67)))</formula>
    </cfRule>
    <cfRule type="containsText" dxfId="8638" priority="1205" operator="containsText" text="AA">
      <formula>NOT(ISERROR(SEARCH("AA",Y67)))</formula>
    </cfRule>
    <cfRule type="containsText" dxfId="8637" priority="1206" operator="containsText" text="RESIGNED">
      <formula>NOT(ISERROR(SEARCH("RESIGNED",Y67)))</formula>
    </cfRule>
    <cfRule type="containsText" dxfId="8636" priority="1207" operator="containsText" text="P">
      <formula>NOT(ISERROR(SEARCH("P",Y67)))</formula>
    </cfRule>
    <cfRule type="containsText" dxfId="8635" priority="1208" operator="containsText" text="TARDY">
      <formula>NOT(ISERROR(SEARCH("TARDY",Y67)))</formula>
    </cfRule>
    <cfRule type="containsText" dxfId="8634" priority="1209" operator="containsText" text="REST DAY">
      <formula>NOT(ISERROR(SEARCH("REST DAY",Y67)))</formula>
    </cfRule>
    <cfRule type="containsText" dxfId="8633" priority="1210" operator="containsText" text="UA">
      <formula>NOT(ISERROR(SEARCH("UA",Y67)))</formula>
    </cfRule>
    <cfRule type="containsText" dxfId="8632" priority="1211" operator="containsText" text="LWOP UA">
      <formula>NOT(ISERROR(SEARCH("LWOP UA",Y67)))</formula>
    </cfRule>
  </conditionalFormatting>
  <conditionalFormatting sqref="Y68">
    <cfRule type="containsText" dxfId="8631" priority="3803" operator="containsText" text="LWOP UA">
      <formula>NOT(ISERROR(SEARCH("LWOP UA",Y68)))</formula>
    </cfRule>
    <cfRule type="containsText" dxfId="8630" priority="3804" operator="containsText" text="P">
      <formula>NOT(ISERROR(SEARCH("P",Y68)))</formula>
    </cfRule>
    <cfRule type="containsText" dxfId="8629" priority="3805" operator="containsText" text="TFO">
      <formula>NOT(ISERROR(SEARCH("TFO",Y68)))</formula>
    </cfRule>
    <cfRule type="containsText" dxfId="8628" priority="3806" operator="containsText" text="AA">
      <formula>NOT(ISERROR(SEARCH("AA",Y68)))</formula>
    </cfRule>
    <cfRule type="containsText" dxfId="8627" priority="3807" operator="containsText" text="RESIGNED">
      <formula>NOT(ISERROR(SEARCH("RESIGNED",Y68)))</formula>
    </cfRule>
    <cfRule type="containsText" dxfId="8626" priority="3808" operator="containsText" text="P">
      <formula>NOT(ISERROR(SEARCH("P",Y68)))</formula>
    </cfRule>
    <cfRule type="containsText" dxfId="8625" priority="3809" operator="containsText" text="TARDY">
      <formula>NOT(ISERROR(SEARCH("TARDY",Y68)))</formula>
    </cfRule>
    <cfRule type="containsText" dxfId="8624" priority="3810" operator="containsText" text="REST DAY">
      <formula>NOT(ISERROR(SEARCH("REST DAY",Y68)))</formula>
    </cfRule>
    <cfRule type="containsText" dxfId="8623" priority="3811" operator="containsText" text="UA">
      <formula>NOT(ISERROR(SEARCH("UA",Y68)))</formula>
    </cfRule>
  </conditionalFormatting>
  <conditionalFormatting sqref="Y76">
    <cfRule type="containsText" dxfId="8622" priority="3780" operator="containsText" text="LWOP UA">
      <formula>NOT(ISERROR(SEARCH("LWOP UA",Y76)))</formula>
    </cfRule>
    <cfRule type="containsText" dxfId="8621" priority="3781" operator="containsText" text="P">
      <formula>NOT(ISERROR(SEARCH("P",Y76)))</formula>
    </cfRule>
    <cfRule type="containsText" dxfId="8620" priority="3782" operator="containsText" text="TFO">
      <formula>NOT(ISERROR(SEARCH("TFO",Y76)))</formula>
    </cfRule>
    <cfRule type="containsText" dxfId="8619" priority="3783" operator="containsText" text="AA">
      <formula>NOT(ISERROR(SEARCH("AA",Y76)))</formula>
    </cfRule>
    <cfRule type="containsText" dxfId="8618" priority="3784" operator="containsText" text="RESIGNED">
      <formula>NOT(ISERROR(SEARCH("RESIGNED",Y76)))</formula>
    </cfRule>
    <cfRule type="containsText" dxfId="8617" priority="3785" operator="containsText" text="P">
      <formula>NOT(ISERROR(SEARCH("P",Y76)))</formula>
    </cfRule>
    <cfRule type="containsText" dxfId="8616" priority="3786" operator="containsText" text="TARDY">
      <formula>NOT(ISERROR(SEARCH("TARDY",Y76)))</formula>
    </cfRule>
    <cfRule type="containsText" dxfId="8615" priority="3787" operator="containsText" text="REST DAY">
      <formula>NOT(ISERROR(SEARCH("REST DAY",Y76)))</formula>
    </cfRule>
    <cfRule type="containsText" dxfId="8614" priority="3788" operator="containsText" text="UA">
      <formula>NOT(ISERROR(SEARCH("UA",Y76)))</formula>
    </cfRule>
  </conditionalFormatting>
  <conditionalFormatting sqref="Y90">
    <cfRule type="containsText" dxfId="8613" priority="1180" operator="containsText" text="P">
      <formula>NOT(ISERROR(SEARCH("P",Y90)))</formula>
    </cfRule>
    <cfRule type="containsText" dxfId="8612" priority="1181" operator="containsText" text="TFO">
      <formula>NOT(ISERROR(SEARCH("TFO",Y90)))</formula>
    </cfRule>
    <cfRule type="containsText" dxfId="8611" priority="1182" operator="containsText" text="AA">
      <formula>NOT(ISERROR(SEARCH("AA",Y90)))</formula>
    </cfRule>
    <cfRule type="containsText" dxfId="8610" priority="1183" operator="containsText" text="RESIGNED">
      <formula>NOT(ISERROR(SEARCH("RESIGNED",Y90)))</formula>
    </cfRule>
    <cfRule type="containsText" dxfId="8609" priority="1184" operator="containsText" text="P">
      <formula>NOT(ISERROR(SEARCH("P",Y90)))</formula>
    </cfRule>
    <cfRule type="containsText" dxfId="8608" priority="1185" operator="containsText" text="TARDY">
      <formula>NOT(ISERROR(SEARCH("TARDY",Y90)))</formula>
    </cfRule>
    <cfRule type="containsText" dxfId="8607" priority="1186" operator="containsText" text="REST DAY">
      <formula>NOT(ISERROR(SEARCH("REST DAY",Y90)))</formula>
    </cfRule>
    <cfRule type="containsText" dxfId="8606" priority="1187" operator="containsText" text="UA">
      <formula>NOT(ISERROR(SEARCH("UA",Y90)))</formula>
    </cfRule>
    <cfRule type="containsText" dxfId="8605" priority="1188" operator="containsText" text="LWOP UA">
      <formula>NOT(ISERROR(SEARCH("LWOP UA",Y90)))</formula>
    </cfRule>
  </conditionalFormatting>
  <conditionalFormatting sqref="Y93 AE93:AG93">
    <cfRule type="containsText" dxfId="8604" priority="164" operator="containsText" text="P">
      <formula>NOT(ISERROR(SEARCH("P",Y93)))</formula>
    </cfRule>
    <cfRule type="containsText" dxfId="8603" priority="165" operator="containsText" text="TFO">
      <formula>NOT(ISERROR(SEARCH("TFO",Y93)))</formula>
    </cfRule>
    <cfRule type="containsText" dxfId="8602" priority="166" operator="containsText" text="AA">
      <formula>NOT(ISERROR(SEARCH("AA",Y93)))</formula>
    </cfRule>
    <cfRule type="containsText" dxfId="8601" priority="167" operator="containsText" text="RESIGNED">
      <formula>NOT(ISERROR(SEARCH("RESIGNED",Y93)))</formula>
    </cfRule>
    <cfRule type="containsText" dxfId="8600" priority="168" operator="containsText" text="P">
      <formula>NOT(ISERROR(SEARCH("P",Y93)))</formula>
    </cfRule>
    <cfRule type="containsText" dxfId="8599" priority="169" operator="containsText" text="TARDY">
      <formula>NOT(ISERROR(SEARCH("TARDY",Y93)))</formula>
    </cfRule>
    <cfRule type="containsText" dxfId="8598" priority="170" operator="containsText" text="REST DAY">
      <formula>NOT(ISERROR(SEARCH("REST DAY",Y93)))</formula>
    </cfRule>
    <cfRule type="containsText" dxfId="8597" priority="171" operator="containsText" text="UA">
      <formula>NOT(ISERROR(SEARCH("UA",Y93)))</formula>
    </cfRule>
    <cfRule type="containsText" dxfId="8596" priority="172" operator="containsText" text="LWOP UA">
      <formula>NOT(ISERROR(SEARCH("LWOP UA",Y93)))</formula>
    </cfRule>
  </conditionalFormatting>
  <conditionalFormatting sqref="Y93">
    <cfRule type="containsText" dxfId="8595" priority="131" operator="containsText" text="LWOP UA">
      <formula>NOT(ISERROR(SEARCH("LWOP UA",Y93)))</formula>
    </cfRule>
    <cfRule type="containsText" dxfId="8594" priority="132" operator="containsText" text="P">
      <formula>NOT(ISERROR(SEARCH("P",Y93)))</formula>
    </cfRule>
    <cfRule type="containsText" dxfId="8593" priority="133" operator="containsText" text="TFO">
      <formula>NOT(ISERROR(SEARCH("TFO",Y93)))</formula>
    </cfRule>
    <cfRule type="containsText" dxfId="8592" priority="134" operator="containsText" text="AA">
      <formula>NOT(ISERROR(SEARCH("AA",Y93)))</formula>
    </cfRule>
    <cfRule type="containsText" dxfId="8591" priority="135" operator="containsText" text="RESIGNED">
      <formula>NOT(ISERROR(SEARCH("RESIGNED",Y93)))</formula>
    </cfRule>
    <cfRule type="containsText" dxfId="8590" priority="136" operator="containsText" text="P">
      <formula>NOT(ISERROR(SEARCH("P",Y93)))</formula>
    </cfRule>
    <cfRule type="containsText" dxfId="8589" priority="137" operator="containsText" text="TARDY">
      <formula>NOT(ISERROR(SEARCH("TARDY",Y93)))</formula>
    </cfRule>
    <cfRule type="containsText" dxfId="8588" priority="138" operator="containsText" text="REST DAY">
      <formula>NOT(ISERROR(SEARCH("REST DAY",Y93)))</formula>
    </cfRule>
    <cfRule type="containsText" dxfId="8587" priority="139" operator="containsText" text="UA">
      <formula>NOT(ISERROR(SEARCH("UA",Y93)))</formula>
    </cfRule>
    <cfRule type="containsText" dxfId="8586" priority="140" operator="containsText" text="LWOP UA">
      <formula>NOT(ISERROR(SEARCH("LWOP UA",Y93)))</formula>
    </cfRule>
  </conditionalFormatting>
  <conditionalFormatting sqref="Y94 AE94:AG94">
    <cfRule type="containsText" dxfId="8585" priority="1171" operator="containsText" text="P">
      <formula>NOT(ISERROR(SEARCH("P",Y94)))</formula>
    </cfRule>
    <cfRule type="containsText" dxfId="8584" priority="1172" operator="containsText" text="TFO">
      <formula>NOT(ISERROR(SEARCH("TFO",Y94)))</formula>
    </cfRule>
    <cfRule type="containsText" dxfId="8583" priority="1173" operator="containsText" text="AA">
      <formula>NOT(ISERROR(SEARCH("AA",Y94)))</formula>
    </cfRule>
    <cfRule type="containsText" dxfId="8582" priority="1174" operator="containsText" text="RESIGNED">
      <formula>NOT(ISERROR(SEARCH("RESIGNED",Y94)))</formula>
    </cfRule>
    <cfRule type="containsText" dxfId="8581" priority="1175" operator="containsText" text="P">
      <formula>NOT(ISERROR(SEARCH("P",Y94)))</formula>
    </cfRule>
    <cfRule type="containsText" dxfId="8580" priority="1176" operator="containsText" text="TARDY">
      <formula>NOT(ISERROR(SEARCH("TARDY",Y94)))</formula>
    </cfRule>
    <cfRule type="containsText" dxfId="8579" priority="1177" operator="containsText" text="REST DAY">
      <formula>NOT(ISERROR(SEARCH("REST DAY",Y94)))</formula>
    </cfRule>
    <cfRule type="containsText" dxfId="8578" priority="1178" operator="containsText" text="UA">
      <formula>NOT(ISERROR(SEARCH("UA",Y94)))</formula>
    </cfRule>
    <cfRule type="containsText" dxfId="8577" priority="1179" operator="containsText" text="LWOP UA">
      <formula>NOT(ISERROR(SEARCH("LWOP UA",Y94)))</formula>
    </cfRule>
  </conditionalFormatting>
  <conditionalFormatting sqref="Y4:Z4 AC4:AG4">
    <cfRule type="containsText" dxfId="8576" priority="2439" operator="containsText" text="P">
      <formula>NOT(ISERROR(SEARCH("P",Y4)))</formula>
    </cfRule>
    <cfRule type="containsText" dxfId="8575" priority="2440" operator="containsText" text="TFO">
      <formula>NOT(ISERROR(SEARCH("TFO",Y4)))</formula>
    </cfRule>
    <cfRule type="containsText" dxfId="8574" priority="2441" operator="containsText" text="AA">
      <formula>NOT(ISERROR(SEARCH("AA",Y4)))</formula>
    </cfRule>
    <cfRule type="containsText" dxfId="8573" priority="2442" operator="containsText" text="RESIGNED">
      <formula>NOT(ISERROR(SEARCH("RESIGNED",Y4)))</formula>
    </cfRule>
    <cfRule type="containsText" dxfId="8572" priority="2443" operator="containsText" text="P">
      <formula>NOT(ISERROR(SEARCH("P",Y4)))</formula>
    </cfRule>
    <cfRule type="containsText" dxfId="8571" priority="2444" operator="containsText" text="TARDY">
      <formula>NOT(ISERROR(SEARCH("TARDY",Y4)))</formula>
    </cfRule>
    <cfRule type="containsText" dxfId="8570" priority="2445" operator="containsText" text="REST DAY">
      <formula>NOT(ISERROR(SEARCH("REST DAY",Y4)))</formula>
    </cfRule>
    <cfRule type="containsText" dxfId="8569" priority="2446" operator="containsText" text="UA">
      <formula>NOT(ISERROR(SEARCH("UA",Y4)))</formula>
    </cfRule>
    <cfRule type="containsText" dxfId="8568" priority="2447" operator="containsText" text="LWOP UA">
      <formula>NOT(ISERROR(SEARCH("LWOP UA",Y4)))</formula>
    </cfRule>
  </conditionalFormatting>
  <conditionalFormatting sqref="Y5:Z5 AC5:AG5">
    <cfRule type="containsText" dxfId="8567" priority="3947" operator="containsText" text="P">
      <formula>NOT(ISERROR(SEARCH("P",Y5)))</formula>
    </cfRule>
    <cfRule type="containsText" dxfId="8566" priority="3948" operator="containsText" text="TFO">
      <formula>NOT(ISERROR(SEARCH("TFO",Y5)))</formula>
    </cfRule>
    <cfRule type="containsText" dxfId="8565" priority="3949" operator="containsText" text="AA">
      <formula>NOT(ISERROR(SEARCH("AA",Y5)))</formula>
    </cfRule>
    <cfRule type="containsText" dxfId="8564" priority="3950" operator="containsText" text="RESIGNED">
      <formula>NOT(ISERROR(SEARCH("RESIGNED",Y5)))</formula>
    </cfRule>
    <cfRule type="containsText" dxfId="8563" priority="3951" operator="containsText" text="P">
      <formula>NOT(ISERROR(SEARCH("P",Y5)))</formula>
    </cfRule>
    <cfRule type="containsText" dxfId="8562" priority="3952" operator="containsText" text="TARDY">
      <formula>NOT(ISERROR(SEARCH("TARDY",Y5)))</formula>
    </cfRule>
    <cfRule type="containsText" dxfId="8561" priority="3953" operator="containsText" text="REST DAY">
      <formula>NOT(ISERROR(SEARCH("REST DAY",Y5)))</formula>
    </cfRule>
    <cfRule type="containsText" dxfId="8560" priority="3954" operator="containsText" text="UA">
      <formula>NOT(ISERROR(SEARCH("UA",Y5)))</formula>
    </cfRule>
    <cfRule type="containsText" dxfId="8559" priority="3955" operator="containsText" text="LWOP UA">
      <formula>NOT(ISERROR(SEARCH("LWOP UA",Y5)))</formula>
    </cfRule>
  </conditionalFormatting>
  <conditionalFormatting sqref="Y12:Z12">
    <cfRule type="containsText" dxfId="8558" priority="581" operator="containsText" text="LWOP UA">
      <formula>NOT(ISERROR(SEARCH("LWOP UA",Y12)))</formula>
    </cfRule>
    <cfRule type="containsText" dxfId="8557" priority="582" operator="containsText" text="P">
      <formula>NOT(ISERROR(SEARCH("P",Y12)))</formula>
    </cfRule>
    <cfRule type="containsText" dxfId="8556" priority="583" operator="containsText" text="TFO">
      <formula>NOT(ISERROR(SEARCH("TFO",Y12)))</formula>
    </cfRule>
    <cfRule type="containsText" dxfId="8555" priority="584" operator="containsText" text="AA">
      <formula>NOT(ISERROR(SEARCH("AA",Y12)))</formula>
    </cfRule>
    <cfRule type="containsText" dxfId="8554" priority="585" operator="containsText" text="RESIGNED">
      <formula>NOT(ISERROR(SEARCH("RESIGNED",Y12)))</formula>
    </cfRule>
    <cfRule type="containsText" dxfId="8553" priority="586" operator="containsText" text="P">
      <formula>NOT(ISERROR(SEARCH("P",Y12)))</formula>
    </cfRule>
    <cfRule type="containsText" dxfId="8552" priority="587" operator="containsText" text="TARDY">
      <formula>NOT(ISERROR(SEARCH("TARDY",Y12)))</formula>
    </cfRule>
    <cfRule type="containsText" dxfId="8551" priority="588" operator="containsText" text="REST DAY">
      <formula>NOT(ISERROR(SEARCH("REST DAY",Y12)))</formula>
    </cfRule>
    <cfRule type="containsText" dxfId="8550" priority="589" operator="containsText" text="UA">
      <formula>NOT(ISERROR(SEARCH("UA",Y12)))</formula>
    </cfRule>
  </conditionalFormatting>
  <conditionalFormatting sqref="Y33:Z33 AC33:AG33">
    <cfRule type="containsText" dxfId="8549" priority="480" operator="containsText" text="P">
      <formula>NOT(ISERROR(SEARCH("P",Y33)))</formula>
    </cfRule>
    <cfRule type="containsText" dxfId="8548" priority="481" operator="containsText" text="TFO">
      <formula>NOT(ISERROR(SEARCH("TFO",Y33)))</formula>
    </cfRule>
    <cfRule type="containsText" dxfId="8547" priority="482" operator="containsText" text="AA">
      <formula>NOT(ISERROR(SEARCH("AA",Y33)))</formula>
    </cfRule>
    <cfRule type="containsText" dxfId="8546" priority="483" operator="containsText" text="RESIGNED">
      <formula>NOT(ISERROR(SEARCH("RESIGNED",Y33)))</formula>
    </cfRule>
    <cfRule type="containsText" dxfId="8545" priority="484" operator="containsText" text="P">
      <formula>NOT(ISERROR(SEARCH("P",Y33)))</formula>
    </cfRule>
    <cfRule type="containsText" dxfId="8544" priority="485" operator="containsText" text="TARDY">
      <formula>NOT(ISERROR(SEARCH("TARDY",Y33)))</formula>
    </cfRule>
    <cfRule type="containsText" dxfId="8543" priority="486" operator="containsText" text="REST DAY">
      <formula>NOT(ISERROR(SEARCH("REST DAY",Y33)))</formula>
    </cfRule>
    <cfRule type="containsText" dxfId="8542" priority="487" operator="containsText" text="UA">
      <formula>NOT(ISERROR(SEARCH("UA",Y33)))</formula>
    </cfRule>
    <cfRule type="containsText" dxfId="8541" priority="488" operator="containsText" text="LWOP UA">
      <formula>NOT(ISERROR(SEARCH("LWOP UA",Y33)))</formula>
    </cfRule>
  </conditionalFormatting>
  <conditionalFormatting sqref="Y39:Z39 AC39:AG39">
    <cfRule type="containsText" dxfId="8540" priority="402" operator="containsText" text="P">
      <formula>NOT(ISERROR(SEARCH("P",Y39)))</formula>
    </cfRule>
    <cfRule type="containsText" dxfId="8539" priority="403" operator="containsText" text="TFO">
      <formula>NOT(ISERROR(SEARCH("TFO",Y39)))</formula>
    </cfRule>
    <cfRule type="containsText" dxfId="8538" priority="404" operator="containsText" text="AA">
      <formula>NOT(ISERROR(SEARCH("AA",Y39)))</formula>
    </cfRule>
    <cfRule type="containsText" dxfId="8537" priority="405" operator="containsText" text="RESIGNED">
      <formula>NOT(ISERROR(SEARCH("RESIGNED",Y39)))</formula>
    </cfRule>
    <cfRule type="containsText" dxfId="8536" priority="406" operator="containsText" text="P">
      <formula>NOT(ISERROR(SEARCH("P",Y39)))</formula>
    </cfRule>
    <cfRule type="containsText" dxfId="8535" priority="407" operator="containsText" text="TARDY">
      <formula>NOT(ISERROR(SEARCH("TARDY",Y39)))</formula>
    </cfRule>
    <cfRule type="containsText" dxfId="8534" priority="408" operator="containsText" text="REST DAY">
      <formula>NOT(ISERROR(SEARCH("REST DAY",Y39)))</formula>
    </cfRule>
    <cfRule type="containsText" dxfId="8533" priority="409" operator="containsText" text="UA">
      <formula>NOT(ISERROR(SEARCH("UA",Y39)))</formula>
    </cfRule>
    <cfRule type="containsText" dxfId="8532" priority="410" operator="containsText" text="LWOP UA">
      <formula>NOT(ISERROR(SEARCH("LWOP UA",Y39)))</formula>
    </cfRule>
  </conditionalFormatting>
  <conditionalFormatting sqref="Y48:Z48">
    <cfRule type="containsText" dxfId="8531" priority="341" operator="containsText" text="LWOP UA">
      <formula>NOT(ISERROR(SEARCH("LWOP UA",Y48)))</formula>
    </cfRule>
    <cfRule type="containsText" dxfId="8530" priority="342" operator="containsText" text="P">
      <formula>NOT(ISERROR(SEARCH("P",Y48)))</formula>
    </cfRule>
    <cfRule type="containsText" dxfId="8529" priority="343" operator="containsText" text="TFO">
      <formula>NOT(ISERROR(SEARCH("TFO",Y48)))</formula>
    </cfRule>
    <cfRule type="containsText" dxfId="8528" priority="344" operator="containsText" text="AA">
      <formula>NOT(ISERROR(SEARCH("AA",Y48)))</formula>
    </cfRule>
    <cfRule type="containsText" dxfId="8527" priority="345" operator="containsText" text="RESIGNED">
      <formula>NOT(ISERROR(SEARCH("RESIGNED",Y48)))</formula>
    </cfRule>
    <cfRule type="containsText" dxfId="8526" priority="346" operator="containsText" text="P">
      <formula>NOT(ISERROR(SEARCH("P",Y48)))</formula>
    </cfRule>
    <cfRule type="containsText" dxfId="8525" priority="347" operator="containsText" text="TARDY">
      <formula>NOT(ISERROR(SEARCH("TARDY",Y48)))</formula>
    </cfRule>
    <cfRule type="containsText" dxfId="8524" priority="348" operator="containsText" text="REST DAY">
      <formula>NOT(ISERROR(SEARCH("REST DAY",Y48)))</formula>
    </cfRule>
    <cfRule type="containsText" dxfId="8523" priority="349" operator="containsText" text="UA">
      <formula>NOT(ISERROR(SEARCH("UA",Y48)))</formula>
    </cfRule>
  </conditionalFormatting>
  <conditionalFormatting sqref="Y50:Z50">
    <cfRule type="containsText" dxfId="8522" priority="1605" operator="containsText" text="LWOP UA">
      <formula>NOT(ISERROR(SEARCH("LWOP UA",Y50)))</formula>
    </cfRule>
    <cfRule type="containsText" dxfId="8521" priority="1606" operator="containsText" text="P">
      <formula>NOT(ISERROR(SEARCH("P",Y50)))</formula>
    </cfRule>
    <cfRule type="containsText" dxfId="8520" priority="1607" operator="containsText" text="TFO">
      <formula>NOT(ISERROR(SEARCH("TFO",Y50)))</formula>
    </cfRule>
    <cfRule type="containsText" dxfId="8519" priority="1608" operator="containsText" text="AA">
      <formula>NOT(ISERROR(SEARCH("AA",Y50)))</formula>
    </cfRule>
    <cfRule type="containsText" dxfId="8518" priority="1609" operator="containsText" text="RESIGNED">
      <formula>NOT(ISERROR(SEARCH("RESIGNED",Y50)))</formula>
    </cfRule>
    <cfRule type="containsText" dxfId="8517" priority="1610" operator="containsText" text="P">
      <formula>NOT(ISERROR(SEARCH("P",Y50)))</formula>
    </cfRule>
    <cfRule type="containsText" dxfId="8516" priority="1611" operator="containsText" text="TARDY">
      <formula>NOT(ISERROR(SEARCH("TARDY",Y50)))</formula>
    </cfRule>
    <cfRule type="containsText" dxfId="8515" priority="1612" operator="containsText" text="REST DAY">
      <formula>NOT(ISERROR(SEARCH("REST DAY",Y50)))</formula>
    </cfRule>
    <cfRule type="containsText" dxfId="8514" priority="1613" operator="containsText" text="UA">
      <formula>NOT(ISERROR(SEARCH("UA",Y50)))</formula>
    </cfRule>
  </conditionalFormatting>
  <conditionalFormatting sqref="Y51:Z51">
    <cfRule type="containsText" dxfId="8513" priority="1991" operator="containsText" text="LWOP UA">
      <formula>NOT(ISERROR(SEARCH("LWOP UA",Y51)))</formula>
    </cfRule>
    <cfRule type="containsText" dxfId="8512" priority="1992" operator="containsText" text="P">
      <formula>NOT(ISERROR(SEARCH("P",Y51)))</formula>
    </cfRule>
    <cfRule type="containsText" dxfId="8511" priority="1993" operator="containsText" text="TFO">
      <formula>NOT(ISERROR(SEARCH("TFO",Y51)))</formula>
    </cfRule>
    <cfRule type="containsText" dxfId="8510" priority="1994" operator="containsText" text="AA">
      <formula>NOT(ISERROR(SEARCH("AA",Y51)))</formula>
    </cfRule>
    <cfRule type="containsText" dxfId="8509" priority="1995" operator="containsText" text="RESIGNED">
      <formula>NOT(ISERROR(SEARCH("RESIGNED",Y51)))</formula>
    </cfRule>
    <cfRule type="containsText" dxfId="8508" priority="1996" operator="containsText" text="P">
      <formula>NOT(ISERROR(SEARCH("P",Y51)))</formula>
    </cfRule>
    <cfRule type="containsText" dxfId="8507" priority="1997" operator="containsText" text="TARDY">
      <formula>NOT(ISERROR(SEARCH("TARDY",Y51)))</formula>
    </cfRule>
    <cfRule type="containsText" dxfId="8506" priority="1998" operator="containsText" text="REST DAY">
      <formula>NOT(ISERROR(SEARCH("REST DAY",Y51)))</formula>
    </cfRule>
    <cfRule type="containsText" dxfId="8505" priority="1999" operator="containsText" text="UA">
      <formula>NOT(ISERROR(SEARCH("UA",Y51)))</formula>
    </cfRule>
  </conditionalFormatting>
  <conditionalFormatting sqref="Y56:Z56">
    <cfRule type="containsText" dxfId="8504" priority="305" operator="containsText" text="P">
      <formula>NOT(ISERROR(SEARCH("P",Y56)))</formula>
    </cfRule>
    <cfRule type="containsText" dxfId="8503" priority="306" operator="containsText" text="TFO">
      <formula>NOT(ISERROR(SEARCH("TFO",Y56)))</formula>
    </cfRule>
    <cfRule type="containsText" dxfId="8502" priority="307" operator="containsText" text="AA">
      <formula>NOT(ISERROR(SEARCH("AA",Y56)))</formula>
    </cfRule>
    <cfRule type="containsText" dxfId="8501" priority="308" operator="containsText" text="RESIGNED">
      <formula>NOT(ISERROR(SEARCH("RESIGNED",Y56)))</formula>
    </cfRule>
    <cfRule type="containsText" dxfId="8500" priority="309" operator="containsText" text="P">
      <formula>NOT(ISERROR(SEARCH("P",Y56)))</formula>
    </cfRule>
    <cfRule type="containsText" dxfId="8499" priority="310" operator="containsText" text="TARDY">
      <formula>NOT(ISERROR(SEARCH("TARDY",Y56)))</formula>
    </cfRule>
    <cfRule type="containsText" dxfId="8498" priority="311" operator="containsText" text="REST DAY">
      <formula>NOT(ISERROR(SEARCH("REST DAY",Y56)))</formula>
    </cfRule>
    <cfRule type="containsText" dxfId="8497" priority="312" operator="containsText" text="UA">
      <formula>NOT(ISERROR(SEARCH("UA",Y56)))</formula>
    </cfRule>
    <cfRule type="containsText" dxfId="8496" priority="313" operator="containsText" text="LWOP UA">
      <formula>NOT(ISERROR(SEARCH("LWOP UA",Y56)))</formula>
    </cfRule>
  </conditionalFormatting>
  <conditionalFormatting sqref="Y59:Z59">
    <cfRule type="containsText" dxfId="8495" priority="84" operator="containsText" text="LWOP UA">
      <formula>NOT(ISERROR(SEARCH("LWOP UA",Y59)))</formula>
    </cfRule>
  </conditionalFormatting>
  <conditionalFormatting sqref="Y63:Z63">
    <cfRule type="containsText" dxfId="8494" priority="1582" operator="containsText" text="LWOP UA">
      <formula>NOT(ISERROR(SEARCH("LWOP UA",Y63)))</formula>
    </cfRule>
    <cfRule type="containsText" dxfId="8493" priority="1583" operator="containsText" text="P">
      <formula>NOT(ISERROR(SEARCH("P",Y63)))</formula>
    </cfRule>
    <cfRule type="containsText" dxfId="8492" priority="1584" operator="containsText" text="TFO">
      <formula>NOT(ISERROR(SEARCH("TFO",Y63)))</formula>
    </cfRule>
    <cfRule type="containsText" dxfId="8491" priority="1585" operator="containsText" text="AA">
      <formula>NOT(ISERROR(SEARCH("AA",Y63)))</formula>
    </cfRule>
    <cfRule type="containsText" dxfId="8490" priority="1586" operator="containsText" text="RESIGNED">
      <formula>NOT(ISERROR(SEARCH("RESIGNED",Y63)))</formula>
    </cfRule>
    <cfRule type="containsText" dxfId="8489" priority="1587" operator="containsText" text="P">
      <formula>NOT(ISERROR(SEARCH("P",Y63)))</formula>
    </cfRule>
    <cfRule type="containsText" dxfId="8488" priority="1588" operator="containsText" text="TARDY">
      <formula>NOT(ISERROR(SEARCH("TARDY",Y63)))</formula>
    </cfRule>
    <cfRule type="containsText" dxfId="8487" priority="1589" operator="containsText" text="REST DAY">
      <formula>NOT(ISERROR(SEARCH("REST DAY",Y63)))</formula>
    </cfRule>
    <cfRule type="containsText" dxfId="8486" priority="1590" operator="containsText" text="UA">
      <formula>NOT(ISERROR(SEARCH("UA",Y63)))</formula>
    </cfRule>
  </conditionalFormatting>
  <conditionalFormatting sqref="Y65:Z65 AC65:AG65">
    <cfRule type="containsText" dxfId="8485" priority="254" operator="containsText" text="P">
      <formula>NOT(ISERROR(SEARCH("P",Y65)))</formula>
    </cfRule>
    <cfRule type="containsText" dxfId="8484" priority="255" operator="containsText" text="TFO">
      <formula>NOT(ISERROR(SEARCH("TFO",Y65)))</formula>
    </cfRule>
    <cfRule type="containsText" dxfId="8483" priority="256" operator="containsText" text="AA">
      <formula>NOT(ISERROR(SEARCH("AA",Y65)))</formula>
    </cfRule>
    <cfRule type="containsText" dxfId="8482" priority="257" operator="containsText" text="RESIGNED">
      <formula>NOT(ISERROR(SEARCH("RESIGNED",Y65)))</formula>
    </cfRule>
    <cfRule type="containsText" dxfId="8481" priority="258" operator="containsText" text="P">
      <formula>NOT(ISERROR(SEARCH("P",Y65)))</formula>
    </cfRule>
    <cfRule type="containsText" dxfId="8480" priority="259" operator="containsText" text="TARDY">
      <formula>NOT(ISERROR(SEARCH("TARDY",Y65)))</formula>
    </cfRule>
    <cfRule type="containsText" dxfId="8479" priority="260" operator="containsText" text="REST DAY">
      <formula>NOT(ISERROR(SEARCH("REST DAY",Y65)))</formula>
    </cfRule>
    <cfRule type="containsText" dxfId="8478" priority="261" operator="containsText" text="UA">
      <formula>NOT(ISERROR(SEARCH("UA",Y65)))</formula>
    </cfRule>
    <cfRule type="containsText" dxfId="8477" priority="262" operator="containsText" text="LWOP UA">
      <formula>NOT(ISERROR(SEARCH("LWOP UA",Y65)))</formula>
    </cfRule>
  </conditionalFormatting>
  <conditionalFormatting sqref="Y68:Z68">
    <cfRule type="containsText" dxfId="8476" priority="3812" operator="containsText" text="LWOP UA">
      <formula>NOT(ISERROR(SEARCH("LWOP UA",Y68)))</formula>
    </cfRule>
  </conditionalFormatting>
  <conditionalFormatting sqref="Y72:Z72">
    <cfRule type="containsText" dxfId="8475" priority="1559" operator="containsText" text="LWOP UA">
      <formula>NOT(ISERROR(SEARCH("LWOP UA",Y72)))</formula>
    </cfRule>
    <cfRule type="containsText" dxfId="8474" priority="1560" operator="containsText" text="P">
      <formula>NOT(ISERROR(SEARCH("P",Y72)))</formula>
    </cfRule>
    <cfRule type="containsText" dxfId="8473" priority="1561" operator="containsText" text="TFO">
      <formula>NOT(ISERROR(SEARCH("TFO",Y72)))</formula>
    </cfRule>
    <cfRule type="containsText" dxfId="8472" priority="1562" operator="containsText" text="AA">
      <formula>NOT(ISERROR(SEARCH("AA",Y72)))</formula>
    </cfRule>
    <cfRule type="containsText" dxfId="8471" priority="1563" operator="containsText" text="RESIGNED">
      <formula>NOT(ISERROR(SEARCH("RESIGNED",Y72)))</formula>
    </cfRule>
    <cfRule type="containsText" dxfId="8470" priority="1564" operator="containsText" text="P">
      <formula>NOT(ISERROR(SEARCH("P",Y72)))</formula>
    </cfRule>
    <cfRule type="containsText" dxfId="8469" priority="1565" operator="containsText" text="TARDY">
      <formula>NOT(ISERROR(SEARCH("TARDY",Y72)))</formula>
    </cfRule>
    <cfRule type="containsText" dxfId="8468" priority="1566" operator="containsText" text="REST DAY">
      <formula>NOT(ISERROR(SEARCH("REST DAY",Y72)))</formula>
    </cfRule>
    <cfRule type="containsText" dxfId="8467" priority="1567" operator="containsText" text="UA">
      <formula>NOT(ISERROR(SEARCH("UA",Y72)))</formula>
    </cfRule>
  </conditionalFormatting>
  <conditionalFormatting sqref="Y74:Z74 AC74:AG74">
    <cfRule type="containsText" dxfId="8466" priority="231" operator="containsText" text="P">
      <formula>NOT(ISERROR(SEARCH("P",Y74)))</formula>
    </cfRule>
    <cfRule type="containsText" dxfId="8465" priority="232" operator="containsText" text="TFO">
      <formula>NOT(ISERROR(SEARCH("TFO",Y74)))</formula>
    </cfRule>
    <cfRule type="containsText" dxfId="8464" priority="233" operator="containsText" text="AA">
      <formula>NOT(ISERROR(SEARCH("AA",Y74)))</formula>
    </cfRule>
    <cfRule type="containsText" dxfId="8463" priority="234" operator="containsText" text="RESIGNED">
      <formula>NOT(ISERROR(SEARCH("RESIGNED",Y74)))</formula>
    </cfRule>
    <cfRule type="containsText" dxfId="8462" priority="235" operator="containsText" text="P">
      <formula>NOT(ISERROR(SEARCH("P",Y74)))</formula>
    </cfRule>
    <cfRule type="containsText" dxfId="8461" priority="236" operator="containsText" text="TARDY">
      <formula>NOT(ISERROR(SEARCH("TARDY",Y74)))</formula>
    </cfRule>
    <cfRule type="containsText" dxfId="8460" priority="237" operator="containsText" text="REST DAY">
      <formula>NOT(ISERROR(SEARCH("REST DAY",Y74)))</formula>
    </cfRule>
    <cfRule type="containsText" dxfId="8459" priority="238" operator="containsText" text="UA">
      <formula>NOT(ISERROR(SEARCH("UA",Y74)))</formula>
    </cfRule>
    <cfRule type="containsText" dxfId="8458" priority="239" operator="containsText" text="LWOP UA">
      <formula>NOT(ISERROR(SEARCH("LWOP UA",Y74)))</formula>
    </cfRule>
  </conditionalFormatting>
  <conditionalFormatting sqref="Y77:Z77">
    <cfRule type="containsText" dxfId="8457" priority="1536" operator="containsText" text="LWOP UA">
      <formula>NOT(ISERROR(SEARCH("LWOP UA",Y77)))</formula>
    </cfRule>
    <cfRule type="containsText" dxfId="8456" priority="1537" operator="containsText" text="P">
      <formula>NOT(ISERROR(SEARCH("P",Y77)))</formula>
    </cfRule>
    <cfRule type="containsText" dxfId="8455" priority="1538" operator="containsText" text="TFO">
      <formula>NOT(ISERROR(SEARCH("TFO",Y77)))</formula>
    </cfRule>
    <cfRule type="containsText" dxfId="8454" priority="1539" operator="containsText" text="AA">
      <formula>NOT(ISERROR(SEARCH("AA",Y77)))</formula>
    </cfRule>
    <cfRule type="containsText" dxfId="8453" priority="1540" operator="containsText" text="RESIGNED">
      <formula>NOT(ISERROR(SEARCH("RESIGNED",Y77)))</formula>
    </cfRule>
    <cfRule type="containsText" dxfId="8452" priority="1541" operator="containsText" text="P">
      <formula>NOT(ISERROR(SEARCH("P",Y77)))</formula>
    </cfRule>
    <cfRule type="containsText" dxfId="8451" priority="1542" operator="containsText" text="TARDY">
      <formula>NOT(ISERROR(SEARCH("TARDY",Y77)))</formula>
    </cfRule>
    <cfRule type="containsText" dxfId="8450" priority="1543" operator="containsText" text="REST DAY">
      <formula>NOT(ISERROR(SEARCH("REST DAY",Y77)))</formula>
    </cfRule>
    <cfRule type="containsText" dxfId="8449" priority="1544" operator="containsText" text="UA">
      <formula>NOT(ISERROR(SEARCH("UA",Y77)))</formula>
    </cfRule>
  </conditionalFormatting>
  <conditionalFormatting sqref="Y78:Z78">
    <cfRule type="containsText" dxfId="8448" priority="1940" operator="containsText" text="LWOP UA">
      <formula>NOT(ISERROR(SEARCH("LWOP UA",Y78)))</formula>
    </cfRule>
    <cfRule type="containsText" dxfId="8447" priority="1941" operator="containsText" text="P">
      <formula>NOT(ISERROR(SEARCH("P",Y78)))</formula>
    </cfRule>
    <cfRule type="containsText" dxfId="8446" priority="1942" operator="containsText" text="TFO">
      <formula>NOT(ISERROR(SEARCH("TFO",Y78)))</formula>
    </cfRule>
    <cfRule type="containsText" dxfId="8445" priority="1943" operator="containsText" text="AA">
      <formula>NOT(ISERROR(SEARCH("AA",Y78)))</formula>
    </cfRule>
    <cfRule type="containsText" dxfId="8444" priority="1944" operator="containsText" text="RESIGNED">
      <formula>NOT(ISERROR(SEARCH("RESIGNED",Y78)))</formula>
    </cfRule>
    <cfRule type="containsText" dxfId="8443" priority="1945" operator="containsText" text="P">
      <formula>NOT(ISERROR(SEARCH("P",Y78)))</formula>
    </cfRule>
    <cfRule type="containsText" dxfId="8442" priority="1946" operator="containsText" text="TARDY">
      <formula>NOT(ISERROR(SEARCH("TARDY",Y78)))</formula>
    </cfRule>
    <cfRule type="containsText" dxfId="8441" priority="1947" operator="containsText" text="REST DAY">
      <formula>NOT(ISERROR(SEARCH("REST DAY",Y78)))</formula>
    </cfRule>
    <cfRule type="containsText" dxfId="8440" priority="1948" operator="containsText" text="UA">
      <formula>NOT(ISERROR(SEARCH("UA",Y78)))</formula>
    </cfRule>
  </conditionalFormatting>
  <conditionalFormatting sqref="Y81:Z81 AC81:AG81">
    <cfRule type="containsText" dxfId="8439" priority="2304" operator="containsText" text="P">
      <formula>NOT(ISERROR(SEARCH("P",Y81)))</formula>
    </cfRule>
    <cfRule type="containsText" dxfId="8438" priority="2305" operator="containsText" text="TFO">
      <formula>NOT(ISERROR(SEARCH("TFO",Y81)))</formula>
    </cfRule>
    <cfRule type="containsText" dxfId="8437" priority="2306" operator="containsText" text="AA">
      <formula>NOT(ISERROR(SEARCH("AA",Y81)))</formula>
    </cfRule>
    <cfRule type="containsText" dxfId="8436" priority="2307" operator="containsText" text="RESIGNED">
      <formula>NOT(ISERROR(SEARCH("RESIGNED",Y81)))</formula>
    </cfRule>
    <cfRule type="containsText" dxfId="8435" priority="2308" operator="containsText" text="P">
      <formula>NOT(ISERROR(SEARCH("P",Y81)))</formula>
    </cfRule>
    <cfRule type="containsText" dxfId="8434" priority="2309" operator="containsText" text="TARDY">
      <formula>NOT(ISERROR(SEARCH("TARDY",Y81)))</formula>
    </cfRule>
    <cfRule type="containsText" dxfId="8433" priority="2310" operator="containsText" text="REST DAY">
      <formula>NOT(ISERROR(SEARCH("REST DAY",Y81)))</formula>
    </cfRule>
    <cfRule type="containsText" dxfId="8432" priority="2311" operator="containsText" text="UA">
      <formula>NOT(ISERROR(SEARCH("UA",Y81)))</formula>
    </cfRule>
    <cfRule type="containsText" dxfId="8431" priority="2312" operator="containsText" text="LWOP UA">
      <formula>NOT(ISERROR(SEARCH("LWOP UA",Y81)))</formula>
    </cfRule>
  </conditionalFormatting>
  <conditionalFormatting sqref="Y93:Z93 AC93:AG93">
    <cfRule type="containsText" dxfId="8430" priority="155" operator="containsText" text="P">
      <formula>NOT(ISERROR(SEARCH("P",Y93)))</formula>
    </cfRule>
    <cfRule type="containsText" dxfId="8429" priority="156" operator="containsText" text="TFO">
      <formula>NOT(ISERROR(SEARCH("TFO",Y93)))</formula>
    </cfRule>
    <cfRule type="containsText" dxfId="8428" priority="157" operator="containsText" text="AA">
      <formula>NOT(ISERROR(SEARCH("AA",Y93)))</formula>
    </cfRule>
    <cfRule type="containsText" dxfId="8427" priority="158" operator="containsText" text="RESIGNED">
      <formula>NOT(ISERROR(SEARCH("RESIGNED",Y93)))</formula>
    </cfRule>
    <cfRule type="containsText" dxfId="8426" priority="159" operator="containsText" text="P">
      <formula>NOT(ISERROR(SEARCH("P",Y93)))</formula>
    </cfRule>
    <cfRule type="containsText" dxfId="8425" priority="160" operator="containsText" text="TARDY">
      <formula>NOT(ISERROR(SEARCH("TARDY",Y93)))</formula>
    </cfRule>
    <cfRule type="containsText" dxfId="8424" priority="161" operator="containsText" text="REST DAY">
      <formula>NOT(ISERROR(SEARCH("REST DAY",Y93)))</formula>
    </cfRule>
    <cfRule type="containsText" dxfId="8423" priority="162" operator="containsText" text="UA">
      <formula>NOT(ISERROR(SEARCH("UA",Y93)))</formula>
    </cfRule>
    <cfRule type="containsText" dxfId="8422" priority="163" operator="containsText" text="LWOP UA">
      <formula>NOT(ISERROR(SEARCH("LWOP UA",Y93)))</formula>
    </cfRule>
  </conditionalFormatting>
  <conditionalFormatting sqref="Y13:AA13 AD13:AG13">
    <cfRule type="containsText" dxfId="8421" priority="3924" operator="containsText" text="P">
      <formula>NOT(ISERROR(SEARCH("P",Y13)))</formula>
    </cfRule>
    <cfRule type="containsText" dxfId="8420" priority="3925" operator="containsText" text="TFO">
      <formula>NOT(ISERROR(SEARCH("TFO",Y13)))</formula>
    </cfRule>
    <cfRule type="containsText" dxfId="8419" priority="3926" operator="containsText" text="AA">
      <formula>NOT(ISERROR(SEARCH("AA",Y13)))</formula>
    </cfRule>
    <cfRule type="containsText" dxfId="8418" priority="3927" operator="containsText" text="RESIGNED">
      <formula>NOT(ISERROR(SEARCH("RESIGNED",Y13)))</formula>
    </cfRule>
    <cfRule type="containsText" dxfId="8417" priority="3928" operator="containsText" text="P">
      <formula>NOT(ISERROR(SEARCH("P",Y13)))</formula>
    </cfRule>
    <cfRule type="containsText" dxfId="8416" priority="3929" operator="containsText" text="TARDY">
      <formula>NOT(ISERROR(SEARCH("TARDY",Y13)))</formula>
    </cfRule>
    <cfRule type="containsText" dxfId="8415" priority="3930" operator="containsText" text="REST DAY">
      <formula>NOT(ISERROR(SEARCH("REST DAY",Y13)))</formula>
    </cfRule>
    <cfRule type="containsText" dxfId="8414" priority="3931" operator="containsText" text="UA">
      <formula>NOT(ISERROR(SEARCH("UA",Y13)))</formula>
    </cfRule>
    <cfRule type="containsText" dxfId="8413" priority="3932" operator="containsText" text="LWOP UA">
      <formula>NOT(ISERROR(SEARCH("LWOP UA",Y13)))</formula>
    </cfRule>
  </conditionalFormatting>
  <conditionalFormatting sqref="Y19:AA19 AD19:AG19">
    <cfRule type="containsText" dxfId="8412" priority="545" operator="containsText" text="P">
      <formula>NOT(ISERROR(SEARCH("P",Y19)))</formula>
    </cfRule>
    <cfRule type="containsText" dxfId="8411" priority="546" operator="containsText" text="TFO">
      <formula>NOT(ISERROR(SEARCH("TFO",Y19)))</formula>
    </cfRule>
    <cfRule type="containsText" dxfId="8410" priority="547" operator="containsText" text="AA">
      <formula>NOT(ISERROR(SEARCH("AA",Y19)))</formula>
    </cfRule>
    <cfRule type="containsText" dxfId="8409" priority="548" operator="containsText" text="RESIGNED">
      <formula>NOT(ISERROR(SEARCH("RESIGNED",Y19)))</formula>
    </cfRule>
    <cfRule type="containsText" dxfId="8408" priority="549" operator="containsText" text="P">
      <formula>NOT(ISERROR(SEARCH("P",Y19)))</formula>
    </cfRule>
    <cfRule type="containsText" dxfId="8407" priority="550" operator="containsText" text="TARDY">
      <formula>NOT(ISERROR(SEARCH("TARDY",Y19)))</formula>
    </cfRule>
    <cfRule type="containsText" dxfId="8406" priority="551" operator="containsText" text="REST DAY">
      <formula>NOT(ISERROR(SEARCH("REST DAY",Y19)))</formula>
    </cfRule>
    <cfRule type="containsText" dxfId="8405" priority="552" operator="containsText" text="UA">
      <formula>NOT(ISERROR(SEARCH("UA",Y19)))</formula>
    </cfRule>
    <cfRule type="containsText" dxfId="8404" priority="553" operator="containsText" text="LWOP UA">
      <formula>NOT(ISERROR(SEARCH("LWOP UA",Y19)))</formula>
    </cfRule>
  </conditionalFormatting>
  <conditionalFormatting sqref="Y34:AA34 AD34:AG34">
    <cfRule type="containsText" dxfId="8403" priority="457" operator="containsText" text="P">
      <formula>NOT(ISERROR(SEARCH("P",Y34)))</formula>
    </cfRule>
    <cfRule type="containsText" dxfId="8402" priority="458" operator="containsText" text="TFO">
      <formula>NOT(ISERROR(SEARCH("TFO",Y34)))</formula>
    </cfRule>
    <cfRule type="containsText" dxfId="8401" priority="459" operator="containsText" text="AA">
      <formula>NOT(ISERROR(SEARCH("AA",Y34)))</formula>
    </cfRule>
    <cfRule type="containsText" dxfId="8400" priority="460" operator="containsText" text="RESIGNED">
      <formula>NOT(ISERROR(SEARCH("RESIGNED",Y34)))</formula>
    </cfRule>
    <cfRule type="containsText" dxfId="8399" priority="461" operator="containsText" text="P">
      <formula>NOT(ISERROR(SEARCH("P",Y34)))</formula>
    </cfRule>
    <cfRule type="containsText" dxfId="8398" priority="462" operator="containsText" text="TARDY">
      <formula>NOT(ISERROR(SEARCH("TARDY",Y34)))</formula>
    </cfRule>
    <cfRule type="containsText" dxfId="8397" priority="463" operator="containsText" text="REST DAY">
      <formula>NOT(ISERROR(SEARCH("REST DAY",Y34)))</formula>
    </cfRule>
    <cfRule type="containsText" dxfId="8396" priority="464" operator="containsText" text="UA">
      <formula>NOT(ISERROR(SEARCH("UA",Y34)))</formula>
    </cfRule>
    <cfRule type="containsText" dxfId="8395" priority="465" operator="containsText" text="LWOP UA">
      <formula>NOT(ISERROR(SEARCH("LWOP UA",Y34)))</formula>
    </cfRule>
  </conditionalFormatting>
  <conditionalFormatting sqref="Y58:AB58">
    <cfRule type="containsText" dxfId="8394" priority="281" operator="containsText" text="LWOP UA">
      <formula>NOT(ISERROR(SEARCH("LWOP UA",Y58)))</formula>
    </cfRule>
    <cfRule type="containsText" dxfId="8393" priority="282" operator="containsText" text="P">
      <formula>NOT(ISERROR(SEARCH("P",Y58)))</formula>
    </cfRule>
    <cfRule type="containsText" dxfId="8392" priority="283" operator="containsText" text="TFO">
      <formula>NOT(ISERROR(SEARCH("TFO",Y58)))</formula>
    </cfRule>
    <cfRule type="containsText" dxfId="8391" priority="284" operator="containsText" text="AA">
      <formula>NOT(ISERROR(SEARCH("AA",Y58)))</formula>
    </cfRule>
    <cfRule type="containsText" dxfId="8390" priority="285" operator="containsText" text="RESIGNED">
      <formula>NOT(ISERROR(SEARCH("RESIGNED",Y58)))</formula>
    </cfRule>
    <cfRule type="containsText" dxfId="8389" priority="286" operator="containsText" text="P">
      <formula>NOT(ISERROR(SEARCH("P",Y58)))</formula>
    </cfRule>
    <cfRule type="containsText" dxfId="8388" priority="287" operator="containsText" text="TARDY">
      <formula>NOT(ISERROR(SEARCH("TARDY",Y58)))</formula>
    </cfRule>
    <cfRule type="containsText" dxfId="8387" priority="288" operator="containsText" text="REST DAY">
      <formula>NOT(ISERROR(SEARCH("REST DAY",Y58)))</formula>
    </cfRule>
    <cfRule type="containsText" dxfId="8386" priority="289" operator="containsText" text="UA">
      <formula>NOT(ISERROR(SEARCH("UA",Y58)))</formula>
    </cfRule>
  </conditionalFormatting>
  <conditionalFormatting sqref="Y8:AC8">
    <cfRule type="containsText" dxfId="8385" priority="614" operator="containsText" text="P">
      <formula>NOT(ISERROR(SEARCH("P",Y8)))</formula>
    </cfRule>
    <cfRule type="containsText" dxfId="8384" priority="615" operator="containsText" text="TFO">
      <formula>NOT(ISERROR(SEARCH("TFO",Y8)))</formula>
    </cfRule>
    <cfRule type="containsText" dxfId="8383" priority="616" operator="containsText" text="AA">
      <formula>NOT(ISERROR(SEARCH("AA",Y8)))</formula>
    </cfRule>
    <cfRule type="containsText" dxfId="8382" priority="617" operator="containsText" text="RESIGNED">
      <formula>NOT(ISERROR(SEARCH("RESIGNED",Y8)))</formula>
    </cfRule>
    <cfRule type="containsText" dxfId="8381" priority="618" operator="containsText" text="P">
      <formula>NOT(ISERROR(SEARCH("P",Y8)))</formula>
    </cfRule>
    <cfRule type="containsText" dxfId="8380" priority="619" operator="containsText" text="TARDY">
      <formula>NOT(ISERROR(SEARCH("TARDY",Y8)))</formula>
    </cfRule>
    <cfRule type="containsText" dxfId="8379" priority="620" operator="containsText" text="REST DAY">
      <formula>NOT(ISERROR(SEARCH("REST DAY",Y8)))</formula>
    </cfRule>
    <cfRule type="containsText" dxfId="8378" priority="621" operator="containsText" text="UA">
      <formula>NOT(ISERROR(SEARCH("UA",Y8)))</formula>
    </cfRule>
    <cfRule type="containsText" dxfId="8377" priority="622" operator="containsText" text="LWOP UA">
      <formula>NOT(ISERROR(SEARCH("LWOP UA",Y8)))</formula>
    </cfRule>
  </conditionalFormatting>
  <conditionalFormatting sqref="Y17:AC17">
    <cfRule type="containsText" dxfId="8376" priority="568" operator="containsText" text="P">
      <formula>NOT(ISERROR(SEARCH("P",Y17)))</formula>
    </cfRule>
    <cfRule type="containsText" dxfId="8375" priority="569" operator="containsText" text="TFO">
      <formula>NOT(ISERROR(SEARCH("TFO",Y17)))</formula>
    </cfRule>
    <cfRule type="containsText" dxfId="8374" priority="570" operator="containsText" text="AA">
      <formula>NOT(ISERROR(SEARCH("AA",Y17)))</formula>
    </cfRule>
    <cfRule type="containsText" dxfId="8373" priority="571" operator="containsText" text="RESIGNED">
      <formula>NOT(ISERROR(SEARCH("RESIGNED",Y17)))</formula>
    </cfRule>
    <cfRule type="containsText" dxfId="8372" priority="572" operator="containsText" text="P">
      <formula>NOT(ISERROR(SEARCH("P",Y17)))</formula>
    </cfRule>
    <cfRule type="containsText" dxfId="8371" priority="573" operator="containsText" text="TARDY">
      <formula>NOT(ISERROR(SEARCH("TARDY",Y17)))</formula>
    </cfRule>
    <cfRule type="containsText" dxfId="8370" priority="574" operator="containsText" text="REST DAY">
      <formula>NOT(ISERROR(SEARCH("REST DAY",Y17)))</formula>
    </cfRule>
    <cfRule type="containsText" dxfId="8369" priority="575" operator="containsText" text="UA">
      <formula>NOT(ISERROR(SEARCH("UA",Y17)))</formula>
    </cfRule>
    <cfRule type="containsText" dxfId="8368" priority="576" operator="containsText" text="LWOP UA">
      <formula>NOT(ISERROR(SEARCH("LWOP UA",Y17)))</formula>
    </cfRule>
  </conditionalFormatting>
  <conditionalFormatting sqref="Y35:AC35">
    <cfRule type="containsText" dxfId="8367" priority="434" operator="containsText" text="P">
      <formula>NOT(ISERROR(SEARCH("P",Y35)))</formula>
    </cfRule>
    <cfRule type="containsText" dxfId="8366" priority="435" operator="containsText" text="TFO">
      <formula>NOT(ISERROR(SEARCH("TFO",Y35)))</formula>
    </cfRule>
    <cfRule type="containsText" dxfId="8365" priority="436" operator="containsText" text="AA">
      <formula>NOT(ISERROR(SEARCH("AA",Y35)))</formula>
    </cfRule>
    <cfRule type="containsText" dxfId="8364" priority="437" operator="containsText" text="RESIGNED">
      <formula>NOT(ISERROR(SEARCH("RESIGNED",Y35)))</formula>
    </cfRule>
    <cfRule type="containsText" dxfId="8363" priority="438" operator="containsText" text="P">
      <formula>NOT(ISERROR(SEARCH("P",Y35)))</formula>
    </cfRule>
    <cfRule type="containsText" dxfId="8362" priority="439" operator="containsText" text="TARDY">
      <formula>NOT(ISERROR(SEARCH("TARDY",Y35)))</formula>
    </cfRule>
    <cfRule type="containsText" dxfId="8361" priority="440" operator="containsText" text="REST DAY">
      <formula>NOT(ISERROR(SEARCH("REST DAY",Y35)))</formula>
    </cfRule>
    <cfRule type="containsText" dxfId="8360" priority="441" operator="containsText" text="UA">
      <formula>NOT(ISERROR(SEARCH("UA",Y35)))</formula>
    </cfRule>
    <cfRule type="containsText" dxfId="8359" priority="442" operator="containsText" text="LWOP UA">
      <formula>NOT(ISERROR(SEARCH("LWOP UA",Y35)))</formula>
    </cfRule>
  </conditionalFormatting>
  <conditionalFormatting sqref="Y35:AE35 AG35">
    <cfRule type="containsText" dxfId="8358" priority="433" operator="containsText" text="LWOP UA">
      <formula>NOT(ISERROR(SEARCH("LWOP UA",Y35)))</formula>
    </cfRule>
  </conditionalFormatting>
  <conditionalFormatting sqref="Y3:AG3">
    <cfRule type="cellIs" dxfId="8357" priority="2451" operator="between">
      <formula>1</formula>
      <formula>400</formula>
    </cfRule>
    <cfRule type="containsText" dxfId="8356" priority="2452" operator="containsText" text="LWOP UA">
      <formula>NOT(ISERROR(SEARCH("LWOP UA",Y3)))</formula>
    </cfRule>
    <cfRule type="containsText" dxfId="8355" priority="2453" operator="containsText" text="P">
      <formula>NOT(ISERROR(SEARCH("P",Y3)))</formula>
    </cfRule>
    <cfRule type="containsText" dxfId="8354" priority="2454" operator="containsText" text="TFO">
      <formula>NOT(ISERROR(SEARCH("TFO",Y3)))</formula>
    </cfRule>
    <cfRule type="containsText" dxfId="8353" priority="2455" operator="containsText" text="AA">
      <formula>NOT(ISERROR(SEARCH("AA",Y3)))</formula>
    </cfRule>
    <cfRule type="containsText" dxfId="8352" priority="2456" operator="containsText" text="RESIGNED">
      <formula>NOT(ISERROR(SEARCH("RESIGNED",Y3)))</formula>
    </cfRule>
    <cfRule type="containsText" dxfId="8351" priority="2457" operator="containsText" text="P">
      <formula>NOT(ISERROR(SEARCH("P",Y3)))</formula>
    </cfRule>
    <cfRule type="containsText" dxfId="8350" priority="2458" operator="containsText" text="TARDY">
      <formula>NOT(ISERROR(SEARCH("TARDY",Y3)))</formula>
    </cfRule>
    <cfRule type="containsText" dxfId="8349" priority="2459" operator="containsText" text="REST DAY">
      <formula>NOT(ISERROR(SEARCH("REST DAY",Y3)))</formula>
    </cfRule>
    <cfRule type="containsText" dxfId="8348" priority="2460" operator="containsText" text="UA">
      <formula>NOT(ISERROR(SEARCH("UA",Y3)))</formula>
    </cfRule>
    <cfRule type="containsText" dxfId="8347" priority="2461" operator="containsText" text="LWOP UA">
      <formula>NOT(ISERROR(SEARCH("LWOP UA",Y3)))</formula>
    </cfRule>
  </conditionalFormatting>
  <conditionalFormatting sqref="Y4:AG4">
    <cfRule type="cellIs" dxfId="8346" priority="2428" operator="between">
      <formula>1</formula>
      <formula>400</formula>
    </cfRule>
    <cfRule type="containsText" dxfId="8345" priority="2438" operator="containsText" text="LWOP UA">
      <formula>NOT(ISERROR(SEARCH("LWOP UA",Y4)))</formula>
    </cfRule>
  </conditionalFormatting>
  <conditionalFormatting sqref="Y5:AG5">
    <cfRule type="cellIs" dxfId="8344" priority="3936" operator="between">
      <formula>1</formula>
      <formula>400</formula>
    </cfRule>
    <cfRule type="containsText" dxfId="8343" priority="3946" operator="containsText" text="LWOP UA">
      <formula>NOT(ISERROR(SEARCH("LWOP UA",Y5)))</formula>
    </cfRule>
  </conditionalFormatting>
  <conditionalFormatting sqref="Y6:AG6">
    <cfRule type="cellIs" dxfId="8342" priority="1697" operator="between">
      <formula>1</formula>
      <formula>400</formula>
    </cfRule>
    <cfRule type="containsText" dxfId="8341" priority="1698" operator="containsText" text="LWOP UA">
      <formula>NOT(ISERROR(SEARCH("LWOP UA",Y6)))</formula>
    </cfRule>
    <cfRule type="containsText" dxfId="8340" priority="1699" operator="containsText" text="P">
      <formula>NOT(ISERROR(SEARCH("P",Y6)))</formula>
    </cfRule>
    <cfRule type="containsText" dxfId="8339" priority="1700" operator="containsText" text="TFO">
      <formula>NOT(ISERROR(SEARCH("TFO",Y6)))</formula>
    </cfRule>
    <cfRule type="containsText" dxfId="8338" priority="1701" operator="containsText" text="AA">
      <formula>NOT(ISERROR(SEARCH("AA",Y6)))</formula>
    </cfRule>
    <cfRule type="containsText" dxfId="8337" priority="1702" operator="containsText" text="RESIGNED">
      <formula>NOT(ISERROR(SEARCH("RESIGNED",Y6)))</formula>
    </cfRule>
    <cfRule type="containsText" dxfId="8336" priority="1703" operator="containsText" text="P">
      <formula>NOT(ISERROR(SEARCH("P",Y6)))</formula>
    </cfRule>
    <cfRule type="containsText" dxfId="8335" priority="1704" operator="containsText" text="TARDY">
      <formula>NOT(ISERROR(SEARCH("TARDY",Y6)))</formula>
    </cfRule>
    <cfRule type="containsText" dxfId="8334" priority="1705" operator="containsText" text="REST DAY">
      <formula>NOT(ISERROR(SEARCH("REST DAY",Y6)))</formula>
    </cfRule>
    <cfRule type="containsText" dxfId="8333" priority="1706" operator="containsText" text="UA">
      <formula>NOT(ISERROR(SEARCH("UA",Y6)))</formula>
    </cfRule>
    <cfRule type="containsText" dxfId="8332" priority="1707" operator="containsText" text="LWOP UA">
      <formula>NOT(ISERROR(SEARCH("LWOP UA",Y6)))</formula>
    </cfRule>
  </conditionalFormatting>
  <conditionalFormatting sqref="Y7:AG7">
    <cfRule type="cellIs" dxfId="8331" priority="2223" operator="between">
      <formula>1</formula>
      <formula>400</formula>
    </cfRule>
    <cfRule type="containsText" dxfId="8330" priority="2224" operator="containsText" text="LWOP UA">
      <formula>NOT(ISERROR(SEARCH("LWOP UA",Y7)))</formula>
    </cfRule>
    <cfRule type="containsText" dxfId="8329" priority="2225" operator="containsText" text="P">
      <formula>NOT(ISERROR(SEARCH("P",Y7)))</formula>
    </cfRule>
    <cfRule type="containsText" dxfId="8328" priority="2226" operator="containsText" text="TFO">
      <formula>NOT(ISERROR(SEARCH("TFO",Y7)))</formula>
    </cfRule>
    <cfRule type="containsText" dxfId="8327" priority="2227" operator="containsText" text="AA">
      <formula>NOT(ISERROR(SEARCH("AA",Y7)))</formula>
    </cfRule>
    <cfRule type="containsText" dxfId="8326" priority="2228" operator="containsText" text="RESIGNED">
      <formula>NOT(ISERROR(SEARCH("RESIGNED",Y7)))</formula>
    </cfRule>
    <cfRule type="containsText" dxfId="8325" priority="2229" operator="containsText" text="P">
      <formula>NOT(ISERROR(SEARCH("P",Y7)))</formula>
    </cfRule>
    <cfRule type="containsText" dxfId="8324" priority="2230" operator="containsText" text="TARDY">
      <formula>NOT(ISERROR(SEARCH("TARDY",Y7)))</formula>
    </cfRule>
    <cfRule type="containsText" dxfId="8323" priority="2231" operator="containsText" text="REST DAY">
      <formula>NOT(ISERROR(SEARCH("REST DAY",Y7)))</formula>
    </cfRule>
    <cfRule type="containsText" dxfId="8322" priority="2232" operator="containsText" text="UA">
      <formula>NOT(ISERROR(SEARCH("UA",Y7)))</formula>
    </cfRule>
    <cfRule type="containsText" dxfId="8321" priority="2233" operator="containsText" text="LWOP UA">
      <formula>NOT(ISERROR(SEARCH("LWOP UA",Y7)))</formula>
    </cfRule>
  </conditionalFormatting>
  <conditionalFormatting sqref="Y8:AG8">
    <cfRule type="containsText" dxfId="8320" priority="602" operator="containsText" text="540">
      <formula>NOT(ISERROR(SEARCH("540",Y8)))</formula>
    </cfRule>
    <cfRule type="cellIs" dxfId="8319" priority="603" operator="between">
      <formula>1</formula>
      <formula>400</formula>
    </cfRule>
    <cfRule type="containsText" dxfId="8318" priority="613" operator="containsText" text="LWOP UA">
      <formula>NOT(ISERROR(SEARCH("LWOP UA",Y8)))</formula>
    </cfRule>
  </conditionalFormatting>
  <conditionalFormatting sqref="Y9:AG9">
    <cfRule type="cellIs" dxfId="8317" priority="1683" operator="between">
      <formula>1</formula>
      <formula>400</formula>
    </cfRule>
    <cfRule type="containsText" dxfId="8316" priority="1684" operator="containsText" text="LWOP UA">
      <formula>NOT(ISERROR(SEARCH("LWOP UA",Y9)))</formula>
    </cfRule>
    <cfRule type="containsText" dxfId="8315" priority="1685" operator="containsText" text="P">
      <formula>NOT(ISERROR(SEARCH("P",Y9)))</formula>
    </cfRule>
    <cfRule type="containsText" dxfId="8314" priority="1686" operator="containsText" text="TFO">
      <formula>NOT(ISERROR(SEARCH("TFO",Y9)))</formula>
    </cfRule>
    <cfRule type="containsText" dxfId="8313" priority="1687" operator="containsText" text="AA">
      <formula>NOT(ISERROR(SEARCH("AA",Y9)))</formula>
    </cfRule>
    <cfRule type="containsText" dxfId="8312" priority="1688" operator="containsText" text="RESIGNED">
      <formula>NOT(ISERROR(SEARCH("RESIGNED",Y9)))</formula>
    </cfRule>
    <cfRule type="containsText" dxfId="8311" priority="1689" operator="containsText" text="P">
      <formula>NOT(ISERROR(SEARCH("P",Y9)))</formula>
    </cfRule>
    <cfRule type="containsText" dxfId="8310" priority="1690" operator="containsText" text="TARDY">
      <formula>NOT(ISERROR(SEARCH("TARDY",Y9)))</formula>
    </cfRule>
    <cfRule type="containsText" dxfId="8309" priority="1691" operator="containsText" text="REST DAY">
      <formula>NOT(ISERROR(SEARCH("REST DAY",Y9)))</formula>
    </cfRule>
    <cfRule type="containsText" dxfId="8308" priority="1692" operator="containsText" text="UA">
      <formula>NOT(ISERROR(SEARCH("UA",Y9)))</formula>
    </cfRule>
    <cfRule type="containsText" dxfId="8307" priority="1693" operator="containsText" text="LWOP UA">
      <formula>NOT(ISERROR(SEARCH("LWOP UA",Y9)))</formula>
    </cfRule>
  </conditionalFormatting>
  <conditionalFormatting sqref="Y10:AG11">
    <cfRule type="cellIs" dxfId="8306" priority="2414" operator="between">
      <formula>1</formula>
      <formula>400</formula>
    </cfRule>
    <cfRule type="containsText" dxfId="8305" priority="2415" operator="containsText" text="LWOP UA">
      <formula>NOT(ISERROR(SEARCH("LWOP UA",Y10)))</formula>
    </cfRule>
    <cfRule type="containsText" dxfId="8304" priority="2416" operator="containsText" text="P">
      <formula>NOT(ISERROR(SEARCH("P",Y10)))</formula>
    </cfRule>
    <cfRule type="containsText" dxfId="8303" priority="2417" operator="containsText" text="TFO">
      <formula>NOT(ISERROR(SEARCH("TFO",Y10)))</formula>
    </cfRule>
    <cfRule type="containsText" dxfId="8302" priority="2418" operator="containsText" text="AA">
      <formula>NOT(ISERROR(SEARCH("AA",Y10)))</formula>
    </cfRule>
    <cfRule type="containsText" dxfId="8301" priority="2419" operator="containsText" text="RESIGNED">
      <formula>NOT(ISERROR(SEARCH("RESIGNED",Y10)))</formula>
    </cfRule>
    <cfRule type="containsText" dxfId="8300" priority="2420" operator="containsText" text="P">
      <formula>NOT(ISERROR(SEARCH("P",Y10)))</formula>
    </cfRule>
    <cfRule type="containsText" dxfId="8299" priority="2421" operator="containsText" text="TARDY">
      <formula>NOT(ISERROR(SEARCH("TARDY",Y10)))</formula>
    </cfRule>
    <cfRule type="containsText" dxfId="8298" priority="2422" operator="containsText" text="REST DAY">
      <formula>NOT(ISERROR(SEARCH("REST DAY",Y10)))</formula>
    </cfRule>
    <cfRule type="containsText" dxfId="8297" priority="2423" operator="containsText" text="UA">
      <formula>NOT(ISERROR(SEARCH("UA",Y10)))</formula>
    </cfRule>
    <cfRule type="containsText" dxfId="8296" priority="2424" operator="containsText" text="LWOP UA">
      <formula>NOT(ISERROR(SEARCH("LWOP UA",Y10)))</formula>
    </cfRule>
  </conditionalFormatting>
  <conditionalFormatting sqref="Y12:AG12">
    <cfRule type="containsText" dxfId="8295" priority="579" operator="containsText" text="540">
      <formula>NOT(ISERROR(SEARCH("540",Y12)))</formula>
    </cfRule>
    <cfRule type="cellIs" dxfId="8294" priority="580" operator="between">
      <formula>1</formula>
      <formula>400</formula>
    </cfRule>
    <cfRule type="containsText" dxfId="8293" priority="590" operator="containsText" text="LWOP UA">
      <formula>NOT(ISERROR(SEARCH("LWOP UA",Y12)))</formula>
    </cfRule>
  </conditionalFormatting>
  <conditionalFormatting sqref="Y13:AG13">
    <cfRule type="cellIs" dxfId="8292" priority="3913" operator="between">
      <formula>1</formula>
      <formula>400</formula>
    </cfRule>
    <cfRule type="containsText" dxfId="8291" priority="3923" operator="containsText" text="LWOP UA">
      <formula>NOT(ISERROR(SEARCH("LWOP UA",Y13)))</formula>
    </cfRule>
  </conditionalFormatting>
  <conditionalFormatting sqref="Y14:AG14">
    <cfRule type="cellIs" dxfId="8290" priority="1669" operator="between">
      <formula>1</formula>
      <formula>400</formula>
    </cfRule>
    <cfRule type="containsText" dxfId="8289" priority="1670" operator="containsText" text="LWOP UA">
      <formula>NOT(ISERROR(SEARCH("LWOP UA",Y14)))</formula>
    </cfRule>
    <cfRule type="containsText" dxfId="8288" priority="1671" operator="containsText" text="P">
      <formula>NOT(ISERROR(SEARCH("P",Y14)))</formula>
    </cfRule>
    <cfRule type="containsText" dxfId="8287" priority="1672" operator="containsText" text="TFO">
      <formula>NOT(ISERROR(SEARCH("TFO",Y14)))</formula>
    </cfRule>
    <cfRule type="containsText" dxfId="8286" priority="1673" operator="containsText" text="AA">
      <formula>NOT(ISERROR(SEARCH("AA",Y14)))</formula>
    </cfRule>
    <cfRule type="containsText" dxfId="8285" priority="1674" operator="containsText" text="RESIGNED">
      <formula>NOT(ISERROR(SEARCH("RESIGNED",Y14)))</formula>
    </cfRule>
    <cfRule type="containsText" dxfId="8284" priority="1675" operator="containsText" text="P">
      <formula>NOT(ISERROR(SEARCH("P",Y14)))</formula>
    </cfRule>
    <cfRule type="containsText" dxfId="8283" priority="1676" operator="containsText" text="TARDY">
      <formula>NOT(ISERROR(SEARCH("TARDY",Y14)))</formula>
    </cfRule>
    <cfRule type="containsText" dxfId="8282" priority="1677" operator="containsText" text="REST DAY">
      <formula>NOT(ISERROR(SEARCH("REST DAY",Y14)))</formula>
    </cfRule>
    <cfRule type="containsText" dxfId="8281" priority="1678" operator="containsText" text="UA">
      <formula>NOT(ISERROR(SEARCH("UA",Y14)))</formula>
    </cfRule>
    <cfRule type="containsText" dxfId="8280" priority="1679" operator="containsText" text="LWOP UA">
      <formula>NOT(ISERROR(SEARCH("LWOP UA",Y14)))</formula>
    </cfRule>
  </conditionalFormatting>
  <conditionalFormatting sqref="Y15:AG15">
    <cfRule type="cellIs" dxfId="8279" priority="1925" operator="between">
      <formula>1</formula>
      <formula>400</formula>
    </cfRule>
    <cfRule type="containsText" dxfId="8278" priority="1926" operator="containsText" text="LWOP UA">
      <formula>NOT(ISERROR(SEARCH("LWOP UA",Y15)))</formula>
    </cfRule>
    <cfRule type="containsText" dxfId="8277" priority="1927" operator="containsText" text="P">
      <formula>NOT(ISERROR(SEARCH("P",Y15)))</formula>
    </cfRule>
    <cfRule type="containsText" dxfId="8276" priority="1928" operator="containsText" text="TFO">
      <formula>NOT(ISERROR(SEARCH("TFO",Y15)))</formula>
    </cfRule>
    <cfRule type="containsText" dxfId="8275" priority="1929" operator="containsText" text="AA">
      <formula>NOT(ISERROR(SEARCH("AA",Y15)))</formula>
    </cfRule>
    <cfRule type="containsText" dxfId="8274" priority="1930" operator="containsText" text="RESIGNED">
      <formula>NOT(ISERROR(SEARCH("RESIGNED",Y15)))</formula>
    </cfRule>
    <cfRule type="containsText" dxfId="8273" priority="1931" operator="containsText" text="P">
      <formula>NOT(ISERROR(SEARCH("P",Y15)))</formula>
    </cfRule>
    <cfRule type="containsText" dxfId="8272" priority="1932" operator="containsText" text="TARDY">
      <formula>NOT(ISERROR(SEARCH("TARDY",Y15)))</formula>
    </cfRule>
    <cfRule type="containsText" dxfId="8271" priority="1933" operator="containsText" text="REST DAY">
      <formula>NOT(ISERROR(SEARCH("REST DAY",Y15)))</formula>
    </cfRule>
    <cfRule type="containsText" dxfId="8270" priority="1934" operator="containsText" text="UA">
      <formula>NOT(ISERROR(SEARCH("UA",Y15)))</formula>
    </cfRule>
    <cfRule type="containsText" dxfId="8269" priority="1935" operator="containsText" text="LWOP UA">
      <formula>NOT(ISERROR(SEARCH("LWOP UA",Y15)))</formula>
    </cfRule>
  </conditionalFormatting>
  <conditionalFormatting sqref="Y16:AG16">
    <cfRule type="cellIs" dxfId="8268" priority="2400" operator="between">
      <formula>1</formula>
      <formula>400</formula>
    </cfRule>
    <cfRule type="containsText" dxfId="8267" priority="2401" operator="containsText" text="LWOP UA">
      <formula>NOT(ISERROR(SEARCH("LWOP UA",Y16)))</formula>
    </cfRule>
    <cfRule type="containsText" dxfId="8266" priority="2402" operator="containsText" text="P">
      <formula>NOT(ISERROR(SEARCH("P",Y16)))</formula>
    </cfRule>
    <cfRule type="containsText" dxfId="8265" priority="2403" operator="containsText" text="TFO">
      <formula>NOT(ISERROR(SEARCH("TFO",Y16)))</formula>
    </cfRule>
    <cfRule type="containsText" dxfId="8264" priority="2404" operator="containsText" text="AA">
      <formula>NOT(ISERROR(SEARCH("AA",Y16)))</formula>
    </cfRule>
    <cfRule type="containsText" dxfId="8263" priority="2405" operator="containsText" text="RESIGNED">
      <formula>NOT(ISERROR(SEARCH("RESIGNED",Y16)))</formula>
    </cfRule>
    <cfRule type="containsText" dxfId="8262" priority="2406" operator="containsText" text="P">
      <formula>NOT(ISERROR(SEARCH("P",Y16)))</formula>
    </cfRule>
    <cfRule type="containsText" dxfId="8261" priority="2407" operator="containsText" text="TARDY">
      <formula>NOT(ISERROR(SEARCH("TARDY",Y16)))</formula>
    </cfRule>
    <cfRule type="containsText" dxfId="8260" priority="2408" operator="containsText" text="REST DAY">
      <formula>NOT(ISERROR(SEARCH("REST DAY",Y16)))</formula>
    </cfRule>
    <cfRule type="containsText" dxfId="8259" priority="2409" operator="containsText" text="UA">
      <formula>NOT(ISERROR(SEARCH("UA",Y16)))</formula>
    </cfRule>
    <cfRule type="containsText" dxfId="8258" priority="2410" operator="containsText" text="LWOP UA">
      <formula>NOT(ISERROR(SEARCH("LWOP UA",Y16)))</formula>
    </cfRule>
  </conditionalFormatting>
  <conditionalFormatting sqref="Y17:AG17">
    <cfRule type="containsText" dxfId="8257" priority="556" operator="containsText" text="540">
      <formula>NOT(ISERROR(SEARCH("540",Y17)))</formula>
    </cfRule>
    <cfRule type="cellIs" dxfId="8256" priority="557" operator="between">
      <formula>1</formula>
      <formula>400</formula>
    </cfRule>
    <cfRule type="containsText" dxfId="8255" priority="567" operator="containsText" text="LWOP UA">
      <formula>NOT(ISERROR(SEARCH("LWOP UA",Y17)))</formula>
    </cfRule>
  </conditionalFormatting>
  <conditionalFormatting sqref="Y18:AG18">
    <cfRule type="cellIs" dxfId="8254" priority="2386" operator="between">
      <formula>1</formula>
      <formula>400</formula>
    </cfRule>
    <cfRule type="containsText" dxfId="8253" priority="2387" operator="containsText" text="LWOP UA">
      <formula>NOT(ISERROR(SEARCH("LWOP UA",Y18)))</formula>
    </cfRule>
    <cfRule type="containsText" dxfId="8252" priority="2388" operator="containsText" text="P">
      <formula>NOT(ISERROR(SEARCH("P",Y18)))</formula>
    </cfRule>
    <cfRule type="containsText" dxfId="8251" priority="2389" operator="containsText" text="TFO">
      <formula>NOT(ISERROR(SEARCH("TFO",Y18)))</formula>
    </cfRule>
    <cfRule type="containsText" dxfId="8250" priority="2390" operator="containsText" text="AA">
      <formula>NOT(ISERROR(SEARCH("AA",Y18)))</formula>
    </cfRule>
    <cfRule type="containsText" dxfId="8249" priority="2391" operator="containsText" text="RESIGNED">
      <formula>NOT(ISERROR(SEARCH("RESIGNED",Y18)))</formula>
    </cfRule>
    <cfRule type="containsText" dxfId="8248" priority="2392" operator="containsText" text="P">
      <formula>NOT(ISERROR(SEARCH("P",Y18)))</formula>
    </cfRule>
    <cfRule type="containsText" dxfId="8247" priority="2393" operator="containsText" text="TARDY">
      <formula>NOT(ISERROR(SEARCH("TARDY",Y18)))</formula>
    </cfRule>
    <cfRule type="containsText" dxfId="8246" priority="2394" operator="containsText" text="REST DAY">
      <formula>NOT(ISERROR(SEARCH("REST DAY",Y18)))</formula>
    </cfRule>
    <cfRule type="containsText" dxfId="8245" priority="2395" operator="containsText" text="UA">
      <formula>NOT(ISERROR(SEARCH("UA",Y18)))</formula>
    </cfRule>
    <cfRule type="containsText" dxfId="8244" priority="2396" operator="containsText" text="LWOP UA">
      <formula>NOT(ISERROR(SEARCH("LWOP UA",Y18)))</formula>
    </cfRule>
  </conditionalFormatting>
  <conditionalFormatting sqref="Y19:AG19">
    <cfRule type="containsText" dxfId="8243" priority="533" operator="containsText" text="540">
      <formula>NOT(ISERROR(SEARCH("540",Y19)))</formula>
    </cfRule>
    <cfRule type="cellIs" dxfId="8242" priority="534" operator="between">
      <formula>1</formula>
      <formula>400</formula>
    </cfRule>
    <cfRule type="containsText" dxfId="8241" priority="544" operator="containsText" text="LWOP UA">
      <formula>NOT(ISERROR(SEARCH("LWOP UA",Y19)))</formula>
    </cfRule>
  </conditionalFormatting>
  <conditionalFormatting sqref="Y20:AG20">
    <cfRule type="containsText" dxfId="8240" priority="1309" operator="containsText" text="VL">
      <formula>NOT(ISERROR(SEARCH("VL",Y20)))</formula>
    </cfRule>
    <cfRule type="containsText" dxfId="8239" priority="1310" operator="containsText" text="RD">
      <formula>NOT(ISERROR(SEARCH("RD",Y20)))</formula>
    </cfRule>
    <cfRule type="containsText" dxfId="8238" priority="1311" operator="containsText" text="540">
      <formula>NOT(ISERROR(SEARCH("540",Y20)))</formula>
    </cfRule>
    <cfRule type="cellIs" dxfId="8237" priority="1312" operator="between">
      <formula>1</formula>
      <formula>400</formula>
    </cfRule>
    <cfRule type="containsText" dxfId="8236" priority="1313" operator="containsText" text="LWOP UA">
      <formula>NOT(ISERROR(SEARCH("LWOP UA",Y20)))</formula>
    </cfRule>
    <cfRule type="containsText" dxfId="8235" priority="1314" operator="containsText" text="P">
      <formula>NOT(ISERROR(SEARCH("P",Y20)))</formula>
    </cfRule>
    <cfRule type="containsText" dxfId="8234" priority="1315" operator="containsText" text="TFO">
      <formula>NOT(ISERROR(SEARCH("TFO",Y20)))</formula>
    </cfRule>
    <cfRule type="containsText" dxfId="8233" priority="1316" operator="containsText" text="AA">
      <formula>NOT(ISERROR(SEARCH("AA",Y20)))</formula>
    </cfRule>
    <cfRule type="containsText" dxfId="8232" priority="1317" operator="containsText" text="RESIGNED">
      <formula>NOT(ISERROR(SEARCH("RESIGNED",Y20)))</formula>
    </cfRule>
    <cfRule type="containsText" dxfId="8231" priority="1318" operator="containsText" text="P">
      <formula>NOT(ISERROR(SEARCH("P",Y20)))</formula>
    </cfRule>
    <cfRule type="containsText" dxfId="8230" priority="1319" operator="containsText" text="TARDY">
      <formula>NOT(ISERROR(SEARCH("TARDY",Y20)))</formula>
    </cfRule>
    <cfRule type="containsText" dxfId="8229" priority="1320" operator="containsText" text="REST DAY">
      <formula>NOT(ISERROR(SEARCH("REST DAY",Y20)))</formula>
    </cfRule>
    <cfRule type="containsText" dxfId="8228" priority="1321" operator="containsText" text="UA">
      <formula>NOT(ISERROR(SEARCH("UA",Y20)))</formula>
    </cfRule>
    <cfRule type="containsText" dxfId="8227" priority="1322" operator="containsText" text="LWOP UA">
      <formula>NOT(ISERROR(SEARCH("LWOP UA",Y20)))</formula>
    </cfRule>
  </conditionalFormatting>
  <conditionalFormatting sqref="Y21:AG21">
    <cfRule type="containsText" dxfId="8226" priority="519" operator="containsText" text="540">
      <formula>NOT(ISERROR(SEARCH("540",Y21)))</formula>
    </cfRule>
    <cfRule type="cellIs" dxfId="8225" priority="520" operator="between">
      <formula>1</formula>
      <formula>400</formula>
    </cfRule>
    <cfRule type="containsText" dxfId="8224" priority="521" operator="containsText" text="LWOP UA">
      <formula>NOT(ISERROR(SEARCH("LWOP UA",Y21)))</formula>
    </cfRule>
    <cfRule type="containsText" dxfId="8223" priority="522" operator="containsText" text="P">
      <formula>NOT(ISERROR(SEARCH("P",Y21)))</formula>
    </cfRule>
    <cfRule type="containsText" dxfId="8222" priority="523" operator="containsText" text="TFO">
      <formula>NOT(ISERROR(SEARCH("TFO",Y21)))</formula>
    </cfRule>
    <cfRule type="containsText" dxfId="8221" priority="524" operator="containsText" text="AA">
      <formula>NOT(ISERROR(SEARCH("AA",Y21)))</formula>
    </cfRule>
    <cfRule type="containsText" dxfId="8220" priority="525" operator="containsText" text="RESIGNED">
      <formula>NOT(ISERROR(SEARCH("RESIGNED",Y21)))</formula>
    </cfRule>
    <cfRule type="containsText" dxfId="8219" priority="526" operator="containsText" text="P">
      <formula>NOT(ISERROR(SEARCH("P",Y21)))</formula>
    </cfRule>
    <cfRule type="containsText" dxfId="8218" priority="527" operator="containsText" text="TARDY">
      <formula>NOT(ISERROR(SEARCH("TARDY",Y21)))</formula>
    </cfRule>
    <cfRule type="containsText" dxfId="8217" priority="528" operator="containsText" text="REST DAY">
      <formula>NOT(ISERROR(SEARCH("REST DAY",Y21)))</formula>
    </cfRule>
    <cfRule type="containsText" dxfId="8216" priority="529" operator="containsText" text="UA">
      <formula>NOT(ISERROR(SEARCH("UA",Y21)))</formula>
    </cfRule>
    <cfRule type="containsText" dxfId="8215" priority="530" operator="containsText" text="LWOP UA">
      <formula>NOT(ISERROR(SEARCH("LWOP UA",Y21)))</formula>
    </cfRule>
  </conditionalFormatting>
  <conditionalFormatting sqref="Y22:AG22">
    <cfRule type="cellIs" dxfId="8214" priority="2069" operator="between">
      <formula>1</formula>
      <formula>400</formula>
    </cfRule>
    <cfRule type="containsText" dxfId="8213" priority="2070" operator="containsText" text="LWOP UA">
      <formula>NOT(ISERROR(SEARCH("LWOP UA",Y22)))</formula>
    </cfRule>
    <cfRule type="containsText" dxfId="8212" priority="2071" operator="containsText" text="P">
      <formula>NOT(ISERROR(SEARCH("P",Y22)))</formula>
    </cfRule>
    <cfRule type="containsText" dxfId="8211" priority="2072" operator="containsText" text="TFO">
      <formula>NOT(ISERROR(SEARCH("TFO",Y22)))</formula>
    </cfRule>
    <cfRule type="containsText" dxfId="8210" priority="2073" operator="containsText" text="AA">
      <formula>NOT(ISERROR(SEARCH("AA",Y22)))</formula>
    </cfRule>
    <cfRule type="containsText" dxfId="8209" priority="2074" operator="containsText" text="RESIGNED">
      <formula>NOT(ISERROR(SEARCH("RESIGNED",Y22)))</formula>
    </cfRule>
    <cfRule type="containsText" dxfId="8208" priority="2075" operator="containsText" text="P">
      <formula>NOT(ISERROR(SEARCH("P",Y22)))</formula>
    </cfRule>
    <cfRule type="containsText" dxfId="8207" priority="2076" operator="containsText" text="TARDY">
      <formula>NOT(ISERROR(SEARCH("TARDY",Y22)))</formula>
    </cfRule>
    <cfRule type="containsText" dxfId="8206" priority="2077" operator="containsText" text="REST DAY">
      <formula>NOT(ISERROR(SEARCH("REST DAY",Y22)))</formula>
    </cfRule>
    <cfRule type="containsText" dxfId="8205" priority="2078" operator="containsText" text="UA">
      <formula>NOT(ISERROR(SEARCH("UA",Y22)))</formula>
    </cfRule>
    <cfRule type="containsText" dxfId="8204" priority="2079" operator="containsText" text="LWOP UA">
      <formula>NOT(ISERROR(SEARCH("LWOP UA",Y22)))</formula>
    </cfRule>
  </conditionalFormatting>
  <conditionalFormatting sqref="Y23:AG23">
    <cfRule type="cellIs" dxfId="8203" priority="2055" operator="between">
      <formula>1</formula>
      <formula>400</formula>
    </cfRule>
    <cfRule type="containsText" dxfId="8202" priority="2056" operator="containsText" text="LWOP UA">
      <formula>NOT(ISERROR(SEARCH("LWOP UA",Y23)))</formula>
    </cfRule>
    <cfRule type="containsText" dxfId="8201" priority="2057" operator="containsText" text="P">
      <formula>NOT(ISERROR(SEARCH("P",Y23)))</formula>
    </cfRule>
    <cfRule type="containsText" dxfId="8200" priority="2058" operator="containsText" text="TFO">
      <formula>NOT(ISERROR(SEARCH("TFO",Y23)))</formula>
    </cfRule>
    <cfRule type="containsText" dxfId="8199" priority="2059" operator="containsText" text="AA">
      <formula>NOT(ISERROR(SEARCH("AA",Y23)))</formula>
    </cfRule>
    <cfRule type="containsText" dxfId="8198" priority="2060" operator="containsText" text="RESIGNED">
      <formula>NOT(ISERROR(SEARCH("RESIGNED",Y23)))</formula>
    </cfRule>
    <cfRule type="containsText" dxfId="8197" priority="2061" operator="containsText" text="P">
      <formula>NOT(ISERROR(SEARCH("P",Y23)))</formula>
    </cfRule>
    <cfRule type="containsText" dxfId="8196" priority="2062" operator="containsText" text="TARDY">
      <formula>NOT(ISERROR(SEARCH("TARDY",Y23)))</formula>
    </cfRule>
    <cfRule type="containsText" dxfId="8195" priority="2063" operator="containsText" text="REST DAY">
      <formula>NOT(ISERROR(SEARCH("REST DAY",Y23)))</formula>
    </cfRule>
    <cfRule type="containsText" dxfId="8194" priority="2064" operator="containsText" text="UA">
      <formula>NOT(ISERROR(SEARCH("UA",Y23)))</formula>
    </cfRule>
    <cfRule type="containsText" dxfId="8193" priority="2065" operator="containsText" text="LWOP UA">
      <formula>NOT(ISERROR(SEARCH("LWOP UA",Y23)))</formula>
    </cfRule>
  </conditionalFormatting>
  <conditionalFormatting sqref="Y24:AG24">
    <cfRule type="cellIs" dxfId="8192" priority="1289" operator="between">
      <formula>1</formula>
      <formula>400</formula>
    </cfRule>
    <cfRule type="containsText" dxfId="8191" priority="1290" operator="containsText" text="LWOP UA">
      <formula>NOT(ISERROR(SEARCH("LWOP UA",Y24)))</formula>
    </cfRule>
    <cfRule type="containsText" dxfId="8190" priority="1291" operator="containsText" text="P">
      <formula>NOT(ISERROR(SEARCH("P",Y24)))</formula>
    </cfRule>
    <cfRule type="containsText" dxfId="8189" priority="1292" operator="containsText" text="TFO">
      <formula>NOT(ISERROR(SEARCH("TFO",Y24)))</formula>
    </cfRule>
    <cfRule type="containsText" dxfId="8188" priority="1293" operator="containsText" text="AA">
      <formula>NOT(ISERROR(SEARCH("AA",Y24)))</formula>
    </cfRule>
    <cfRule type="containsText" dxfId="8187" priority="1294" operator="containsText" text="RESIGNED">
      <formula>NOT(ISERROR(SEARCH("RESIGNED",Y24)))</formula>
    </cfRule>
    <cfRule type="containsText" dxfId="8186" priority="1295" operator="containsText" text="P">
      <formula>NOT(ISERROR(SEARCH("P",Y24)))</formula>
    </cfRule>
    <cfRule type="containsText" dxfId="8185" priority="1296" operator="containsText" text="TARDY">
      <formula>NOT(ISERROR(SEARCH("TARDY",Y24)))</formula>
    </cfRule>
    <cfRule type="containsText" dxfId="8184" priority="1297" operator="containsText" text="REST DAY">
      <formula>NOT(ISERROR(SEARCH("REST DAY",Y24)))</formula>
    </cfRule>
    <cfRule type="containsText" dxfId="8183" priority="1298" operator="containsText" text="UA">
      <formula>NOT(ISERROR(SEARCH("UA",Y24)))</formula>
    </cfRule>
    <cfRule type="containsText" dxfId="8182" priority="1299" operator="containsText" text="LWOP UA">
      <formula>NOT(ISERROR(SEARCH("LWOP UA",Y24)))</formula>
    </cfRule>
  </conditionalFormatting>
  <conditionalFormatting sqref="Y25:AG25">
    <cfRule type="cellIs" dxfId="8181" priority="3899" operator="between">
      <formula>1</formula>
      <formula>400</formula>
    </cfRule>
    <cfRule type="containsText" dxfId="8180" priority="3900" operator="containsText" text="LWOP UA">
      <formula>NOT(ISERROR(SEARCH("LWOP UA",Y25)))</formula>
    </cfRule>
    <cfRule type="containsText" dxfId="8179" priority="3901" operator="containsText" text="P">
      <formula>NOT(ISERROR(SEARCH("P",Y25)))</formula>
    </cfRule>
    <cfRule type="containsText" dxfId="8178" priority="3902" operator="containsText" text="TFO">
      <formula>NOT(ISERROR(SEARCH("TFO",Y25)))</formula>
    </cfRule>
    <cfRule type="containsText" dxfId="8177" priority="3903" operator="containsText" text="AA">
      <formula>NOT(ISERROR(SEARCH("AA",Y25)))</formula>
    </cfRule>
    <cfRule type="containsText" dxfId="8176" priority="3904" operator="containsText" text="RESIGNED">
      <formula>NOT(ISERROR(SEARCH("RESIGNED",Y25)))</formula>
    </cfRule>
    <cfRule type="containsText" dxfId="8175" priority="3905" operator="containsText" text="P">
      <formula>NOT(ISERROR(SEARCH("P",Y25)))</formula>
    </cfRule>
    <cfRule type="containsText" dxfId="8174" priority="3906" operator="containsText" text="TARDY">
      <formula>NOT(ISERROR(SEARCH("TARDY",Y25)))</formula>
    </cfRule>
    <cfRule type="containsText" dxfId="8173" priority="3907" operator="containsText" text="REST DAY">
      <formula>NOT(ISERROR(SEARCH("REST DAY",Y25)))</formula>
    </cfRule>
    <cfRule type="containsText" dxfId="8172" priority="3908" operator="containsText" text="UA">
      <formula>NOT(ISERROR(SEARCH("UA",Y25)))</formula>
    </cfRule>
    <cfRule type="containsText" dxfId="8171" priority="3909" operator="containsText" text="LWOP UA">
      <formula>NOT(ISERROR(SEARCH("LWOP UA",Y25)))</formula>
    </cfRule>
  </conditionalFormatting>
  <conditionalFormatting sqref="Y26:AG26">
    <cfRule type="containsText" dxfId="8170" priority="505" operator="containsText" text="540">
      <formula>NOT(ISERROR(SEARCH("540",Y26)))</formula>
    </cfRule>
    <cfRule type="cellIs" dxfId="8169" priority="506" operator="between">
      <formula>1</formula>
      <formula>400</formula>
    </cfRule>
    <cfRule type="containsText" dxfId="8168" priority="507" operator="containsText" text="LWOP UA">
      <formula>NOT(ISERROR(SEARCH("LWOP UA",Y26)))</formula>
    </cfRule>
    <cfRule type="containsText" dxfId="8167" priority="508" operator="containsText" text="P">
      <formula>NOT(ISERROR(SEARCH("P",Y26)))</formula>
    </cfRule>
    <cfRule type="containsText" dxfId="8166" priority="509" operator="containsText" text="TFO">
      <formula>NOT(ISERROR(SEARCH("TFO",Y26)))</formula>
    </cfRule>
    <cfRule type="containsText" dxfId="8165" priority="510" operator="containsText" text="AA">
      <formula>NOT(ISERROR(SEARCH("AA",Y26)))</formula>
    </cfRule>
    <cfRule type="containsText" dxfId="8164" priority="511" operator="containsText" text="RESIGNED">
      <formula>NOT(ISERROR(SEARCH("RESIGNED",Y26)))</formula>
    </cfRule>
    <cfRule type="containsText" dxfId="8163" priority="512" operator="containsText" text="P">
      <formula>NOT(ISERROR(SEARCH("P",Y26)))</formula>
    </cfRule>
    <cfRule type="containsText" dxfId="8162" priority="513" operator="containsText" text="TARDY">
      <formula>NOT(ISERROR(SEARCH("TARDY",Y26)))</formula>
    </cfRule>
    <cfRule type="containsText" dxfId="8161" priority="514" operator="containsText" text="REST DAY">
      <formula>NOT(ISERROR(SEARCH("REST DAY",Y26)))</formula>
    </cfRule>
    <cfRule type="containsText" dxfId="8160" priority="515" operator="containsText" text="UA">
      <formula>NOT(ISERROR(SEARCH("UA",Y26)))</formula>
    </cfRule>
    <cfRule type="containsText" dxfId="8159" priority="516" operator="containsText" text="LWOP UA">
      <formula>NOT(ISERROR(SEARCH("LWOP UA",Y26)))</formula>
    </cfRule>
  </conditionalFormatting>
  <conditionalFormatting sqref="Y27:AG27">
    <cfRule type="cellIs" dxfId="8158" priority="3885" operator="between">
      <formula>1</formula>
      <formula>400</formula>
    </cfRule>
    <cfRule type="containsText" dxfId="8157" priority="3886" operator="containsText" text="LWOP UA">
      <formula>NOT(ISERROR(SEARCH("LWOP UA",Y27)))</formula>
    </cfRule>
    <cfRule type="containsText" dxfId="8156" priority="3887" operator="containsText" text="P">
      <formula>NOT(ISERROR(SEARCH("P",Y27)))</formula>
    </cfRule>
    <cfRule type="containsText" dxfId="8155" priority="3888" operator="containsText" text="TFO">
      <formula>NOT(ISERROR(SEARCH("TFO",Y27)))</formula>
    </cfRule>
    <cfRule type="containsText" dxfId="8154" priority="3889" operator="containsText" text="AA">
      <formula>NOT(ISERROR(SEARCH("AA",Y27)))</formula>
    </cfRule>
    <cfRule type="containsText" dxfId="8153" priority="3890" operator="containsText" text="RESIGNED">
      <formula>NOT(ISERROR(SEARCH("RESIGNED",Y27)))</formula>
    </cfRule>
    <cfRule type="containsText" dxfId="8152" priority="3891" operator="containsText" text="P">
      <formula>NOT(ISERROR(SEARCH("P",Y27)))</formula>
    </cfRule>
    <cfRule type="containsText" dxfId="8151" priority="3892" operator="containsText" text="TARDY">
      <formula>NOT(ISERROR(SEARCH("TARDY",Y27)))</formula>
    </cfRule>
    <cfRule type="containsText" dxfId="8150" priority="3893" operator="containsText" text="REST DAY">
      <formula>NOT(ISERROR(SEARCH("REST DAY",Y27)))</formula>
    </cfRule>
    <cfRule type="containsText" dxfId="8149" priority="3894" operator="containsText" text="UA">
      <formula>NOT(ISERROR(SEARCH("UA",Y27)))</formula>
    </cfRule>
    <cfRule type="containsText" dxfId="8148" priority="3895" operator="containsText" text="LWOP UA">
      <formula>NOT(ISERROR(SEARCH("LWOP UA",Y27)))</formula>
    </cfRule>
  </conditionalFormatting>
  <conditionalFormatting sqref="Y28:AG28">
    <cfRule type="cellIs" dxfId="8147" priority="2041" operator="between">
      <formula>1</formula>
      <formula>400</formula>
    </cfRule>
    <cfRule type="containsText" dxfId="8146" priority="2042" operator="containsText" text="LWOP UA">
      <formula>NOT(ISERROR(SEARCH("LWOP UA",Y28)))</formula>
    </cfRule>
    <cfRule type="containsText" dxfId="8145" priority="2043" operator="containsText" text="P">
      <formula>NOT(ISERROR(SEARCH("P",Y28)))</formula>
    </cfRule>
    <cfRule type="containsText" dxfId="8144" priority="2044" operator="containsText" text="TFO">
      <formula>NOT(ISERROR(SEARCH("TFO",Y28)))</formula>
    </cfRule>
    <cfRule type="containsText" dxfId="8143" priority="2045" operator="containsText" text="AA">
      <formula>NOT(ISERROR(SEARCH("AA",Y28)))</formula>
    </cfRule>
    <cfRule type="containsText" dxfId="8142" priority="2046" operator="containsText" text="RESIGNED">
      <formula>NOT(ISERROR(SEARCH("RESIGNED",Y28)))</formula>
    </cfRule>
    <cfRule type="containsText" dxfId="8141" priority="2047" operator="containsText" text="P">
      <formula>NOT(ISERROR(SEARCH("P",Y28)))</formula>
    </cfRule>
    <cfRule type="containsText" dxfId="8140" priority="2048" operator="containsText" text="TARDY">
      <formula>NOT(ISERROR(SEARCH("TARDY",Y28)))</formula>
    </cfRule>
    <cfRule type="containsText" dxfId="8139" priority="2049" operator="containsText" text="REST DAY">
      <formula>NOT(ISERROR(SEARCH("REST DAY",Y28)))</formula>
    </cfRule>
    <cfRule type="containsText" dxfId="8138" priority="2050" operator="containsText" text="UA">
      <formula>NOT(ISERROR(SEARCH("UA",Y28)))</formula>
    </cfRule>
    <cfRule type="containsText" dxfId="8137" priority="2051" operator="containsText" text="LWOP UA">
      <formula>NOT(ISERROR(SEARCH("LWOP UA",Y28)))</formula>
    </cfRule>
  </conditionalFormatting>
  <conditionalFormatting sqref="Y29:AG29">
    <cfRule type="cellIs" dxfId="8136" priority="2372" operator="between">
      <formula>1</formula>
      <formula>400</formula>
    </cfRule>
    <cfRule type="containsText" dxfId="8135" priority="2373" operator="containsText" text="LWOP UA">
      <formula>NOT(ISERROR(SEARCH("LWOP UA",Y29)))</formula>
    </cfRule>
    <cfRule type="containsText" dxfId="8134" priority="2374" operator="containsText" text="P">
      <formula>NOT(ISERROR(SEARCH("P",Y29)))</formula>
    </cfRule>
    <cfRule type="containsText" dxfId="8133" priority="2375" operator="containsText" text="TFO">
      <formula>NOT(ISERROR(SEARCH("TFO",Y29)))</formula>
    </cfRule>
    <cfRule type="containsText" dxfId="8132" priority="2376" operator="containsText" text="AA">
      <formula>NOT(ISERROR(SEARCH("AA",Y29)))</formula>
    </cfRule>
    <cfRule type="containsText" dxfId="8131" priority="2377" operator="containsText" text="RESIGNED">
      <formula>NOT(ISERROR(SEARCH("RESIGNED",Y29)))</formula>
    </cfRule>
    <cfRule type="containsText" dxfId="8130" priority="2378" operator="containsText" text="P">
      <formula>NOT(ISERROR(SEARCH("P",Y29)))</formula>
    </cfRule>
    <cfRule type="containsText" dxfId="8129" priority="2379" operator="containsText" text="TARDY">
      <formula>NOT(ISERROR(SEARCH("TARDY",Y29)))</formula>
    </cfRule>
    <cfRule type="containsText" dxfId="8128" priority="2380" operator="containsText" text="REST DAY">
      <formula>NOT(ISERROR(SEARCH("REST DAY",Y29)))</formula>
    </cfRule>
    <cfRule type="containsText" dxfId="8127" priority="2381" operator="containsText" text="UA">
      <formula>NOT(ISERROR(SEARCH("UA",Y29)))</formula>
    </cfRule>
    <cfRule type="containsText" dxfId="8126" priority="2382" operator="containsText" text="LWOP UA">
      <formula>NOT(ISERROR(SEARCH("LWOP UA",Y29)))</formula>
    </cfRule>
  </conditionalFormatting>
  <conditionalFormatting sqref="Y30:AG30">
    <cfRule type="cellIs" dxfId="8125" priority="3871" operator="between">
      <formula>1</formula>
      <formula>400</formula>
    </cfRule>
    <cfRule type="containsText" dxfId="8124" priority="3872" operator="containsText" text="LWOP UA">
      <formula>NOT(ISERROR(SEARCH("LWOP UA",Y30)))</formula>
    </cfRule>
    <cfRule type="containsText" dxfId="8123" priority="3873" operator="containsText" text="P">
      <formula>NOT(ISERROR(SEARCH("P",Y30)))</formula>
    </cfRule>
    <cfRule type="containsText" dxfId="8122" priority="3874" operator="containsText" text="TFO">
      <formula>NOT(ISERROR(SEARCH("TFO",Y30)))</formula>
    </cfRule>
    <cfRule type="containsText" dxfId="8121" priority="3875" operator="containsText" text="AA">
      <formula>NOT(ISERROR(SEARCH("AA",Y30)))</formula>
    </cfRule>
    <cfRule type="containsText" dxfId="8120" priority="3876" operator="containsText" text="RESIGNED">
      <formula>NOT(ISERROR(SEARCH("RESIGNED",Y30)))</formula>
    </cfRule>
    <cfRule type="containsText" dxfId="8119" priority="3877" operator="containsText" text="P">
      <formula>NOT(ISERROR(SEARCH("P",Y30)))</formula>
    </cfRule>
    <cfRule type="containsText" dxfId="8118" priority="3878" operator="containsText" text="TARDY">
      <formula>NOT(ISERROR(SEARCH("TARDY",Y30)))</formula>
    </cfRule>
    <cfRule type="containsText" dxfId="8117" priority="3879" operator="containsText" text="REST DAY">
      <formula>NOT(ISERROR(SEARCH("REST DAY",Y30)))</formula>
    </cfRule>
    <cfRule type="containsText" dxfId="8116" priority="3880" operator="containsText" text="UA">
      <formula>NOT(ISERROR(SEARCH("UA",Y30)))</formula>
    </cfRule>
    <cfRule type="containsText" dxfId="8115" priority="3881" operator="containsText" text="LWOP UA">
      <formula>NOT(ISERROR(SEARCH("LWOP UA",Y30)))</formula>
    </cfRule>
  </conditionalFormatting>
  <conditionalFormatting sqref="Y31:AG31">
    <cfRule type="cellIs" dxfId="8114" priority="2358" operator="between">
      <formula>1</formula>
      <formula>400</formula>
    </cfRule>
    <cfRule type="containsText" dxfId="8113" priority="2359" operator="containsText" text="LWOP UA">
      <formula>NOT(ISERROR(SEARCH("LWOP UA",Y31)))</formula>
    </cfRule>
    <cfRule type="containsText" dxfId="8112" priority="2360" operator="containsText" text="P">
      <formula>NOT(ISERROR(SEARCH("P",Y31)))</formula>
    </cfRule>
    <cfRule type="containsText" dxfId="8111" priority="2361" operator="containsText" text="TFO">
      <formula>NOT(ISERROR(SEARCH("TFO",Y31)))</formula>
    </cfRule>
    <cfRule type="containsText" dxfId="8110" priority="2362" operator="containsText" text="AA">
      <formula>NOT(ISERROR(SEARCH("AA",Y31)))</formula>
    </cfRule>
    <cfRule type="containsText" dxfId="8109" priority="2363" operator="containsText" text="RESIGNED">
      <formula>NOT(ISERROR(SEARCH("RESIGNED",Y31)))</formula>
    </cfRule>
    <cfRule type="containsText" dxfId="8108" priority="2364" operator="containsText" text="P">
      <formula>NOT(ISERROR(SEARCH("P",Y31)))</formula>
    </cfRule>
    <cfRule type="containsText" dxfId="8107" priority="2365" operator="containsText" text="TARDY">
      <formula>NOT(ISERROR(SEARCH("TARDY",Y31)))</formula>
    </cfRule>
    <cfRule type="containsText" dxfId="8106" priority="2366" operator="containsText" text="REST DAY">
      <formula>NOT(ISERROR(SEARCH("REST DAY",Y31)))</formula>
    </cfRule>
    <cfRule type="containsText" dxfId="8105" priority="2367" operator="containsText" text="UA">
      <formula>NOT(ISERROR(SEARCH("UA",Y31)))</formula>
    </cfRule>
    <cfRule type="containsText" dxfId="8104" priority="2368" operator="containsText" text="LWOP UA">
      <formula>NOT(ISERROR(SEARCH("LWOP UA",Y31)))</formula>
    </cfRule>
  </conditionalFormatting>
  <conditionalFormatting sqref="Y32:AG32">
    <cfRule type="containsText" dxfId="8103" priority="491" operator="containsText" text="540">
      <formula>NOT(ISERROR(SEARCH("540",Y32)))</formula>
    </cfRule>
    <cfRule type="cellIs" dxfId="8102" priority="492" operator="between">
      <formula>1</formula>
      <formula>400</formula>
    </cfRule>
    <cfRule type="containsText" dxfId="8101" priority="493" operator="containsText" text="LWOP UA">
      <formula>NOT(ISERROR(SEARCH("LWOP UA",Y32)))</formula>
    </cfRule>
    <cfRule type="containsText" dxfId="8100" priority="494" operator="containsText" text="P">
      <formula>NOT(ISERROR(SEARCH("P",Y32)))</formula>
    </cfRule>
    <cfRule type="containsText" dxfId="8099" priority="495" operator="containsText" text="TFO">
      <formula>NOT(ISERROR(SEARCH("TFO",Y32)))</formula>
    </cfRule>
    <cfRule type="containsText" dxfId="8098" priority="496" operator="containsText" text="AA">
      <formula>NOT(ISERROR(SEARCH("AA",Y32)))</formula>
    </cfRule>
    <cfRule type="containsText" dxfId="8097" priority="497" operator="containsText" text="RESIGNED">
      <formula>NOT(ISERROR(SEARCH("RESIGNED",Y32)))</formula>
    </cfRule>
    <cfRule type="containsText" dxfId="8096" priority="498" operator="containsText" text="P">
      <formula>NOT(ISERROR(SEARCH("P",Y32)))</formula>
    </cfRule>
    <cfRule type="containsText" dxfId="8095" priority="499" operator="containsText" text="TARDY">
      <formula>NOT(ISERROR(SEARCH("TARDY",Y32)))</formula>
    </cfRule>
    <cfRule type="containsText" dxfId="8094" priority="500" operator="containsText" text="REST DAY">
      <formula>NOT(ISERROR(SEARCH("REST DAY",Y32)))</formula>
    </cfRule>
    <cfRule type="containsText" dxfId="8093" priority="501" operator="containsText" text="UA">
      <formula>NOT(ISERROR(SEARCH("UA",Y32)))</formula>
    </cfRule>
    <cfRule type="containsText" dxfId="8092" priority="502" operator="containsText" text="LWOP UA">
      <formula>NOT(ISERROR(SEARCH("LWOP UA",Y32)))</formula>
    </cfRule>
  </conditionalFormatting>
  <conditionalFormatting sqref="Y33:AG33">
    <cfRule type="containsText" dxfId="8091" priority="468" operator="containsText" text="540">
      <formula>NOT(ISERROR(SEARCH("540",Y33)))</formula>
    </cfRule>
    <cfRule type="cellIs" dxfId="8090" priority="469" operator="between">
      <formula>1</formula>
      <formula>400</formula>
    </cfRule>
    <cfRule type="containsText" dxfId="8089" priority="479" operator="containsText" text="LWOP UA">
      <formula>NOT(ISERROR(SEARCH("LWOP UA",Y33)))</formula>
    </cfRule>
  </conditionalFormatting>
  <conditionalFormatting sqref="Y34:AG34">
    <cfRule type="containsText" dxfId="8088" priority="445" operator="containsText" text="540">
      <formula>NOT(ISERROR(SEARCH("540",Y34)))</formula>
    </cfRule>
    <cfRule type="cellIs" dxfId="8087" priority="446" operator="between">
      <formula>1</formula>
      <formula>400</formula>
    </cfRule>
    <cfRule type="containsText" dxfId="8086" priority="456" operator="containsText" text="LWOP UA">
      <formula>NOT(ISERROR(SEARCH("LWOP UA",Y34)))</formula>
    </cfRule>
  </conditionalFormatting>
  <conditionalFormatting sqref="Y35:AG35">
    <cfRule type="containsText" dxfId="8085" priority="413" operator="containsText" text="540">
      <formula>NOT(ISERROR(SEARCH("540",Y35)))</formula>
    </cfRule>
    <cfRule type="cellIs" dxfId="8084" priority="414" operator="between">
      <formula>1</formula>
      <formula>400</formula>
    </cfRule>
  </conditionalFormatting>
  <conditionalFormatting sqref="Y36:AG36">
    <cfRule type="cellIs" dxfId="8083" priority="3857" operator="between">
      <formula>1</formula>
      <formula>400</formula>
    </cfRule>
    <cfRule type="containsText" dxfId="8082" priority="3858" operator="containsText" text="LWOP UA">
      <formula>NOT(ISERROR(SEARCH("LWOP UA",Y36)))</formula>
    </cfRule>
    <cfRule type="containsText" dxfId="8081" priority="3859" operator="containsText" text="P">
      <formula>NOT(ISERROR(SEARCH("P",Y36)))</formula>
    </cfRule>
    <cfRule type="containsText" dxfId="8080" priority="3860" operator="containsText" text="TFO">
      <formula>NOT(ISERROR(SEARCH("TFO",Y36)))</formula>
    </cfRule>
    <cfRule type="containsText" dxfId="8079" priority="3861" operator="containsText" text="AA">
      <formula>NOT(ISERROR(SEARCH("AA",Y36)))</formula>
    </cfRule>
    <cfRule type="containsText" dxfId="8078" priority="3862" operator="containsText" text="RESIGNED">
      <formula>NOT(ISERROR(SEARCH("RESIGNED",Y36)))</formula>
    </cfRule>
    <cfRule type="containsText" dxfId="8077" priority="3863" operator="containsText" text="P">
      <formula>NOT(ISERROR(SEARCH("P",Y36)))</formula>
    </cfRule>
    <cfRule type="containsText" dxfId="8076" priority="3864" operator="containsText" text="TARDY">
      <formula>NOT(ISERROR(SEARCH("TARDY",Y36)))</formula>
    </cfRule>
    <cfRule type="containsText" dxfId="8075" priority="3865" operator="containsText" text="REST DAY">
      <formula>NOT(ISERROR(SEARCH("REST DAY",Y36)))</formula>
    </cfRule>
    <cfRule type="containsText" dxfId="8074" priority="3866" operator="containsText" text="UA">
      <formula>NOT(ISERROR(SEARCH("UA",Y36)))</formula>
    </cfRule>
    <cfRule type="containsText" dxfId="8073" priority="3867" operator="containsText" text="LWOP UA">
      <formula>NOT(ISERROR(SEARCH("LWOP UA",Y36)))</formula>
    </cfRule>
  </conditionalFormatting>
  <conditionalFormatting sqref="Y37:AG37">
    <cfRule type="cellIs" dxfId="8072" priority="2027" operator="between">
      <formula>1</formula>
      <formula>400</formula>
    </cfRule>
    <cfRule type="containsText" dxfId="8071" priority="2028" operator="containsText" text="LWOP UA">
      <formula>NOT(ISERROR(SEARCH("LWOP UA",Y37)))</formula>
    </cfRule>
    <cfRule type="containsText" dxfId="8070" priority="2029" operator="containsText" text="P">
      <formula>NOT(ISERROR(SEARCH("P",Y37)))</formula>
    </cfRule>
    <cfRule type="containsText" dxfId="8069" priority="2030" operator="containsText" text="TFO">
      <formula>NOT(ISERROR(SEARCH("TFO",Y37)))</formula>
    </cfRule>
    <cfRule type="containsText" dxfId="8068" priority="2031" operator="containsText" text="AA">
      <formula>NOT(ISERROR(SEARCH("AA",Y37)))</formula>
    </cfRule>
    <cfRule type="containsText" dxfId="8067" priority="2032" operator="containsText" text="RESIGNED">
      <formula>NOT(ISERROR(SEARCH("RESIGNED",Y37)))</formula>
    </cfRule>
    <cfRule type="containsText" dxfId="8066" priority="2033" operator="containsText" text="P">
      <formula>NOT(ISERROR(SEARCH("P",Y37)))</formula>
    </cfRule>
    <cfRule type="containsText" dxfId="8065" priority="2034" operator="containsText" text="TARDY">
      <formula>NOT(ISERROR(SEARCH("TARDY",Y37)))</formula>
    </cfRule>
    <cfRule type="containsText" dxfId="8064" priority="2035" operator="containsText" text="REST DAY">
      <formula>NOT(ISERROR(SEARCH("REST DAY",Y37)))</formula>
    </cfRule>
    <cfRule type="containsText" dxfId="8063" priority="2036" operator="containsText" text="UA">
      <formula>NOT(ISERROR(SEARCH("UA",Y37)))</formula>
    </cfRule>
    <cfRule type="containsText" dxfId="8062" priority="2037" operator="containsText" text="LWOP UA">
      <formula>NOT(ISERROR(SEARCH("LWOP UA",Y37)))</formula>
    </cfRule>
  </conditionalFormatting>
  <conditionalFormatting sqref="Y38:AG38">
    <cfRule type="cellIs" dxfId="8061" priority="2665" operator="between">
      <formula>1</formula>
      <formula>400</formula>
    </cfRule>
    <cfRule type="containsText" dxfId="8060" priority="2666" operator="containsText" text="LWOP UA">
      <formula>NOT(ISERROR(SEARCH("LWOP UA",Y38)))</formula>
    </cfRule>
    <cfRule type="containsText" dxfId="8059" priority="2667" operator="containsText" text="P">
      <formula>NOT(ISERROR(SEARCH("P",Y38)))</formula>
    </cfRule>
    <cfRule type="containsText" dxfId="8058" priority="2668" operator="containsText" text="TFO">
      <formula>NOT(ISERROR(SEARCH("TFO",Y38)))</formula>
    </cfRule>
    <cfRule type="containsText" dxfId="8057" priority="2669" operator="containsText" text="AA">
      <formula>NOT(ISERROR(SEARCH("AA",Y38)))</formula>
    </cfRule>
    <cfRule type="containsText" dxfId="8056" priority="2670" operator="containsText" text="RESIGNED">
      <formula>NOT(ISERROR(SEARCH("RESIGNED",Y38)))</formula>
    </cfRule>
    <cfRule type="containsText" dxfId="8055" priority="2671" operator="containsText" text="P">
      <formula>NOT(ISERROR(SEARCH("P",Y38)))</formula>
    </cfRule>
    <cfRule type="containsText" dxfId="8054" priority="2672" operator="containsText" text="TARDY">
      <formula>NOT(ISERROR(SEARCH("TARDY",Y38)))</formula>
    </cfRule>
    <cfRule type="containsText" dxfId="8053" priority="2673" operator="containsText" text="REST DAY">
      <formula>NOT(ISERROR(SEARCH("REST DAY",Y38)))</formula>
    </cfRule>
    <cfRule type="containsText" dxfId="8052" priority="2674" operator="containsText" text="UA">
      <formula>NOT(ISERROR(SEARCH("UA",Y38)))</formula>
    </cfRule>
    <cfRule type="containsText" dxfId="8051" priority="2675" operator="containsText" text="LWOP UA">
      <formula>NOT(ISERROR(SEARCH("LWOP UA",Y38)))</formula>
    </cfRule>
  </conditionalFormatting>
  <conditionalFormatting sqref="Y39:AG39">
    <cfRule type="containsText" dxfId="8050" priority="390" operator="containsText" text="540">
      <formula>NOT(ISERROR(SEARCH("540",Y39)))</formula>
    </cfRule>
    <cfRule type="cellIs" dxfId="8049" priority="391" operator="between">
      <formula>1</formula>
      <formula>400</formula>
    </cfRule>
    <cfRule type="containsText" dxfId="8048" priority="401" operator="containsText" text="LWOP UA">
      <formula>NOT(ISERROR(SEARCH("LWOP UA",Y39)))</formula>
    </cfRule>
  </conditionalFormatting>
  <conditionalFormatting sqref="Y40:AG40">
    <cfRule type="cellIs" dxfId="8047" priority="1655" operator="between">
      <formula>1</formula>
      <formula>400</formula>
    </cfRule>
    <cfRule type="containsText" dxfId="8046" priority="1656" operator="containsText" text="LWOP UA">
      <formula>NOT(ISERROR(SEARCH("LWOP UA",Y40)))</formula>
    </cfRule>
    <cfRule type="containsText" dxfId="8045" priority="1657" operator="containsText" text="P">
      <formula>NOT(ISERROR(SEARCH("P",Y40)))</formula>
    </cfRule>
    <cfRule type="containsText" dxfId="8044" priority="1658" operator="containsText" text="TFO">
      <formula>NOT(ISERROR(SEARCH("TFO",Y40)))</formula>
    </cfRule>
    <cfRule type="containsText" dxfId="8043" priority="1659" operator="containsText" text="AA">
      <formula>NOT(ISERROR(SEARCH("AA",Y40)))</formula>
    </cfRule>
    <cfRule type="containsText" dxfId="8042" priority="1660" operator="containsText" text="RESIGNED">
      <formula>NOT(ISERROR(SEARCH("RESIGNED",Y40)))</formula>
    </cfRule>
    <cfRule type="containsText" dxfId="8041" priority="1661" operator="containsText" text="P">
      <formula>NOT(ISERROR(SEARCH("P",Y40)))</formula>
    </cfRule>
    <cfRule type="containsText" dxfId="8040" priority="1662" operator="containsText" text="TARDY">
      <formula>NOT(ISERROR(SEARCH("TARDY",Y40)))</formula>
    </cfRule>
    <cfRule type="containsText" dxfId="8039" priority="1663" operator="containsText" text="REST DAY">
      <formula>NOT(ISERROR(SEARCH("REST DAY",Y40)))</formula>
    </cfRule>
    <cfRule type="containsText" dxfId="8038" priority="1664" operator="containsText" text="UA">
      <formula>NOT(ISERROR(SEARCH("UA",Y40)))</formula>
    </cfRule>
    <cfRule type="containsText" dxfId="8037" priority="1665" operator="containsText" text="LWOP UA">
      <formula>NOT(ISERROR(SEARCH("LWOP UA",Y40)))</formula>
    </cfRule>
  </conditionalFormatting>
  <conditionalFormatting sqref="Y41:AG41">
    <cfRule type="cellIs" dxfId="8036" priority="1641" operator="between">
      <formula>1</formula>
      <formula>400</formula>
    </cfRule>
    <cfRule type="containsText" dxfId="8035" priority="1642" operator="containsText" text="LWOP UA">
      <formula>NOT(ISERROR(SEARCH("LWOP UA",Y41)))</formula>
    </cfRule>
    <cfRule type="containsText" dxfId="8034" priority="1643" operator="containsText" text="P">
      <formula>NOT(ISERROR(SEARCH("P",Y41)))</formula>
    </cfRule>
    <cfRule type="containsText" dxfId="8033" priority="1644" operator="containsText" text="TFO">
      <formula>NOT(ISERROR(SEARCH("TFO",Y41)))</formula>
    </cfRule>
    <cfRule type="containsText" dxfId="8032" priority="1645" operator="containsText" text="AA">
      <formula>NOT(ISERROR(SEARCH("AA",Y41)))</formula>
    </cfRule>
    <cfRule type="containsText" dxfId="8031" priority="1646" operator="containsText" text="RESIGNED">
      <formula>NOT(ISERROR(SEARCH("RESIGNED",Y41)))</formula>
    </cfRule>
    <cfRule type="containsText" dxfId="8030" priority="1647" operator="containsText" text="P">
      <formula>NOT(ISERROR(SEARCH("P",Y41)))</formula>
    </cfRule>
    <cfRule type="containsText" dxfId="8029" priority="1648" operator="containsText" text="TARDY">
      <formula>NOT(ISERROR(SEARCH("TARDY",Y41)))</formula>
    </cfRule>
    <cfRule type="containsText" dxfId="8028" priority="1649" operator="containsText" text="REST DAY">
      <formula>NOT(ISERROR(SEARCH("REST DAY",Y41)))</formula>
    </cfRule>
    <cfRule type="containsText" dxfId="8027" priority="1650" operator="containsText" text="UA">
      <formula>NOT(ISERROR(SEARCH("UA",Y41)))</formula>
    </cfRule>
    <cfRule type="containsText" dxfId="8026" priority="1651" operator="containsText" text="LWOP UA">
      <formula>NOT(ISERROR(SEARCH("LWOP UA",Y41)))</formula>
    </cfRule>
  </conditionalFormatting>
  <conditionalFormatting sqref="Y42:AG42">
    <cfRule type="containsText" dxfId="8025" priority="376" operator="containsText" text="540">
      <formula>NOT(ISERROR(SEARCH("540",Y42)))</formula>
    </cfRule>
    <cfRule type="cellIs" dxfId="8024" priority="377" operator="between">
      <formula>1</formula>
      <formula>400</formula>
    </cfRule>
    <cfRule type="containsText" dxfId="8023" priority="378" operator="containsText" text="LWOP UA">
      <formula>NOT(ISERROR(SEARCH("LWOP UA",Y42)))</formula>
    </cfRule>
    <cfRule type="containsText" dxfId="8022" priority="379" operator="containsText" text="P">
      <formula>NOT(ISERROR(SEARCH("P",Y42)))</formula>
    </cfRule>
    <cfRule type="containsText" dxfId="8021" priority="380" operator="containsText" text="TFO">
      <formula>NOT(ISERROR(SEARCH("TFO",Y42)))</formula>
    </cfRule>
    <cfRule type="containsText" dxfId="8020" priority="381" operator="containsText" text="AA">
      <formula>NOT(ISERROR(SEARCH("AA",Y42)))</formula>
    </cfRule>
    <cfRule type="containsText" dxfId="8019" priority="382" operator="containsText" text="RESIGNED">
      <formula>NOT(ISERROR(SEARCH("RESIGNED",Y42)))</formula>
    </cfRule>
    <cfRule type="containsText" dxfId="8018" priority="383" operator="containsText" text="P">
      <formula>NOT(ISERROR(SEARCH("P",Y42)))</formula>
    </cfRule>
    <cfRule type="containsText" dxfId="8017" priority="384" operator="containsText" text="TARDY">
      <formula>NOT(ISERROR(SEARCH("TARDY",Y42)))</formula>
    </cfRule>
    <cfRule type="containsText" dxfId="8016" priority="385" operator="containsText" text="REST DAY">
      <formula>NOT(ISERROR(SEARCH("REST DAY",Y42)))</formula>
    </cfRule>
    <cfRule type="containsText" dxfId="8015" priority="386" operator="containsText" text="UA">
      <formula>NOT(ISERROR(SEARCH("UA",Y42)))</formula>
    </cfRule>
    <cfRule type="containsText" dxfId="8014" priority="387" operator="containsText" text="LWOP UA">
      <formula>NOT(ISERROR(SEARCH("LWOP UA",Y42)))</formula>
    </cfRule>
  </conditionalFormatting>
  <conditionalFormatting sqref="Y43:AG43">
    <cfRule type="cellIs" dxfId="8013" priority="2013" operator="between">
      <formula>1</formula>
      <formula>400</formula>
    </cfRule>
    <cfRule type="containsText" dxfId="8012" priority="2014" operator="containsText" text="LWOP UA">
      <formula>NOT(ISERROR(SEARCH("LWOP UA",Y43)))</formula>
    </cfRule>
    <cfRule type="containsText" dxfId="8011" priority="2015" operator="containsText" text="P">
      <formula>NOT(ISERROR(SEARCH("P",Y43)))</formula>
    </cfRule>
    <cfRule type="containsText" dxfId="8010" priority="2016" operator="containsText" text="TFO">
      <formula>NOT(ISERROR(SEARCH("TFO",Y43)))</formula>
    </cfRule>
    <cfRule type="containsText" dxfId="8009" priority="2017" operator="containsText" text="AA">
      <formula>NOT(ISERROR(SEARCH("AA",Y43)))</formula>
    </cfRule>
    <cfRule type="containsText" dxfId="8008" priority="2018" operator="containsText" text="RESIGNED">
      <formula>NOT(ISERROR(SEARCH("RESIGNED",Y43)))</formula>
    </cfRule>
    <cfRule type="containsText" dxfId="8007" priority="2019" operator="containsText" text="P">
      <formula>NOT(ISERROR(SEARCH("P",Y43)))</formula>
    </cfRule>
    <cfRule type="containsText" dxfId="8006" priority="2020" operator="containsText" text="TARDY">
      <formula>NOT(ISERROR(SEARCH("TARDY",Y43)))</formula>
    </cfRule>
    <cfRule type="containsText" dxfId="8005" priority="2021" operator="containsText" text="REST DAY">
      <formula>NOT(ISERROR(SEARCH("REST DAY",Y43)))</formula>
    </cfRule>
    <cfRule type="containsText" dxfId="8004" priority="2022" operator="containsText" text="UA">
      <formula>NOT(ISERROR(SEARCH("UA",Y43)))</formula>
    </cfRule>
    <cfRule type="containsText" dxfId="8003" priority="2023" operator="containsText" text="LWOP UA">
      <formula>NOT(ISERROR(SEARCH("LWOP UA",Y43)))</formula>
    </cfRule>
  </conditionalFormatting>
  <conditionalFormatting sqref="Y44:AG44">
    <cfRule type="cellIs" dxfId="8002" priority="1275" operator="between">
      <formula>1</formula>
      <formula>400</formula>
    </cfRule>
    <cfRule type="containsText" dxfId="8001" priority="1276" operator="containsText" text="LWOP UA">
      <formula>NOT(ISERROR(SEARCH("LWOP UA",Y44)))</formula>
    </cfRule>
    <cfRule type="containsText" dxfId="8000" priority="1277" operator="containsText" text="P">
      <formula>NOT(ISERROR(SEARCH("P",Y44)))</formula>
    </cfRule>
    <cfRule type="containsText" dxfId="7999" priority="1278" operator="containsText" text="TFO">
      <formula>NOT(ISERROR(SEARCH("TFO",Y44)))</formula>
    </cfRule>
    <cfRule type="containsText" dxfId="7998" priority="1279" operator="containsText" text="AA">
      <formula>NOT(ISERROR(SEARCH("AA",Y44)))</formula>
    </cfRule>
    <cfRule type="containsText" dxfId="7997" priority="1280" operator="containsText" text="RESIGNED">
      <formula>NOT(ISERROR(SEARCH("RESIGNED",Y44)))</formula>
    </cfRule>
    <cfRule type="containsText" dxfId="7996" priority="1281" operator="containsText" text="P">
      <formula>NOT(ISERROR(SEARCH("P",Y44)))</formula>
    </cfRule>
    <cfRule type="containsText" dxfId="7995" priority="1282" operator="containsText" text="TARDY">
      <formula>NOT(ISERROR(SEARCH("TARDY",Y44)))</formula>
    </cfRule>
    <cfRule type="containsText" dxfId="7994" priority="1283" operator="containsText" text="REST DAY">
      <formula>NOT(ISERROR(SEARCH("REST DAY",Y44)))</formula>
    </cfRule>
    <cfRule type="containsText" dxfId="7993" priority="1284" operator="containsText" text="UA">
      <formula>NOT(ISERROR(SEARCH("UA",Y44)))</formula>
    </cfRule>
    <cfRule type="containsText" dxfId="7992" priority="1285" operator="containsText" text="LWOP UA">
      <formula>NOT(ISERROR(SEARCH("LWOP UA",Y44)))</formula>
    </cfRule>
  </conditionalFormatting>
  <conditionalFormatting sqref="Y45:AG45">
    <cfRule type="cellIs" dxfId="7991" priority="1627" operator="between">
      <formula>1</formula>
      <formula>400</formula>
    </cfRule>
    <cfRule type="containsText" dxfId="7990" priority="1628" operator="containsText" text="LWOP UA">
      <formula>NOT(ISERROR(SEARCH("LWOP UA",Y45)))</formula>
    </cfRule>
    <cfRule type="containsText" dxfId="7989" priority="1629" operator="containsText" text="P">
      <formula>NOT(ISERROR(SEARCH("P",Y45)))</formula>
    </cfRule>
    <cfRule type="containsText" dxfId="7988" priority="1630" operator="containsText" text="TFO">
      <formula>NOT(ISERROR(SEARCH("TFO",Y45)))</formula>
    </cfRule>
    <cfRule type="containsText" dxfId="7987" priority="1631" operator="containsText" text="AA">
      <formula>NOT(ISERROR(SEARCH("AA",Y45)))</formula>
    </cfRule>
    <cfRule type="containsText" dxfId="7986" priority="1632" operator="containsText" text="RESIGNED">
      <formula>NOT(ISERROR(SEARCH("RESIGNED",Y45)))</formula>
    </cfRule>
    <cfRule type="containsText" dxfId="7985" priority="1633" operator="containsText" text="P">
      <formula>NOT(ISERROR(SEARCH("P",Y45)))</formula>
    </cfRule>
    <cfRule type="containsText" dxfId="7984" priority="1634" operator="containsText" text="TARDY">
      <formula>NOT(ISERROR(SEARCH("TARDY",Y45)))</formula>
    </cfRule>
    <cfRule type="containsText" dxfId="7983" priority="1635" operator="containsText" text="REST DAY">
      <formula>NOT(ISERROR(SEARCH("REST DAY",Y45)))</formula>
    </cfRule>
    <cfRule type="containsText" dxfId="7982" priority="1636" operator="containsText" text="UA">
      <formula>NOT(ISERROR(SEARCH("UA",Y45)))</formula>
    </cfRule>
    <cfRule type="containsText" dxfId="7981" priority="1637" operator="containsText" text="LWOP UA">
      <formula>NOT(ISERROR(SEARCH("LWOP UA",Y45)))</formula>
    </cfRule>
  </conditionalFormatting>
  <conditionalFormatting sqref="Y46:AG46">
    <cfRule type="cellIs" dxfId="7980" priority="2344" operator="between">
      <formula>1</formula>
      <formula>400</formula>
    </cfRule>
    <cfRule type="containsText" dxfId="7979" priority="2345" operator="containsText" text="LWOP UA">
      <formula>NOT(ISERROR(SEARCH("LWOP UA",Y46)))</formula>
    </cfRule>
    <cfRule type="containsText" dxfId="7978" priority="2346" operator="containsText" text="P">
      <formula>NOT(ISERROR(SEARCH("P",Y46)))</formula>
    </cfRule>
    <cfRule type="containsText" dxfId="7977" priority="2347" operator="containsText" text="TFO">
      <formula>NOT(ISERROR(SEARCH("TFO",Y46)))</formula>
    </cfRule>
    <cfRule type="containsText" dxfId="7976" priority="2348" operator="containsText" text="AA">
      <formula>NOT(ISERROR(SEARCH("AA",Y46)))</formula>
    </cfRule>
    <cfRule type="containsText" dxfId="7975" priority="2349" operator="containsText" text="RESIGNED">
      <formula>NOT(ISERROR(SEARCH("RESIGNED",Y46)))</formula>
    </cfRule>
    <cfRule type="containsText" dxfId="7974" priority="2350" operator="containsText" text="P">
      <formula>NOT(ISERROR(SEARCH("P",Y46)))</formula>
    </cfRule>
    <cfRule type="containsText" dxfId="7973" priority="2351" operator="containsText" text="TARDY">
      <formula>NOT(ISERROR(SEARCH("TARDY",Y46)))</formula>
    </cfRule>
    <cfRule type="containsText" dxfId="7972" priority="2352" operator="containsText" text="REST DAY">
      <formula>NOT(ISERROR(SEARCH("REST DAY",Y46)))</formula>
    </cfRule>
    <cfRule type="containsText" dxfId="7971" priority="2353" operator="containsText" text="UA">
      <formula>NOT(ISERROR(SEARCH("UA",Y46)))</formula>
    </cfRule>
    <cfRule type="containsText" dxfId="7970" priority="2354" operator="containsText" text="LWOP UA">
      <formula>NOT(ISERROR(SEARCH("LWOP UA",Y46)))</formula>
    </cfRule>
  </conditionalFormatting>
  <conditionalFormatting sqref="Y47:AG47">
    <cfRule type="containsText" dxfId="7969" priority="362" operator="containsText" text="540">
      <formula>NOT(ISERROR(SEARCH("540",Y47)))</formula>
    </cfRule>
    <cfRule type="cellIs" dxfId="7968" priority="363" operator="between">
      <formula>1</formula>
      <formula>400</formula>
    </cfRule>
    <cfRule type="containsText" dxfId="7967" priority="364" operator="containsText" text="LWOP UA">
      <formula>NOT(ISERROR(SEARCH("LWOP UA",Y47)))</formula>
    </cfRule>
    <cfRule type="containsText" dxfId="7966" priority="365" operator="containsText" text="P">
      <formula>NOT(ISERROR(SEARCH("P",Y47)))</formula>
    </cfRule>
    <cfRule type="containsText" dxfId="7965" priority="366" operator="containsText" text="TFO">
      <formula>NOT(ISERROR(SEARCH("TFO",Y47)))</formula>
    </cfRule>
    <cfRule type="containsText" dxfId="7964" priority="367" operator="containsText" text="AA">
      <formula>NOT(ISERROR(SEARCH("AA",Y47)))</formula>
    </cfRule>
    <cfRule type="containsText" dxfId="7963" priority="368" operator="containsText" text="RESIGNED">
      <formula>NOT(ISERROR(SEARCH("RESIGNED",Y47)))</formula>
    </cfRule>
    <cfRule type="containsText" dxfId="7962" priority="369" operator="containsText" text="P">
      <formula>NOT(ISERROR(SEARCH("P",Y47)))</formula>
    </cfRule>
    <cfRule type="containsText" dxfId="7961" priority="370" operator="containsText" text="TARDY">
      <formula>NOT(ISERROR(SEARCH("TARDY",Y47)))</formula>
    </cfRule>
    <cfRule type="containsText" dxfId="7960" priority="371" operator="containsText" text="REST DAY">
      <formula>NOT(ISERROR(SEARCH("REST DAY",Y47)))</formula>
    </cfRule>
    <cfRule type="containsText" dxfId="7959" priority="372" operator="containsText" text="UA">
      <formula>NOT(ISERROR(SEARCH("UA",Y47)))</formula>
    </cfRule>
    <cfRule type="containsText" dxfId="7958" priority="373" operator="containsText" text="LWOP UA">
      <formula>NOT(ISERROR(SEARCH("LWOP UA",Y47)))</formula>
    </cfRule>
  </conditionalFormatting>
  <conditionalFormatting sqref="Y48:AG48">
    <cfRule type="containsText" dxfId="7957" priority="339" operator="containsText" text="540">
      <formula>NOT(ISERROR(SEARCH("540",Y48)))</formula>
    </cfRule>
    <cfRule type="cellIs" dxfId="7956" priority="340" operator="between">
      <formula>1</formula>
      <formula>400</formula>
    </cfRule>
    <cfRule type="containsText" dxfId="7955" priority="350" operator="containsText" text="LWOP UA">
      <formula>NOT(ISERROR(SEARCH("LWOP UA",Y48)))</formula>
    </cfRule>
  </conditionalFormatting>
  <conditionalFormatting sqref="Y49:AG49">
    <cfRule type="cellIs" dxfId="7954" priority="3834" operator="between">
      <formula>1</formula>
      <formula>400</formula>
    </cfRule>
    <cfRule type="containsText" dxfId="7953" priority="3844" operator="containsText" text="LWOP UA">
      <formula>NOT(ISERROR(SEARCH("LWOP UA",Y49)))</formula>
    </cfRule>
  </conditionalFormatting>
  <conditionalFormatting sqref="Y50:AG50">
    <cfRule type="cellIs" dxfId="7952" priority="1604" operator="between">
      <formula>1</formula>
      <formula>400</formula>
    </cfRule>
    <cfRule type="containsText" dxfId="7951" priority="1614" operator="containsText" text="LWOP UA">
      <formula>NOT(ISERROR(SEARCH("LWOP UA",Y50)))</formula>
    </cfRule>
  </conditionalFormatting>
  <conditionalFormatting sqref="Y51:AG51">
    <cfRule type="cellIs" dxfId="7950" priority="1990" operator="between">
      <formula>1</formula>
      <formula>400</formula>
    </cfRule>
    <cfRule type="containsText" dxfId="7949" priority="2000" operator="containsText" text="LWOP UA">
      <formula>NOT(ISERROR(SEARCH("LWOP UA",Y51)))</formula>
    </cfRule>
  </conditionalFormatting>
  <conditionalFormatting sqref="Y52:AG52">
    <cfRule type="cellIs" dxfId="7948" priority="1261" operator="between">
      <formula>1</formula>
      <formula>400</formula>
    </cfRule>
    <cfRule type="containsText" dxfId="7947" priority="1262" operator="containsText" text="LWOP UA">
      <formula>NOT(ISERROR(SEARCH("LWOP UA",Y52)))</formula>
    </cfRule>
    <cfRule type="containsText" dxfId="7946" priority="1263" operator="containsText" text="P">
      <formula>NOT(ISERROR(SEARCH("P",Y52)))</formula>
    </cfRule>
    <cfRule type="containsText" dxfId="7945" priority="1264" operator="containsText" text="TFO">
      <formula>NOT(ISERROR(SEARCH("TFO",Y52)))</formula>
    </cfRule>
    <cfRule type="containsText" dxfId="7944" priority="1265" operator="containsText" text="AA">
      <formula>NOT(ISERROR(SEARCH("AA",Y52)))</formula>
    </cfRule>
    <cfRule type="containsText" dxfId="7943" priority="1266" operator="containsText" text="RESIGNED">
      <formula>NOT(ISERROR(SEARCH("RESIGNED",Y52)))</formula>
    </cfRule>
    <cfRule type="containsText" dxfId="7942" priority="1267" operator="containsText" text="P">
      <formula>NOT(ISERROR(SEARCH("P",Y52)))</formula>
    </cfRule>
    <cfRule type="containsText" dxfId="7941" priority="1268" operator="containsText" text="TARDY">
      <formula>NOT(ISERROR(SEARCH("TARDY",Y52)))</formula>
    </cfRule>
    <cfRule type="containsText" dxfId="7940" priority="1269" operator="containsText" text="REST DAY">
      <formula>NOT(ISERROR(SEARCH("REST DAY",Y52)))</formula>
    </cfRule>
    <cfRule type="containsText" dxfId="7939" priority="1270" operator="containsText" text="UA">
      <formula>NOT(ISERROR(SEARCH("UA",Y52)))</formula>
    </cfRule>
    <cfRule type="containsText" dxfId="7938" priority="1271" operator="containsText" text="LWOP UA">
      <formula>NOT(ISERROR(SEARCH("LWOP UA",Y52)))</formula>
    </cfRule>
  </conditionalFormatting>
  <conditionalFormatting sqref="Y53:AG53">
    <cfRule type="containsText" dxfId="7937" priority="325" operator="containsText" text="540">
      <formula>NOT(ISERROR(SEARCH("540",Y53)))</formula>
    </cfRule>
    <cfRule type="cellIs" dxfId="7936" priority="326" operator="between">
      <formula>1</formula>
      <formula>400</formula>
    </cfRule>
    <cfRule type="containsText" dxfId="7935" priority="327" operator="containsText" text="LWOP UA">
      <formula>NOT(ISERROR(SEARCH("LWOP UA",Y53)))</formula>
    </cfRule>
    <cfRule type="containsText" dxfId="7934" priority="328" operator="containsText" text="P">
      <formula>NOT(ISERROR(SEARCH("P",Y53)))</formula>
    </cfRule>
    <cfRule type="containsText" dxfId="7933" priority="329" operator="containsText" text="TFO">
      <formula>NOT(ISERROR(SEARCH("TFO",Y53)))</formula>
    </cfRule>
    <cfRule type="containsText" dxfId="7932" priority="330" operator="containsText" text="AA">
      <formula>NOT(ISERROR(SEARCH("AA",Y53)))</formula>
    </cfRule>
    <cfRule type="containsText" dxfId="7931" priority="331" operator="containsText" text="RESIGNED">
      <formula>NOT(ISERROR(SEARCH("RESIGNED",Y53)))</formula>
    </cfRule>
    <cfRule type="containsText" dxfId="7930" priority="332" operator="containsText" text="P">
      <formula>NOT(ISERROR(SEARCH("P",Y53)))</formula>
    </cfRule>
    <cfRule type="containsText" dxfId="7929" priority="333" operator="containsText" text="TARDY">
      <formula>NOT(ISERROR(SEARCH("TARDY",Y53)))</formula>
    </cfRule>
    <cfRule type="containsText" dxfId="7928" priority="334" operator="containsText" text="REST DAY">
      <formula>NOT(ISERROR(SEARCH("REST DAY",Y53)))</formula>
    </cfRule>
    <cfRule type="containsText" dxfId="7927" priority="335" operator="containsText" text="UA">
      <formula>NOT(ISERROR(SEARCH("UA",Y53)))</formula>
    </cfRule>
    <cfRule type="containsText" dxfId="7926" priority="336" operator="containsText" text="LWOP UA">
      <formula>NOT(ISERROR(SEARCH("LWOP UA",Y53)))</formula>
    </cfRule>
  </conditionalFormatting>
  <conditionalFormatting sqref="Y55:AG55">
    <cfRule type="containsText" dxfId="7925" priority="119" operator="containsText" text="540">
      <formula>NOT(ISERROR(SEARCH("540",Y55)))</formula>
    </cfRule>
    <cfRule type="cellIs" dxfId="7924" priority="120" operator="between">
      <formula>1</formula>
      <formula>400</formula>
    </cfRule>
    <cfRule type="containsText" dxfId="7923" priority="121" operator="containsText" text="LWOP UA">
      <formula>NOT(ISERROR(SEARCH("LWOP UA",Y55)))</formula>
    </cfRule>
    <cfRule type="containsText" dxfId="7922" priority="122" operator="containsText" text="P">
      <formula>NOT(ISERROR(SEARCH("P",Y55)))</formula>
    </cfRule>
    <cfRule type="containsText" dxfId="7921" priority="123" operator="containsText" text="TFO">
      <formula>NOT(ISERROR(SEARCH("TFO",Y55)))</formula>
    </cfRule>
    <cfRule type="containsText" dxfId="7920" priority="124" operator="containsText" text="AA">
      <formula>NOT(ISERROR(SEARCH("AA",Y55)))</formula>
    </cfRule>
    <cfRule type="containsText" dxfId="7919" priority="125" operator="containsText" text="RESIGNED">
      <formula>NOT(ISERROR(SEARCH("RESIGNED",Y55)))</formula>
    </cfRule>
    <cfRule type="containsText" dxfId="7918" priority="126" operator="containsText" text="P">
      <formula>NOT(ISERROR(SEARCH("P",Y55)))</formula>
    </cfRule>
    <cfRule type="containsText" dxfId="7917" priority="127" operator="containsText" text="TARDY">
      <formula>NOT(ISERROR(SEARCH("TARDY",Y55)))</formula>
    </cfRule>
    <cfRule type="containsText" dxfId="7916" priority="128" operator="containsText" text="REST DAY">
      <formula>NOT(ISERROR(SEARCH("REST DAY",Y55)))</formula>
    </cfRule>
    <cfRule type="containsText" dxfId="7915" priority="129" operator="containsText" text="UA">
      <formula>NOT(ISERROR(SEARCH("UA",Y55)))</formula>
    </cfRule>
    <cfRule type="containsText" dxfId="7914" priority="130" operator="containsText" text="LWOP UA">
      <formula>NOT(ISERROR(SEARCH("LWOP UA",Y55)))</formula>
    </cfRule>
  </conditionalFormatting>
  <conditionalFormatting sqref="Y56:AG56">
    <cfRule type="containsText" dxfId="7913" priority="302" operator="containsText" text="540">
      <formula>NOT(ISERROR(SEARCH("540",Y56)))</formula>
    </cfRule>
    <cfRule type="cellIs" dxfId="7912" priority="303" operator="between">
      <formula>1</formula>
      <formula>400</formula>
    </cfRule>
    <cfRule type="containsText" dxfId="7911" priority="304" operator="containsText" text="LWOP UA">
      <formula>NOT(ISERROR(SEARCH("LWOP UA",Y56)))</formula>
    </cfRule>
  </conditionalFormatting>
  <conditionalFormatting sqref="Y57:AG57">
    <cfRule type="cellIs" dxfId="7910" priority="1229" operator="between">
      <formula>1</formula>
      <formula>400</formula>
    </cfRule>
    <cfRule type="containsText" dxfId="7909" priority="1239" operator="containsText" text="LWOP UA">
      <formula>NOT(ISERROR(SEARCH("LWOP UA",Y57)))</formula>
    </cfRule>
  </conditionalFormatting>
  <conditionalFormatting sqref="Y58:AG58">
    <cfRule type="containsText" dxfId="7908" priority="279" operator="containsText" text="540">
      <formula>NOT(ISERROR(SEARCH("540",Y58)))</formula>
    </cfRule>
    <cfRule type="cellIs" dxfId="7907" priority="280" operator="between">
      <formula>1</formula>
      <formula>400</formula>
    </cfRule>
    <cfRule type="containsText" dxfId="7906" priority="290" operator="containsText" text="LWOP UA">
      <formula>NOT(ISERROR(SEARCH("LWOP UA",Y58)))</formula>
    </cfRule>
  </conditionalFormatting>
  <conditionalFormatting sqref="Y59:AG59">
    <cfRule type="containsText" dxfId="7905" priority="73" operator="containsText" text="540">
      <formula>NOT(ISERROR(SEARCH("540",Y59)))</formula>
    </cfRule>
    <cfRule type="cellIs" dxfId="7904" priority="74" operator="between">
      <formula>1</formula>
      <formula>400</formula>
    </cfRule>
  </conditionalFormatting>
  <conditionalFormatting sqref="Y60:AG60">
    <cfRule type="containsText" dxfId="7903" priority="59" operator="containsText" text="540">
      <formula>NOT(ISERROR(SEARCH("540",Y60)))</formula>
    </cfRule>
    <cfRule type="cellIs" dxfId="7902" priority="60" operator="between">
      <formula>1</formula>
      <formula>400</formula>
    </cfRule>
    <cfRule type="containsText" dxfId="7901" priority="61" operator="containsText" text="LWOP UA">
      <formula>NOT(ISERROR(SEARCH("LWOP UA",Y60)))</formula>
    </cfRule>
    <cfRule type="containsText" dxfId="7900" priority="62" operator="containsText" text="P">
      <formula>NOT(ISERROR(SEARCH("P",Y60)))</formula>
    </cfRule>
    <cfRule type="containsText" dxfId="7899" priority="63" operator="containsText" text="TFO">
      <formula>NOT(ISERROR(SEARCH("TFO",Y60)))</formula>
    </cfRule>
    <cfRule type="containsText" dxfId="7898" priority="64" operator="containsText" text="AA">
      <formula>NOT(ISERROR(SEARCH("AA",Y60)))</formula>
    </cfRule>
    <cfRule type="containsText" dxfId="7897" priority="65" operator="containsText" text="RESIGNED">
      <formula>NOT(ISERROR(SEARCH("RESIGNED",Y60)))</formula>
    </cfRule>
    <cfRule type="containsText" dxfId="7896" priority="66" operator="containsText" text="P">
      <formula>NOT(ISERROR(SEARCH("P",Y60)))</formula>
    </cfRule>
    <cfRule type="containsText" dxfId="7895" priority="67" operator="containsText" text="TARDY">
      <formula>NOT(ISERROR(SEARCH("TARDY",Y60)))</formula>
    </cfRule>
    <cfRule type="containsText" dxfId="7894" priority="68" operator="containsText" text="REST DAY">
      <formula>NOT(ISERROR(SEARCH("REST DAY",Y60)))</formula>
    </cfRule>
    <cfRule type="containsText" dxfId="7893" priority="69" operator="containsText" text="UA">
      <formula>NOT(ISERROR(SEARCH("UA",Y60)))</formula>
    </cfRule>
    <cfRule type="containsText" dxfId="7892" priority="70" operator="containsText" text="LWOP UA">
      <formula>NOT(ISERROR(SEARCH("LWOP UA",Y60)))</formula>
    </cfRule>
  </conditionalFormatting>
  <conditionalFormatting sqref="Y61:AG61">
    <cfRule type="containsText" dxfId="7891" priority="45" operator="containsText" text="540">
      <formula>NOT(ISERROR(SEARCH("540",Y61)))</formula>
    </cfRule>
    <cfRule type="cellIs" dxfId="7890" priority="46" operator="between">
      <formula>1</formula>
      <formula>400</formula>
    </cfRule>
    <cfRule type="containsText" dxfId="7889" priority="47" operator="containsText" text="LWOP UA">
      <formula>NOT(ISERROR(SEARCH("LWOP UA",Y61)))</formula>
    </cfRule>
    <cfRule type="containsText" dxfId="7888" priority="48" operator="containsText" text="P">
      <formula>NOT(ISERROR(SEARCH("P",Y61)))</formula>
    </cfRule>
    <cfRule type="containsText" dxfId="7887" priority="49" operator="containsText" text="TFO">
      <formula>NOT(ISERROR(SEARCH("TFO",Y61)))</formula>
    </cfRule>
    <cfRule type="containsText" dxfId="7886" priority="50" operator="containsText" text="AA">
      <formula>NOT(ISERROR(SEARCH("AA",Y61)))</formula>
    </cfRule>
    <cfRule type="containsText" dxfId="7885" priority="51" operator="containsText" text="RESIGNED">
      <formula>NOT(ISERROR(SEARCH("RESIGNED",Y61)))</formula>
    </cfRule>
    <cfRule type="containsText" dxfId="7884" priority="52" operator="containsText" text="P">
      <formula>NOT(ISERROR(SEARCH("P",Y61)))</formula>
    </cfRule>
    <cfRule type="containsText" dxfId="7883" priority="53" operator="containsText" text="TARDY">
      <formula>NOT(ISERROR(SEARCH("TARDY",Y61)))</formula>
    </cfRule>
    <cfRule type="containsText" dxfId="7882" priority="54" operator="containsText" text="REST DAY">
      <formula>NOT(ISERROR(SEARCH("REST DAY",Y61)))</formula>
    </cfRule>
    <cfRule type="containsText" dxfId="7881" priority="55" operator="containsText" text="UA">
      <formula>NOT(ISERROR(SEARCH("UA",Y61)))</formula>
    </cfRule>
    <cfRule type="containsText" dxfId="7880" priority="56" operator="containsText" text="LWOP UA">
      <formula>NOT(ISERROR(SEARCH("LWOP UA",Y61)))</formula>
    </cfRule>
  </conditionalFormatting>
  <conditionalFormatting sqref="Y62:AG62">
    <cfRule type="containsText" dxfId="7879" priority="265" operator="containsText" text="540">
      <formula>NOT(ISERROR(SEARCH("540",Y62)))</formula>
    </cfRule>
    <cfRule type="cellIs" dxfId="7878" priority="266" operator="between">
      <formula>1</formula>
      <formula>400</formula>
    </cfRule>
    <cfRule type="containsText" dxfId="7877" priority="267" operator="containsText" text="LWOP UA">
      <formula>NOT(ISERROR(SEARCH("LWOP UA",Y62)))</formula>
    </cfRule>
    <cfRule type="containsText" dxfId="7876" priority="268" operator="containsText" text="P">
      <formula>NOT(ISERROR(SEARCH("P",Y62)))</formula>
    </cfRule>
    <cfRule type="containsText" dxfId="7875" priority="269" operator="containsText" text="TFO">
      <formula>NOT(ISERROR(SEARCH("TFO",Y62)))</formula>
    </cfRule>
    <cfRule type="containsText" dxfId="7874" priority="270" operator="containsText" text="AA">
      <formula>NOT(ISERROR(SEARCH("AA",Y62)))</formula>
    </cfRule>
    <cfRule type="containsText" dxfId="7873" priority="271" operator="containsText" text="RESIGNED">
      <formula>NOT(ISERROR(SEARCH("RESIGNED",Y62)))</formula>
    </cfRule>
    <cfRule type="containsText" dxfId="7872" priority="272" operator="containsText" text="P">
      <formula>NOT(ISERROR(SEARCH("P",Y62)))</formula>
    </cfRule>
    <cfRule type="containsText" dxfId="7871" priority="273" operator="containsText" text="TARDY">
      <formula>NOT(ISERROR(SEARCH("TARDY",Y62)))</formula>
    </cfRule>
    <cfRule type="containsText" dxfId="7870" priority="274" operator="containsText" text="REST DAY">
      <formula>NOT(ISERROR(SEARCH("REST DAY",Y62)))</formula>
    </cfRule>
    <cfRule type="containsText" dxfId="7869" priority="275" operator="containsText" text="UA">
      <formula>NOT(ISERROR(SEARCH("UA",Y62)))</formula>
    </cfRule>
    <cfRule type="containsText" dxfId="7868" priority="276" operator="containsText" text="LWOP UA">
      <formula>NOT(ISERROR(SEARCH("LWOP UA",Y62)))</formula>
    </cfRule>
  </conditionalFormatting>
  <conditionalFormatting sqref="Y63:AG63">
    <cfRule type="cellIs" dxfId="7867" priority="1581" operator="between">
      <formula>1</formula>
      <formula>400</formula>
    </cfRule>
    <cfRule type="containsText" dxfId="7866" priority="1591" operator="containsText" text="LWOP UA">
      <formula>NOT(ISERROR(SEARCH("LWOP UA",Y63)))</formula>
    </cfRule>
  </conditionalFormatting>
  <conditionalFormatting sqref="Y64:AG64">
    <cfRule type="cellIs" dxfId="7865" priority="2330" operator="between">
      <formula>1</formula>
      <formula>400</formula>
    </cfRule>
    <cfRule type="containsText" dxfId="7864" priority="2331" operator="containsText" text="LWOP UA">
      <formula>NOT(ISERROR(SEARCH("LWOP UA",Y64)))</formula>
    </cfRule>
    <cfRule type="containsText" dxfId="7863" priority="2332" operator="containsText" text="P">
      <formula>NOT(ISERROR(SEARCH("P",Y64)))</formula>
    </cfRule>
    <cfRule type="containsText" dxfId="7862" priority="2333" operator="containsText" text="TFO">
      <formula>NOT(ISERROR(SEARCH("TFO",Y64)))</formula>
    </cfRule>
    <cfRule type="containsText" dxfId="7861" priority="2334" operator="containsText" text="AA">
      <formula>NOT(ISERROR(SEARCH("AA",Y64)))</formula>
    </cfRule>
    <cfRule type="containsText" dxfId="7860" priority="2335" operator="containsText" text="RESIGNED">
      <formula>NOT(ISERROR(SEARCH("RESIGNED",Y64)))</formula>
    </cfRule>
    <cfRule type="containsText" dxfId="7859" priority="2336" operator="containsText" text="P">
      <formula>NOT(ISERROR(SEARCH("P",Y64)))</formula>
    </cfRule>
    <cfRule type="containsText" dxfId="7858" priority="2337" operator="containsText" text="TARDY">
      <formula>NOT(ISERROR(SEARCH("TARDY",Y64)))</formula>
    </cfRule>
    <cfRule type="containsText" dxfId="7857" priority="2338" operator="containsText" text="REST DAY">
      <formula>NOT(ISERROR(SEARCH("REST DAY",Y64)))</formula>
    </cfRule>
    <cfRule type="containsText" dxfId="7856" priority="2339" operator="containsText" text="UA">
      <formula>NOT(ISERROR(SEARCH("UA",Y64)))</formula>
    </cfRule>
    <cfRule type="containsText" dxfId="7855" priority="2340" operator="containsText" text="LWOP UA">
      <formula>NOT(ISERROR(SEARCH("LWOP UA",Y64)))</formula>
    </cfRule>
  </conditionalFormatting>
  <conditionalFormatting sqref="Y65:AG65">
    <cfRule type="containsText" dxfId="7854" priority="242" operator="containsText" text="540">
      <formula>NOT(ISERROR(SEARCH("540",Y65)))</formula>
    </cfRule>
    <cfRule type="cellIs" dxfId="7853" priority="243" operator="between">
      <formula>1</formula>
      <formula>400</formula>
    </cfRule>
    <cfRule type="containsText" dxfId="7852" priority="253" operator="containsText" text="LWOP UA">
      <formula>NOT(ISERROR(SEARCH("LWOP UA",Y65)))</formula>
    </cfRule>
  </conditionalFormatting>
  <conditionalFormatting sqref="Y66:AG66">
    <cfRule type="containsText" dxfId="7851" priority="103" operator="containsText" text="VL">
      <formula>NOT(ISERROR(SEARCH("VL",Y66)))</formula>
    </cfRule>
    <cfRule type="containsText" dxfId="7850" priority="104" operator="containsText" text="RD">
      <formula>NOT(ISERROR(SEARCH("RD",Y66)))</formula>
    </cfRule>
    <cfRule type="containsText" dxfId="7849" priority="105" operator="containsText" text="540">
      <formula>NOT(ISERROR(SEARCH("540",Y66)))</formula>
    </cfRule>
    <cfRule type="cellIs" dxfId="7848" priority="106" operator="between">
      <formula>1</formula>
      <formula>400</formula>
    </cfRule>
    <cfRule type="containsText" dxfId="7847" priority="107" operator="containsText" text="LWOP UA">
      <formula>NOT(ISERROR(SEARCH("LWOP UA",Y66)))</formula>
    </cfRule>
    <cfRule type="containsText" dxfId="7846" priority="108" operator="containsText" text="P">
      <formula>NOT(ISERROR(SEARCH("P",Y66)))</formula>
    </cfRule>
    <cfRule type="containsText" dxfId="7845" priority="109" operator="containsText" text="TFO">
      <formula>NOT(ISERROR(SEARCH("TFO",Y66)))</formula>
    </cfRule>
    <cfRule type="containsText" dxfId="7844" priority="110" operator="containsText" text="AA">
      <formula>NOT(ISERROR(SEARCH("AA",Y66)))</formula>
    </cfRule>
    <cfRule type="containsText" dxfId="7843" priority="111" operator="containsText" text="RESIGNED">
      <formula>NOT(ISERROR(SEARCH("RESIGNED",Y66)))</formula>
    </cfRule>
    <cfRule type="containsText" dxfId="7842" priority="112" operator="containsText" text="P">
      <formula>NOT(ISERROR(SEARCH("P",Y66)))</formula>
    </cfRule>
    <cfRule type="containsText" dxfId="7841" priority="113" operator="containsText" text="TARDY">
      <formula>NOT(ISERROR(SEARCH("TARDY",Y66)))</formula>
    </cfRule>
    <cfRule type="containsText" dxfId="7840" priority="114" operator="containsText" text="REST DAY">
      <formula>NOT(ISERROR(SEARCH("REST DAY",Y66)))</formula>
    </cfRule>
    <cfRule type="containsText" dxfId="7839" priority="115" operator="containsText" text="UA">
      <formula>NOT(ISERROR(SEARCH("UA",Y66)))</formula>
    </cfRule>
    <cfRule type="containsText" dxfId="7838" priority="116" operator="containsText" text="LWOP UA">
      <formula>NOT(ISERROR(SEARCH("LWOP UA",Y66)))</formula>
    </cfRule>
  </conditionalFormatting>
  <conditionalFormatting sqref="Y67:AG67">
    <cfRule type="containsText" dxfId="7837" priority="1212" operator="containsText" text="VL">
      <formula>NOT(ISERROR(SEARCH("VL",Y67)))</formula>
    </cfRule>
    <cfRule type="containsText" dxfId="7836" priority="1213" operator="containsText" text="RD">
      <formula>NOT(ISERROR(SEARCH("RD",Y67)))</formula>
    </cfRule>
    <cfRule type="containsText" dxfId="7835" priority="1214" operator="containsText" text="540">
      <formula>NOT(ISERROR(SEARCH("540",Y67)))</formula>
    </cfRule>
    <cfRule type="cellIs" dxfId="7834" priority="1215" operator="between">
      <formula>1</formula>
      <formula>400</formula>
    </cfRule>
    <cfRule type="containsText" dxfId="7833" priority="1216" operator="containsText" text="LWOP UA">
      <formula>NOT(ISERROR(SEARCH("LWOP UA",Y67)))</formula>
    </cfRule>
    <cfRule type="containsText" dxfId="7832" priority="1217" operator="containsText" text="P">
      <formula>NOT(ISERROR(SEARCH("P",Y67)))</formula>
    </cfRule>
    <cfRule type="containsText" dxfId="7831" priority="1218" operator="containsText" text="TFO">
      <formula>NOT(ISERROR(SEARCH("TFO",Y67)))</formula>
    </cfRule>
    <cfRule type="containsText" dxfId="7830" priority="1219" operator="containsText" text="AA">
      <formula>NOT(ISERROR(SEARCH("AA",Y67)))</formula>
    </cfRule>
    <cfRule type="containsText" dxfId="7829" priority="1220" operator="containsText" text="RESIGNED">
      <formula>NOT(ISERROR(SEARCH("RESIGNED",Y67)))</formula>
    </cfRule>
    <cfRule type="containsText" dxfId="7828" priority="1221" operator="containsText" text="P">
      <formula>NOT(ISERROR(SEARCH("P",Y67)))</formula>
    </cfRule>
    <cfRule type="containsText" dxfId="7827" priority="1222" operator="containsText" text="TARDY">
      <formula>NOT(ISERROR(SEARCH("TARDY",Y67)))</formula>
    </cfRule>
    <cfRule type="containsText" dxfId="7826" priority="1223" operator="containsText" text="REST DAY">
      <formula>NOT(ISERROR(SEARCH("REST DAY",Y67)))</formula>
    </cfRule>
    <cfRule type="containsText" dxfId="7825" priority="1224" operator="containsText" text="UA">
      <formula>NOT(ISERROR(SEARCH("UA",Y67)))</formula>
    </cfRule>
    <cfRule type="containsText" dxfId="7824" priority="1225" operator="containsText" text="LWOP UA">
      <formula>NOT(ISERROR(SEARCH("LWOP UA",Y67)))</formula>
    </cfRule>
  </conditionalFormatting>
  <conditionalFormatting sqref="Y68:AG68">
    <cfRule type="cellIs" dxfId="7823" priority="3802" operator="between">
      <formula>1</formula>
      <formula>400</formula>
    </cfRule>
  </conditionalFormatting>
  <conditionalFormatting sqref="Y69:AG69">
    <cfRule type="cellIs" dxfId="7822" priority="1976" operator="between">
      <formula>1</formula>
      <formula>400</formula>
    </cfRule>
    <cfRule type="containsText" dxfId="7821" priority="1977" operator="containsText" text="LWOP UA">
      <formula>NOT(ISERROR(SEARCH("LWOP UA",Y69)))</formula>
    </cfRule>
    <cfRule type="containsText" dxfId="7820" priority="1978" operator="containsText" text="P">
      <formula>NOT(ISERROR(SEARCH("P",Y69)))</formula>
    </cfRule>
    <cfRule type="containsText" dxfId="7819" priority="1979" operator="containsText" text="TFO">
      <formula>NOT(ISERROR(SEARCH("TFO",Y69)))</formula>
    </cfRule>
    <cfRule type="containsText" dxfId="7818" priority="1980" operator="containsText" text="AA">
      <formula>NOT(ISERROR(SEARCH("AA",Y69)))</formula>
    </cfRule>
    <cfRule type="containsText" dxfId="7817" priority="1981" operator="containsText" text="RESIGNED">
      <formula>NOT(ISERROR(SEARCH("RESIGNED",Y69)))</formula>
    </cfRule>
    <cfRule type="containsText" dxfId="7816" priority="1982" operator="containsText" text="P">
      <formula>NOT(ISERROR(SEARCH("P",Y69)))</formula>
    </cfRule>
    <cfRule type="containsText" dxfId="7815" priority="1983" operator="containsText" text="TARDY">
      <formula>NOT(ISERROR(SEARCH("TARDY",Y69)))</formula>
    </cfRule>
    <cfRule type="containsText" dxfId="7814" priority="1984" operator="containsText" text="REST DAY">
      <formula>NOT(ISERROR(SEARCH("REST DAY",Y69)))</formula>
    </cfRule>
    <cfRule type="containsText" dxfId="7813" priority="1985" operator="containsText" text="UA">
      <formula>NOT(ISERROR(SEARCH("UA",Y69)))</formula>
    </cfRule>
    <cfRule type="containsText" dxfId="7812" priority="1986" operator="containsText" text="LWOP UA">
      <formula>NOT(ISERROR(SEARCH("LWOP UA",Y69)))</formula>
    </cfRule>
  </conditionalFormatting>
  <conditionalFormatting sqref="Y69:AG72">
    <cfRule type="containsText" dxfId="7811" priority="1143" operator="containsText" text="VL">
      <formula>NOT(ISERROR(SEARCH("VL",Y69)))</formula>
    </cfRule>
    <cfRule type="containsText" dxfId="7810" priority="1144" operator="containsText" text="RD">
      <formula>NOT(ISERROR(SEARCH("RD",Y69)))</formula>
    </cfRule>
    <cfRule type="containsText" dxfId="7809" priority="1145" operator="containsText" text="540">
      <formula>NOT(ISERROR(SEARCH("540",Y69)))</formula>
    </cfRule>
  </conditionalFormatting>
  <conditionalFormatting sqref="Y70:AG70">
    <cfRule type="cellIs" dxfId="7808" priority="1962" operator="between">
      <formula>1</formula>
      <formula>400</formula>
    </cfRule>
    <cfRule type="containsText" dxfId="7807" priority="1963" operator="containsText" text="LWOP UA">
      <formula>NOT(ISERROR(SEARCH("LWOP UA",Y70)))</formula>
    </cfRule>
    <cfRule type="containsText" dxfId="7806" priority="1964" operator="containsText" text="P">
      <formula>NOT(ISERROR(SEARCH("P",Y70)))</formula>
    </cfRule>
    <cfRule type="containsText" dxfId="7805" priority="1965" operator="containsText" text="TFO">
      <formula>NOT(ISERROR(SEARCH("TFO",Y70)))</formula>
    </cfRule>
    <cfRule type="containsText" dxfId="7804" priority="1966" operator="containsText" text="AA">
      <formula>NOT(ISERROR(SEARCH("AA",Y70)))</formula>
    </cfRule>
    <cfRule type="containsText" dxfId="7803" priority="1967" operator="containsText" text="RESIGNED">
      <formula>NOT(ISERROR(SEARCH("RESIGNED",Y70)))</formula>
    </cfRule>
    <cfRule type="containsText" dxfId="7802" priority="1968" operator="containsText" text="P">
      <formula>NOT(ISERROR(SEARCH("P",Y70)))</formula>
    </cfRule>
    <cfRule type="containsText" dxfId="7801" priority="1969" operator="containsText" text="TARDY">
      <formula>NOT(ISERROR(SEARCH("TARDY",Y70)))</formula>
    </cfRule>
    <cfRule type="containsText" dxfId="7800" priority="1970" operator="containsText" text="REST DAY">
      <formula>NOT(ISERROR(SEARCH("REST DAY",Y70)))</formula>
    </cfRule>
    <cfRule type="containsText" dxfId="7799" priority="1971" operator="containsText" text="UA">
      <formula>NOT(ISERROR(SEARCH("UA",Y70)))</formula>
    </cfRule>
    <cfRule type="containsText" dxfId="7798" priority="1972" operator="containsText" text="LWOP UA">
      <formula>NOT(ISERROR(SEARCH("LWOP UA",Y70)))</formula>
    </cfRule>
  </conditionalFormatting>
  <conditionalFormatting sqref="Y71:AG71">
    <cfRule type="cellIs" dxfId="7797" priority="1146" operator="between">
      <formula>1</formula>
      <formula>400</formula>
    </cfRule>
    <cfRule type="containsText" dxfId="7796" priority="1147" operator="containsText" text="LWOP UA">
      <formula>NOT(ISERROR(SEARCH("LWOP UA",Y71)))</formula>
    </cfRule>
    <cfRule type="containsText" dxfId="7795" priority="1148" operator="containsText" text="P">
      <formula>NOT(ISERROR(SEARCH("P",Y71)))</formula>
    </cfRule>
    <cfRule type="containsText" dxfId="7794" priority="1149" operator="containsText" text="TFO">
      <formula>NOT(ISERROR(SEARCH("TFO",Y71)))</formula>
    </cfRule>
    <cfRule type="containsText" dxfId="7793" priority="1150" operator="containsText" text="AA">
      <formula>NOT(ISERROR(SEARCH("AA",Y71)))</formula>
    </cfRule>
    <cfRule type="containsText" dxfId="7792" priority="1151" operator="containsText" text="RESIGNED">
      <formula>NOT(ISERROR(SEARCH("RESIGNED",Y71)))</formula>
    </cfRule>
    <cfRule type="containsText" dxfId="7791" priority="1152" operator="containsText" text="P">
      <formula>NOT(ISERROR(SEARCH("P",Y71)))</formula>
    </cfRule>
    <cfRule type="containsText" dxfId="7790" priority="1153" operator="containsText" text="TARDY">
      <formula>NOT(ISERROR(SEARCH("TARDY",Y71)))</formula>
    </cfRule>
    <cfRule type="containsText" dxfId="7789" priority="1154" operator="containsText" text="REST DAY">
      <formula>NOT(ISERROR(SEARCH("REST DAY",Y71)))</formula>
    </cfRule>
    <cfRule type="containsText" dxfId="7788" priority="1155" operator="containsText" text="UA">
      <formula>NOT(ISERROR(SEARCH("UA",Y71)))</formula>
    </cfRule>
    <cfRule type="containsText" dxfId="7787" priority="1156" operator="containsText" text="LWOP UA">
      <formula>NOT(ISERROR(SEARCH("LWOP UA",Y71)))</formula>
    </cfRule>
  </conditionalFormatting>
  <conditionalFormatting sqref="Y72:AG72">
    <cfRule type="cellIs" dxfId="7786" priority="1558" operator="between">
      <formula>1</formula>
      <formula>400</formula>
    </cfRule>
    <cfRule type="containsText" dxfId="7785" priority="1568" operator="containsText" text="LWOP UA">
      <formula>NOT(ISERROR(SEARCH("LWOP UA",Y72)))</formula>
    </cfRule>
  </conditionalFormatting>
  <conditionalFormatting sqref="Y73:AG73">
    <cfRule type="cellIs" dxfId="7784" priority="2316" operator="between">
      <formula>1</formula>
      <formula>400</formula>
    </cfRule>
    <cfRule type="containsText" dxfId="7783" priority="2317" operator="containsText" text="LWOP UA">
      <formula>NOT(ISERROR(SEARCH("LWOP UA",Y73)))</formula>
    </cfRule>
    <cfRule type="containsText" dxfId="7782" priority="2318" operator="containsText" text="P">
      <formula>NOT(ISERROR(SEARCH("P",Y73)))</formula>
    </cfRule>
    <cfRule type="containsText" dxfId="7781" priority="2319" operator="containsText" text="TFO">
      <formula>NOT(ISERROR(SEARCH("TFO",Y73)))</formula>
    </cfRule>
    <cfRule type="containsText" dxfId="7780" priority="2320" operator="containsText" text="AA">
      <formula>NOT(ISERROR(SEARCH("AA",Y73)))</formula>
    </cfRule>
    <cfRule type="containsText" dxfId="7779" priority="2321" operator="containsText" text="RESIGNED">
      <formula>NOT(ISERROR(SEARCH("RESIGNED",Y73)))</formula>
    </cfRule>
    <cfRule type="containsText" dxfId="7778" priority="2322" operator="containsText" text="P">
      <formula>NOT(ISERROR(SEARCH("P",Y73)))</formula>
    </cfRule>
    <cfRule type="containsText" dxfId="7777" priority="2323" operator="containsText" text="TARDY">
      <formula>NOT(ISERROR(SEARCH("TARDY",Y73)))</formula>
    </cfRule>
    <cfRule type="containsText" dxfId="7776" priority="2324" operator="containsText" text="REST DAY">
      <formula>NOT(ISERROR(SEARCH("REST DAY",Y73)))</formula>
    </cfRule>
    <cfRule type="containsText" dxfId="7775" priority="2325" operator="containsText" text="UA">
      <formula>NOT(ISERROR(SEARCH("UA",Y73)))</formula>
    </cfRule>
    <cfRule type="containsText" dxfId="7774" priority="2326" operator="containsText" text="LWOP UA">
      <formula>NOT(ISERROR(SEARCH("LWOP UA",Y73)))</formula>
    </cfRule>
  </conditionalFormatting>
  <conditionalFormatting sqref="Y74:AG74">
    <cfRule type="containsText" dxfId="7773" priority="218" operator="containsText" text="540">
      <formula>NOT(ISERROR(SEARCH("540",Y74)))</formula>
    </cfRule>
    <cfRule type="cellIs" dxfId="7772" priority="219" operator="between">
      <formula>1</formula>
      <formula>400</formula>
    </cfRule>
    <cfRule type="containsText" dxfId="7771" priority="229" operator="containsText" text="LWOP UA">
      <formula>NOT(ISERROR(SEARCH("LWOP UA",Y74)))</formula>
    </cfRule>
  </conditionalFormatting>
  <conditionalFormatting sqref="Y75:AG75">
    <cfRule type="containsText" dxfId="7770" priority="203" operator="containsText" text="540">
      <formula>NOT(ISERROR(SEARCH("540",Y75)))</formula>
    </cfRule>
    <cfRule type="cellIs" dxfId="7769" priority="204" operator="between">
      <formula>1</formula>
      <formula>400</formula>
    </cfRule>
    <cfRule type="containsText" dxfId="7768" priority="205" operator="containsText" text="LWOP UA">
      <formula>NOT(ISERROR(SEARCH("LWOP UA",Y75)))</formula>
    </cfRule>
    <cfRule type="containsText" dxfId="7767" priority="206" operator="containsText" text="P">
      <formula>NOT(ISERROR(SEARCH("P",Y75)))</formula>
    </cfRule>
    <cfRule type="containsText" dxfId="7766" priority="207" operator="containsText" text="TFO">
      <formula>NOT(ISERROR(SEARCH("TFO",Y75)))</formula>
    </cfRule>
    <cfRule type="containsText" dxfId="7765" priority="208" operator="containsText" text="AA">
      <formula>NOT(ISERROR(SEARCH("AA",Y75)))</formula>
    </cfRule>
    <cfRule type="containsText" dxfId="7764" priority="209" operator="containsText" text="RESIGNED">
      <formula>NOT(ISERROR(SEARCH("RESIGNED",Y75)))</formula>
    </cfRule>
    <cfRule type="containsText" dxfId="7763" priority="210" operator="containsText" text="P">
      <formula>NOT(ISERROR(SEARCH("P",Y75)))</formula>
    </cfRule>
    <cfRule type="containsText" dxfId="7762" priority="211" operator="containsText" text="TARDY">
      <formula>NOT(ISERROR(SEARCH("TARDY",Y75)))</formula>
    </cfRule>
    <cfRule type="containsText" dxfId="7761" priority="212" operator="containsText" text="REST DAY">
      <formula>NOT(ISERROR(SEARCH("REST DAY",Y75)))</formula>
    </cfRule>
    <cfRule type="containsText" dxfId="7760" priority="213" operator="containsText" text="UA">
      <formula>NOT(ISERROR(SEARCH("UA",Y75)))</formula>
    </cfRule>
    <cfRule type="containsText" dxfId="7759" priority="214" operator="containsText" text="LWOP UA">
      <formula>NOT(ISERROR(SEARCH("LWOP UA",Y75)))</formula>
    </cfRule>
  </conditionalFormatting>
  <conditionalFormatting sqref="Y76:AG76">
    <cfRule type="cellIs" dxfId="7758" priority="3779" operator="between">
      <formula>1</formula>
      <formula>400</formula>
    </cfRule>
    <cfRule type="containsText" dxfId="7757" priority="3789" operator="containsText" text="LWOP UA">
      <formula>NOT(ISERROR(SEARCH("LWOP UA",Y76)))</formula>
    </cfRule>
  </conditionalFormatting>
  <conditionalFormatting sqref="Y77:AG77">
    <cfRule type="cellIs" dxfId="7756" priority="1535" operator="between">
      <formula>1</formula>
      <formula>400</formula>
    </cfRule>
    <cfRule type="containsText" dxfId="7755" priority="1545" operator="containsText" text="LWOP UA">
      <formula>NOT(ISERROR(SEARCH("LWOP UA",Y77)))</formula>
    </cfRule>
  </conditionalFormatting>
  <conditionalFormatting sqref="Y78:AG78">
    <cfRule type="cellIs" dxfId="7754" priority="1939" operator="between">
      <formula>1</formula>
      <formula>400</formula>
    </cfRule>
    <cfRule type="containsText" dxfId="7753" priority="1949" operator="containsText" text="LWOP UA">
      <formula>NOT(ISERROR(SEARCH("LWOP UA",Y78)))</formula>
    </cfRule>
  </conditionalFormatting>
  <conditionalFormatting sqref="Y79:AG79">
    <cfRule type="cellIs" dxfId="7752" priority="3765" operator="between">
      <formula>1</formula>
      <formula>400</formula>
    </cfRule>
    <cfRule type="containsText" dxfId="7751" priority="3766" operator="containsText" text="LWOP UA">
      <formula>NOT(ISERROR(SEARCH("LWOP UA",Y79)))</formula>
    </cfRule>
    <cfRule type="containsText" dxfId="7750" priority="3767" operator="containsText" text="P">
      <formula>NOT(ISERROR(SEARCH("P",Y79)))</formula>
    </cfRule>
    <cfRule type="containsText" dxfId="7749" priority="3768" operator="containsText" text="TFO">
      <formula>NOT(ISERROR(SEARCH("TFO",Y79)))</formula>
    </cfRule>
    <cfRule type="containsText" dxfId="7748" priority="3769" operator="containsText" text="AA">
      <formula>NOT(ISERROR(SEARCH("AA",Y79)))</formula>
    </cfRule>
    <cfRule type="containsText" dxfId="7747" priority="3770" operator="containsText" text="RESIGNED">
      <formula>NOT(ISERROR(SEARCH("RESIGNED",Y79)))</formula>
    </cfRule>
    <cfRule type="containsText" dxfId="7746" priority="3771" operator="containsText" text="P">
      <formula>NOT(ISERROR(SEARCH("P",Y79)))</formula>
    </cfRule>
    <cfRule type="containsText" dxfId="7745" priority="3772" operator="containsText" text="TARDY">
      <formula>NOT(ISERROR(SEARCH("TARDY",Y79)))</formula>
    </cfRule>
    <cfRule type="containsText" dxfId="7744" priority="3773" operator="containsText" text="REST DAY">
      <formula>NOT(ISERROR(SEARCH("REST DAY",Y79)))</formula>
    </cfRule>
    <cfRule type="containsText" dxfId="7743" priority="3774" operator="containsText" text="UA">
      <formula>NOT(ISERROR(SEARCH("UA",Y79)))</formula>
    </cfRule>
    <cfRule type="containsText" dxfId="7742" priority="3775" operator="containsText" text="LWOP UA">
      <formula>NOT(ISERROR(SEARCH("LWOP UA",Y79)))</formula>
    </cfRule>
  </conditionalFormatting>
  <conditionalFormatting sqref="Y80:AG80">
    <cfRule type="containsText" dxfId="7741" priority="189" operator="containsText" text="540">
      <formula>NOT(ISERROR(SEARCH("540",Y80)))</formula>
    </cfRule>
    <cfRule type="cellIs" dxfId="7740" priority="190" operator="between">
      <formula>1</formula>
      <formula>400</formula>
    </cfRule>
    <cfRule type="containsText" dxfId="7739" priority="191" operator="containsText" text="LWOP UA">
      <formula>NOT(ISERROR(SEARCH("LWOP UA",Y80)))</formula>
    </cfRule>
    <cfRule type="containsText" dxfId="7738" priority="192" operator="containsText" text="P">
      <formula>NOT(ISERROR(SEARCH("P",Y80)))</formula>
    </cfRule>
    <cfRule type="containsText" dxfId="7737" priority="193" operator="containsText" text="TFO">
      <formula>NOT(ISERROR(SEARCH("TFO",Y80)))</formula>
    </cfRule>
    <cfRule type="containsText" dxfId="7736" priority="194" operator="containsText" text="AA">
      <formula>NOT(ISERROR(SEARCH("AA",Y80)))</formula>
    </cfRule>
    <cfRule type="containsText" dxfId="7735" priority="195" operator="containsText" text="RESIGNED">
      <formula>NOT(ISERROR(SEARCH("RESIGNED",Y80)))</formula>
    </cfRule>
    <cfRule type="containsText" dxfId="7734" priority="196" operator="containsText" text="P">
      <formula>NOT(ISERROR(SEARCH("P",Y80)))</formula>
    </cfRule>
    <cfRule type="containsText" dxfId="7733" priority="197" operator="containsText" text="TARDY">
      <formula>NOT(ISERROR(SEARCH("TARDY",Y80)))</formula>
    </cfRule>
    <cfRule type="containsText" dxfId="7732" priority="198" operator="containsText" text="REST DAY">
      <formula>NOT(ISERROR(SEARCH("REST DAY",Y80)))</formula>
    </cfRule>
    <cfRule type="containsText" dxfId="7731" priority="199" operator="containsText" text="UA">
      <formula>NOT(ISERROR(SEARCH("UA",Y80)))</formula>
    </cfRule>
    <cfRule type="containsText" dxfId="7730" priority="200" operator="containsText" text="LWOP UA">
      <formula>NOT(ISERROR(SEARCH("LWOP UA",Y80)))</formula>
    </cfRule>
  </conditionalFormatting>
  <conditionalFormatting sqref="Y80:AG85">
    <cfRule type="containsText" dxfId="7729" priority="187" operator="containsText" text="VL">
      <formula>NOT(ISERROR(SEARCH("VL",Y80)))</formula>
    </cfRule>
    <cfRule type="containsText" dxfId="7728" priority="188" operator="containsText" text="RD">
      <formula>NOT(ISERROR(SEARCH("RD",Y80)))</formula>
    </cfRule>
  </conditionalFormatting>
  <conditionalFormatting sqref="Y81:AG81">
    <cfRule type="cellIs" dxfId="7727" priority="2293" operator="between">
      <formula>1</formula>
      <formula>400</formula>
    </cfRule>
    <cfRule type="containsText" dxfId="7726" priority="2303" operator="containsText" text="LWOP UA">
      <formula>NOT(ISERROR(SEARCH("LWOP UA",Y81)))</formula>
    </cfRule>
  </conditionalFormatting>
  <conditionalFormatting sqref="Y81:AG85">
    <cfRule type="containsText" dxfId="7725" priority="2208" operator="containsText" text="540">
      <formula>NOT(ISERROR(SEARCH("540",Y81)))</formula>
    </cfRule>
  </conditionalFormatting>
  <conditionalFormatting sqref="Y82:AG82">
    <cfRule type="cellIs" dxfId="7724" priority="3751" operator="between">
      <formula>1</formula>
      <formula>400</formula>
    </cfRule>
    <cfRule type="containsText" dxfId="7723" priority="3752" operator="containsText" text="LWOP UA">
      <formula>NOT(ISERROR(SEARCH("LWOP UA",Y82)))</formula>
    </cfRule>
    <cfRule type="containsText" dxfId="7722" priority="3753" operator="containsText" text="P">
      <formula>NOT(ISERROR(SEARCH("P",Y82)))</formula>
    </cfRule>
    <cfRule type="containsText" dxfId="7721" priority="3754" operator="containsText" text="TFO">
      <formula>NOT(ISERROR(SEARCH("TFO",Y82)))</formula>
    </cfRule>
    <cfRule type="containsText" dxfId="7720" priority="3755" operator="containsText" text="AA">
      <formula>NOT(ISERROR(SEARCH("AA",Y82)))</formula>
    </cfRule>
    <cfRule type="containsText" dxfId="7719" priority="3756" operator="containsText" text="RESIGNED">
      <formula>NOT(ISERROR(SEARCH("RESIGNED",Y82)))</formula>
    </cfRule>
    <cfRule type="containsText" dxfId="7718" priority="3757" operator="containsText" text="P">
      <formula>NOT(ISERROR(SEARCH("P",Y82)))</formula>
    </cfRule>
    <cfRule type="containsText" dxfId="7717" priority="3758" operator="containsText" text="TARDY">
      <formula>NOT(ISERROR(SEARCH("TARDY",Y82)))</formula>
    </cfRule>
    <cfRule type="containsText" dxfId="7716" priority="3759" operator="containsText" text="REST DAY">
      <formula>NOT(ISERROR(SEARCH("REST DAY",Y82)))</formula>
    </cfRule>
    <cfRule type="containsText" dxfId="7715" priority="3760" operator="containsText" text="UA">
      <formula>NOT(ISERROR(SEARCH("UA",Y82)))</formula>
    </cfRule>
    <cfRule type="containsText" dxfId="7714" priority="3761" operator="containsText" text="LWOP UA">
      <formula>NOT(ISERROR(SEARCH("LWOP UA",Y82)))</formula>
    </cfRule>
  </conditionalFormatting>
  <conditionalFormatting sqref="Y83:AG84">
    <cfRule type="cellIs" dxfId="7713" priority="3737" operator="between">
      <formula>1</formula>
      <formula>400</formula>
    </cfRule>
    <cfRule type="containsText" dxfId="7712" priority="3738" operator="containsText" text="LWOP UA">
      <formula>NOT(ISERROR(SEARCH("LWOP UA",Y83)))</formula>
    </cfRule>
    <cfRule type="containsText" dxfId="7711" priority="3739" operator="containsText" text="P">
      <formula>NOT(ISERROR(SEARCH("P",Y83)))</formula>
    </cfRule>
    <cfRule type="containsText" dxfId="7710" priority="3740" operator="containsText" text="TFO">
      <formula>NOT(ISERROR(SEARCH("TFO",Y83)))</formula>
    </cfRule>
    <cfRule type="containsText" dxfId="7709" priority="3741" operator="containsText" text="AA">
      <formula>NOT(ISERROR(SEARCH("AA",Y83)))</formula>
    </cfRule>
    <cfRule type="containsText" dxfId="7708" priority="3742" operator="containsText" text="RESIGNED">
      <formula>NOT(ISERROR(SEARCH("RESIGNED",Y83)))</formula>
    </cfRule>
    <cfRule type="containsText" dxfId="7707" priority="3743" operator="containsText" text="P">
      <formula>NOT(ISERROR(SEARCH("P",Y83)))</formula>
    </cfRule>
    <cfRule type="containsText" dxfId="7706" priority="3744" operator="containsText" text="TARDY">
      <formula>NOT(ISERROR(SEARCH("TARDY",Y83)))</formula>
    </cfRule>
    <cfRule type="containsText" dxfId="7705" priority="3745" operator="containsText" text="REST DAY">
      <formula>NOT(ISERROR(SEARCH("REST DAY",Y83)))</formula>
    </cfRule>
    <cfRule type="containsText" dxfId="7704" priority="3746" operator="containsText" text="UA">
      <formula>NOT(ISERROR(SEARCH("UA",Y83)))</formula>
    </cfRule>
    <cfRule type="containsText" dxfId="7703" priority="3747" operator="containsText" text="LWOP UA">
      <formula>NOT(ISERROR(SEARCH("LWOP UA",Y83)))</formula>
    </cfRule>
  </conditionalFormatting>
  <conditionalFormatting sqref="Y85:AG85">
    <cfRule type="cellIs" dxfId="7702" priority="2209" operator="between">
      <formula>1</formula>
      <formula>400</formula>
    </cfRule>
    <cfRule type="containsText" dxfId="7701" priority="2210" operator="containsText" text="LWOP UA">
      <formula>NOT(ISERROR(SEARCH("LWOP UA",Y85)))</formula>
    </cfRule>
    <cfRule type="containsText" dxfId="7700" priority="2211" operator="containsText" text="P">
      <formula>NOT(ISERROR(SEARCH("P",Y85)))</formula>
    </cfRule>
    <cfRule type="containsText" dxfId="7699" priority="2212" operator="containsText" text="TFO">
      <formula>NOT(ISERROR(SEARCH("TFO",Y85)))</formula>
    </cfRule>
    <cfRule type="containsText" dxfId="7698" priority="2213" operator="containsText" text="AA">
      <formula>NOT(ISERROR(SEARCH("AA",Y85)))</formula>
    </cfRule>
    <cfRule type="containsText" dxfId="7697" priority="2214" operator="containsText" text="RESIGNED">
      <formula>NOT(ISERROR(SEARCH("RESIGNED",Y85)))</formula>
    </cfRule>
    <cfRule type="containsText" dxfId="7696" priority="2215" operator="containsText" text="P">
      <formula>NOT(ISERROR(SEARCH("P",Y85)))</formula>
    </cfRule>
    <cfRule type="containsText" dxfId="7695" priority="2216" operator="containsText" text="TARDY">
      <formula>NOT(ISERROR(SEARCH("TARDY",Y85)))</formula>
    </cfRule>
    <cfRule type="containsText" dxfId="7694" priority="2217" operator="containsText" text="REST DAY">
      <formula>NOT(ISERROR(SEARCH("REST DAY",Y85)))</formula>
    </cfRule>
    <cfRule type="containsText" dxfId="7693" priority="2218" operator="containsText" text="UA">
      <formula>NOT(ISERROR(SEARCH("UA",Y85)))</formula>
    </cfRule>
    <cfRule type="containsText" dxfId="7692" priority="2219" operator="containsText" text="LWOP UA">
      <formula>NOT(ISERROR(SEARCH("LWOP UA",Y85)))</formula>
    </cfRule>
  </conditionalFormatting>
  <conditionalFormatting sqref="Y86:AG86">
    <cfRule type="cellIs" dxfId="7691" priority="2279" operator="between">
      <formula>1</formula>
      <formula>400</formula>
    </cfRule>
    <cfRule type="containsText" dxfId="7690" priority="2280" operator="containsText" text="LWOP UA">
      <formula>NOT(ISERROR(SEARCH("LWOP UA",Y86)))</formula>
    </cfRule>
    <cfRule type="containsText" dxfId="7689" priority="2281" operator="containsText" text="P">
      <formula>NOT(ISERROR(SEARCH("P",Y86)))</formula>
    </cfRule>
    <cfRule type="containsText" dxfId="7688" priority="2282" operator="containsText" text="TFO">
      <formula>NOT(ISERROR(SEARCH("TFO",Y86)))</formula>
    </cfRule>
    <cfRule type="containsText" dxfId="7687" priority="2283" operator="containsText" text="AA">
      <formula>NOT(ISERROR(SEARCH("AA",Y86)))</formula>
    </cfRule>
    <cfRule type="containsText" dxfId="7686" priority="2284" operator="containsText" text="RESIGNED">
      <formula>NOT(ISERROR(SEARCH("RESIGNED",Y86)))</formula>
    </cfRule>
    <cfRule type="containsText" dxfId="7685" priority="2285" operator="containsText" text="P">
      <formula>NOT(ISERROR(SEARCH("P",Y86)))</formula>
    </cfRule>
    <cfRule type="containsText" dxfId="7684" priority="2286" operator="containsText" text="TARDY">
      <formula>NOT(ISERROR(SEARCH("TARDY",Y86)))</formula>
    </cfRule>
    <cfRule type="containsText" dxfId="7683" priority="2287" operator="containsText" text="REST DAY">
      <formula>NOT(ISERROR(SEARCH("REST DAY",Y86)))</formula>
    </cfRule>
    <cfRule type="containsText" dxfId="7682" priority="2288" operator="containsText" text="UA">
      <formula>NOT(ISERROR(SEARCH("UA",Y86)))</formula>
    </cfRule>
    <cfRule type="containsText" dxfId="7681" priority="2289" operator="containsText" text="LWOP UA">
      <formula>NOT(ISERROR(SEARCH("LWOP UA",Y86)))</formula>
    </cfRule>
  </conditionalFormatting>
  <conditionalFormatting sqref="Y87:AG87">
    <cfRule type="cellIs" dxfId="7680" priority="3723" operator="between">
      <formula>1</formula>
      <formula>400</formula>
    </cfRule>
    <cfRule type="containsText" dxfId="7679" priority="3724" operator="containsText" text="LWOP UA">
      <formula>NOT(ISERROR(SEARCH("LWOP UA",Y87)))</formula>
    </cfRule>
    <cfRule type="containsText" dxfId="7678" priority="3725" operator="containsText" text="P">
      <formula>NOT(ISERROR(SEARCH("P",Y87)))</formula>
    </cfRule>
    <cfRule type="containsText" dxfId="7677" priority="3726" operator="containsText" text="TFO">
      <formula>NOT(ISERROR(SEARCH("TFO",Y87)))</formula>
    </cfRule>
    <cfRule type="containsText" dxfId="7676" priority="3727" operator="containsText" text="AA">
      <formula>NOT(ISERROR(SEARCH("AA",Y87)))</formula>
    </cfRule>
    <cfRule type="containsText" dxfId="7675" priority="3728" operator="containsText" text="RESIGNED">
      <formula>NOT(ISERROR(SEARCH("RESIGNED",Y87)))</formula>
    </cfRule>
    <cfRule type="containsText" dxfId="7674" priority="3729" operator="containsText" text="P">
      <formula>NOT(ISERROR(SEARCH("P",Y87)))</formula>
    </cfRule>
    <cfRule type="containsText" dxfId="7673" priority="3730" operator="containsText" text="TARDY">
      <formula>NOT(ISERROR(SEARCH("TARDY",Y87)))</formula>
    </cfRule>
    <cfRule type="containsText" dxfId="7672" priority="3731" operator="containsText" text="REST DAY">
      <formula>NOT(ISERROR(SEARCH("REST DAY",Y87)))</formula>
    </cfRule>
    <cfRule type="containsText" dxfId="7671" priority="3732" operator="containsText" text="UA">
      <formula>NOT(ISERROR(SEARCH("UA",Y87)))</formula>
    </cfRule>
    <cfRule type="containsText" dxfId="7670" priority="3733" operator="containsText" text="LWOP UA">
      <formula>NOT(ISERROR(SEARCH("LWOP UA",Y87)))</formula>
    </cfRule>
  </conditionalFormatting>
  <conditionalFormatting sqref="Y88:AG88">
    <cfRule type="cellIs" dxfId="7669" priority="1521" operator="between">
      <formula>1</formula>
      <formula>400</formula>
    </cfRule>
    <cfRule type="containsText" dxfId="7668" priority="1522" operator="containsText" text="LWOP UA">
      <formula>NOT(ISERROR(SEARCH("LWOP UA",Y88)))</formula>
    </cfRule>
    <cfRule type="containsText" dxfId="7667" priority="1523" operator="containsText" text="P">
      <formula>NOT(ISERROR(SEARCH("P",Y88)))</formula>
    </cfRule>
    <cfRule type="containsText" dxfId="7666" priority="1524" operator="containsText" text="TFO">
      <formula>NOT(ISERROR(SEARCH("TFO",Y88)))</formula>
    </cfRule>
    <cfRule type="containsText" dxfId="7665" priority="1525" operator="containsText" text="AA">
      <formula>NOT(ISERROR(SEARCH("AA",Y88)))</formula>
    </cfRule>
    <cfRule type="containsText" dxfId="7664" priority="1526" operator="containsText" text="RESIGNED">
      <formula>NOT(ISERROR(SEARCH("RESIGNED",Y88)))</formula>
    </cfRule>
    <cfRule type="containsText" dxfId="7663" priority="1527" operator="containsText" text="P">
      <formula>NOT(ISERROR(SEARCH("P",Y88)))</formula>
    </cfRule>
    <cfRule type="containsText" dxfId="7662" priority="1528" operator="containsText" text="TARDY">
      <formula>NOT(ISERROR(SEARCH("TARDY",Y88)))</formula>
    </cfRule>
    <cfRule type="containsText" dxfId="7661" priority="1529" operator="containsText" text="REST DAY">
      <formula>NOT(ISERROR(SEARCH("REST DAY",Y88)))</formula>
    </cfRule>
    <cfRule type="containsText" dxfId="7660" priority="1530" operator="containsText" text="UA">
      <formula>NOT(ISERROR(SEARCH("UA",Y88)))</formula>
    </cfRule>
    <cfRule type="containsText" dxfId="7659" priority="1531" operator="containsText" text="LWOP UA">
      <formula>NOT(ISERROR(SEARCH("LWOP UA",Y88)))</formula>
    </cfRule>
  </conditionalFormatting>
  <conditionalFormatting sqref="Y89:AG89">
    <cfRule type="cellIs" dxfId="7658" priority="1507" operator="between">
      <formula>1</formula>
      <formula>400</formula>
    </cfRule>
    <cfRule type="containsText" dxfId="7657" priority="1508" operator="containsText" text="LWOP UA">
      <formula>NOT(ISERROR(SEARCH("LWOP UA",Y89)))</formula>
    </cfRule>
    <cfRule type="containsText" dxfId="7656" priority="1509" operator="containsText" text="P">
      <formula>NOT(ISERROR(SEARCH("P",Y89)))</formula>
    </cfRule>
    <cfRule type="containsText" dxfId="7655" priority="1510" operator="containsText" text="TFO">
      <formula>NOT(ISERROR(SEARCH("TFO",Y89)))</formula>
    </cfRule>
    <cfRule type="containsText" dxfId="7654" priority="1511" operator="containsText" text="AA">
      <formula>NOT(ISERROR(SEARCH("AA",Y89)))</formula>
    </cfRule>
    <cfRule type="containsText" dxfId="7653" priority="1512" operator="containsText" text="RESIGNED">
      <formula>NOT(ISERROR(SEARCH("RESIGNED",Y89)))</formula>
    </cfRule>
    <cfRule type="containsText" dxfId="7652" priority="1513" operator="containsText" text="P">
      <formula>NOT(ISERROR(SEARCH("P",Y89)))</formula>
    </cfRule>
    <cfRule type="containsText" dxfId="7651" priority="1514" operator="containsText" text="TARDY">
      <formula>NOT(ISERROR(SEARCH("TARDY",Y89)))</formula>
    </cfRule>
    <cfRule type="containsText" dxfId="7650" priority="1515" operator="containsText" text="REST DAY">
      <formula>NOT(ISERROR(SEARCH("REST DAY",Y89)))</formula>
    </cfRule>
    <cfRule type="containsText" dxfId="7649" priority="1516" operator="containsText" text="UA">
      <formula>NOT(ISERROR(SEARCH("UA",Y89)))</formula>
    </cfRule>
    <cfRule type="containsText" dxfId="7648" priority="1517" operator="containsText" text="LWOP UA">
      <formula>NOT(ISERROR(SEARCH("LWOP UA",Y89)))</formula>
    </cfRule>
  </conditionalFormatting>
  <conditionalFormatting sqref="Y90:AG90">
    <cfRule type="containsText" dxfId="7647" priority="1189" operator="containsText" text="VL">
      <formula>NOT(ISERROR(SEARCH("VL",Y90)))</formula>
    </cfRule>
    <cfRule type="containsText" dxfId="7646" priority="1190" operator="containsText" text="RD">
      <formula>NOT(ISERROR(SEARCH("RD",Y90)))</formula>
    </cfRule>
    <cfRule type="containsText" dxfId="7645" priority="1191" operator="containsText" text="540">
      <formula>NOT(ISERROR(SEARCH("540",Y90)))</formula>
    </cfRule>
    <cfRule type="cellIs" dxfId="7644" priority="1192" operator="between">
      <formula>1</formula>
      <formula>400</formula>
    </cfRule>
    <cfRule type="containsText" dxfId="7643" priority="1193" operator="containsText" text="LWOP UA">
      <formula>NOT(ISERROR(SEARCH("LWOP UA",Y90)))</formula>
    </cfRule>
    <cfRule type="containsText" dxfId="7642" priority="1194" operator="containsText" text="P">
      <formula>NOT(ISERROR(SEARCH("P",Y90)))</formula>
    </cfRule>
    <cfRule type="containsText" dxfId="7641" priority="1195" operator="containsText" text="TFO">
      <formula>NOT(ISERROR(SEARCH("TFO",Y90)))</formula>
    </cfRule>
    <cfRule type="containsText" dxfId="7640" priority="1196" operator="containsText" text="AA">
      <formula>NOT(ISERROR(SEARCH("AA",Y90)))</formula>
    </cfRule>
    <cfRule type="containsText" dxfId="7639" priority="1197" operator="containsText" text="RESIGNED">
      <formula>NOT(ISERROR(SEARCH("RESIGNED",Y90)))</formula>
    </cfRule>
    <cfRule type="containsText" dxfId="7638" priority="1198" operator="containsText" text="P">
      <formula>NOT(ISERROR(SEARCH("P",Y90)))</formula>
    </cfRule>
    <cfRule type="containsText" dxfId="7637" priority="1199" operator="containsText" text="TARDY">
      <formula>NOT(ISERROR(SEARCH("TARDY",Y90)))</formula>
    </cfRule>
    <cfRule type="containsText" dxfId="7636" priority="1200" operator="containsText" text="REST DAY">
      <formula>NOT(ISERROR(SEARCH("REST DAY",Y90)))</formula>
    </cfRule>
    <cfRule type="containsText" dxfId="7635" priority="1201" operator="containsText" text="UA">
      <formula>NOT(ISERROR(SEARCH("UA",Y90)))</formula>
    </cfRule>
    <cfRule type="containsText" dxfId="7634" priority="1202" operator="containsText" text="LWOP UA">
      <formula>NOT(ISERROR(SEARCH("LWOP UA",Y90)))</formula>
    </cfRule>
  </conditionalFormatting>
  <conditionalFormatting sqref="Y91:AG91">
    <cfRule type="cellIs" dxfId="7633" priority="1493" operator="between">
      <formula>1</formula>
      <formula>400</formula>
    </cfRule>
    <cfRule type="containsText" dxfId="7632" priority="1494" operator="containsText" text="LWOP UA">
      <formula>NOT(ISERROR(SEARCH("LWOP UA",Y91)))</formula>
    </cfRule>
    <cfRule type="containsText" dxfId="7631" priority="1495" operator="containsText" text="P">
      <formula>NOT(ISERROR(SEARCH("P",Y91)))</formula>
    </cfRule>
    <cfRule type="containsText" dxfId="7630" priority="1496" operator="containsText" text="TFO">
      <formula>NOT(ISERROR(SEARCH("TFO",Y91)))</formula>
    </cfRule>
    <cfRule type="containsText" dxfId="7629" priority="1497" operator="containsText" text="AA">
      <formula>NOT(ISERROR(SEARCH("AA",Y91)))</formula>
    </cfRule>
    <cfRule type="containsText" dxfId="7628" priority="1498" operator="containsText" text="RESIGNED">
      <formula>NOT(ISERROR(SEARCH("RESIGNED",Y91)))</formula>
    </cfRule>
    <cfRule type="containsText" dxfId="7627" priority="1499" operator="containsText" text="P">
      <formula>NOT(ISERROR(SEARCH("P",Y91)))</formula>
    </cfRule>
    <cfRule type="containsText" dxfId="7626" priority="1500" operator="containsText" text="TARDY">
      <formula>NOT(ISERROR(SEARCH("TARDY",Y91)))</formula>
    </cfRule>
    <cfRule type="containsText" dxfId="7625" priority="1501" operator="containsText" text="REST DAY">
      <formula>NOT(ISERROR(SEARCH("REST DAY",Y91)))</formula>
    </cfRule>
    <cfRule type="containsText" dxfId="7624" priority="1502" operator="containsText" text="UA">
      <formula>NOT(ISERROR(SEARCH("UA",Y91)))</formula>
    </cfRule>
    <cfRule type="containsText" dxfId="7623" priority="1503" operator="containsText" text="LWOP UA">
      <formula>NOT(ISERROR(SEARCH("LWOP UA",Y91)))</formula>
    </cfRule>
  </conditionalFormatting>
  <conditionalFormatting sqref="Y92:AG92">
    <cfRule type="containsText" dxfId="7622" priority="175" operator="containsText" text="540">
      <formula>NOT(ISERROR(SEARCH("540",Y92)))</formula>
    </cfRule>
    <cfRule type="cellIs" dxfId="7621" priority="176" operator="between">
      <formula>1</formula>
      <formula>400</formula>
    </cfRule>
    <cfRule type="containsText" dxfId="7620" priority="177" operator="containsText" text="LWOP UA">
      <formula>NOT(ISERROR(SEARCH("LWOP UA",Y92)))</formula>
    </cfRule>
    <cfRule type="containsText" dxfId="7619" priority="178" operator="containsText" text="P">
      <formula>NOT(ISERROR(SEARCH("P",Y92)))</formula>
    </cfRule>
    <cfRule type="containsText" dxfId="7618" priority="179" operator="containsText" text="TFO">
      <formula>NOT(ISERROR(SEARCH("TFO",Y92)))</formula>
    </cfRule>
    <cfRule type="containsText" dxfId="7617" priority="180" operator="containsText" text="AA">
      <formula>NOT(ISERROR(SEARCH("AA",Y92)))</formula>
    </cfRule>
    <cfRule type="containsText" dxfId="7616" priority="181" operator="containsText" text="RESIGNED">
      <formula>NOT(ISERROR(SEARCH("RESIGNED",Y92)))</formula>
    </cfRule>
    <cfRule type="containsText" dxfId="7615" priority="182" operator="containsText" text="P">
      <formula>NOT(ISERROR(SEARCH("P",Y92)))</formula>
    </cfRule>
    <cfRule type="containsText" dxfId="7614" priority="183" operator="containsText" text="TARDY">
      <formula>NOT(ISERROR(SEARCH("TARDY",Y92)))</formula>
    </cfRule>
    <cfRule type="containsText" dxfId="7613" priority="184" operator="containsText" text="REST DAY">
      <formula>NOT(ISERROR(SEARCH("REST DAY",Y92)))</formula>
    </cfRule>
    <cfRule type="containsText" dxfId="7612" priority="185" operator="containsText" text="UA">
      <formula>NOT(ISERROR(SEARCH("UA",Y92)))</formula>
    </cfRule>
    <cfRule type="containsText" dxfId="7611" priority="186" operator="containsText" text="LWOP UA">
      <formula>NOT(ISERROR(SEARCH("LWOP UA",Y92)))</formula>
    </cfRule>
  </conditionalFormatting>
  <conditionalFormatting sqref="Y92:AG93">
    <cfRule type="containsText" dxfId="7610" priority="141" operator="containsText" text="VL">
      <formula>NOT(ISERROR(SEARCH("VL",Y92)))</formula>
    </cfRule>
    <cfRule type="containsText" dxfId="7609" priority="142" operator="containsText" text="RD">
      <formula>NOT(ISERROR(SEARCH("RD",Y92)))</formula>
    </cfRule>
  </conditionalFormatting>
  <conditionalFormatting sqref="Y93:AG93">
    <cfRule type="containsText" dxfId="7608" priority="143" operator="containsText" text="540">
      <formula>NOT(ISERROR(SEARCH("540",Y93)))</formula>
    </cfRule>
    <cfRule type="cellIs" dxfId="7607" priority="144" operator="between">
      <formula>1</formula>
      <formula>400</formula>
    </cfRule>
    <cfRule type="containsText" dxfId="7606" priority="154" operator="containsText" text="LWOP UA">
      <formula>NOT(ISERROR(SEARCH("LWOP UA",Y93)))</formula>
    </cfRule>
  </conditionalFormatting>
  <conditionalFormatting sqref="Y94:AG94">
    <cfRule type="cellIs" dxfId="7605" priority="1160" operator="between">
      <formula>1</formula>
      <formula>400</formula>
    </cfRule>
    <cfRule type="containsText" dxfId="7604" priority="1161" operator="containsText" text="LWOP UA">
      <formula>NOT(ISERROR(SEARCH("LWOP UA",Y94)))</formula>
    </cfRule>
    <cfRule type="containsText" dxfId="7603" priority="1162" operator="containsText" text="P">
      <formula>NOT(ISERROR(SEARCH("P",Y94)))</formula>
    </cfRule>
    <cfRule type="containsText" dxfId="7602" priority="1163" operator="containsText" text="TFO">
      <formula>NOT(ISERROR(SEARCH("TFO",Y94)))</formula>
    </cfRule>
    <cfRule type="containsText" dxfId="7601" priority="1164" operator="containsText" text="AA">
      <formula>NOT(ISERROR(SEARCH("AA",Y94)))</formula>
    </cfRule>
    <cfRule type="containsText" dxfId="7600" priority="1165" operator="containsText" text="RESIGNED">
      <formula>NOT(ISERROR(SEARCH("RESIGNED",Y94)))</formula>
    </cfRule>
    <cfRule type="containsText" dxfId="7599" priority="1166" operator="containsText" text="P">
      <formula>NOT(ISERROR(SEARCH("P",Y94)))</formula>
    </cfRule>
    <cfRule type="containsText" dxfId="7598" priority="1167" operator="containsText" text="TARDY">
      <formula>NOT(ISERROR(SEARCH("TARDY",Y94)))</formula>
    </cfRule>
    <cfRule type="containsText" dxfId="7597" priority="1168" operator="containsText" text="REST DAY">
      <formula>NOT(ISERROR(SEARCH("REST DAY",Y94)))</formula>
    </cfRule>
    <cfRule type="containsText" dxfId="7596" priority="1169" operator="containsText" text="UA">
      <formula>NOT(ISERROR(SEARCH("UA",Y94)))</formula>
    </cfRule>
    <cfRule type="containsText" dxfId="7595" priority="1170" operator="containsText" text="LWOP UA">
      <formula>NOT(ISERROR(SEARCH("LWOP UA",Y94)))</formula>
    </cfRule>
  </conditionalFormatting>
  <conditionalFormatting sqref="Z57">
    <cfRule type="containsText" dxfId="7594" priority="1240" operator="containsText" text="P">
      <formula>NOT(ISERROR(SEARCH("P",Z57)))</formula>
    </cfRule>
    <cfRule type="containsText" dxfId="7593" priority="1241" operator="containsText" text="TFO">
      <formula>NOT(ISERROR(SEARCH("TFO",Z57)))</formula>
    </cfRule>
    <cfRule type="containsText" dxfId="7592" priority="1242" operator="containsText" text="AA">
      <formula>NOT(ISERROR(SEARCH("AA",Z57)))</formula>
    </cfRule>
    <cfRule type="containsText" dxfId="7591" priority="1243" operator="containsText" text="RESIGNED">
      <formula>NOT(ISERROR(SEARCH("RESIGNED",Z57)))</formula>
    </cfRule>
    <cfRule type="containsText" dxfId="7590" priority="1244" operator="containsText" text="P">
      <formula>NOT(ISERROR(SEARCH("P",Z57)))</formula>
    </cfRule>
    <cfRule type="containsText" dxfId="7589" priority="1245" operator="containsText" text="TARDY">
      <formula>NOT(ISERROR(SEARCH("TARDY",Z57)))</formula>
    </cfRule>
    <cfRule type="containsText" dxfId="7588" priority="1246" operator="containsText" text="REST DAY">
      <formula>NOT(ISERROR(SEARCH("REST DAY",Z57)))</formula>
    </cfRule>
    <cfRule type="containsText" dxfId="7587" priority="1247" operator="containsText" text="UA">
      <formula>NOT(ISERROR(SEARCH("UA",Z57)))</formula>
    </cfRule>
    <cfRule type="containsText" dxfId="7586" priority="1248" operator="containsText" text="LWOP UA">
      <formula>NOT(ISERROR(SEARCH("LWOP UA",Z57)))</formula>
    </cfRule>
  </conditionalFormatting>
  <conditionalFormatting sqref="Z59">
    <cfRule type="containsText" dxfId="7585" priority="85" operator="containsText" text="P">
      <formula>NOT(ISERROR(SEARCH("P",Z59)))</formula>
    </cfRule>
    <cfRule type="containsText" dxfId="7584" priority="86" operator="containsText" text="TFO">
      <formula>NOT(ISERROR(SEARCH("TFO",Z59)))</formula>
    </cfRule>
    <cfRule type="containsText" dxfId="7583" priority="87" operator="containsText" text="AA">
      <formula>NOT(ISERROR(SEARCH("AA",Z59)))</formula>
    </cfRule>
    <cfRule type="containsText" dxfId="7582" priority="88" operator="containsText" text="RESIGNED">
      <formula>NOT(ISERROR(SEARCH("RESIGNED",Z59)))</formula>
    </cfRule>
    <cfRule type="containsText" dxfId="7581" priority="89" operator="containsText" text="P">
      <formula>NOT(ISERROR(SEARCH("P",Z59)))</formula>
    </cfRule>
    <cfRule type="containsText" dxfId="7580" priority="90" operator="containsText" text="TARDY">
      <formula>NOT(ISERROR(SEARCH("TARDY",Z59)))</formula>
    </cfRule>
    <cfRule type="containsText" dxfId="7579" priority="91" operator="containsText" text="REST DAY">
      <formula>NOT(ISERROR(SEARCH("REST DAY",Z59)))</formula>
    </cfRule>
    <cfRule type="containsText" dxfId="7578" priority="92" operator="containsText" text="UA">
      <formula>NOT(ISERROR(SEARCH("UA",Z59)))</formula>
    </cfRule>
  </conditionalFormatting>
  <conditionalFormatting sqref="Z68">
    <cfRule type="containsText" dxfId="7577" priority="3813" operator="containsText" text="P">
      <formula>NOT(ISERROR(SEARCH("P",Z68)))</formula>
    </cfRule>
    <cfRule type="containsText" dxfId="7576" priority="3814" operator="containsText" text="TFO">
      <formula>NOT(ISERROR(SEARCH("TFO",Z68)))</formula>
    </cfRule>
    <cfRule type="containsText" dxfId="7575" priority="3815" operator="containsText" text="AA">
      <formula>NOT(ISERROR(SEARCH("AA",Z68)))</formula>
    </cfRule>
    <cfRule type="containsText" dxfId="7574" priority="3816" operator="containsText" text="RESIGNED">
      <formula>NOT(ISERROR(SEARCH("RESIGNED",Z68)))</formula>
    </cfRule>
    <cfRule type="containsText" dxfId="7573" priority="3817" operator="containsText" text="P">
      <formula>NOT(ISERROR(SEARCH("P",Z68)))</formula>
    </cfRule>
    <cfRule type="containsText" dxfId="7572" priority="3818" operator="containsText" text="TARDY">
      <formula>NOT(ISERROR(SEARCH("TARDY",Z68)))</formula>
    </cfRule>
    <cfRule type="containsText" dxfId="7571" priority="3819" operator="containsText" text="REST DAY">
      <formula>NOT(ISERROR(SEARCH("REST DAY",Z68)))</formula>
    </cfRule>
    <cfRule type="containsText" dxfId="7570" priority="3820" operator="containsText" text="UA">
      <formula>NOT(ISERROR(SEARCH("UA",Z68)))</formula>
    </cfRule>
  </conditionalFormatting>
  <conditionalFormatting sqref="Z49:AG49">
    <cfRule type="containsText" dxfId="7569" priority="3845" operator="containsText" text="P">
      <formula>NOT(ISERROR(SEARCH("P",Z49)))</formula>
    </cfRule>
    <cfRule type="containsText" dxfId="7568" priority="3846" operator="containsText" text="TFO">
      <formula>NOT(ISERROR(SEARCH("TFO",Z49)))</formula>
    </cfRule>
    <cfRule type="containsText" dxfId="7567" priority="3847" operator="containsText" text="AA">
      <formula>NOT(ISERROR(SEARCH("AA",Z49)))</formula>
    </cfRule>
    <cfRule type="containsText" dxfId="7566" priority="3848" operator="containsText" text="RESIGNED">
      <formula>NOT(ISERROR(SEARCH("RESIGNED",Z49)))</formula>
    </cfRule>
    <cfRule type="containsText" dxfId="7565" priority="3849" operator="containsText" text="P">
      <formula>NOT(ISERROR(SEARCH("P",Z49)))</formula>
    </cfRule>
    <cfRule type="containsText" dxfId="7564" priority="3850" operator="containsText" text="TARDY">
      <formula>NOT(ISERROR(SEARCH("TARDY",Z49)))</formula>
    </cfRule>
    <cfRule type="containsText" dxfId="7563" priority="3851" operator="containsText" text="REST DAY">
      <formula>NOT(ISERROR(SEARCH("REST DAY",Z49)))</formula>
    </cfRule>
    <cfRule type="containsText" dxfId="7562" priority="3852" operator="containsText" text="UA">
      <formula>NOT(ISERROR(SEARCH("UA",Z49)))</formula>
    </cfRule>
    <cfRule type="containsText" dxfId="7561" priority="3853" operator="containsText" text="LWOP UA">
      <formula>NOT(ISERROR(SEARCH("LWOP UA",Z49)))</formula>
    </cfRule>
  </conditionalFormatting>
  <conditionalFormatting sqref="Z59:AG59">
    <cfRule type="containsText" dxfId="7560" priority="93" operator="containsText" text="LWOP UA">
      <formula>NOT(ISERROR(SEARCH("LWOP UA",Z59)))</formula>
    </cfRule>
  </conditionalFormatting>
  <conditionalFormatting sqref="Z68:AG68">
    <cfRule type="containsText" dxfId="7559" priority="3821" operator="containsText" text="LWOP UA">
      <formula>NOT(ISERROR(SEARCH("LWOP UA",Z68)))</formula>
    </cfRule>
  </conditionalFormatting>
  <conditionalFormatting sqref="Z76:AG76">
    <cfRule type="containsText" dxfId="7558" priority="3790" operator="containsText" text="P">
      <formula>NOT(ISERROR(SEARCH("P",Z76)))</formula>
    </cfRule>
    <cfRule type="containsText" dxfId="7557" priority="3791" operator="containsText" text="TFO">
      <formula>NOT(ISERROR(SEARCH("TFO",Z76)))</formula>
    </cfRule>
    <cfRule type="containsText" dxfId="7556" priority="3792" operator="containsText" text="AA">
      <formula>NOT(ISERROR(SEARCH("AA",Z76)))</formula>
    </cfRule>
    <cfRule type="containsText" dxfId="7555" priority="3793" operator="containsText" text="RESIGNED">
      <formula>NOT(ISERROR(SEARCH("RESIGNED",Z76)))</formula>
    </cfRule>
    <cfRule type="containsText" dxfId="7554" priority="3794" operator="containsText" text="P">
      <formula>NOT(ISERROR(SEARCH("P",Z76)))</formula>
    </cfRule>
    <cfRule type="containsText" dxfId="7553" priority="3795" operator="containsText" text="TARDY">
      <formula>NOT(ISERROR(SEARCH("TARDY",Z76)))</formula>
    </cfRule>
    <cfRule type="containsText" dxfId="7552" priority="3796" operator="containsText" text="REST DAY">
      <formula>NOT(ISERROR(SEARCH("REST DAY",Z76)))</formula>
    </cfRule>
    <cfRule type="containsText" dxfId="7551" priority="3797" operator="containsText" text="UA">
      <formula>NOT(ISERROR(SEARCH("UA",Z76)))</formula>
    </cfRule>
    <cfRule type="containsText" dxfId="7550" priority="3798" operator="containsText" text="LWOP UA">
      <formula>NOT(ISERROR(SEARCH("LWOP UA",Z76)))</formula>
    </cfRule>
  </conditionalFormatting>
  <conditionalFormatting sqref="AA4:AB4">
    <cfRule type="containsText" dxfId="7549" priority="2429" operator="containsText" text="LWOP UA">
      <formula>NOT(ISERROR(SEARCH("LWOP UA",AA4)))</formula>
    </cfRule>
    <cfRule type="containsText" dxfId="7548" priority="2430" operator="containsText" text="P">
      <formula>NOT(ISERROR(SEARCH("P",AA4)))</formula>
    </cfRule>
    <cfRule type="containsText" dxfId="7547" priority="2431" operator="containsText" text="TFO">
      <formula>NOT(ISERROR(SEARCH("TFO",AA4)))</formula>
    </cfRule>
    <cfRule type="containsText" dxfId="7546" priority="2432" operator="containsText" text="AA">
      <formula>NOT(ISERROR(SEARCH("AA",AA4)))</formula>
    </cfRule>
    <cfRule type="containsText" dxfId="7545" priority="2433" operator="containsText" text="RESIGNED">
      <formula>NOT(ISERROR(SEARCH("RESIGNED",AA4)))</formula>
    </cfRule>
    <cfRule type="containsText" dxfId="7544" priority="2434" operator="containsText" text="P">
      <formula>NOT(ISERROR(SEARCH("P",AA4)))</formula>
    </cfRule>
    <cfRule type="containsText" dxfId="7543" priority="2435" operator="containsText" text="TARDY">
      <formula>NOT(ISERROR(SEARCH("TARDY",AA4)))</formula>
    </cfRule>
    <cfRule type="containsText" dxfId="7542" priority="2436" operator="containsText" text="REST DAY">
      <formula>NOT(ISERROR(SEARCH("REST DAY",AA4)))</formula>
    </cfRule>
    <cfRule type="containsText" dxfId="7541" priority="2437" operator="containsText" text="UA">
      <formula>NOT(ISERROR(SEARCH("UA",AA4)))</formula>
    </cfRule>
  </conditionalFormatting>
  <conditionalFormatting sqref="AA5:AB5">
    <cfRule type="containsText" dxfId="7540" priority="3937" operator="containsText" text="LWOP UA">
      <formula>NOT(ISERROR(SEARCH("LWOP UA",AA5)))</formula>
    </cfRule>
    <cfRule type="containsText" dxfId="7539" priority="3938" operator="containsText" text="P">
      <formula>NOT(ISERROR(SEARCH("P",AA5)))</formula>
    </cfRule>
    <cfRule type="containsText" dxfId="7538" priority="3939" operator="containsText" text="TFO">
      <formula>NOT(ISERROR(SEARCH("TFO",AA5)))</formula>
    </cfRule>
    <cfRule type="containsText" dxfId="7537" priority="3940" operator="containsText" text="AA">
      <formula>NOT(ISERROR(SEARCH("AA",AA5)))</formula>
    </cfRule>
    <cfRule type="containsText" dxfId="7536" priority="3941" operator="containsText" text="RESIGNED">
      <formula>NOT(ISERROR(SEARCH("RESIGNED",AA5)))</formula>
    </cfRule>
    <cfRule type="containsText" dxfId="7535" priority="3942" operator="containsText" text="P">
      <formula>NOT(ISERROR(SEARCH("P",AA5)))</formula>
    </cfRule>
    <cfRule type="containsText" dxfId="7534" priority="3943" operator="containsText" text="TARDY">
      <formula>NOT(ISERROR(SEARCH("TARDY",AA5)))</formula>
    </cfRule>
    <cfRule type="containsText" dxfId="7533" priority="3944" operator="containsText" text="REST DAY">
      <formula>NOT(ISERROR(SEARCH("REST DAY",AA5)))</formula>
    </cfRule>
    <cfRule type="containsText" dxfId="7532" priority="3945" operator="containsText" text="UA">
      <formula>NOT(ISERROR(SEARCH("UA",AA5)))</formula>
    </cfRule>
  </conditionalFormatting>
  <conditionalFormatting sqref="AA33:AB33">
    <cfRule type="containsText" dxfId="7531" priority="470" operator="containsText" text="LWOP UA">
      <formula>NOT(ISERROR(SEARCH("LWOP UA",AA33)))</formula>
    </cfRule>
    <cfRule type="containsText" dxfId="7530" priority="471" operator="containsText" text="P">
      <formula>NOT(ISERROR(SEARCH("P",AA33)))</formula>
    </cfRule>
    <cfRule type="containsText" dxfId="7529" priority="472" operator="containsText" text="TFO">
      <formula>NOT(ISERROR(SEARCH("TFO",AA33)))</formula>
    </cfRule>
    <cfRule type="containsText" dxfId="7528" priority="473" operator="containsText" text="AA">
      <formula>NOT(ISERROR(SEARCH("AA",AA33)))</formula>
    </cfRule>
    <cfRule type="containsText" dxfId="7527" priority="474" operator="containsText" text="RESIGNED">
      <formula>NOT(ISERROR(SEARCH("RESIGNED",AA33)))</formula>
    </cfRule>
    <cfRule type="containsText" dxfId="7526" priority="475" operator="containsText" text="P">
      <formula>NOT(ISERROR(SEARCH("P",AA33)))</formula>
    </cfRule>
    <cfRule type="containsText" dxfId="7525" priority="476" operator="containsText" text="TARDY">
      <formula>NOT(ISERROR(SEARCH("TARDY",AA33)))</formula>
    </cfRule>
    <cfRule type="containsText" dxfId="7524" priority="477" operator="containsText" text="REST DAY">
      <formula>NOT(ISERROR(SEARCH("REST DAY",AA33)))</formula>
    </cfRule>
    <cfRule type="containsText" dxfId="7523" priority="478" operator="containsText" text="UA">
      <formula>NOT(ISERROR(SEARCH("UA",AA33)))</formula>
    </cfRule>
  </conditionalFormatting>
  <conditionalFormatting sqref="AA39:AB39">
    <cfRule type="containsText" dxfId="7522" priority="392" operator="containsText" text="LWOP UA">
      <formula>NOT(ISERROR(SEARCH("LWOP UA",AA39)))</formula>
    </cfRule>
    <cfRule type="containsText" dxfId="7521" priority="393" operator="containsText" text="P">
      <formula>NOT(ISERROR(SEARCH("P",AA39)))</formula>
    </cfRule>
    <cfRule type="containsText" dxfId="7520" priority="394" operator="containsText" text="TFO">
      <formula>NOT(ISERROR(SEARCH("TFO",AA39)))</formula>
    </cfRule>
    <cfRule type="containsText" dxfId="7519" priority="395" operator="containsText" text="AA">
      <formula>NOT(ISERROR(SEARCH("AA",AA39)))</formula>
    </cfRule>
    <cfRule type="containsText" dxfId="7518" priority="396" operator="containsText" text="RESIGNED">
      <formula>NOT(ISERROR(SEARCH("RESIGNED",AA39)))</formula>
    </cfRule>
    <cfRule type="containsText" dxfId="7517" priority="397" operator="containsText" text="P">
      <formula>NOT(ISERROR(SEARCH("P",AA39)))</formula>
    </cfRule>
    <cfRule type="containsText" dxfId="7516" priority="398" operator="containsText" text="TARDY">
      <formula>NOT(ISERROR(SEARCH("TARDY",AA39)))</formula>
    </cfRule>
    <cfRule type="containsText" dxfId="7515" priority="399" operator="containsText" text="REST DAY">
      <formula>NOT(ISERROR(SEARCH("REST DAY",AA39)))</formula>
    </cfRule>
    <cfRule type="containsText" dxfId="7514" priority="400" operator="containsText" text="UA">
      <formula>NOT(ISERROR(SEARCH("UA",AA39)))</formula>
    </cfRule>
  </conditionalFormatting>
  <conditionalFormatting sqref="AA65:AB65">
    <cfRule type="containsText" dxfId="7513" priority="244" operator="containsText" text="LWOP UA">
      <formula>NOT(ISERROR(SEARCH("LWOP UA",AA65)))</formula>
    </cfRule>
    <cfRule type="containsText" dxfId="7512" priority="245" operator="containsText" text="P">
      <formula>NOT(ISERROR(SEARCH("P",AA65)))</formula>
    </cfRule>
    <cfRule type="containsText" dxfId="7511" priority="246" operator="containsText" text="TFO">
      <formula>NOT(ISERROR(SEARCH("TFO",AA65)))</formula>
    </cfRule>
    <cfRule type="containsText" dxfId="7510" priority="247" operator="containsText" text="AA">
      <formula>NOT(ISERROR(SEARCH("AA",AA65)))</formula>
    </cfRule>
    <cfRule type="containsText" dxfId="7509" priority="248" operator="containsText" text="RESIGNED">
      <formula>NOT(ISERROR(SEARCH("RESIGNED",AA65)))</formula>
    </cfRule>
    <cfRule type="containsText" dxfId="7508" priority="249" operator="containsText" text="P">
      <formula>NOT(ISERROR(SEARCH("P",AA65)))</formula>
    </cfRule>
    <cfRule type="containsText" dxfId="7507" priority="250" operator="containsText" text="TARDY">
      <formula>NOT(ISERROR(SEARCH("TARDY",AA65)))</formula>
    </cfRule>
    <cfRule type="containsText" dxfId="7506" priority="251" operator="containsText" text="REST DAY">
      <formula>NOT(ISERROR(SEARCH("REST DAY",AA65)))</formula>
    </cfRule>
    <cfRule type="containsText" dxfId="7505" priority="252" operator="containsText" text="UA">
      <formula>NOT(ISERROR(SEARCH("UA",AA65)))</formula>
    </cfRule>
  </conditionalFormatting>
  <conditionalFormatting sqref="AA74:AB74">
    <cfRule type="containsText" dxfId="7504" priority="220" operator="containsText" text="LWOP UA">
      <formula>NOT(ISERROR(SEARCH("LWOP UA",AA74)))</formula>
    </cfRule>
    <cfRule type="containsText" dxfId="7503" priority="221" operator="containsText" text="P">
      <formula>NOT(ISERROR(SEARCH("P",AA74)))</formula>
    </cfRule>
    <cfRule type="containsText" dxfId="7502" priority="222" operator="containsText" text="TFO">
      <formula>NOT(ISERROR(SEARCH("TFO",AA74)))</formula>
    </cfRule>
    <cfRule type="containsText" dxfId="7501" priority="223" operator="containsText" text="AA">
      <formula>NOT(ISERROR(SEARCH("AA",AA74)))</formula>
    </cfRule>
    <cfRule type="containsText" dxfId="7500" priority="224" operator="containsText" text="RESIGNED">
      <formula>NOT(ISERROR(SEARCH("RESIGNED",AA74)))</formula>
    </cfRule>
    <cfRule type="containsText" dxfId="7499" priority="225" operator="containsText" text="P">
      <formula>NOT(ISERROR(SEARCH("P",AA74)))</formula>
    </cfRule>
    <cfRule type="containsText" dxfId="7498" priority="226" operator="containsText" text="TARDY">
      <formula>NOT(ISERROR(SEARCH("TARDY",AA74)))</formula>
    </cfRule>
    <cfRule type="containsText" dxfId="7497" priority="227" operator="containsText" text="REST DAY">
      <formula>NOT(ISERROR(SEARCH("REST DAY",AA74)))</formula>
    </cfRule>
    <cfRule type="containsText" dxfId="7496" priority="228" operator="containsText" text="UA">
      <formula>NOT(ISERROR(SEARCH("UA",AA74)))</formula>
    </cfRule>
  </conditionalFormatting>
  <conditionalFormatting sqref="AA81:AB81">
    <cfRule type="containsText" dxfId="7495" priority="2294" operator="containsText" text="LWOP UA">
      <formula>NOT(ISERROR(SEARCH("LWOP UA",AA81)))</formula>
    </cfRule>
    <cfRule type="containsText" dxfId="7494" priority="2295" operator="containsText" text="P">
      <formula>NOT(ISERROR(SEARCH("P",AA81)))</formula>
    </cfRule>
    <cfRule type="containsText" dxfId="7493" priority="2296" operator="containsText" text="TFO">
      <formula>NOT(ISERROR(SEARCH("TFO",AA81)))</formula>
    </cfRule>
    <cfRule type="containsText" dxfId="7492" priority="2297" operator="containsText" text="AA">
      <formula>NOT(ISERROR(SEARCH("AA",AA81)))</formula>
    </cfRule>
    <cfRule type="containsText" dxfId="7491" priority="2298" operator="containsText" text="RESIGNED">
      <formula>NOT(ISERROR(SEARCH("RESIGNED",AA81)))</formula>
    </cfRule>
    <cfRule type="containsText" dxfId="7490" priority="2299" operator="containsText" text="P">
      <formula>NOT(ISERROR(SEARCH("P",AA81)))</formula>
    </cfRule>
    <cfRule type="containsText" dxfId="7489" priority="2300" operator="containsText" text="TARDY">
      <formula>NOT(ISERROR(SEARCH("TARDY",AA81)))</formula>
    </cfRule>
    <cfRule type="containsText" dxfId="7488" priority="2301" operator="containsText" text="REST DAY">
      <formula>NOT(ISERROR(SEARCH("REST DAY",AA81)))</formula>
    </cfRule>
    <cfRule type="containsText" dxfId="7487" priority="2302" operator="containsText" text="UA">
      <formula>NOT(ISERROR(SEARCH("UA",AA81)))</formula>
    </cfRule>
  </conditionalFormatting>
  <conditionalFormatting sqref="AA93:AB93">
    <cfRule type="containsText" dxfId="7486" priority="145" operator="containsText" text="LWOP UA">
      <formula>NOT(ISERROR(SEARCH("LWOP UA",AA93)))</formula>
    </cfRule>
    <cfRule type="containsText" dxfId="7485" priority="146" operator="containsText" text="P">
      <formula>NOT(ISERROR(SEARCH("P",AA93)))</formula>
    </cfRule>
    <cfRule type="containsText" dxfId="7484" priority="147" operator="containsText" text="TFO">
      <formula>NOT(ISERROR(SEARCH("TFO",AA93)))</formula>
    </cfRule>
    <cfRule type="containsText" dxfId="7483" priority="148" operator="containsText" text="AA">
      <formula>NOT(ISERROR(SEARCH("AA",AA93)))</formula>
    </cfRule>
    <cfRule type="containsText" dxfId="7482" priority="149" operator="containsText" text="RESIGNED">
      <formula>NOT(ISERROR(SEARCH("RESIGNED",AA93)))</formula>
    </cfRule>
    <cfRule type="containsText" dxfId="7481" priority="150" operator="containsText" text="P">
      <formula>NOT(ISERROR(SEARCH("P",AA93)))</formula>
    </cfRule>
    <cfRule type="containsText" dxfId="7480" priority="151" operator="containsText" text="TARDY">
      <formula>NOT(ISERROR(SEARCH("TARDY",AA93)))</formula>
    </cfRule>
    <cfRule type="containsText" dxfId="7479" priority="152" operator="containsText" text="REST DAY">
      <formula>NOT(ISERROR(SEARCH("REST DAY",AA93)))</formula>
    </cfRule>
    <cfRule type="containsText" dxfId="7478" priority="153" operator="containsText" text="UA">
      <formula>NOT(ISERROR(SEARCH("UA",AA93)))</formula>
    </cfRule>
  </conditionalFormatting>
  <conditionalFormatting sqref="AA12:AG12">
    <cfRule type="containsText" dxfId="7477" priority="591" operator="containsText" text="P">
      <formula>NOT(ISERROR(SEARCH("P",AA12)))</formula>
    </cfRule>
    <cfRule type="containsText" dxfId="7476" priority="592" operator="containsText" text="TFO">
      <formula>NOT(ISERROR(SEARCH("TFO",AA12)))</formula>
    </cfRule>
    <cfRule type="containsText" dxfId="7475" priority="593" operator="containsText" text="AA">
      <formula>NOT(ISERROR(SEARCH("AA",AA12)))</formula>
    </cfRule>
    <cfRule type="containsText" dxfId="7474" priority="594" operator="containsText" text="RESIGNED">
      <formula>NOT(ISERROR(SEARCH("RESIGNED",AA12)))</formula>
    </cfRule>
    <cfRule type="containsText" dxfId="7473" priority="595" operator="containsText" text="P">
      <formula>NOT(ISERROR(SEARCH("P",AA12)))</formula>
    </cfRule>
    <cfRule type="containsText" dxfId="7472" priority="596" operator="containsText" text="TARDY">
      <formula>NOT(ISERROR(SEARCH("TARDY",AA12)))</formula>
    </cfRule>
    <cfRule type="containsText" dxfId="7471" priority="597" operator="containsText" text="REST DAY">
      <formula>NOT(ISERROR(SEARCH("REST DAY",AA12)))</formula>
    </cfRule>
    <cfRule type="containsText" dxfId="7470" priority="598" operator="containsText" text="UA">
      <formula>NOT(ISERROR(SEARCH("UA",AA12)))</formula>
    </cfRule>
    <cfRule type="containsText" dxfId="7469" priority="599" operator="containsText" text="LWOP UA">
      <formula>NOT(ISERROR(SEARCH("LWOP UA",AA12)))</formula>
    </cfRule>
  </conditionalFormatting>
  <conditionalFormatting sqref="AA48:AG48">
    <cfRule type="containsText" dxfId="7468" priority="351" operator="containsText" text="P">
      <formula>NOT(ISERROR(SEARCH("P",AA48)))</formula>
    </cfRule>
    <cfRule type="containsText" dxfId="7467" priority="352" operator="containsText" text="TFO">
      <formula>NOT(ISERROR(SEARCH("TFO",AA48)))</formula>
    </cfRule>
    <cfRule type="containsText" dxfId="7466" priority="353" operator="containsText" text="AA">
      <formula>NOT(ISERROR(SEARCH("AA",AA48)))</formula>
    </cfRule>
    <cfRule type="containsText" dxfId="7465" priority="354" operator="containsText" text="RESIGNED">
      <formula>NOT(ISERROR(SEARCH("RESIGNED",AA48)))</formula>
    </cfRule>
    <cfRule type="containsText" dxfId="7464" priority="355" operator="containsText" text="P">
      <formula>NOT(ISERROR(SEARCH("P",AA48)))</formula>
    </cfRule>
    <cfRule type="containsText" dxfId="7463" priority="356" operator="containsText" text="TARDY">
      <formula>NOT(ISERROR(SEARCH("TARDY",AA48)))</formula>
    </cfRule>
    <cfRule type="containsText" dxfId="7462" priority="357" operator="containsText" text="REST DAY">
      <formula>NOT(ISERROR(SEARCH("REST DAY",AA48)))</formula>
    </cfRule>
    <cfRule type="containsText" dxfId="7461" priority="358" operator="containsText" text="UA">
      <formula>NOT(ISERROR(SEARCH("UA",AA48)))</formula>
    </cfRule>
    <cfRule type="containsText" dxfId="7460" priority="359" operator="containsText" text="LWOP UA">
      <formula>NOT(ISERROR(SEARCH("LWOP UA",AA48)))</formula>
    </cfRule>
  </conditionalFormatting>
  <conditionalFormatting sqref="AA50:AG50">
    <cfRule type="containsText" dxfId="7459" priority="1615" operator="containsText" text="P">
      <formula>NOT(ISERROR(SEARCH("P",AA50)))</formula>
    </cfRule>
    <cfRule type="containsText" dxfId="7458" priority="1616" operator="containsText" text="TFO">
      <formula>NOT(ISERROR(SEARCH("TFO",AA50)))</formula>
    </cfRule>
    <cfRule type="containsText" dxfId="7457" priority="1617" operator="containsText" text="AA">
      <formula>NOT(ISERROR(SEARCH("AA",AA50)))</formula>
    </cfRule>
    <cfRule type="containsText" dxfId="7456" priority="1618" operator="containsText" text="RESIGNED">
      <formula>NOT(ISERROR(SEARCH("RESIGNED",AA50)))</formula>
    </cfRule>
    <cfRule type="containsText" dxfId="7455" priority="1619" operator="containsText" text="P">
      <formula>NOT(ISERROR(SEARCH("P",AA50)))</formula>
    </cfRule>
    <cfRule type="containsText" dxfId="7454" priority="1620" operator="containsText" text="TARDY">
      <formula>NOT(ISERROR(SEARCH("TARDY",AA50)))</formula>
    </cfRule>
    <cfRule type="containsText" dxfId="7453" priority="1621" operator="containsText" text="REST DAY">
      <formula>NOT(ISERROR(SEARCH("REST DAY",AA50)))</formula>
    </cfRule>
    <cfRule type="containsText" dxfId="7452" priority="1622" operator="containsText" text="UA">
      <formula>NOT(ISERROR(SEARCH("UA",AA50)))</formula>
    </cfRule>
    <cfRule type="containsText" dxfId="7451" priority="1623" operator="containsText" text="LWOP UA">
      <formula>NOT(ISERROR(SEARCH("LWOP UA",AA50)))</formula>
    </cfRule>
  </conditionalFormatting>
  <conditionalFormatting sqref="AA51:AG51">
    <cfRule type="containsText" dxfId="7450" priority="2001" operator="containsText" text="P">
      <formula>NOT(ISERROR(SEARCH("P",AA51)))</formula>
    </cfRule>
    <cfRule type="containsText" dxfId="7449" priority="2002" operator="containsText" text="TFO">
      <formula>NOT(ISERROR(SEARCH("TFO",AA51)))</formula>
    </cfRule>
    <cfRule type="containsText" dxfId="7448" priority="2003" operator="containsText" text="AA">
      <formula>NOT(ISERROR(SEARCH("AA",AA51)))</formula>
    </cfRule>
    <cfRule type="containsText" dxfId="7447" priority="2004" operator="containsText" text="RESIGNED">
      <formula>NOT(ISERROR(SEARCH("RESIGNED",AA51)))</formula>
    </cfRule>
    <cfRule type="containsText" dxfId="7446" priority="2005" operator="containsText" text="P">
      <formula>NOT(ISERROR(SEARCH("P",AA51)))</formula>
    </cfRule>
    <cfRule type="containsText" dxfId="7445" priority="2006" operator="containsText" text="TARDY">
      <formula>NOT(ISERROR(SEARCH("TARDY",AA51)))</formula>
    </cfRule>
    <cfRule type="containsText" dxfId="7444" priority="2007" operator="containsText" text="REST DAY">
      <formula>NOT(ISERROR(SEARCH("REST DAY",AA51)))</formula>
    </cfRule>
    <cfRule type="containsText" dxfId="7443" priority="2008" operator="containsText" text="UA">
      <formula>NOT(ISERROR(SEARCH("UA",AA51)))</formula>
    </cfRule>
    <cfRule type="containsText" dxfId="7442" priority="2009" operator="containsText" text="LWOP UA">
      <formula>NOT(ISERROR(SEARCH("LWOP UA",AA51)))</formula>
    </cfRule>
  </conditionalFormatting>
  <conditionalFormatting sqref="AA56:AG56">
    <cfRule type="containsText" dxfId="7441" priority="314" operator="containsText" text="P">
      <formula>NOT(ISERROR(SEARCH("P",AA56)))</formula>
    </cfRule>
    <cfRule type="containsText" dxfId="7440" priority="315" operator="containsText" text="TFO">
      <formula>NOT(ISERROR(SEARCH("TFO",AA56)))</formula>
    </cfRule>
    <cfRule type="containsText" dxfId="7439" priority="316" operator="containsText" text="AA">
      <formula>NOT(ISERROR(SEARCH("AA",AA56)))</formula>
    </cfRule>
    <cfRule type="containsText" dxfId="7438" priority="317" operator="containsText" text="RESIGNED">
      <formula>NOT(ISERROR(SEARCH("RESIGNED",AA56)))</formula>
    </cfRule>
    <cfRule type="containsText" dxfId="7437" priority="318" operator="containsText" text="P">
      <formula>NOT(ISERROR(SEARCH("P",AA56)))</formula>
    </cfRule>
    <cfRule type="containsText" dxfId="7436" priority="319" operator="containsText" text="TARDY">
      <formula>NOT(ISERROR(SEARCH("TARDY",AA56)))</formula>
    </cfRule>
    <cfRule type="containsText" dxfId="7435" priority="320" operator="containsText" text="REST DAY">
      <formula>NOT(ISERROR(SEARCH("REST DAY",AA56)))</formula>
    </cfRule>
    <cfRule type="containsText" dxfId="7434" priority="321" operator="containsText" text="UA">
      <formula>NOT(ISERROR(SEARCH("UA",AA56)))</formula>
    </cfRule>
    <cfRule type="containsText" dxfId="7433" priority="322" operator="containsText" text="LWOP UA">
      <formula>NOT(ISERROR(SEARCH("LWOP UA",AA56)))</formula>
    </cfRule>
  </conditionalFormatting>
  <conditionalFormatting sqref="AA57:AG57">
    <cfRule type="containsText" dxfId="7432" priority="1249" operator="containsText" text="P">
      <formula>NOT(ISERROR(SEARCH("P",AA57)))</formula>
    </cfRule>
    <cfRule type="containsText" dxfId="7431" priority="1250" operator="containsText" text="TFO">
      <formula>NOT(ISERROR(SEARCH("TFO",AA57)))</formula>
    </cfRule>
    <cfRule type="containsText" dxfId="7430" priority="1251" operator="containsText" text="AA">
      <formula>NOT(ISERROR(SEARCH("AA",AA57)))</formula>
    </cfRule>
    <cfRule type="containsText" dxfId="7429" priority="1252" operator="containsText" text="RESIGNED">
      <formula>NOT(ISERROR(SEARCH("RESIGNED",AA57)))</formula>
    </cfRule>
    <cfRule type="containsText" dxfId="7428" priority="1253" operator="containsText" text="P">
      <formula>NOT(ISERROR(SEARCH("P",AA57)))</formula>
    </cfRule>
    <cfRule type="containsText" dxfId="7427" priority="1254" operator="containsText" text="TARDY">
      <formula>NOT(ISERROR(SEARCH("TARDY",AA57)))</formula>
    </cfRule>
    <cfRule type="containsText" dxfId="7426" priority="1255" operator="containsText" text="REST DAY">
      <formula>NOT(ISERROR(SEARCH("REST DAY",AA57)))</formula>
    </cfRule>
    <cfRule type="containsText" dxfId="7425" priority="1256" operator="containsText" text="UA">
      <formula>NOT(ISERROR(SEARCH("UA",AA57)))</formula>
    </cfRule>
    <cfRule type="containsText" dxfId="7424" priority="1257" operator="containsText" text="LWOP UA">
      <formula>NOT(ISERROR(SEARCH("LWOP UA",AA57)))</formula>
    </cfRule>
  </conditionalFormatting>
  <conditionalFormatting sqref="AA59:AG59">
    <cfRule type="containsText" dxfId="7423" priority="94" operator="containsText" text="P">
      <formula>NOT(ISERROR(SEARCH("P",AA59)))</formula>
    </cfRule>
    <cfRule type="containsText" dxfId="7422" priority="95" operator="containsText" text="TFO">
      <formula>NOT(ISERROR(SEARCH("TFO",AA59)))</formula>
    </cfRule>
    <cfRule type="containsText" dxfId="7421" priority="96" operator="containsText" text="AA">
      <formula>NOT(ISERROR(SEARCH("AA",AA59)))</formula>
    </cfRule>
    <cfRule type="containsText" dxfId="7420" priority="97" operator="containsText" text="RESIGNED">
      <formula>NOT(ISERROR(SEARCH("RESIGNED",AA59)))</formula>
    </cfRule>
    <cfRule type="containsText" dxfId="7419" priority="98" operator="containsText" text="P">
      <formula>NOT(ISERROR(SEARCH("P",AA59)))</formula>
    </cfRule>
    <cfRule type="containsText" dxfId="7418" priority="99" operator="containsText" text="TARDY">
      <formula>NOT(ISERROR(SEARCH("TARDY",AA59)))</formula>
    </cfRule>
    <cfRule type="containsText" dxfId="7417" priority="100" operator="containsText" text="REST DAY">
      <formula>NOT(ISERROR(SEARCH("REST DAY",AA59)))</formula>
    </cfRule>
    <cfRule type="containsText" dxfId="7416" priority="101" operator="containsText" text="UA">
      <formula>NOT(ISERROR(SEARCH("UA",AA59)))</formula>
    </cfRule>
    <cfRule type="containsText" dxfId="7415" priority="102" operator="containsText" text="LWOP UA">
      <formula>NOT(ISERROR(SEARCH("LWOP UA",AA59)))</formula>
    </cfRule>
  </conditionalFormatting>
  <conditionalFormatting sqref="AA63:AG63">
    <cfRule type="containsText" dxfId="7414" priority="1592" operator="containsText" text="P">
      <formula>NOT(ISERROR(SEARCH("P",AA63)))</formula>
    </cfRule>
    <cfRule type="containsText" dxfId="7413" priority="1593" operator="containsText" text="TFO">
      <formula>NOT(ISERROR(SEARCH("TFO",AA63)))</formula>
    </cfRule>
    <cfRule type="containsText" dxfId="7412" priority="1594" operator="containsText" text="AA">
      <formula>NOT(ISERROR(SEARCH("AA",AA63)))</formula>
    </cfRule>
    <cfRule type="containsText" dxfId="7411" priority="1595" operator="containsText" text="RESIGNED">
      <formula>NOT(ISERROR(SEARCH("RESIGNED",AA63)))</formula>
    </cfRule>
    <cfRule type="containsText" dxfId="7410" priority="1596" operator="containsText" text="P">
      <formula>NOT(ISERROR(SEARCH("P",AA63)))</formula>
    </cfRule>
    <cfRule type="containsText" dxfId="7409" priority="1597" operator="containsText" text="TARDY">
      <formula>NOT(ISERROR(SEARCH("TARDY",AA63)))</formula>
    </cfRule>
    <cfRule type="containsText" dxfId="7408" priority="1598" operator="containsText" text="REST DAY">
      <formula>NOT(ISERROR(SEARCH("REST DAY",AA63)))</formula>
    </cfRule>
    <cfRule type="containsText" dxfId="7407" priority="1599" operator="containsText" text="UA">
      <formula>NOT(ISERROR(SEARCH("UA",AA63)))</formula>
    </cfRule>
    <cfRule type="containsText" dxfId="7406" priority="1600" operator="containsText" text="LWOP UA">
      <formula>NOT(ISERROR(SEARCH("LWOP UA",AA63)))</formula>
    </cfRule>
  </conditionalFormatting>
  <conditionalFormatting sqref="AA68:AG68">
    <cfRule type="containsText" dxfId="7405" priority="3822" operator="containsText" text="P">
      <formula>NOT(ISERROR(SEARCH("P",AA68)))</formula>
    </cfRule>
    <cfRule type="containsText" dxfId="7404" priority="3823" operator="containsText" text="TFO">
      <formula>NOT(ISERROR(SEARCH("TFO",AA68)))</formula>
    </cfRule>
    <cfRule type="containsText" dxfId="7403" priority="3824" operator="containsText" text="AA">
      <formula>NOT(ISERROR(SEARCH("AA",AA68)))</formula>
    </cfRule>
    <cfRule type="containsText" dxfId="7402" priority="3825" operator="containsText" text="RESIGNED">
      <formula>NOT(ISERROR(SEARCH("RESIGNED",AA68)))</formula>
    </cfRule>
    <cfRule type="containsText" dxfId="7401" priority="3826" operator="containsText" text="P">
      <formula>NOT(ISERROR(SEARCH("P",AA68)))</formula>
    </cfRule>
    <cfRule type="containsText" dxfId="7400" priority="3827" operator="containsText" text="TARDY">
      <formula>NOT(ISERROR(SEARCH("TARDY",AA68)))</formula>
    </cfRule>
    <cfRule type="containsText" dxfId="7399" priority="3828" operator="containsText" text="REST DAY">
      <formula>NOT(ISERROR(SEARCH("REST DAY",AA68)))</formula>
    </cfRule>
    <cfRule type="containsText" dxfId="7398" priority="3829" operator="containsText" text="UA">
      <formula>NOT(ISERROR(SEARCH("UA",AA68)))</formula>
    </cfRule>
    <cfRule type="containsText" dxfId="7397" priority="3830" operator="containsText" text="LWOP UA">
      <formula>NOT(ISERROR(SEARCH("LWOP UA",AA68)))</formula>
    </cfRule>
  </conditionalFormatting>
  <conditionalFormatting sqref="AA72:AG72">
    <cfRule type="containsText" dxfId="7396" priority="1569" operator="containsText" text="P">
      <formula>NOT(ISERROR(SEARCH("P",AA72)))</formula>
    </cfRule>
    <cfRule type="containsText" dxfId="7395" priority="1570" operator="containsText" text="TFO">
      <formula>NOT(ISERROR(SEARCH("TFO",AA72)))</formula>
    </cfRule>
    <cfRule type="containsText" dxfId="7394" priority="1571" operator="containsText" text="AA">
      <formula>NOT(ISERROR(SEARCH("AA",AA72)))</formula>
    </cfRule>
    <cfRule type="containsText" dxfId="7393" priority="1572" operator="containsText" text="RESIGNED">
      <formula>NOT(ISERROR(SEARCH("RESIGNED",AA72)))</formula>
    </cfRule>
    <cfRule type="containsText" dxfId="7392" priority="1573" operator="containsText" text="P">
      <formula>NOT(ISERROR(SEARCH("P",AA72)))</formula>
    </cfRule>
    <cfRule type="containsText" dxfId="7391" priority="1574" operator="containsText" text="TARDY">
      <formula>NOT(ISERROR(SEARCH("TARDY",AA72)))</formula>
    </cfRule>
    <cfRule type="containsText" dxfId="7390" priority="1575" operator="containsText" text="REST DAY">
      <formula>NOT(ISERROR(SEARCH("REST DAY",AA72)))</formula>
    </cfRule>
    <cfRule type="containsText" dxfId="7389" priority="1576" operator="containsText" text="UA">
      <formula>NOT(ISERROR(SEARCH("UA",AA72)))</formula>
    </cfRule>
    <cfRule type="containsText" dxfId="7388" priority="1577" operator="containsText" text="LWOP UA">
      <formula>NOT(ISERROR(SEARCH("LWOP UA",AA72)))</formula>
    </cfRule>
  </conditionalFormatting>
  <conditionalFormatting sqref="AA77:AG77">
    <cfRule type="containsText" dxfId="7387" priority="1546" operator="containsText" text="P">
      <formula>NOT(ISERROR(SEARCH("P",AA77)))</formula>
    </cfRule>
    <cfRule type="containsText" dxfId="7386" priority="1547" operator="containsText" text="TFO">
      <formula>NOT(ISERROR(SEARCH("TFO",AA77)))</formula>
    </cfRule>
    <cfRule type="containsText" dxfId="7385" priority="1548" operator="containsText" text="AA">
      <formula>NOT(ISERROR(SEARCH("AA",AA77)))</formula>
    </cfRule>
    <cfRule type="containsText" dxfId="7384" priority="1549" operator="containsText" text="RESIGNED">
      <formula>NOT(ISERROR(SEARCH("RESIGNED",AA77)))</formula>
    </cfRule>
    <cfRule type="containsText" dxfId="7383" priority="1550" operator="containsText" text="P">
      <formula>NOT(ISERROR(SEARCH("P",AA77)))</formula>
    </cfRule>
    <cfRule type="containsText" dxfId="7382" priority="1551" operator="containsText" text="TARDY">
      <formula>NOT(ISERROR(SEARCH("TARDY",AA77)))</formula>
    </cfRule>
    <cfRule type="containsText" dxfId="7381" priority="1552" operator="containsText" text="REST DAY">
      <formula>NOT(ISERROR(SEARCH("REST DAY",AA77)))</formula>
    </cfRule>
    <cfRule type="containsText" dxfId="7380" priority="1553" operator="containsText" text="UA">
      <formula>NOT(ISERROR(SEARCH("UA",AA77)))</formula>
    </cfRule>
    <cfRule type="containsText" dxfId="7379" priority="1554" operator="containsText" text="LWOP UA">
      <formula>NOT(ISERROR(SEARCH("LWOP UA",AA77)))</formula>
    </cfRule>
  </conditionalFormatting>
  <conditionalFormatting sqref="AA78:AG78">
    <cfRule type="containsText" dxfId="7378" priority="1950" operator="containsText" text="P">
      <formula>NOT(ISERROR(SEARCH("P",AA78)))</formula>
    </cfRule>
    <cfRule type="containsText" dxfId="7377" priority="1951" operator="containsText" text="TFO">
      <formula>NOT(ISERROR(SEARCH("TFO",AA78)))</formula>
    </cfRule>
    <cfRule type="containsText" dxfId="7376" priority="1952" operator="containsText" text="AA">
      <formula>NOT(ISERROR(SEARCH("AA",AA78)))</formula>
    </cfRule>
    <cfRule type="containsText" dxfId="7375" priority="1953" operator="containsText" text="RESIGNED">
      <formula>NOT(ISERROR(SEARCH("RESIGNED",AA78)))</formula>
    </cfRule>
    <cfRule type="containsText" dxfId="7374" priority="1954" operator="containsText" text="P">
      <formula>NOT(ISERROR(SEARCH("P",AA78)))</formula>
    </cfRule>
    <cfRule type="containsText" dxfId="7373" priority="1955" operator="containsText" text="TARDY">
      <formula>NOT(ISERROR(SEARCH("TARDY",AA78)))</formula>
    </cfRule>
    <cfRule type="containsText" dxfId="7372" priority="1956" operator="containsText" text="REST DAY">
      <formula>NOT(ISERROR(SEARCH("REST DAY",AA78)))</formula>
    </cfRule>
    <cfRule type="containsText" dxfId="7371" priority="1957" operator="containsText" text="UA">
      <formula>NOT(ISERROR(SEARCH("UA",AA78)))</formula>
    </cfRule>
    <cfRule type="containsText" dxfId="7370" priority="1958" operator="containsText" text="LWOP UA">
      <formula>NOT(ISERROR(SEARCH("LWOP UA",AA78)))</formula>
    </cfRule>
  </conditionalFormatting>
  <conditionalFormatting sqref="AB13:AC13">
    <cfRule type="containsText" dxfId="7369" priority="3914" operator="containsText" text="LWOP UA">
      <formula>NOT(ISERROR(SEARCH("LWOP UA",AB13)))</formula>
    </cfRule>
    <cfRule type="containsText" dxfId="7368" priority="3915" operator="containsText" text="P">
      <formula>NOT(ISERROR(SEARCH("P",AB13)))</formula>
    </cfRule>
    <cfRule type="containsText" dxfId="7367" priority="3916" operator="containsText" text="TFO">
      <formula>NOT(ISERROR(SEARCH("TFO",AB13)))</formula>
    </cfRule>
    <cfRule type="containsText" dxfId="7366" priority="3917" operator="containsText" text="AA">
      <formula>NOT(ISERROR(SEARCH("AA",AB13)))</formula>
    </cfRule>
    <cfRule type="containsText" dxfId="7365" priority="3918" operator="containsText" text="RESIGNED">
      <formula>NOT(ISERROR(SEARCH("RESIGNED",AB13)))</formula>
    </cfRule>
    <cfRule type="containsText" dxfId="7364" priority="3919" operator="containsText" text="P">
      <formula>NOT(ISERROR(SEARCH("P",AB13)))</formula>
    </cfRule>
    <cfRule type="containsText" dxfId="7363" priority="3920" operator="containsText" text="TARDY">
      <formula>NOT(ISERROR(SEARCH("TARDY",AB13)))</formula>
    </cfRule>
    <cfRule type="containsText" dxfId="7362" priority="3921" operator="containsText" text="REST DAY">
      <formula>NOT(ISERROR(SEARCH("REST DAY",AB13)))</formula>
    </cfRule>
    <cfRule type="containsText" dxfId="7361" priority="3922" operator="containsText" text="UA">
      <formula>NOT(ISERROR(SEARCH("UA",AB13)))</formula>
    </cfRule>
  </conditionalFormatting>
  <conditionalFormatting sqref="AB19:AC19">
    <cfRule type="containsText" dxfId="7360" priority="535" operator="containsText" text="LWOP UA">
      <formula>NOT(ISERROR(SEARCH("LWOP UA",AB19)))</formula>
    </cfRule>
    <cfRule type="containsText" dxfId="7359" priority="536" operator="containsText" text="P">
      <formula>NOT(ISERROR(SEARCH("P",AB19)))</formula>
    </cfRule>
    <cfRule type="containsText" dxfId="7358" priority="537" operator="containsText" text="TFO">
      <formula>NOT(ISERROR(SEARCH("TFO",AB19)))</formula>
    </cfRule>
    <cfRule type="containsText" dxfId="7357" priority="538" operator="containsText" text="AA">
      <formula>NOT(ISERROR(SEARCH("AA",AB19)))</formula>
    </cfRule>
    <cfRule type="containsText" dxfId="7356" priority="539" operator="containsText" text="RESIGNED">
      <formula>NOT(ISERROR(SEARCH("RESIGNED",AB19)))</formula>
    </cfRule>
    <cfRule type="containsText" dxfId="7355" priority="540" operator="containsText" text="P">
      <formula>NOT(ISERROR(SEARCH("P",AB19)))</formula>
    </cfRule>
    <cfRule type="containsText" dxfId="7354" priority="541" operator="containsText" text="TARDY">
      <formula>NOT(ISERROR(SEARCH("TARDY",AB19)))</formula>
    </cfRule>
    <cfRule type="containsText" dxfId="7353" priority="542" operator="containsText" text="REST DAY">
      <formula>NOT(ISERROR(SEARCH("REST DAY",AB19)))</formula>
    </cfRule>
    <cfRule type="containsText" dxfId="7352" priority="543" operator="containsText" text="UA">
      <formula>NOT(ISERROR(SEARCH("UA",AB19)))</formula>
    </cfRule>
  </conditionalFormatting>
  <conditionalFormatting sqref="AB34:AC34">
    <cfRule type="containsText" dxfId="7351" priority="447" operator="containsText" text="LWOP UA">
      <formula>NOT(ISERROR(SEARCH("LWOP UA",AB34)))</formula>
    </cfRule>
    <cfRule type="containsText" dxfId="7350" priority="448" operator="containsText" text="P">
      <formula>NOT(ISERROR(SEARCH("P",AB34)))</formula>
    </cfRule>
    <cfRule type="containsText" dxfId="7349" priority="449" operator="containsText" text="TFO">
      <formula>NOT(ISERROR(SEARCH("TFO",AB34)))</formula>
    </cfRule>
    <cfRule type="containsText" dxfId="7348" priority="450" operator="containsText" text="AA">
      <formula>NOT(ISERROR(SEARCH("AA",AB34)))</formula>
    </cfRule>
    <cfRule type="containsText" dxfId="7347" priority="451" operator="containsText" text="RESIGNED">
      <formula>NOT(ISERROR(SEARCH("RESIGNED",AB34)))</formula>
    </cfRule>
    <cfRule type="containsText" dxfId="7346" priority="452" operator="containsText" text="P">
      <formula>NOT(ISERROR(SEARCH("P",AB34)))</formula>
    </cfRule>
    <cfRule type="containsText" dxfId="7345" priority="453" operator="containsText" text="TARDY">
      <formula>NOT(ISERROR(SEARCH("TARDY",AB34)))</formula>
    </cfRule>
    <cfRule type="containsText" dxfId="7344" priority="454" operator="containsText" text="REST DAY">
      <formula>NOT(ISERROR(SEARCH("REST DAY",AB34)))</formula>
    </cfRule>
    <cfRule type="containsText" dxfId="7343" priority="455" operator="containsText" text="UA">
      <formula>NOT(ISERROR(SEARCH("UA",AB34)))</formula>
    </cfRule>
  </conditionalFormatting>
  <conditionalFormatting sqref="AC58:AG58">
    <cfRule type="containsText" dxfId="7342" priority="291" operator="containsText" text="P">
      <formula>NOT(ISERROR(SEARCH("P",AC58)))</formula>
    </cfRule>
    <cfRule type="containsText" dxfId="7341" priority="292" operator="containsText" text="TFO">
      <formula>NOT(ISERROR(SEARCH("TFO",AC58)))</formula>
    </cfRule>
    <cfRule type="containsText" dxfId="7340" priority="293" operator="containsText" text="AA">
      <formula>NOT(ISERROR(SEARCH("AA",AC58)))</formula>
    </cfRule>
    <cfRule type="containsText" dxfId="7339" priority="294" operator="containsText" text="RESIGNED">
      <formula>NOT(ISERROR(SEARCH("RESIGNED",AC58)))</formula>
    </cfRule>
    <cfRule type="containsText" dxfId="7338" priority="295" operator="containsText" text="P">
      <formula>NOT(ISERROR(SEARCH("P",AC58)))</formula>
    </cfRule>
    <cfRule type="containsText" dxfId="7337" priority="296" operator="containsText" text="TARDY">
      <formula>NOT(ISERROR(SEARCH("TARDY",AC58)))</formula>
    </cfRule>
    <cfRule type="containsText" dxfId="7336" priority="297" operator="containsText" text="REST DAY">
      <formula>NOT(ISERROR(SEARCH("REST DAY",AC58)))</formula>
    </cfRule>
    <cfRule type="containsText" dxfId="7335" priority="298" operator="containsText" text="UA">
      <formula>NOT(ISERROR(SEARCH("UA",AC58)))</formula>
    </cfRule>
    <cfRule type="containsText" dxfId="7334" priority="299" operator="containsText" text="LWOP UA">
      <formula>NOT(ISERROR(SEARCH("LWOP UA",AC58)))</formula>
    </cfRule>
  </conditionalFormatting>
  <conditionalFormatting sqref="AD35:AE35 AG35">
    <cfRule type="containsText" dxfId="7333" priority="425" operator="containsText" text="P">
      <formula>NOT(ISERROR(SEARCH("P",AD35)))</formula>
    </cfRule>
    <cfRule type="containsText" dxfId="7332" priority="426" operator="containsText" text="TFO">
      <formula>NOT(ISERROR(SEARCH("TFO",AD35)))</formula>
    </cfRule>
    <cfRule type="containsText" dxfId="7331" priority="427" operator="containsText" text="AA">
      <formula>NOT(ISERROR(SEARCH("AA",AD35)))</formula>
    </cfRule>
    <cfRule type="containsText" dxfId="7330" priority="428" operator="containsText" text="RESIGNED">
      <formula>NOT(ISERROR(SEARCH("RESIGNED",AD35)))</formula>
    </cfRule>
    <cfRule type="containsText" dxfId="7329" priority="429" operator="containsText" text="P">
      <formula>NOT(ISERROR(SEARCH("P",AD35)))</formula>
    </cfRule>
    <cfRule type="containsText" dxfId="7328" priority="430" operator="containsText" text="TARDY">
      <formula>NOT(ISERROR(SEARCH("TARDY",AD35)))</formula>
    </cfRule>
    <cfRule type="containsText" dxfId="7327" priority="431" operator="containsText" text="REST DAY">
      <formula>NOT(ISERROR(SEARCH("REST DAY",AD35)))</formula>
    </cfRule>
    <cfRule type="containsText" dxfId="7326" priority="432" operator="containsText" text="UA">
      <formula>NOT(ISERROR(SEARCH("UA",AD35)))</formula>
    </cfRule>
  </conditionalFormatting>
  <conditionalFormatting sqref="AD8:AG8">
    <cfRule type="containsText" dxfId="7325" priority="604" operator="containsText" text="LWOP UA">
      <formula>NOT(ISERROR(SEARCH("LWOP UA",AD8)))</formula>
    </cfRule>
    <cfRule type="containsText" dxfId="7324" priority="605" operator="containsText" text="P">
      <formula>NOT(ISERROR(SEARCH("P",AD8)))</formula>
    </cfRule>
    <cfRule type="containsText" dxfId="7323" priority="606" operator="containsText" text="TFO">
      <formula>NOT(ISERROR(SEARCH("TFO",AD8)))</formula>
    </cfRule>
    <cfRule type="containsText" dxfId="7322" priority="607" operator="containsText" text="AA">
      <formula>NOT(ISERROR(SEARCH("AA",AD8)))</formula>
    </cfRule>
    <cfRule type="containsText" dxfId="7321" priority="608" operator="containsText" text="RESIGNED">
      <formula>NOT(ISERROR(SEARCH("RESIGNED",AD8)))</formula>
    </cfRule>
    <cfRule type="containsText" dxfId="7320" priority="609" operator="containsText" text="P">
      <formula>NOT(ISERROR(SEARCH("P",AD8)))</formula>
    </cfRule>
    <cfRule type="containsText" dxfId="7319" priority="610" operator="containsText" text="TARDY">
      <formula>NOT(ISERROR(SEARCH("TARDY",AD8)))</formula>
    </cfRule>
    <cfRule type="containsText" dxfId="7318" priority="611" operator="containsText" text="REST DAY">
      <formula>NOT(ISERROR(SEARCH("REST DAY",AD8)))</formula>
    </cfRule>
    <cfRule type="containsText" dxfId="7317" priority="612" operator="containsText" text="UA">
      <formula>NOT(ISERROR(SEARCH("UA",AD8)))</formula>
    </cfRule>
  </conditionalFormatting>
  <conditionalFormatting sqref="AD17:AG17">
    <cfRule type="containsText" dxfId="7316" priority="558" operator="containsText" text="LWOP UA">
      <formula>NOT(ISERROR(SEARCH("LWOP UA",AD17)))</formula>
    </cfRule>
    <cfRule type="containsText" dxfId="7315" priority="559" operator="containsText" text="P">
      <formula>NOT(ISERROR(SEARCH("P",AD17)))</formula>
    </cfRule>
    <cfRule type="containsText" dxfId="7314" priority="560" operator="containsText" text="TFO">
      <formula>NOT(ISERROR(SEARCH("TFO",AD17)))</formula>
    </cfRule>
    <cfRule type="containsText" dxfId="7313" priority="561" operator="containsText" text="AA">
      <formula>NOT(ISERROR(SEARCH("AA",AD17)))</formula>
    </cfRule>
    <cfRule type="containsText" dxfId="7312" priority="562" operator="containsText" text="RESIGNED">
      <formula>NOT(ISERROR(SEARCH("RESIGNED",AD17)))</formula>
    </cfRule>
    <cfRule type="containsText" dxfId="7311" priority="563" operator="containsText" text="P">
      <formula>NOT(ISERROR(SEARCH("P",AD17)))</formula>
    </cfRule>
    <cfRule type="containsText" dxfId="7310" priority="564" operator="containsText" text="TARDY">
      <formula>NOT(ISERROR(SEARCH("TARDY",AD17)))</formula>
    </cfRule>
    <cfRule type="containsText" dxfId="7309" priority="565" operator="containsText" text="REST DAY">
      <formula>NOT(ISERROR(SEARCH("REST DAY",AD17)))</formula>
    </cfRule>
    <cfRule type="containsText" dxfId="7308" priority="566" operator="containsText" text="UA">
      <formula>NOT(ISERROR(SEARCH("UA",AD17)))</formula>
    </cfRule>
  </conditionalFormatting>
  <conditionalFormatting sqref="AD35:AG35">
    <cfRule type="containsText" dxfId="7307" priority="424" operator="containsText" text="LWOP UA">
      <formula>NOT(ISERROR(SEARCH("LWOP UA",AD35)))</formula>
    </cfRule>
  </conditionalFormatting>
  <conditionalFormatting sqref="AE54:AF54">
    <cfRule type="containsText" dxfId="7306" priority="31" operator="containsText" text="540">
      <formula>NOT(ISERROR(SEARCH("540",AE54)))</formula>
    </cfRule>
    <cfRule type="cellIs" dxfId="7305" priority="32" operator="between">
      <formula>1</formula>
      <formula>400</formula>
    </cfRule>
    <cfRule type="containsText" dxfId="7304" priority="33" operator="containsText" text="LWOP UA">
      <formula>NOT(ISERROR(SEARCH("LWOP UA",AE54)))</formula>
    </cfRule>
    <cfRule type="containsText" dxfId="7303" priority="34" operator="containsText" text="P">
      <formula>NOT(ISERROR(SEARCH("P",AE54)))</formula>
    </cfRule>
    <cfRule type="containsText" dxfId="7302" priority="35" operator="containsText" text="TFO">
      <formula>NOT(ISERROR(SEARCH("TFO",AE54)))</formula>
    </cfRule>
    <cfRule type="containsText" dxfId="7301" priority="36" operator="containsText" text="AA">
      <formula>NOT(ISERROR(SEARCH("AA",AE54)))</formula>
    </cfRule>
    <cfRule type="containsText" dxfId="7300" priority="37" operator="containsText" text="RESIGNED">
      <formula>NOT(ISERROR(SEARCH("RESIGNED",AE54)))</formula>
    </cfRule>
    <cfRule type="containsText" dxfId="7299" priority="38" operator="containsText" text="P">
      <formula>NOT(ISERROR(SEARCH("P",AE54)))</formula>
    </cfRule>
    <cfRule type="containsText" dxfId="7298" priority="39" operator="containsText" text="TARDY">
      <formula>NOT(ISERROR(SEARCH("TARDY",AE54)))</formula>
    </cfRule>
    <cfRule type="containsText" dxfId="7297" priority="40" operator="containsText" text="REST DAY">
      <formula>NOT(ISERROR(SEARCH("REST DAY",AE54)))</formula>
    </cfRule>
    <cfRule type="containsText" dxfId="7296" priority="41" operator="containsText" text="UA">
      <formula>NOT(ISERROR(SEARCH("UA",AE54)))</formula>
    </cfRule>
    <cfRule type="containsText" dxfId="7295" priority="42" operator="containsText" text="LWOP UA">
      <formula>NOT(ISERROR(SEARCH("LWOP UA",AE54)))</formula>
    </cfRule>
  </conditionalFormatting>
  <conditionalFormatting sqref="AF35">
    <cfRule type="containsText" dxfId="7294" priority="415" operator="containsText" text="LWOP UA">
      <formula>NOT(ISERROR(SEARCH("LWOP UA",AF35)))</formula>
    </cfRule>
    <cfRule type="containsText" dxfId="7293" priority="416" operator="containsText" text="P">
      <formula>NOT(ISERROR(SEARCH("P",AF35)))</formula>
    </cfRule>
    <cfRule type="containsText" dxfId="7292" priority="417" operator="containsText" text="TFO">
      <formula>NOT(ISERROR(SEARCH("TFO",AF35)))</formula>
    </cfRule>
    <cfRule type="containsText" dxfId="7291" priority="418" operator="containsText" text="AA">
      <formula>NOT(ISERROR(SEARCH("AA",AF35)))</formula>
    </cfRule>
    <cfRule type="containsText" dxfId="7290" priority="419" operator="containsText" text="RESIGNED">
      <formula>NOT(ISERROR(SEARCH("RESIGNED",AF35)))</formula>
    </cfRule>
    <cfRule type="containsText" dxfId="7289" priority="420" operator="containsText" text="P">
      <formula>NOT(ISERROR(SEARCH("P",AF35)))</formula>
    </cfRule>
    <cfRule type="containsText" dxfId="7288" priority="421" operator="containsText" text="TARDY">
      <formula>NOT(ISERROR(SEARCH("TARDY",AF35)))</formula>
    </cfRule>
    <cfRule type="containsText" dxfId="7287" priority="422" operator="containsText" text="REST DAY">
      <formula>NOT(ISERROR(SEARCH("REST DAY",AF35)))</formula>
    </cfRule>
    <cfRule type="containsText" dxfId="7286" priority="423" operator="containsText" text="UA">
      <formula>NOT(ISERROR(SEARCH("UA",AF35)))</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987DF-FC0C-451E-B99E-C78446EA4E17}">
  <dimension ref="A1:DF137"/>
  <sheetViews>
    <sheetView showGridLines="0" workbookViewId="0">
      <pane xSplit="1" topLeftCell="D106" activePane="topRight" state="frozen"/>
      <selection pane="topRight" activeCell="D106" sqref="D106"/>
    </sheetView>
  </sheetViews>
  <sheetFormatPr defaultColWidth="9.140625" defaultRowHeight="15"/>
  <cols>
    <col min="1" max="1" width="19" bestFit="1" customWidth="1"/>
    <col min="2" max="2" width="8.85546875" customWidth="1"/>
    <col min="3" max="3" width="14.5703125" style="58" bestFit="1" customWidth="1"/>
    <col min="4" max="23" width="10.42578125" customWidth="1"/>
    <col min="24" max="24" width="9.7109375" customWidth="1"/>
    <col min="25" max="34" width="10.42578125" customWidth="1"/>
    <col min="35" max="35" width="12.28515625" style="52" customWidth="1"/>
    <col min="36" max="36" width="12.28515625" customWidth="1"/>
    <col min="37" max="38" width="11.140625" customWidth="1"/>
    <col min="40" max="40" width="10.5703125" bestFit="1" customWidth="1"/>
    <col min="43" max="43" width="15.140625" bestFit="1" customWidth="1"/>
    <col min="44" max="44" width="8.85546875" customWidth="1"/>
    <col min="45" max="45" width="11.85546875" bestFit="1" customWidth="1"/>
    <col min="46" max="57" width="17.140625" bestFit="1" customWidth="1"/>
    <col min="58" max="58" width="13" bestFit="1" customWidth="1"/>
    <col min="59" max="63" width="15.140625" bestFit="1" customWidth="1"/>
    <col min="64" max="69" width="15.85546875" bestFit="1" customWidth="1"/>
    <col min="70" max="70" width="12.5703125" bestFit="1" customWidth="1"/>
    <col min="71" max="72" width="2.28515625" bestFit="1" customWidth="1"/>
    <col min="73" max="77" width="3.28515625" bestFit="1" customWidth="1"/>
    <col min="78" max="78" width="4.42578125" bestFit="1" customWidth="1"/>
    <col min="79" max="79" width="6.5703125" bestFit="1" customWidth="1"/>
    <col min="80" max="80" width="2.28515625" bestFit="1" customWidth="1"/>
    <col min="81" max="81" width="3.7109375" bestFit="1" customWidth="1"/>
    <col min="82" max="82" width="3.28515625" bestFit="1" customWidth="1"/>
    <col min="83" max="83" width="11.7109375" bestFit="1" customWidth="1"/>
    <col min="84" max="84" width="5.140625" bestFit="1" customWidth="1"/>
    <col min="85" max="85" width="8.28515625" bestFit="1" customWidth="1"/>
    <col min="86" max="86" width="6.28515625" bestFit="1" customWidth="1"/>
    <col min="87" max="87" width="2.28515625" bestFit="1" customWidth="1"/>
    <col min="88" max="88" width="9.42578125" bestFit="1" customWidth="1"/>
    <col min="89" max="89" width="8.42578125" bestFit="1" customWidth="1"/>
    <col min="90" max="90" width="11.5703125" bestFit="1" customWidth="1"/>
    <col min="91" max="91" width="4.140625" bestFit="1" customWidth="1"/>
    <col min="92" max="93" width="3.28515625" bestFit="1" customWidth="1"/>
    <col min="94" max="95" width="4.42578125" bestFit="1" customWidth="1"/>
    <col min="96" max="96" width="6.5703125" bestFit="1" customWidth="1"/>
    <col min="97" max="97" width="2.28515625" bestFit="1" customWidth="1"/>
    <col min="98" max="98" width="3.7109375" bestFit="1" customWidth="1"/>
    <col min="99" max="99" width="3.28515625" bestFit="1" customWidth="1"/>
    <col min="100" max="100" width="7.28515625" bestFit="1" customWidth="1"/>
    <col min="101" max="101" width="5.5703125" bestFit="1" customWidth="1"/>
    <col min="102" max="102" width="3.7109375" bestFit="1" customWidth="1"/>
    <col min="103" max="103" width="8.7109375" bestFit="1" customWidth="1"/>
    <col min="104" max="104" width="5.140625" bestFit="1" customWidth="1"/>
    <col min="105" max="105" width="8.28515625" bestFit="1" customWidth="1"/>
    <col min="106" max="110" width="11.7109375" bestFit="1" customWidth="1"/>
  </cols>
  <sheetData>
    <row r="1" spans="1:48">
      <c r="D1" s="97">
        <v>45839</v>
      </c>
      <c r="E1" s="97">
        <v>45840</v>
      </c>
      <c r="F1" s="97">
        <v>45841</v>
      </c>
      <c r="G1" s="97">
        <v>45842</v>
      </c>
      <c r="H1" s="97">
        <v>45843</v>
      </c>
      <c r="I1" s="97">
        <v>45844</v>
      </c>
      <c r="J1" s="97">
        <v>45845</v>
      </c>
      <c r="K1" s="97">
        <v>45846</v>
      </c>
      <c r="L1" s="97">
        <v>45847</v>
      </c>
      <c r="M1" s="97">
        <v>45848</v>
      </c>
      <c r="N1" s="97">
        <v>45849</v>
      </c>
      <c r="O1" s="97">
        <v>45850</v>
      </c>
      <c r="P1" s="97">
        <v>45851</v>
      </c>
      <c r="Q1" s="97">
        <v>45852</v>
      </c>
      <c r="R1" s="97">
        <v>45853</v>
      </c>
      <c r="S1" s="97">
        <v>45854</v>
      </c>
      <c r="T1" s="97">
        <v>45855</v>
      </c>
      <c r="U1" s="97">
        <v>45856</v>
      </c>
      <c r="V1" s="97">
        <v>45857</v>
      </c>
      <c r="W1" s="97">
        <v>45858</v>
      </c>
      <c r="X1" s="97">
        <v>45859</v>
      </c>
      <c r="Y1" s="97">
        <v>45860</v>
      </c>
      <c r="Z1" s="97">
        <v>45861</v>
      </c>
      <c r="AA1" s="97">
        <v>45862</v>
      </c>
      <c r="AB1" s="97">
        <v>45863</v>
      </c>
      <c r="AC1" s="97">
        <v>45864</v>
      </c>
      <c r="AD1" s="97">
        <v>45865</v>
      </c>
      <c r="AE1" s="97">
        <v>45866</v>
      </c>
      <c r="AF1" s="97">
        <v>45867</v>
      </c>
      <c r="AG1" s="97">
        <v>45868</v>
      </c>
      <c r="AH1" s="97">
        <v>45869</v>
      </c>
    </row>
    <row r="2" spans="1:48">
      <c r="A2" s="1" t="s">
        <v>2</v>
      </c>
      <c r="B2" s="1" t="s">
        <v>0</v>
      </c>
      <c r="C2" s="17" t="s">
        <v>3</v>
      </c>
      <c r="D2" s="96" t="s">
        <v>137</v>
      </c>
      <c r="E2" s="96" t="s">
        <v>138</v>
      </c>
      <c r="F2" s="96" t="s">
        <v>139</v>
      </c>
      <c r="G2" s="96" t="s">
        <v>140</v>
      </c>
      <c r="H2" s="96" t="s">
        <v>141</v>
      </c>
      <c r="I2" s="96" t="s">
        <v>135</v>
      </c>
      <c r="J2" s="96" t="s">
        <v>136</v>
      </c>
      <c r="K2" s="96" t="s">
        <v>137</v>
      </c>
      <c r="L2" s="96" t="s">
        <v>138</v>
      </c>
      <c r="M2" s="96" t="s">
        <v>139</v>
      </c>
      <c r="N2" s="96" t="s">
        <v>140</v>
      </c>
      <c r="O2" s="96" t="s">
        <v>141</v>
      </c>
      <c r="P2" s="96" t="s">
        <v>135</v>
      </c>
      <c r="Q2" s="96" t="s">
        <v>136</v>
      </c>
      <c r="R2" s="96" t="s">
        <v>137</v>
      </c>
      <c r="S2" s="96" t="s">
        <v>138</v>
      </c>
      <c r="T2" s="96" t="s">
        <v>139</v>
      </c>
      <c r="U2" s="96" t="s">
        <v>140</v>
      </c>
      <c r="V2" s="96" t="s">
        <v>141</v>
      </c>
      <c r="W2" s="96" t="s">
        <v>135</v>
      </c>
      <c r="X2" s="96" t="s">
        <v>136</v>
      </c>
      <c r="Y2" s="96" t="s">
        <v>137</v>
      </c>
      <c r="Z2" s="96" t="s">
        <v>138</v>
      </c>
      <c r="AA2" s="96" t="s">
        <v>139</v>
      </c>
      <c r="AB2" s="96" t="s">
        <v>140</v>
      </c>
      <c r="AC2" s="96" t="s">
        <v>141</v>
      </c>
      <c r="AD2" s="96" t="s">
        <v>135</v>
      </c>
      <c r="AE2" s="96" t="s">
        <v>136</v>
      </c>
      <c r="AF2" s="96" t="s">
        <v>137</v>
      </c>
      <c r="AG2" s="96" t="s">
        <v>138</v>
      </c>
      <c r="AH2" s="96" t="s">
        <v>139</v>
      </c>
      <c r="AI2" s="53" t="s">
        <v>4</v>
      </c>
      <c r="AJ2" s="1" t="s">
        <v>186</v>
      </c>
      <c r="AK2" s="1" t="s">
        <v>5</v>
      </c>
      <c r="AL2" s="1" t="s">
        <v>6</v>
      </c>
      <c r="AM2" s="1" t="s">
        <v>7</v>
      </c>
      <c r="AN2" s="1" t="s">
        <v>8</v>
      </c>
      <c r="AO2" s="1" t="s">
        <v>9</v>
      </c>
      <c r="AP2" s="1" t="s">
        <v>182</v>
      </c>
      <c r="AQ2" s="1" t="s">
        <v>183</v>
      </c>
      <c r="AR2" s="1" t="s">
        <v>147</v>
      </c>
      <c r="AS2" s="2" t="s">
        <v>12</v>
      </c>
      <c r="AT2" s="2" t="s">
        <v>14</v>
      </c>
      <c r="AU2" s="3" t="s">
        <v>184</v>
      </c>
      <c r="AV2" s="3" t="s">
        <v>185</v>
      </c>
    </row>
    <row r="3" spans="1:48">
      <c r="A3" s="5" t="s">
        <v>24</v>
      </c>
      <c r="B3" s="5" t="s">
        <v>22</v>
      </c>
      <c r="C3" s="5" t="s">
        <v>25</v>
      </c>
      <c r="D3" s="98" t="s">
        <v>148</v>
      </c>
      <c r="E3" s="98" t="s">
        <v>148</v>
      </c>
      <c r="F3" s="98" t="s">
        <v>148</v>
      </c>
      <c r="G3" s="98" t="s">
        <v>148</v>
      </c>
      <c r="H3" s="99" t="s">
        <v>147</v>
      </c>
      <c r="I3" s="99" t="s">
        <v>147</v>
      </c>
      <c r="J3" s="98" t="s">
        <v>148</v>
      </c>
      <c r="K3" s="98" t="s">
        <v>148</v>
      </c>
      <c r="L3" s="98" t="s">
        <v>148</v>
      </c>
      <c r="M3" s="98" t="s">
        <v>148</v>
      </c>
      <c r="N3" s="100">
        <v>7</v>
      </c>
      <c r="O3" s="99" t="s">
        <v>147</v>
      </c>
      <c r="P3" s="99" t="s">
        <v>147</v>
      </c>
      <c r="Q3" s="98" t="s">
        <v>148</v>
      </c>
      <c r="R3" s="98" t="s">
        <v>148</v>
      </c>
      <c r="S3" s="101">
        <v>450</v>
      </c>
      <c r="T3" s="98" t="s">
        <v>148</v>
      </c>
      <c r="U3" s="98" t="s">
        <v>148</v>
      </c>
      <c r="V3" s="99" t="s">
        <v>147</v>
      </c>
      <c r="W3" s="99" t="s">
        <v>147</v>
      </c>
      <c r="X3" s="101">
        <v>450</v>
      </c>
      <c r="Y3" s="101">
        <v>450</v>
      </c>
      <c r="Z3" s="98" t="s">
        <v>148</v>
      </c>
      <c r="AA3" s="100">
        <v>291</v>
      </c>
      <c r="AB3" s="98" t="s">
        <v>148</v>
      </c>
      <c r="AC3" s="99" t="s">
        <v>147</v>
      </c>
      <c r="AD3" s="99" t="s">
        <v>147</v>
      </c>
      <c r="AE3" s="98" t="s">
        <v>148</v>
      </c>
      <c r="AF3" s="98" t="s">
        <v>148</v>
      </c>
      <c r="AG3" s="98" t="s">
        <v>148</v>
      </c>
      <c r="AH3" s="9"/>
      <c r="AI3" s="54">
        <f>SUM(D3:AG3)</f>
        <v>1648</v>
      </c>
      <c r="AJ3" s="16">
        <f>AI3-AK3</f>
        <v>298</v>
      </c>
      <c r="AK3" s="5">
        <f>SUMIF(C3:AG3,"450")</f>
        <v>1350</v>
      </c>
      <c r="AL3" s="16">
        <f>AJ3+AK3</f>
        <v>1648</v>
      </c>
      <c r="AM3">
        <f>AQ3*450</f>
        <v>9900</v>
      </c>
      <c r="AN3">
        <f>AM3-AL3</f>
        <v>8252</v>
      </c>
      <c r="AO3">
        <f>AN3/AM3</f>
        <v>0.83353535353535357</v>
      </c>
      <c r="AP3">
        <f>AQ3-(AS3+AT3)</f>
        <v>22</v>
      </c>
      <c r="AQ3">
        <f>30-AR3</f>
        <v>22</v>
      </c>
      <c r="AR3" s="5">
        <f>COUNTIF(D3:AF3,"RD")</f>
        <v>8</v>
      </c>
      <c r="AS3" s="5">
        <f>COUNTIF(D3:AG3,"VL")</f>
        <v>0</v>
      </c>
      <c r="AT3" s="5">
        <f>COUNTIF(D3:AG3,"LWOP")</f>
        <v>0</v>
      </c>
      <c r="AU3" s="5">
        <f>COUNTIF(D3:AI3,"450")</f>
        <v>3</v>
      </c>
    </row>
    <row r="4" spans="1:48">
      <c r="A4" s="7" t="s">
        <v>28</v>
      </c>
      <c r="B4" s="5" t="s">
        <v>26</v>
      </c>
      <c r="C4" s="19" t="s">
        <v>25</v>
      </c>
      <c r="D4" s="99" t="s">
        <v>147</v>
      </c>
      <c r="E4" s="99" t="s">
        <v>147</v>
      </c>
      <c r="F4" s="98" t="s">
        <v>148</v>
      </c>
      <c r="G4" s="98" t="s">
        <v>148</v>
      </c>
      <c r="H4" s="98" t="s">
        <v>148</v>
      </c>
      <c r="I4" s="98" t="s">
        <v>148</v>
      </c>
      <c r="J4" s="98" t="s">
        <v>148</v>
      </c>
      <c r="K4" s="99" t="s">
        <v>147</v>
      </c>
      <c r="L4" s="99" t="s">
        <v>147</v>
      </c>
      <c r="M4" s="98" t="s">
        <v>148</v>
      </c>
      <c r="N4" s="102">
        <v>450</v>
      </c>
      <c r="O4" s="100">
        <v>14</v>
      </c>
      <c r="P4" s="100">
        <v>1</v>
      </c>
      <c r="Q4" s="98" t="s">
        <v>148</v>
      </c>
      <c r="R4" s="99" t="s">
        <v>147</v>
      </c>
      <c r="S4" s="99" t="s">
        <v>147</v>
      </c>
      <c r="T4" s="100">
        <v>4</v>
      </c>
      <c r="U4" s="98" t="s">
        <v>148</v>
      </c>
      <c r="V4" s="98" t="s">
        <v>174</v>
      </c>
      <c r="W4" s="98" t="s">
        <v>174</v>
      </c>
      <c r="X4" s="98" t="s">
        <v>148</v>
      </c>
      <c r="Y4" s="99" t="s">
        <v>147</v>
      </c>
      <c r="Z4" s="99" t="s">
        <v>147</v>
      </c>
      <c r="AA4" s="98" t="s">
        <v>148</v>
      </c>
      <c r="AB4" s="98" t="s">
        <v>148</v>
      </c>
      <c r="AC4" s="98" t="s">
        <v>148</v>
      </c>
      <c r="AD4" s="102">
        <v>450</v>
      </c>
      <c r="AE4" s="98" t="s">
        <v>148</v>
      </c>
      <c r="AF4" s="99" t="s">
        <v>147</v>
      </c>
      <c r="AG4" s="99" t="s">
        <v>147</v>
      </c>
      <c r="AH4" s="9"/>
      <c r="AI4" s="54">
        <f t="shared" ref="AI4:AI64" si="0">SUM(D4:AG4)</f>
        <v>919</v>
      </c>
      <c r="AJ4" s="16">
        <f>AI4-AK4</f>
        <v>19</v>
      </c>
      <c r="AK4" s="5">
        <f t="shared" ref="AK4:AK64" si="1">SUMIF(C4:AG4,"450")</f>
        <v>900</v>
      </c>
      <c r="AL4" s="16">
        <f>AJ4+AK4</f>
        <v>919</v>
      </c>
      <c r="AM4">
        <f>AQ4*450</f>
        <v>9450</v>
      </c>
      <c r="AN4">
        <f t="shared" ref="AN4:AN65" si="2">AM4-AL4</f>
        <v>8531</v>
      </c>
      <c r="AO4">
        <f t="shared" ref="AO4:AO65" si="3">AN4/AM4</f>
        <v>0.90275132275132275</v>
      </c>
      <c r="AP4">
        <f t="shared" ref="AP4:AP65" si="4">AQ4-(AS4+AT4)</f>
        <v>21</v>
      </c>
      <c r="AQ4">
        <f t="shared" ref="AQ4:AQ65" si="5">30-AR4</f>
        <v>21</v>
      </c>
      <c r="AR4" s="5">
        <f t="shared" ref="AR4:AR65" si="6">COUNTIF(D4:AF4,"RD")</f>
        <v>9</v>
      </c>
      <c r="AS4" s="5">
        <f t="shared" ref="AS4:AS65" si="7">COUNTIF(D4:AG4,"VL")</f>
        <v>0</v>
      </c>
      <c r="AT4" s="5">
        <f t="shared" ref="AT4:AT65" si="8">COUNTIF(D4:AG4,"LWOP")</f>
        <v>0</v>
      </c>
      <c r="AU4" s="5">
        <f t="shared" ref="AU4:AU65" si="9">COUNTIF(D4:AI4,"450")</f>
        <v>2</v>
      </c>
    </row>
    <row r="5" spans="1:48">
      <c r="A5" s="7" t="s">
        <v>29</v>
      </c>
      <c r="B5" s="5" t="s">
        <v>26</v>
      </c>
      <c r="C5" s="34" t="s">
        <v>30</v>
      </c>
      <c r="D5" s="98" t="s">
        <v>148</v>
      </c>
      <c r="E5" s="98" t="s">
        <v>14</v>
      </c>
      <c r="F5" s="98" t="s">
        <v>14</v>
      </c>
      <c r="G5" s="98" t="s">
        <v>14</v>
      </c>
      <c r="H5" s="98" t="s">
        <v>14</v>
      </c>
      <c r="I5" s="99" t="s">
        <v>147</v>
      </c>
      <c r="J5" s="100">
        <v>9</v>
      </c>
      <c r="K5" s="98" t="s">
        <v>148</v>
      </c>
      <c r="L5" s="100">
        <v>14</v>
      </c>
      <c r="M5" s="100">
        <v>4</v>
      </c>
      <c r="N5" s="100">
        <v>2</v>
      </c>
      <c r="O5" s="99" t="s">
        <v>147</v>
      </c>
      <c r="P5" s="99" t="s">
        <v>147</v>
      </c>
      <c r="Q5" s="98" t="s">
        <v>148</v>
      </c>
      <c r="R5" s="98" t="s">
        <v>148</v>
      </c>
      <c r="S5" s="100">
        <v>1</v>
      </c>
      <c r="T5" s="100">
        <v>4</v>
      </c>
      <c r="U5" s="98" t="s">
        <v>148</v>
      </c>
      <c r="V5" s="99" t="s">
        <v>147</v>
      </c>
      <c r="W5" s="99" t="s">
        <v>147</v>
      </c>
      <c r="X5" s="102">
        <v>450</v>
      </c>
      <c r="Y5" s="102">
        <v>450</v>
      </c>
      <c r="Z5" s="98" t="s">
        <v>148</v>
      </c>
      <c r="AA5" s="98" t="s">
        <v>148</v>
      </c>
      <c r="AB5" s="98" t="s">
        <v>174</v>
      </c>
      <c r="AC5" s="99" t="s">
        <v>147</v>
      </c>
      <c r="AD5" s="99" t="s">
        <v>147</v>
      </c>
      <c r="AE5" s="98" t="s">
        <v>148</v>
      </c>
      <c r="AF5" s="98" t="s">
        <v>148</v>
      </c>
      <c r="AG5" s="100">
        <v>7</v>
      </c>
      <c r="AH5" s="9"/>
      <c r="AI5" s="54">
        <f>SUM(D5:AG5)</f>
        <v>941</v>
      </c>
      <c r="AJ5" s="16">
        <f>AI5-AK5</f>
        <v>41</v>
      </c>
      <c r="AK5" s="5">
        <f t="shared" si="1"/>
        <v>900</v>
      </c>
      <c r="AL5" s="16">
        <f>AJ5+AK5</f>
        <v>941</v>
      </c>
      <c r="AM5">
        <f>AQ5*450</f>
        <v>10350</v>
      </c>
      <c r="AN5">
        <f t="shared" si="2"/>
        <v>9409</v>
      </c>
      <c r="AO5">
        <f t="shared" si="3"/>
        <v>0.9090821256038647</v>
      </c>
      <c r="AP5">
        <f t="shared" si="4"/>
        <v>19</v>
      </c>
      <c r="AQ5">
        <f t="shared" si="5"/>
        <v>23</v>
      </c>
      <c r="AR5" s="5">
        <f t="shared" si="6"/>
        <v>7</v>
      </c>
      <c r="AS5" s="5">
        <f t="shared" si="7"/>
        <v>0</v>
      </c>
      <c r="AT5" s="5">
        <f t="shared" si="8"/>
        <v>4</v>
      </c>
      <c r="AU5" s="5">
        <f t="shared" si="9"/>
        <v>2</v>
      </c>
    </row>
    <row r="6" spans="1:48">
      <c r="A6" s="5" t="s">
        <v>32</v>
      </c>
      <c r="B6" s="5" t="s">
        <v>22</v>
      </c>
      <c r="C6" s="5" t="s">
        <v>33</v>
      </c>
      <c r="D6" s="98" t="s">
        <v>148</v>
      </c>
      <c r="E6" s="98" t="s">
        <v>148</v>
      </c>
      <c r="F6" s="100">
        <v>12</v>
      </c>
      <c r="G6" s="98" t="s">
        <v>148</v>
      </c>
      <c r="H6" s="99" t="s">
        <v>147</v>
      </c>
      <c r="I6" s="99" t="s">
        <v>147</v>
      </c>
      <c r="J6" s="98" t="s">
        <v>148</v>
      </c>
      <c r="K6" s="100">
        <v>5</v>
      </c>
      <c r="L6" s="98" t="s">
        <v>148</v>
      </c>
      <c r="M6" s="98" t="s">
        <v>148</v>
      </c>
      <c r="N6" s="98" t="s">
        <v>148</v>
      </c>
      <c r="O6" s="99" t="s">
        <v>147</v>
      </c>
      <c r="P6" s="99" t="s">
        <v>147</v>
      </c>
      <c r="Q6" s="100">
        <v>6</v>
      </c>
      <c r="R6" s="98" t="s">
        <v>148</v>
      </c>
      <c r="S6" s="98" t="s">
        <v>148</v>
      </c>
      <c r="T6" s="100">
        <v>10</v>
      </c>
      <c r="U6" s="102">
        <v>450</v>
      </c>
      <c r="V6" s="99" t="s">
        <v>147</v>
      </c>
      <c r="W6" s="99" t="s">
        <v>147</v>
      </c>
      <c r="X6" s="102">
        <v>450</v>
      </c>
      <c r="Y6" s="102">
        <v>450</v>
      </c>
      <c r="Z6" s="98" t="s">
        <v>148</v>
      </c>
      <c r="AA6" s="98" t="s">
        <v>148</v>
      </c>
      <c r="AB6" s="102">
        <v>450</v>
      </c>
      <c r="AC6" s="99" t="s">
        <v>147</v>
      </c>
      <c r="AD6" s="99" t="s">
        <v>147</v>
      </c>
      <c r="AE6" s="100">
        <v>8</v>
      </c>
      <c r="AF6" s="98" t="s">
        <v>148</v>
      </c>
      <c r="AG6" s="98" t="s">
        <v>148</v>
      </c>
      <c r="AH6" s="9"/>
      <c r="AI6" s="54">
        <f t="shared" si="0"/>
        <v>1841</v>
      </c>
      <c r="AJ6" s="16">
        <f>AI6-AK6</f>
        <v>41</v>
      </c>
      <c r="AK6" s="5">
        <f t="shared" si="1"/>
        <v>1800</v>
      </c>
      <c r="AL6" s="16">
        <f>AJ6+AK6</f>
        <v>1841</v>
      </c>
      <c r="AM6">
        <f>AQ6*450</f>
        <v>9900</v>
      </c>
      <c r="AN6">
        <f t="shared" si="2"/>
        <v>8059</v>
      </c>
      <c r="AO6">
        <f t="shared" si="3"/>
        <v>0.81404040404040401</v>
      </c>
      <c r="AP6">
        <f t="shared" si="4"/>
        <v>22</v>
      </c>
      <c r="AQ6">
        <f t="shared" si="5"/>
        <v>22</v>
      </c>
      <c r="AR6" s="5">
        <f t="shared" si="6"/>
        <v>8</v>
      </c>
      <c r="AS6" s="5">
        <f t="shared" si="7"/>
        <v>0</v>
      </c>
      <c r="AT6" s="5">
        <f t="shared" si="8"/>
        <v>0</v>
      </c>
      <c r="AU6" s="5">
        <f t="shared" si="9"/>
        <v>4</v>
      </c>
    </row>
    <row r="7" spans="1:48">
      <c r="A7" s="7" t="s">
        <v>35</v>
      </c>
      <c r="B7" s="5" t="s">
        <v>26</v>
      </c>
      <c r="C7" s="19" t="s">
        <v>40</v>
      </c>
      <c r="D7" s="100">
        <v>15</v>
      </c>
      <c r="E7" s="98" t="s">
        <v>148</v>
      </c>
      <c r="F7" s="98" t="s">
        <v>148</v>
      </c>
      <c r="G7" s="98" t="s">
        <v>148</v>
      </c>
      <c r="H7" s="99" t="s">
        <v>147</v>
      </c>
      <c r="I7" s="99" t="s">
        <v>147</v>
      </c>
      <c r="J7" s="98" t="s">
        <v>148</v>
      </c>
      <c r="K7" s="98" t="s">
        <v>148</v>
      </c>
      <c r="L7" s="98" t="s">
        <v>148</v>
      </c>
      <c r="M7" s="100">
        <v>38</v>
      </c>
      <c r="N7" s="98" t="s">
        <v>148</v>
      </c>
      <c r="O7" s="99" t="s">
        <v>147</v>
      </c>
      <c r="P7" s="99" t="s">
        <v>147</v>
      </c>
      <c r="Q7" s="98" t="s">
        <v>148</v>
      </c>
      <c r="R7" s="98" t="s">
        <v>148</v>
      </c>
      <c r="S7" s="98" t="s">
        <v>148</v>
      </c>
      <c r="T7" s="98" t="s">
        <v>148</v>
      </c>
      <c r="U7" s="98" t="s">
        <v>148</v>
      </c>
      <c r="V7" s="99" t="s">
        <v>147</v>
      </c>
      <c r="W7" s="99" t="s">
        <v>147</v>
      </c>
      <c r="X7" s="98" t="s">
        <v>174</v>
      </c>
      <c r="Y7" s="98" t="s">
        <v>148</v>
      </c>
      <c r="Z7" s="98" t="s">
        <v>148</v>
      </c>
      <c r="AA7" s="98" t="s">
        <v>148</v>
      </c>
      <c r="AB7" s="98" t="s">
        <v>148</v>
      </c>
      <c r="AC7" s="99" t="s">
        <v>147</v>
      </c>
      <c r="AD7" s="99" t="s">
        <v>147</v>
      </c>
      <c r="AE7" s="98" t="s">
        <v>148</v>
      </c>
      <c r="AF7" s="100">
        <v>13</v>
      </c>
      <c r="AG7" s="102" t="s">
        <v>187</v>
      </c>
      <c r="AH7" s="9"/>
      <c r="AI7" s="54">
        <f t="shared" si="0"/>
        <v>66</v>
      </c>
      <c r="AJ7" s="16">
        <f>AI7-AK7</f>
        <v>66</v>
      </c>
      <c r="AK7" s="5">
        <f t="shared" si="1"/>
        <v>0</v>
      </c>
      <c r="AL7" s="16">
        <f>AJ7+AK7</f>
        <v>66</v>
      </c>
      <c r="AM7">
        <f>AQ7*450</f>
        <v>9900</v>
      </c>
      <c r="AN7">
        <f t="shared" si="2"/>
        <v>9834</v>
      </c>
      <c r="AO7">
        <f t="shared" si="3"/>
        <v>0.99333333333333329</v>
      </c>
      <c r="AP7">
        <f t="shared" si="4"/>
        <v>22</v>
      </c>
      <c r="AQ7">
        <f t="shared" si="5"/>
        <v>22</v>
      </c>
      <c r="AR7" s="5">
        <f t="shared" si="6"/>
        <v>8</v>
      </c>
      <c r="AS7" s="5">
        <f t="shared" si="7"/>
        <v>0</v>
      </c>
      <c r="AT7" s="5">
        <f t="shared" si="8"/>
        <v>0</v>
      </c>
      <c r="AU7" s="5">
        <f t="shared" si="9"/>
        <v>0</v>
      </c>
    </row>
    <row r="8" spans="1:48">
      <c r="A8" s="5" t="s">
        <v>39</v>
      </c>
      <c r="B8" s="5" t="s">
        <v>37</v>
      </c>
      <c r="C8" s="5" t="s">
        <v>40</v>
      </c>
      <c r="D8" s="100">
        <v>10</v>
      </c>
      <c r="E8" s="98" t="s">
        <v>148</v>
      </c>
      <c r="F8" s="98" t="s">
        <v>148</v>
      </c>
      <c r="G8" s="99" t="s">
        <v>147</v>
      </c>
      <c r="H8" s="99" t="s">
        <v>147</v>
      </c>
      <c r="I8" s="98" t="s">
        <v>148</v>
      </c>
      <c r="J8" s="98" t="s">
        <v>148</v>
      </c>
      <c r="K8" s="98" t="s">
        <v>148</v>
      </c>
      <c r="L8" s="98" t="s">
        <v>148</v>
      </c>
      <c r="M8" s="98" t="s">
        <v>148</v>
      </c>
      <c r="N8" s="99" t="s">
        <v>147</v>
      </c>
      <c r="O8" s="99" t="s">
        <v>147</v>
      </c>
      <c r="P8" s="98" t="s">
        <v>148</v>
      </c>
      <c r="Q8" s="98" t="s">
        <v>148</v>
      </c>
      <c r="R8" s="98" t="s">
        <v>148</v>
      </c>
      <c r="S8" s="98" t="s">
        <v>148</v>
      </c>
      <c r="T8" s="98" t="s">
        <v>148</v>
      </c>
      <c r="U8" s="99" t="s">
        <v>147</v>
      </c>
      <c r="V8" s="99" t="s">
        <v>147</v>
      </c>
      <c r="W8" s="98" t="s">
        <v>148</v>
      </c>
      <c r="X8" s="102">
        <v>450</v>
      </c>
      <c r="Y8" s="98" t="s">
        <v>148</v>
      </c>
      <c r="Z8" s="103" t="s">
        <v>148</v>
      </c>
      <c r="AA8" s="103" t="s">
        <v>148</v>
      </c>
      <c r="AB8" s="99" t="s">
        <v>147</v>
      </c>
      <c r="AC8" s="99" t="s">
        <v>147</v>
      </c>
      <c r="AD8" s="103" t="s">
        <v>148</v>
      </c>
      <c r="AE8" s="98" t="s">
        <v>148</v>
      </c>
      <c r="AF8" s="98" t="s">
        <v>148</v>
      </c>
      <c r="AG8" s="98" t="s">
        <v>174</v>
      </c>
      <c r="AH8" s="9"/>
      <c r="AI8" s="54">
        <f t="shared" si="0"/>
        <v>460</v>
      </c>
      <c r="AJ8" s="16">
        <f>AI8-AK8</f>
        <v>10</v>
      </c>
      <c r="AK8" s="5">
        <f t="shared" si="1"/>
        <v>450</v>
      </c>
      <c r="AL8" s="16">
        <f>AJ8+AK8</f>
        <v>460</v>
      </c>
      <c r="AM8">
        <f>AQ8*450</f>
        <v>9900</v>
      </c>
      <c r="AN8">
        <f>AM8-AL8</f>
        <v>9440</v>
      </c>
      <c r="AO8">
        <f t="shared" si="3"/>
        <v>0.95353535353535357</v>
      </c>
      <c r="AP8">
        <f t="shared" si="4"/>
        <v>22</v>
      </c>
      <c r="AQ8">
        <f t="shared" si="5"/>
        <v>22</v>
      </c>
      <c r="AR8" s="5">
        <f>COUNTIF(D8:AF8,"RD")</f>
        <v>8</v>
      </c>
      <c r="AS8" s="5">
        <f t="shared" si="7"/>
        <v>0</v>
      </c>
      <c r="AT8" s="5">
        <f t="shared" si="8"/>
        <v>0</v>
      </c>
      <c r="AU8" s="5">
        <f t="shared" si="9"/>
        <v>1</v>
      </c>
    </row>
    <row r="9" spans="1:48">
      <c r="A9" s="5" t="s">
        <v>41</v>
      </c>
      <c r="B9" s="5" t="s">
        <v>22</v>
      </c>
      <c r="C9" s="5" t="s">
        <v>33</v>
      </c>
      <c r="D9" s="98" t="s">
        <v>148</v>
      </c>
      <c r="E9" s="98" t="s">
        <v>148</v>
      </c>
      <c r="F9" s="98" t="s">
        <v>148</v>
      </c>
      <c r="G9" s="100">
        <v>1</v>
      </c>
      <c r="H9" s="99" t="s">
        <v>147</v>
      </c>
      <c r="I9" s="99" t="s">
        <v>147</v>
      </c>
      <c r="J9" s="98" t="s">
        <v>148</v>
      </c>
      <c r="K9" s="98" t="s">
        <v>148</v>
      </c>
      <c r="L9" s="98" t="s">
        <v>148</v>
      </c>
      <c r="M9" s="98" t="s">
        <v>148</v>
      </c>
      <c r="N9" s="98" t="s">
        <v>148</v>
      </c>
      <c r="O9" s="99" t="s">
        <v>147</v>
      </c>
      <c r="P9" s="99" t="s">
        <v>147</v>
      </c>
      <c r="Q9" s="98" t="s">
        <v>148</v>
      </c>
      <c r="R9" s="98" t="s">
        <v>148</v>
      </c>
      <c r="S9" s="98" t="s">
        <v>148</v>
      </c>
      <c r="T9" s="98" t="s">
        <v>148</v>
      </c>
      <c r="U9" s="98" t="s">
        <v>148</v>
      </c>
      <c r="V9" s="99" t="s">
        <v>147</v>
      </c>
      <c r="W9" s="99" t="s">
        <v>147</v>
      </c>
      <c r="X9" s="102">
        <v>450</v>
      </c>
      <c r="Y9" s="98" t="s">
        <v>148</v>
      </c>
      <c r="Z9" s="98" t="s">
        <v>148</v>
      </c>
      <c r="AA9" s="98" t="s">
        <v>148</v>
      </c>
      <c r="AB9" s="102">
        <v>450</v>
      </c>
      <c r="AC9" s="99" t="s">
        <v>147</v>
      </c>
      <c r="AD9" s="99" t="s">
        <v>147</v>
      </c>
      <c r="AE9" s="104" t="s">
        <v>12</v>
      </c>
      <c r="AF9" s="98" t="s">
        <v>148</v>
      </c>
      <c r="AG9" s="98" t="s">
        <v>174</v>
      </c>
      <c r="AH9" s="9"/>
      <c r="AI9" s="54">
        <f t="shared" si="0"/>
        <v>901</v>
      </c>
      <c r="AJ9" s="16">
        <f>AI9-AK9</f>
        <v>1</v>
      </c>
      <c r="AK9" s="5">
        <f t="shared" si="1"/>
        <v>900</v>
      </c>
      <c r="AL9" s="16">
        <f>AJ9+AK9</f>
        <v>901</v>
      </c>
      <c r="AM9">
        <f>AQ9*450</f>
        <v>9900</v>
      </c>
      <c r="AN9">
        <f t="shared" si="2"/>
        <v>8999</v>
      </c>
      <c r="AO9">
        <f t="shared" si="3"/>
        <v>0.90898989898989901</v>
      </c>
      <c r="AP9">
        <f t="shared" si="4"/>
        <v>21</v>
      </c>
      <c r="AQ9">
        <f t="shared" si="5"/>
        <v>22</v>
      </c>
      <c r="AR9" s="5">
        <f t="shared" si="6"/>
        <v>8</v>
      </c>
      <c r="AS9" s="5">
        <f t="shared" si="7"/>
        <v>1</v>
      </c>
      <c r="AT9" s="5">
        <f t="shared" si="8"/>
        <v>0</v>
      </c>
      <c r="AU9" s="5">
        <f t="shared" si="9"/>
        <v>2</v>
      </c>
    </row>
    <row r="10" spans="1:48">
      <c r="A10" s="5" t="s">
        <v>42</v>
      </c>
      <c r="B10" s="5" t="s">
        <v>22</v>
      </c>
      <c r="C10" s="5" t="s">
        <v>25</v>
      </c>
      <c r="D10" s="98" t="s">
        <v>148</v>
      </c>
      <c r="E10" s="98" t="s">
        <v>148</v>
      </c>
      <c r="F10" s="100">
        <v>4</v>
      </c>
      <c r="G10" s="98" t="s">
        <v>148</v>
      </c>
      <c r="H10" s="99" t="s">
        <v>147</v>
      </c>
      <c r="I10" s="99" t="s">
        <v>147</v>
      </c>
      <c r="J10" s="100">
        <v>4</v>
      </c>
      <c r="K10" s="104" t="s">
        <v>12</v>
      </c>
      <c r="L10" s="98" t="s">
        <v>148</v>
      </c>
      <c r="M10" s="98" t="s">
        <v>148</v>
      </c>
      <c r="N10" s="98" t="s">
        <v>148</v>
      </c>
      <c r="O10" s="99" t="s">
        <v>147</v>
      </c>
      <c r="P10" s="99" t="s">
        <v>147</v>
      </c>
      <c r="Q10" s="98" t="s">
        <v>148</v>
      </c>
      <c r="R10" s="98" t="s">
        <v>148</v>
      </c>
      <c r="S10" s="98" t="s">
        <v>148</v>
      </c>
      <c r="T10" s="98" t="s">
        <v>148</v>
      </c>
      <c r="U10" s="104" t="s">
        <v>12</v>
      </c>
      <c r="V10" s="99" t="s">
        <v>147</v>
      </c>
      <c r="W10" s="99" t="s">
        <v>147</v>
      </c>
      <c r="X10" s="102">
        <v>450</v>
      </c>
      <c r="Y10" s="98" t="s">
        <v>174</v>
      </c>
      <c r="Z10" s="98" t="s">
        <v>148</v>
      </c>
      <c r="AA10" s="98" t="s">
        <v>148</v>
      </c>
      <c r="AB10" s="98" t="s">
        <v>148</v>
      </c>
      <c r="AC10" s="99" t="s">
        <v>147</v>
      </c>
      <c r="AD10" s="99" t="s">
        <v>147</v>
      </c>
      <c r="AE10" s="98" t="s">
        <v>148</v>
      </c>
      <c r="AF10" s="98" t="s">
        <v>148</v>
      </c>
      <c r="AG10" s="98" t="s">
        <v>148</v>
      </c>
      <c r="AH10" s="9"/>
      <c r="AI10" s="54">
        <f t="shared" si="0"/>
        <v>458</v>
      </c>
      <c r="AJ10" s="16">
        <f>AI10-AK10</f>
        <v>8</v>
      </c>
      <c r="AK10" s="5">
        <f t="shared" si="1"/>
        <v>450</v>
      </c>
      <c r="AL10" s="16">
        <f>AJ10+AK10</f>
        <v>458</v>
      </c>
      <c r="AM10">
        <f>AQ10*450</f>
        <v>9900</v>
      </c>
      <c r="AN10">
        <f t="shared" si="2"/>
        <v>9442</v>
      </c>
      <c r="AO10">
        <f t="shared" si="3"/>
        <v>0.95373737373737377</v>
      </c>
      <c r="AP10">
        <f t="shared" si="4"/>
        <v>20</v>
      </c>
      <c r="AQ10">
        <f t="shared" si="5"/>
        <v>22</v>
      </c>
      <c r="AR10" s="5">
        <f t="shared" si="6"/>
        <v>8</v>
      </c>
      <c r="AS10" s="5">
        <f t="shared" si="7"/>
        <v>2</v>
      </c>
      <c r="AT10" s="5">
        <f t="shared" si="8"/>
        <v>0</v>
      </c>
      <c r="AU10" s="5">
        <f t="shared" si="9"/>
        <v>1</v>
      </c>
    </row>
    <row r="11" spans="1:48">
      <c r="A11" s="5" t="s">
        <v>43</v>
      </c>
      <c r="B11" s="5" t="s">
        <v>22</v>
      </c>
      <c r="C11" s="5" t="s">
        <v>25</v>
      </c>
      <c r="D11" s="98" t="s">
        <v>148</v>
      </c>
      <c r="E11" s="98" t="s">
        <v>148</v>
      </c>
      <c r="F11" s="98" t="s">
        <v>148</v>
      </c>
      <c r="G11" s="98" t="s">
        <v>148</v>
      </c>
      <c r="H11" s="99" t="s">
        <v>147</v>
      </c>
      <c r="I11" s="99" t="s">
        <v>147</v>
      </c>
      <c r="J11" s="98" t="s">
        <v>148</v>
      </c>
      <c r="K11" s="98" t="s">
        <v>148</v>
      </c>
      <c r="L11" s="98" t="s">
        <v>148</v>
      </c>
      <c r="M11" s="98" t="s">
        <v>148</v>
      </c>
      <c r="N11" s="98" t="s">
        <v>148</v>
      </c>
      <c r="O11" s="99" t="s">
        <v>147</v>
      </c>
      <c r="P11" s="99" t="s">
        <v>147</v>
      </c>
      <c r="Q11" s="98" t="s">
        <v>148</v>
      </c>
      <c r="R11" s="98" t="s">
        <v>148</v>
      </c>
      <c r="S11" s="98" t="s">
        <v>148</v>
      </c>
      <c r="T11" s="98" t="s">
        <v>148</v>
      </c>
      <c r="U11" s="98" t="s">
        <v>148</v>
      </c>
      <c r="V11" s="99" t="s">
        <v>147</v>
      </c>
      <c r="W11" s="99" t="s">
        <v>147</v>
      </c>
      <c r="X11" s="98" t="s">
        <v>174</v>
      </c>
      <c r="Y11" s="98" t="s">
        <v>148</v>
      </c>
      <c r="Z11" s="98" t="s">
        <v>148</v>
      </c>
      <c r="AA11" s="98" t="s">
        <v>148</v>
      </c>
      <c r="AB11" s="98" t="s">
        <v>174</v>
      </c>
      <c r="AC11" s="99" t="s">
        <v>147</v>
      </c>
      <c r="AD11" s="99" t="s">
        <v>147</v>
      </c>
      <c r="AE11" s="98" t="s">
        <v>148</v>
      </c>
      <c r="AF11" s="98" t="s">
        <v>148</v>
      </c>
      <c r="AG11" s="98" t="s">
        <v>148</v>
      </c>
      <c r="AH11" s="9"/>
      <c r="AI11" s="54">
        <f t="shared" si="0"/>
        <v>0</v>
      </c>
      <c r="AJ11" s="16">
        <f>AI11-AK11</f>
        <v>0</v>
      </c>
      <c r="AK11" s="5">
        <f>SUMIF(C11:AG11,"450")</f>
        <v>0</v>
      </c>
      <c r="AL11" s="16">
        <f>AJ11+AK11</f>
        <v>0</v>
      </c>
      <c r="AM11">
        <f>AQ11*450</f>
        <v>9900</v>
      </c>
      <c r="AN11">
        <f t="shared" si="2"/>
        <v>9900</v>
      </c>
      <c r="AO11">
        <f t="shared" si="3"/>
        <v>1</v>
      </c>
      <c r="AP11">
        <f t="shared" si="4"/>
        <v>22</v>
      </c>
      <c r="AQ11">
        <f t="shared" si="5"/>
        <v>22</v>
      </c>
      <c r="AR11" s="5">
        <f t="shared" si="6"/>
        <v>8</v>
      </c>
      <c r="AS11" s="5">
        <f t="shared" si="7"/>
        <v>0</v>
      </c>
      <c r="AT11" s="5">
        <f t="shared" si="8"/>
        <v>0</v>
      </c>
      <c r="AU11" s="5">
        <f t="shared" si="9"/>
        <v>0</v>
      </c>
    </row>
    <row r="12" spans="1:48">
      <c r="A12" s="5" t="s">
        <v>44</v>
      </c>
      <c r="B12" s="5" t="s">
        <v>37</v>
      </c>
      <c r="C12" s="5" t="s">
        <v>40</v>
      </c>
      <c r="D12" s="98" t="s">
        <v>148</v>
      </c>
      <c r="E12" s="98" t="s">
        <v>148</v>
      </c>
      <c r="F12" s="98" t="s">
        <v>148</v>
      </c>
      <c r="G12" s="98" t="s">
        <v>148</v>
      </c>
      <c r="H12" s="98" t="s">
        <v>148</v>
      </c>
      <c r="I12" s="99" t="s">
        <v>147</v>
      </c>
      <c r="J12" s="99" t="s">
        <v>147</v>
      </c>
      <c r="K12" s="98" t="s">
        <v>148</v>
      </c>
      <c r="L12" s="98" t="s">
        <v>148</v>
      </c>
      <c r="M12" s="98" t="s">
        <v>148</v>
      </c>
      <c r="N12" s="98" t="s">
        <v>148</v>
      </c>
      <c r="O12" s="98" t="s">
        <v>148</v>
      </c>
      <c r="P12" s="99" t="s">
        <v>147</v>
      </c>
      <c r="Q12" s="99" t="s">
        <v>147</v>
      </c>
      <c r="R12" s="98" t="s">
        <v>148</v>
      </c>
      <c r="S12" s="98" t="s">
        <v>148</v>
      </c>
      <c r="T12" s="98" t="s">
        <v>148</v>
      </c>
      <c r="U12" s="98" t="s">
        <v>174</v>
      </c>
      <c r="V12" s="98" t="s">
        <v>148</v>
      </c>
      <c r="W12" s="99" t="s">
        <v>147</v>
      </c>
      <c r="X12" s="99" t="s">
        <v>147</v>
      </c>
      <c r="Y12" s="98" t="s">
        <v>148</v>
      </c>
      <c r="Z12" s="98" t="s">
        <v>148</v>
      </c>
      <c r="AA12" s="98" t="s">
        <v>148</v>
      </c>
      <c r="AB12" s="98" t="s">
        <v>148</v>
      </c>
      <c r="AC12" s="98" t="s">
        <v>148</v>
      </c>
      <c r="AD12" s="99" t="s">
        <v>147</v>
      </c>
      <c r="AE12" s="98" t="s">
        <v>148</v>
      </c>
      <c r="AF12" s="98" t="s">
        <v>148</v>
      </c>
      <c r="AG12" s="98" t="s">
        <v>148</v>
      </c>
      <c r="AH12" s="9"/>
      <c r="AI12" s="54">
        <f t="shared" si="0"/>
        <v>0</v>
      </c>
      <c r="AJ12" s="16">
        <f>AI12-AK12</f>
        <v>0</v>
      </c>
      <c r="AK12" s="5">
        <f t="shared" si="1"/>
        <v>0</v>
      </c>
      <c r="AL12" s="16">
        <f>AJ12+AK12</f>
        <v>0</v>
      </c>
      <c r="AM12">
        <f>AQ12*450</f>
        <v>10350</v>
      </c>
      <c r="AN12">
        <f t="shared" si="2"/>
        <v>10350</v>
      </c>
      <c r="AO12">
        <f t="shared" si="3"/>
        <v>1</v>
      </c>
      <c r="AP12">
        <f t="shared" si="4"/>
        <v>23</v>
      </c>
      <c r="AQ12">
        <f t="shared" si="5"/>
        <v>23</v>
      </c>
      <c r="AR12" s="5">
        <f t="shared" si="6"/>
        <v>7</v>
      </c>
      <c r="AS12" s="5">
        <f t="shared" si="7"/>
        <v>0</v>
      </c>
      <c r="AT12" s="5">
        <f t="shared" si="8"/>
        <v>0</v>
      </c>
      <c r="AU12" s="5">
        <f t="shared" si="9"/>
        <v>0</v>
      </c>
    </row>
    <row r="13" spans="1:48">
      <c r="A13" s="7" t="s">
        <v>45</v>
      </c>
      <c r="B13" s="5" t="s">
        <v>26</v>
      </c>
      <c r="C13" s="34" t="s">
        <v>30</v>
      </c>
      <c r="D13" s="98" t="s">
        <v>14</v>
      </c>
      <c r="E13" s="99" t="s">
        <v>147</v>
      </c>
      <c r="F13" s="99" t="s">
        <v>147</v>
      </c>
      <c r="G13" s="98" t="s">
        <v>148</v>
      </c>
      <c r="H13" s="98" t="s">
        <v>148</v>
      </c>
      <c r="I13" s="98" t="s">
        <v>148</v>
      </c>
      <c r="J13" s="98" t="s">
        <v>148</v>
      </c>
      <c r="K13" s="102">
        <v>450</v>
      </c>
      <c r="L13" s="99" t="s">
        <v>147</v>
      </c>
      <c r="M13" s="99" t="s">
        <v>147</v>
      </c>
      <c r="N13" s="102">
        <v>450</v>
      </c>
      <c r="O13" s="100">
        <v>3</v>
      </c>
      <c r="P13" s="98" t="s">
        <v>148</v>
      </c>
      <c r="Q13" s="98" t="s">
        <v>148</v>
      </c>
      <c r="R13" s="102">
        <v>450</v>
      </c>
      <c r="S13" s="99" t="s">
        <v>147</v>
      </c>
      <c r="T13" s="99" t="s">
        <v>147</v>
      </c>
      <c r="U13" s="100">
        <v>11</v>
      </c>
      <c r="V13" s="102">
        <v>450</v>
      </c>
      <c r="W13" s="102">
        <v>450</v>
      </c>
      <c r="X13" s="102">
        <v>450</v>
      </c>
      <c r="Y13" s="102">
        <v>450</v>
      </c>
      <c r="Z13" s="99" t="s">
        <v>147</v>
      </c>
      <c r="AA13" s="99" t="s">
        <v>147</v>
      </c>
      <c r="AB13" s="98" t="s">
        <v>148</v>
      </c>
      <c r="AC13" s="98" t="s">
        <v>148</v>
      </c>
      <c r="AD13" s="98" t="s">
        <v>148</v>
      </c>
      <c r="AE13" s="98" t="s">
        <v>148</v>
      </c>
      <c r="AF13" s="102">
        <v>450</v>
      </c>
      <c r="AG13" s="99" t="s">
        <v>147</v>
      </c>
      <c r="AH13" s="9"/>
      <c r="AI13" s="54">
        <f t="shared" si="0"/>
        <v>3614</v>
      </c>
      <c r="AJ13" s="16">
        <f>AI13-AK13</f>
        <v>14</v>
      </c>
      <c r="AK13" s="5">
        <f t="shared" si="1"/>
        <v>3600</v>
      </c>
      <c r="AL13" s="16">
        <f>AJ13+AK13</f>
        <v>3614</v>
      </c>
      <c r="AM13">
        <f>AQ13*450</f>
        <v>9900</v>
      </c>
      <c r="AN13">
        <f t="shared" si="2"/>
        <v>6286</v>
      </c>
      <c r="AO13">
        <f t="shared" si="3"/>
        <v>0.63494949494949493</v>
      </c>
      <c r="AP13">
        <f t="shared" si="4"/>
        <v>21</v>
      </c>
      <c r="AQ13">
        <f t="shared" si="5"/>
        <v>22</v>
      </c>
      <c r="AR13" s="5">
        <f t="shared" si="6"/>
        <v>8</v>
      </c>
      <c r="AS13" s="5">
        <f t="shared" si="7"/>
        <v>0</v>
      </c>
      <c r="AT13" s="5">
        <f t="shared" si="8"/>
        <v>1</v>
      </c>
      <c r="AU13" s="5">
        <f t="shared" si="9"/>
        <v>8</v>
      </c>
    </row>
    <row r="14" spans="1:48">
      <c r="A14" s="7" t="s">
        <v>47</v>
      </c>
      <c r="B14" s="5" t="s">
        <v>26</v>
      </c>
      <c r="C14" s="34" t="s">
        <v>33</v>
      </c>
      <c r="D14" s="98" t="s">
        <v>148</v>
      </c>
      <c r="E14" s="98" t="s">
        <v>148</v>
      </c>
      <c r="F14" s="98" t="s">
        <v>148</v>
      </c>
      <c r="G14" s="98" t="s">
        <v>148</v>
      </c>
      <c r="H14" s="99" t="s">
        <v>147</v>
      </c>
      <c r="I14" s="99" t="s">
        <v>147</v>
      </c>
      <c r="J14" s="102">
        <v>450</v>
      </c>
      <c r="K14" s="98" t="s">
        <v>148</v>
      </c>
      <c r="L14" s="100">
        <v>19</v>
      </c>
      <c r="M14" s="100">
        <v>10</v>
      </c>
      <c r="N14" s="102">
        <v>450</v>
      </c>
      <c r="O14" s="99" t="s">
        <v>147</v>
      </c>
      <c r="P14" s="99" t="s">
        <v>147</v>
      </c>
      <c r="Q14" s="98" t="s">
        <v>148</v>
      </c>
      <c r="R14" s="98" t="s">
        <v>148</v>
      </c>
      <c r="S14" s="98" t="s">
        <v>148</v>
      </c>
      <c r="T14" s="100">
        <v>22</v>
      </c>
      <c r="U14" s="100">
        <v>32</v>
      </c>
      <c r="V14" s="99" t="s">
        <v>147</v>
      </c>
      <c r="W14" s="99" t="s">
        <v>147</v>
      </c>
      <c r="X14" s="98" t="s">
        <v>148</v>
      </c>
      <c r="Y14" s="102">
        <v>450</v>
      </c>
      <c r="Z14" s="98" t="s">
        <v>148</v>
      </c>
      <c r="AA14" s="98" t="s">
        <v>148</v>
      </c>
      <c r="AB14" s="98" t="s">
        <v>148</v>
      </c>
      <c r="AC14" s="99" t="s">
        <v>147</v>
      </c>
      <c r="AD14" s="99" t="s">
        <v>147</v>
      </c>
      <c r="AE14" s="100">
        <v>19</v>
      </c>
      <c r="AF14" s="100">
        <v>3</v>
      </c>
      <c r="AG14" s="98" t="s">
        <v>148</v>
      </c>
      <c r="AH14" s="9"/>
      <c r="AI14" s="54">
        <f t="shared" si="0"/>
        <v>1455</v>
      </c>
      <c r="AJ14" s="16">
        <f>AI14-AK14</f>
        <v>105</v>
      </c>
      <c r="AK14" s="5">
        <f t="shared" si="1"/>
        <v>1350</v>
      </c>
      <c r="AL14" s="16">
        <f>AJ14+AK14</f>
        <v>1455</v>
      </c>
      <c r="AM14">
        <f>AQ14*450</f>
        <v>9900</v>
      </c>
      <c r="AN14">
        <f t="shared" si="2"/>
        <v>8445</v>
      </c>
      <c r="AO14">
        <f t="shared" si="3"/>
        <v>0.85303030303030303</v>
      </c>
      <c r="AP14">
        <f t="shared" si="4"/>
        <v>22</v>
      </c>
      <c r="AQ14">
        <f t="shared" si="5"/>
        <v>22</v>
      </c>
      <c r="AR14" s="5">
        <f t="shared" si="6"/>
        <v>8</v>
      </c>
      <c r="AS14" s="5">
        <f t="shared" si="7"/>
        <v>0</v>
      </c>
      <c r="AT14" s="5">
        <f t="shared" si="8"/>
        <v>0</v>
      </c>
      <c r="AU14" s="5">
        <f t="shared" si="9"/>
        <v>3</v>
      </c>
    </row>
    <row r="15" spans="1:48">
      <c r="A15" s="7" t="s">
        <v>49</v>
      </c>
      <c r="B15" s="5" t="s">
        <v>26</v>
      </c>
      <c r="C15" s="34" t="s">
        <v>40</v>
      </c>
      <c r="D15" s="98" t="s">
        <v>148</v>
      </c>
      <c r="E15" s="98" t="s">
        <v>148</v>
      </c>
      <c r="F15" s="100">
        <v>13</v>
      </c>
      <c r="G15" s="98" t="s">
        <v>148</v>
      </c>
      <c r="H15" s="99" t="s">
        <v>147</v>
      </c>
      <c r="I15" s="99" t="s">
        <v>147</v>
      </c>
      <c r="J15" s="100">
        <v>3</v>
      </c>
      <c r="K15" s="98" t="s">
        <v>148</v>
      </c>
      <c r="L15" s="98" t="s">
        <v>148</v>
      </c>
      <c r="M15" s="98" t="s">
        <v>148</v>
      </c>
      <c r="N15" s="98" t="s">
        <v>148</v>
      </c>
      <c r="O15" s="99" t="s">
        <v>147</v>
      </c>
      <c r="P15" s="99" t="s">
        <v>147</v>
      </c>
      <c r="Q15" s="104" t="s">
        <v>12</v>
      </c>
      <c r="R15" s="98" t="s">
        <v>148</v>
      </c>
      <c r="S15" s="98" t="s">
        <v>148</v>
      </c>
      <c r="T15" s="100">
        <v>14</v>
      </c>
      <c r="U15" s="98" t="s">
        <v>148</v>
      </c>
      <c r="V15" s="99" t="s">
        <v>147</v>
      </c>
      <c r="W15" s="99" t="s">
        <v>147</v>
      </c>
      <c r="X15" s="99" t="s">
        <v>147</v>
      </c>
      <c r="Y15" s="102">
        <v>450</v>
      </c>
      <c r="Z15" s="98" t="s">
        <v>148</v>
      </c>
      <c r="AA15" s="98" t="s">
        <v>148</v>
      </c>
      <c r="AB15" s="98" t="s">
        <v>148</v>
      </c>
      <c r="AC15" s="98" t="s">
        <v>148</v>
      </c>
      <c r="AD15" s="99" t="s">
        <v>147</v>
      </c>
      <c r="AE15" s="98" t="s">
        <v>148</v>
      </c>
      <c r="AF15" s="98" t="s">
        <v>148</v>
      </c>
      <c r="AG15" s="100">
        <v>4</v>
      </c>
      <c r="AH15" s="9"/>
      <c r="AI15" s="54">
        <f t="shared" si="0"/>
        <v>484</v>
      </c>
      <c r="AJ15" s="16">
        <f>AI15-AK15</f>
        <v>34</v>
      </c>
      <c r="AK15" s="5">
        <f t="shared" si="1"/>
        <v>450</v>
      </c>
      <c r="AL15" s="16">
        <f>AJ15+AK15</f>
        <v>484</v>
      </c>
      <c r="AM15">
        <f>AQ15*450</f>
        <v>9900</v>
      </c>
      <c r="AN15">
        <f t="shared" si="2"/>
        <v>9416</v>
      </c>
      <c r="AO15">
        <f t="shared" si="3"/>
        <v>0.95111111111111113</v>
      </c>
      <c r="AP15">
        <f t="shared" si="4"/>
        <v>21</v>
      </c>
      <c r="AQ15">
        <f t="shared" si="5"/>
        <v>22</v>
      </c>
      <c r="AR15" s="5">
        <f t="shared" si="6"/>
        <v>8</v>
      </c>
      <c r="AS15" s="5">
        <f t="shared" si="7"/>
        <v>1</v>
      </c>
      <c r="AT15" s="5">
        <f t="shared" si="8"/>
        <v>0</v>
      </c>
      <c r="AU15" s="5">
        <f t="shared" si="9"/>
        <v>1</v>
      </c>
    </row>
    <row r="16" spans="1:48">
      <c r="A16" s="7" t="s">
        <v>51</v>
      </c>
      <c r="B16" s="5" t="s">
        <v>26</v>
      </c>
      <c r="C16" s="34" t="s">
        <v>25</v>
      </c>
      <c r="D16" s="99" t="s">
        <v>147</v>
      </c>
      <c r="E16" s="99" t="s">
        <v>147</v>
      </c>
      <c r="F16" s="98" t="s">
        <v>148</v>
      </c>
      <c r="G16" s="100">
        <v>15</v>
      </c>
      <c r="H16" s="98" t="s">
        <v>148</v>
      </c>
      <c r="I16" s="98" t="s">
        <v>148</v>
      </c>
      <c r="J16" s="98" t="s">
        <v>148</v>
      </c>
      <c r="K16" s="99" t="s">
        <v>147</v>
      </c>
      <c r="L16" s="99" t="s">
        <v>147</v>
      </c>
      <c r="M16" s="98" t="s">
        <v>148</v>
      </c>
      <c r="N16" s="98" t="s">
        <v>148</v>
      </c>
      <c r="O16" s="98" t="s">
        <v>148</v>
      </c>
      <c r="P16" s="100">
        <v>74</v>
      </c>
      <c r="Q16" s="98" t="s">
        <v>148</v>
      </c>
      <c r="R16" s="99" t="s">
        <v>147</v>
      </c>
      <c r="S16" s="99" t="s">
        <v>147</v>
      </c>
      <c r="T16" s="100">
        <v>38</v>
      </c>
      <c r="U16" s="98" t="s">
        <v>148</v>
      </c>
      <c r="V16" s="98" t="s">
        <v>148</v>
      </c>
      <c r="W16" s="98" t="s">
        <v>148</v>
      </c>
      <c r="X16" s="102">
        <v>450</v>
      </c>
      <c r="Y16" s="99" t="s">
        <v>147</v>
      </c>
      <c r="Z16" s="98" t="s">
        <v>148</v>
      </c>
      <c r="AA16" s="98" t="s">
        <v>148</v>
      </c>
      <c r="AB16" s="98" t="s">
        <v>148</v>
      </c>
      <c r="AC16" s="100">
        <v>11</v>
      </c>
      <c r="AD16" s="98" t="s">
        <v>148</v>
      </c>
      <c r="AE16" s="98" t="s">
        <v>148</v>
      </c>
      <c r="AF16" s="105" t="s">
        <v>147</v>
      </c>
      <c r="AG16" s="105" t="s">
        <v>147</v>
      </c>
      <c r="AH16" s="9"/>
      <c r="AI16" s="54">
        <f t="shared" si="0"/>
        <v>588</v>
      </c>
      <c r="AJ16" s="16">
        <f>AI16-AK16</f>
        <v>138</v>
      </c>
      <c r="AK16" s="5">
        <f t="shared" si="1"/>
        <v>450</v>
      </c>
      <c r="AL16" s="16">
        <f>AJ16+AK16</f>
        <v>588</v>
      </c>
      <c r="AM16">
        <f>AQ16*450</f>
        <v>9900</v>
      </c>
      <c r="AN16">
        <f t="shared" si="2"/>
        <v>9312</v>
      </c>
      <c r="AO16">
        <f t="shared" si="3"/>
        <v>0.94060606060606056</v>
      </c>
      <c r="AP16">
        <f t="shared" si="4"/>
        <v>22</v>
      </c>
      <c r="AQ16">
        <f t="shared" si="5"/>
        <v>22</v>
      </c>
      <c r="AR16" s="5">
        <f t="shared" si="6"/>
        <v>8</v>
      </c>
      <c r="AS16" s="5">
        <f t="shared" si="7"/>
        <v>0</v>
      </c>
      <c r="AT16" s="5">
        <f t="shared" si="8"/>
        <v>0</v>
      </c>
      <c r="AU16" s="5">
        <f t="shared" si="9"/>
        <v>1</v>
      </c>
    </row>
    <row r="17" spans="1:58">
      <c r="A17" s="5" t="s">
        <v>52</v>
      </c>
      <c r="B17" s="5" t="s">
        <v>37</v>
      </c>
      <c r="C17" s="5" t="s">
        <v>40</v>
      </c>
      <c r="D17" s="98" t="s">
        <v>148</v>
      </c>
      <c r="E17" s="98" t="s">
        <v>148</v>
      </c>
      <c r="F17" s="98" t="s">
        <v>148</v>
      </c>
      <c r="G17" s="99" t="s">
        <v>147</v>
      </c>
      <c r="H17" s="99" t="s">
        <v>147</v>
      </c>
      <c r="I17" s="98" t="s">
        <v>148</v>
      </c>
      <c r="J17" s="98" t="s">
        <v>148</v>
      </c>
      <c r="K17" s="100">
        <v>16</v>
      </c>
      <c r="L17" s="98" t="s">
        <v>148</v>
      </c>
      <c r="M17" s="100">
        <v>3</v>
      </c>
      <c r="N17" s="99" t="s">
        <v>147</v>
      </c>
      <c r="O17" s="99" t="s">
        <v>147</v>
      </c>
      <c r="P17" s="98" t="s">
        <v>148</v>
      </c>
      <c r="Q17" s="98" t="s">
        <v>148</v>
      </c>
      <c r="R17" s="98" t="s">
        <v>14</v>
      </c>
      <c r="S17" s="98" t="s">
        <v>148</v>
      </c>
      <c r="T17" s="98" t="s">
        <v>148</v>
      </c>
      <c r="U17" s="99" t="s">
        <v>147</v>
      </c>
      <c r="V17" s="99" t="s">
        <v>147</v>
      </c>
      <c r="W17" s="98" t="s">
        <v>148</v>
      </c>
      <c r="X17" s="98" t="s">
        <v>148</v>
      </c>
      <c r="Y17" s="102">
        <v>450</v>
      </c>
      <c r="Z17" s="98" t="s">
        <v>148</v>
      </c>
      <c r="AA17" s="98" t="s">
        <v>148</v>
      </c>
      <c r="AB17" s="99" t="s">
        <v>147</v>
      </c>
      <c r="AC17" s="99" t="s">
        <v>147</v>
      </c>
      <c r="AD17" s="98" t="s">
        <v>148</v>
      </c>
      <c r="AE17" s="100">
        <v>95</v>
      </c>
      <c r="AF17" s="98" t="s">
        <v>148</v>
      </c>
      <c r="AG17" s="98" t="s">
        <v>148</v>
      </c>
      <c r="AH17" s="9"/>
      <c r="AI17" s="54">
        <f t="shared" si="0"/>
        <v>564</v>
      </c>
      <c r="AJ17" s="16">
        <f>AI17-AK17</f>
        <v>114</v>
      </c>
      <c r="AK17" s="5">
        <f t="shared" si="1"/>
        <v>450</v>
      </c>
      <c r="AL17" s="16">
        <f>AJ17+AK17</f>
        <v>564</v>
      </c>
      <c r="AM17">
        <f>AQ17*450</f>
        <v>9900</v>
      </c>
      <c r="AN17">
        <f t="shared" si="2"/>
        <v>9336</v>
      </c>
      <c r="AO17">
        <f t="shared" si="3"/>
        <v>0.943030303030303</v>
      </c>
      <c r="AP17">
        <f t="shared" si="4"/>
        <v>21</v>
      </c>
      <c r="AQ17">
        <f t="shared" si="5"/>
        <v>22</v>
      </c>
      <c r="AR17" s="5">
        <f t="shared" si="6"/>
        <v>8</v>
      </c>
      <c r="AS17" s="5">
        <f t="shared" si="7"/>
        <v>0</v>
      </c>
      <c r="AT17" s="5">
        <f t="shared" si="8"/>
        <v>1</v>
      </c>
      <c r="AU17" s="5">
        <f t="shared" si="9"/>
        <v>1</v>
      </c>
    </row>
    <row r="18" spans="1:58">
      <c r="A18" s="5" t="s">
        <v>34</v>
      </c>
      <c r="B18" s="5" t="s">
        <v>26</v>
      </c>
      <c r="C18" s="5" t="s">
        <v>40</v>
      </c>
      <c r="D18" s="106">
        <v>450</v>
      </c>
      <c r="E18" s="98" t="s">
        <v>148</v>
      </c>
      <c r="F18" s="102">
        <v>450</v>
      </c>
      <c r="G18" s="102">
        <v>450</v>
      </c>
      <c r="H18" s="99" t="s">
        <v>147</v>
      </c>
      <c r="I18" s="99" t="s">
        <v>147</v>
      </c>
      <c r="J18" s="102">
        <v>450</v>
      </c>
      <c r="K18" s="102">
        <v>450</v>
      </c>
      <c r="L18" s="102">
        <v>450</v>
      </c>
      <c r="M18" s="102">
        <v>450</v>
      </c>
      <c r="N18" s="102">
        <v>450</v>
      </c>
      <c r="O18" s="99" t="s">
        <v>147</v>
      </c>
      <c r="P18" s="99" t="s">
        <v>147</v>
      </c>
      <c r="Q18" s="102">
        <v>450</v>
      </c>
      <c r="R18" s="102">
        <v>450</v>
      </c>
      <c r="S18" s="102">
        <v>450</v>
      </c>
      <c r="T18" s="100">
        <v>19</v>
      </c>
      <c r="U18" s="98" t="s">
        <v>148</v>
      </c>
      <c r="V18" s="98" t="s">
        <v>148</v>
      </c>
      <c r="W18" s="102">
        <v>450</v>
      </c>
      <c r="X18" s="99" t="s">
        <v>147</v>
      </c>
      <c r="Y18" s="103" t="s">
        <v>148</v>
      </c>
      <c r="Z18" s="103" t="s">
        <v>148</v>
      </c>
      <c r="AA18" s="103" t="s">
        <v>148</v>
      </c>
      <c r="AB18" s="99" t="s">
        <v>147</v>
      </c>
      <c r="AC18" s="103" t="s">
        <v>148</v>
      </c>
      <c r="AD18" s="98" t="s">
        <v>148</v>
      </c>
      <c r="AE18" s="98" t="s">
        <v>148</v>
      </c>
      <c r="AF18" s="98" t="s">
        <v>148</v>
      </c>
      <c r="AG18" s="98" t="s">
        <v>148</v>
      </c>
      <c r="AH18" s="9"/>
      <c r="AI18" s="54">
        <f t="shared" si="0"/>
        <v>5419</v>
      </c>
      <c r="AJ18" s="16">
        <f>AI18-AK18</f>
        <v>19</v>
      </c>
      <c r="AK18" s="5">
        <f t="shared" si="1"/>
        <v>5400</v>
      </c>
      <c r="AL18" s="16">
        <f>AJ18+AK18</f>
        <v>5419</v>
      </c>
      <c r="AM18">
        <f>AQ18*450</f>
        <v>10800</v>
      </c>
      <c r="AN18">
        <f t="shared" si="2"/>
        <v>5381</v>
      </c>
      <c r="AO18">
        <f t="shared" si="3"/>
        <v>0.49824074074074076</v>
      </c>
      <c r="AP18">
        <f t="shared" si="4"/>
        <v>24</v>
      </c>
      <c r="AQ18">
        <f t="shared" si="5"/>
        <v>24</v>
      </c>
      <c r="AR18" s="5">
        <f t="shared" si="6"/>
        <v>6</v>
      </c>
      <c r="AS18" s="5">
        <f t="shared" si="7"/>
        <v>0</v>
      </c>
      <c r="AT18" s="5">
        <f t="shared" si="8"/>
        <v>0</v>
      </c>
      <c r="AU18" s="5">
        <f t="shared" si="9"/>
        <v>12</v>
      </c>
    </row>
    <row r="19" spans="1:58">
      <c r="A19" s="5" t="s">
        <v>55</v>
      </c>
      <c r="B19" s="5" t="s">
        <v>22</v>
      </c>
      <c r="C19" s="5" t="s">
        <v>56</v>
      </c>
      <c r="D19" s="99" t="s">
        <v>147</v>
      </c>
      <c r="E19" s="98" t="s">
        <v>148</v>
      </c>
      <c r="F19" s="98" t="s">
        <v>148</v>
      </c>
      <c r="G19" s="98" t="s">
        <v>148</v>
      </c>
      <c r="H19" s="98" t="s">
        <v>148</v>
      </c>
      <c r="I19" s="99" t="s">
        <v>147</v>
      </c>
      <c r="J19" s="98" t="s">
        <v>148</v>
      </c>
      <c r="K19" s="98" t="s">
        <v>148</v>
      </c>
      <c r="L19" s="99" t="s">
        <v>147</v>
      </c>
      <c r="M19" s="98" t="s">
        <v>148</v>
      </c>
      <c r="N19" s="98" t="s">
        <v>148</v>
      </c>
      <c r="O19" s="98" t="s">
        <v>148</v>
      </c>
      <c r="P19" s="99" t="s">
        <v>147</v>
      </c>
      <c r="Q19" s="102">
        <v>450</v>
      </c>
      <c r="R19" s="98" t="s">
        <v>148</v>
      </c>
      <c r="S19" s="98" t="s">
        <v>148</v>
      </c>
      <c r="T19" s="98" t="s">
        <v>148</v>
      </c>
      <c r="U19" s="98" t="s">
        <v>148</v>
      </c>
      <c r="V19" s="99" t="s">
        <v>147</v>
      </c>
      <c r="W19" s="99" t="s">
        <v>147</v>
      </c>
      <c r="X19" s="102">
        <v>450</v>
      </c>
      <c r="Y19" s="98" t="s">
        <v>148</v>
      </c>
      <c r="Z19" s="98" t="s">
        <v>148</v>
      </c>
      <c r="AA19" s="101">
        <v>450</v>
      </c>
      <c r="AB19" s="103" t="s">
        <v>148</v>
      </c>
      <c r="AC19" s="99" t="s">
        <v>147</v>
      </c>
      <c r="AD19" s="99" t="s">
        <v>147</v>
      </c>
      <c r="AE19" s="98" t="s">
        <v>148</v>
      </c>
      <c r="AF19" s="100">
        <v>4</v>
      </c>
      <c r="AG19" s="98" t="s">
        <v>148</v>
      </c>
      <c r="AH19" s="9"/>
      <c r="AI19" s="54">
        <f t="shared" si="0"/>
        <v>1354</v>
      </c>
      <c r="AJ19" s="16">
        <f>AI19-AK19</f>
        <v>4</v>
      </c>
      <c r="AK19" s="5">
        <f t="shared" si="1"/>
        <v>1350</v>
      </c>
      <c r="AL19" s="16">
        <f>AJ19+AK19</f>
        <v>1354</v>
      </c>
      <c r="AM19">
        <f>AQ19*450</f>
        <v>9900</v>
      </c>
      <c r="AN19">
        <f t="shared" si="2"/>
        <v>8546</v>
      </c>
      <c r="AO19">
        <f t="shared" si="3"/>
        <v>0.86323232323232324</v>
      </c>
      <c r="AP19">
        <f t="shared" si="4"/>
        <v>22</v>
      </c>
      <c r="AQ19">
        <f t="shared" si="5"/>
        <v>22</v>
      </c>
      <c r="AR19" s="5">
        <f t="shared" si="6"/>
        <v>8</v>
      </c>
      <c r="AS19" s="5">
        <f t="shared" si="7"/>
        <v>0</v>
      </c>
      <c r="AT19" s="5">
        <f t="shared" si="8"/>
        <v>0</v>
      </c>
      <c r="AU19" s="5">
        <f t="shared" si="9"/>
        <v>3</v>
      </c>
    </row>
    <row r="20" spans="1:58">
      <c r="A20" s="5" t="s">
        <v>59</v>
      </c>
      <c r="B20" s="5" t="s">
        <v>60</v>
      </c>
      <c r="C20" s="5" t="s">
        <v>40</v>
      </c>
      <c r="D20" s="98" t="s">
        <v>148</v>
      </c>
      <c r="E20" s="98" t="s">
        <v>148</v>
      </c>
      <c r="F20" s="98" t="s">
        <v>148</v>
      </c>
      <c r="G20" s="98" t="s">
        <v>148</v>
      </c>
      <c r="H20" s="99" t="s">
        <v>147</v>
      </c>
      <c r="I20" s="99" t="s">
        <v>147</v>
      </c>
      <c r="J20" s="98" t="s">
        <v>148</v>
      </c>
      <c r="K20" s="98" t="s">
        <v>148</v>
      </c>
      <c r="L20" s="98" t="s">
        <v>148</v>
      </c>
      <c r="M20" s="98" t="s">
        <v>148</v>
      </c>
      <c r="N20" s="98" t="s">
        <v>148</v>
      </c>
      <c r="O20" s="99" t="s">
        <v>147</v>
      </c>
      <c r="P20" s="99" t="s">
        <v>147</v>
      </c>
      <c r="Q20" s="98" t="s">
        <v>148</v>
      </c>
      <c r="R20" s="98" t="s">
        <v>148</v>
      </c>
      <c r="S20" s="98" t="s">
        <v>148</v>
      </c>
      <c r="T20" s="98" t="s">
        <v>148</v>
      </c>
      <c r="U20" s="98" t="s">
        <v>148</v>
      </c>
      <c r="V20" s="99" t="s">
        <v>147</v>
      </c>
      <c r="W20" s="99" t="s">
        <v>147</v>
      </c>
      <c r="X20" s="98" t="s">
        <v>148</v>
      </c>
      <c r="Y20" s="107" t="s">
        <v>148</v>
      </c>
      <c r="Z20" s="107" t="s">
        <v>148</v>
      </c>
      <c r="AA20" s="107" t="s">
        <v>148</v>
      </c>
      <c r="AB20" s="107" t="s">
        <v>148</v>
      </c>
      <c r="AC20" s="99" t="s">
        <v>147</v>
      </c>
      <c r="AD20" s="99" t="s">
        <v>147</v>
      </c>
      <c r="AE20" s="98" t="s">
        <v>148</v>
      </c>
      <c r="AF20" s="100">
        <v>4</v>
      </c>
      <c r="AG20" s="98" t="s">
        <v>148</v>
      </c>
      <c r="AH20" s="9"/>
      <c r="AI20" s="54">
        <f t="shared" si="0"/>
        <v>4</v>
      </c>
      <c r="AJ20" s="16">
        <f>AI20-AK20</f>
        <v>4</v>
      </c>
      <c r="AK20" s="5">
        <f t="shared" si="1"/>
        <v>0</v>
      </c>
      <c r="AL20" s="16">
        <f>AJ20+AK20</f>
        <v>4</v>
      </c>
      <c r="AM20">
        <f>AQ20*450</f>
        <v>9900</v>
      </c>
      <c r="AN20">
        <f t="shared" si="2"/>
        <v>9896</v>
      </c>
      <c r="AO20">
        <f t="shared" si="3"/>
        <v>0.99959595959595959</v>
      </c>
      <c r="AP20">
        <f t="shared" si="4"/>
        <v>22</v>
      </c>
      <c r="AQ20">
        <f t="shared" si="5"/>
        <v>22</v>
      </c>
      <c r="AR20" s="5">
        <f t="shared" si="6"/>
        <v>8</v>
      </c>
      <c r="AS20" s="5">
        <f t="shared" si="7"/>
        <v>0</v>
      </c>
      <c r="AT20" s="5">
        <f t="shared" si="8"/>
        <v>0</v>
      </c>
      <c r="AU20" s="5">
        <f t="shared" si="9"/>
        <v>0</v>
      </c>
    </row>
    <row r="21" spans="1:58">
      <c r="A21" s="5" t="s">
        <v>34</v>
      </c>
      <c r="B21" s="5" t="s">
        <v>26</v>
      </c>
      <c r="C21" s="5" t="s">
        <v>40</v>
      </c>
      <c r="D21" s="106">
        <v>450</v>
      </c>
      <c r="E21" s="98" t="s">
        <v>148</v>
      </c>
      <c r="F21" s="102">
        <v>450</v>
      </c>
      <c r="G21" s="102">
        <v>450</v>
      </c>
      <c r="H21" s="99" t="s">
        <v>147</v>
      </c>
      <c r="I21" s="99" t="s">
        <v>147</v>
      </c>
      <c r="J21" s="102">
        <v>450</v>
      </c>
      <c r="K21" s="102">
        <v>450</v>
      </c>
      <c r="L21" s="102">
        <v>450</v>
      </c>
      <c r="M21" s="102">
        <v>450</v>
      </c>
      <c r="N21" s="102">
        <v>450</v>
      </c>
      <c r="O21" s="99" t="s">
        <v>147</v>
      </c>
      <c r="P21" s="99" t="s">
        <v>147</v>
      </c>
      <c r="Q21" s="102">
        <v>450</v>
      </c>
      <c r="R21" s="102">
        <v>450</v>
      </c>
      <c r="S21" s="102">
        <v>450</v>
      </c>
      <c r="T21" s="100">
        <v>19</v>
      </c>
      <c r="U21" s="98" t="s">
        <v>148</v>
      </c>
      <c r="V21" s="98" t="s">
        <v>148</v>
      </c>
      <c r="W21" s="102">
        <v>450</v>
      </c>
      <c r="X21" s="99" t="s">
        <v>147</v>
      </c>
      <c r="Y21" s="103" t="s">
        <v>148</v>
      </c>
      <c r="Z21" s="103" t="s">
        <v>148</v>
      </c>
      <c r="AA21" s="103" t="s">
        <v>148</v>
      </c>
      <c r="AB21" s="99" t="s">
        <v>147</v>
      </c>
      <c r="AC21" s="103" t="s">
        <v>148</v>
      </c>
      <c r="AD21" s="98" t="s">
        <v>148</v>
      </c>
      <c r="AE21" s="98" t="s">
        <v>148</v>
      </c>
      <c r="AF21" s="98" t="s">
        <v>148</v>
      </c>
      <c r="AG21" s="98" t="s">
        <v>148</v>
      </c>
      <c r="AH21" s="9"/>
      <c r="AI21" s="54">
        <f t="shared" ref="AI21" si="10">SUM(D21:AG21)</f>
        <v>5419</v>
      </c>
      <c r="AJ21" s="16">
        <f>AI21-AK21</f>
        <v>19</v>
      </c>
      <c r="AK21" s="5">
        <f t="shared" ref="AK21" si="11">SUMIF(C21:AG21,"450")</f>
        <v>5400</v>
      </c>
      <c r="AL21" s="16">
        <f>AJ21+AK21</f>
        <v>5419</v>
      </c>
      <c r="AM21">
        <f>AQ21*450</f>
        <v>10800</v>
      </c>
      <c r="AN21">
        <f t="shared" ref="AN21" si="12">AM21-AL21</f>
        <v>5381</v>
      </c>
      <c r="AO21">
        <f t="shared" ref="AO21" si="13">AN21/AM21</f>
        <v>0.49824074074074076</v>
      </c>
      <c r="AP21">
        <f t="shared" ref="AP21" si="14">AQ21-(AS21+AT21)</f>
        <v>24</v>
      </c>
      <c r="AQ21">
        <f t="shared" ref="AQ21" si="15">30-AR21</f>
        <v>24</v>
      </c>
      <c r="AR21" s="5">
        <f t="shared" ref="AR21" si="16">COUNTIF(D21:AF21,"RD")</f>
        <v>6</v>
      </c>
      <c r="AS21" s="5">
        <f t="shared" ref="AS21" si="17">COUNTIF(D21:AG21,"VL")</f>
        <v>0</v>
      </c>
      <c r="AT21" s="5">
        <f t="shared" ref="AT21" si="18">COUNTIF(D21:AG21,"LWOP")</f>
        <v>0</v>
      </c>
      <c r="AU21" s="5">
        <f t="shared" ref="AU21" si="19">COUNTIF(D21:AI21,"450")</f>
        <v>12</v>
      </c>
      <c r="BF21" s="13" t="s">
        <v>188</v>
      </c>
    </row>
    <row r="22" spans="1:58">
      <c r="A22" s="5" t="s">
        <v>64</v>
      </c>
      <c r="B22" s="5" t="s">
        <v>22</v>
      </c>
      <c r="C22" s="5" t="s">
        <v>63</v>
      </c>
      <c r="D22" s="98" t="s">
        <v>148</v>
      </c>
      <c r="E22" s="98" t="s">
        <v>148</v>
      </c>
      <c r="F22" s="98" t="s">
        <v>148</v>
      </c>
      <c r="G22" s="98" t="s">
        <v>148</v>
      </c>
      <c r="H22" s="99" t="s">
        <v>147</v>
      </c>
      <c r="I22" s="99" t="s">
        <v>147</v>
      </c>
      <c r="J22" s="98" t="s">
        <v>148</v>
      </c>
      <c r="K22" s="98" t="s">
        <v>148</v>
      </c>
      <c r="L22" s="98" t="s">
        <v>148</v>
      </c>
      <c r="M22" s="98" t="s">
        <v>148</v>
      </c>
      <c r="N22" s="98" t="s">
        <v>148</v>
      </c>
      <c r="O22" s="99" t="s">
        <v>147</v>
      </c>
      <c r="P22" s="99" t="s">
        <v>147</v>
      </c>
      <c r="Q22" s="100">
        <v>8</v>
      </c>
      <c r="R22" s="98" t="s">
        <v>148</v>
      </c>
      <c r="S22" s="98" t="s">
        <v>148</v>
      </c>
      <c r="T22" s="100">
        <v>2</v>
      </c>
      <c r="U22" s="104" t="s">
        <v>12</v>
      </c>
      <c r="V22" s="99" t="s">
        <v>147</v>
      </c>
      <c r="W22" s="99" t="s">
        <v>147</v>
      </c>
      <c r="X22" s="102">
        <v>450</v>
      </c>
      <c r="Y22" s="98" t="s">
        <v>148</v>
      </c>
      <c r="Z22" s="98" t="s">
        <v>148</v>
      </c>
      <c r="AA22" s="98" t="s">
        <v>148</v>
      </c>
      <c r="AB22" s="98" t="s">
        <v>148</v>
      </c>
      <c r="AC22" s="99" t="s">
        <v>147</v>
      </c>
      <c r="AD22" s="99" t="s">
        <v>147</v>
      </c>
      <c r="AE22" s="98" t="s">
        <v>148</v>
      </c>
      <c r="AF22" s="98" t="s">
        <v>148</v>
      </c>
      <c r="AG22" s="100">
        <v>17</v>
      </c>
      <c r="AH22" s="9"/>
      <c r="AI22" s="54">
        <f t="shared" si="0"/>
        <v>477</v>
      </c>
      <c r="AJ22" s="16">
        <f>AI22-AK22</f>
        <v>27</v>
      </c>
      <c r="AK22" s="5">
        <f t="shared" si="1"/>
        <v>450</v>
      </c>
      <c r="AL22" s="16">
        <f>AJ22+AK22</f>
        <v>477</v>
      </c>
      <c r="AM22">
        <f>AQ22*450</f>
        <v>9900</v>
      </c>
      <c r="AN22">
        <f t="shared" si="2"/>
        <v>9423</v>
      </c>
      <c r="AO22">
        <f t="shared" si="3"/>
        <v>0.95181818181818179</v>
      </c>
      <c r="AP22">
        <f t="shared" si="4"/>
        <v>21</v>
      </c>
      <c r="AQ22">
        <f t="shared" si="5"/>
        <v>22</v>
      </c>
      <c r="AR22" s="5">
        <f t="shared" si="6"/>
        <v>8</v>
      </c>
      <c r="AS22" s="5">
        <f t="shared" si="7"/>
        <v>1</v>
      </c>
      <c r="AT22" s="5">
        <f t="shared" si="8"/>
        <v>0</v>
      </c>
      <c r="AU22" s="5">
        <f t="shared" si="9"/>
        <v>1</v>
      </c>
      <c r="BF22">
        <v>1</v>
      </c>
    </row>
    <row r="23" spans="1:58">
      <c r="A23" s="7" t="s">
        <v>65</v>
      </c>
      <c r="B23" s="5" t="s">
        <v>26</v>
      </c>
      <c r="C23" s="34" t="s">
        <v>56</v>
      </c>
      <c r="D23" s="98" t="s">
        <v>148</v>
      </c>
      <c r="E23" s="98" t="s">
        <v>148</v>
      </c>
      <c r="F23" s="98" t="s">
        <v>148</v>
      </c>
      <c r="G23" s="98" t="s">
        <v>148</v>
      </c>
      <c r="H23" s="99" t="s">
        <v>147</v>
      </c>
      <c r="I23" s="99" t="s">
        <v>147</v>
      </c>
      <c r="J23" s="98" t="s">
        <v>148</v>
      </c>
      <c r="K23" s="98" t="s">
        <v>148</v>
      </c>
      <c r="L23" s="98" t="s">
        <v>148</v>
      </c>
      <c r="M23" s="98" t="s">
        <v>148</v>
      </c>
      <c r="N23" s="98" t="s">
        <v>148</v>
      </c>
      <c r="O23" s="99" t="s">
        <v>147</v>
      </c>
      <c r="P23" s="99" t="s">
        <v>147</v>
      </c>
      <c r="Q23" s="98" t="s">
        <v>148</v>
      </c>
      <c r="R23" s="98" t="s">
        <v>148</v>
      </c>
      <c r="S23" s="98" t="s">
        <v>148</v>
      </c>
      <c r="T23" s="98" t="s">
        <v>148</v>
      </c>
      <c r="U23" s="98" t="s">
        <v>148</v>
      </c>
      <c r="V23" s="99" t="s">
        <v>147</v>
      </c>
      <c r="W23" s="99" t="s">
        <v>147</v>
      </c>
      <c r="X23" s="98" t="s">
        <v>174</v>
      </c>
      <c r="Y23" s="98" t="s">
        <v>174</v>
      </c>
      <c r="Z23" s="98" t="s">
        <v>148</v>
      </c>
      <c r="AA23" s="98" t="s">
        <v>148</v>
      </c>
      <c r="AB23" s="98" t="s">
        <v>148</v>
      </c>
      <c r="AC23" s="99" t="s">
        <v>147</v>
      </c>
      <c r="AD23" s="99" t="s">
        <v>147</v>
      </c>
      <c r="AE23" s="98" t="s">
        <v>148</v>
      </c>
      <c r="AF23" s="98" t="s">
        <v>148</v>
      </c>
      <c r="AG23" s="98" t="s">
        <v>148</v>
      </c>
      <c r="AH23" s="98" t="s">
        <v>148</v>
      </c>
      <c r="AI23" s="54">
        <f t="shared" si="0"/>
        <v>0</v>
      </c>
      <c r="AJ23" s="16">
        <f>AI23-AK23</f>
        <v>0</v>
      </c>
      <c r="AK23" s="5">
        <f t="shared" si="1"/>
        <v>0</v>
      </c>
      <c r="AL23" s="16">
        <f>AJ23+AK23</f>
        <v>0</v>
      </c>
      <c r="AM23">
        <f>AQ23*450</f>
        <v>9900</v>
      </c>
      <c r="AN23">
        <f t="shared" si="2"/>
        <v>9900</v>
      </c>
      <c r="AO23">
        <f t="shared" si="3"/>
        <v>1</v>
      </c>
      <c r="AP23">
        <f t="shared" si="4"/>
        <v>22</v>
      </c>
      <c r="AQ23">
        <f t="shared" si="5"/>
        <v>22</v>
      </c>
      <c r="AR23" s="5">
        <f t="shared" si="6"/>
        <v>8</v>
      </c>
      <c r="AS23" s="5">
        <f t="shared" si="7"/>
        <v>0</v>
      </c>
      <c r="AT23" s="5">
        <f t="shared" si="8"/>
        <v>0</v>
      </c>
      <c r="AU23" s="5">
        <f t="shared" si="9"/>
        <v>0</v>
      </c>
      <c r="BF23">
        <v>74</v>
      </c>
    </row>
    <row r="24" spans="1:58">
      <c r="A24" s="5" t="s">
        <v>67</v>
      </c>
      <c r="B24" s="5" t="s">
        <v>22</v>
      </c>
      <c r="C24" s="5" t="s">
        <v>30</v>
      </c>
      <c r="D24" s="104" t="s">
        <v>12</v>
      </c>
      <c r="E24" s="100">
        <v>240</v>
      </c>
      <c r="F24" s="102">
        <v>450</v>
      </c>
      <c r="G24" s="98" t="s">
        <v>148</v>
      </c>
      <c r="H24" s="99" t="s">
        <v>147</v>
      </c>
      <c r="I24" s="99" t="s">
        <v>147</v>
      </c>
      <c r="J24" s="98" t="s">
        <v>148</v>
      </c>
      <c r="K24" s="98" t="s">
        <v>148</v>
      </c>
      <c r="L24" s="98" t="s">
        <v>148</v>
      </c>
      <c r="M24" s="98" t="s">
        <v>148</v>
      </c>
      <c r="N24" s="98" t="s">
        <v>148</v>
      </c>
      <c r="O24" s="99" t="s">
        <v>147</v>
      </c>
      <c r="P24" s="99" t="s">
        <v>147</v>
      </c>
      <c r="Q24" s="98" t="s">
        <v>148</v>
      </c>
      <c r="R24" s="98" t="s">
        <v>148</v>
      </c>
      <c r="S24" s="98" t="s">
        <v>148</v>
      </c>
      <c r="T24" s="98" t="s">
        <v>148</v>
      </c>
      <c r="U24" s="98" t="s">
        <v>148</v>
      </c>
      <c r="V24" s="99" t="s">
        <v>147</v>
      </c>
      <c r="W24" s="99" t="s">
        <v>147</v>
      </c>
      <c r="X24" s="98" t="s">
        <v>148</v>
      </c>
      <c r="Y24" s="98" t="s">
        <v>148</v>
      </c>
      <c r="Z24" s="98" t="s">
        <v>148</v>
      </c>
      <c r="AA24" s="98" t="s">
        <v>148</v>
      </c>
      <c r="AB24" s="98" t="s">
        <v>148</v>
      </c>
      <c r="AC24" s="99" t="s">
        <v>147</v>
      </c>
      <c r="AD24" s="99" t="s">
        <v>147</v>
      </c>
      <c r="AE24" s="98" t="s">
        <v>148</v>
      </c>
      <c r="AF24" s="98" t="s">
        <v>148</v>
      </c>
      <c r="AG24" s="98" t="s">
        <v>148</v>
      </c>
      <c r="AH24" s="9"/>
      <c r="AI24" s="54">
        <f t="shared" si="0"/>
        <v>690</v>
      </c>
      <c r="AJ24" s="16">
        <f>AI24-AK24</f>
        <v>240</v>
      </c>
      <c r="AK24" s="5">
        <f t="shared" si="1"/>
        <v>450</v>
      </c>
      <c r="AL24" s="16">
        <f>AJ24+AK24</f>
        <v>690</v>
      </c>
      <c r="AM24">
        <f>AQ24*450</f>
        <v>9900</v>
      </c>
      <c r="AN24">
        <f t="shared" si="2"/>
        <v>9210</v>
      </c>
      <c r="AO24">
        <f t="shared" si="3"/>
        <v>0.9303030303030303</v>
      </c>
      <c r="AP24">
        <f t="shared" si="4"/>
        <v>21</v>
      </c>
      <c r="AQ24">
        <f t="shared" si="5"/>
        <v>22</v>
      </c>
      <c r="AR24" s="5">
        <f t="shared" si="6"/>
        <v>8</v>
      </c>
      <c r="AS24" s="5">
        <f t="shared" si="7"/>
        <v>1</v>
      </c>
      <c r="AT24" s="5">
        <f t="shared" si="8"/>
        <v>0</v>
      </c>
      <c r="AU24" s="5">
        <f t="shared" si="9"/>
        <v>1</v>
      </c>
      <c r="BF24" t="s">
        <v>148</v>
      </c>
    </row>
    <row r="25" spans="1:58">
      <c r="A25" s="7" t="s">
        <v>68</v>
      </c>
      <c r="B25" s="5" t="s">
        <v>26</v>
      </c>
      <c r="C25" s="34" t="s">
        <v>40</v>
      </c>
      <c r="D25" s="98" t="s">
        <v>148</v>
      </c>
      <c r="E25" s="98" t="s">
        <v>148</v>
      </c>
      <c r="F25" s="102">
        <v>450</v>
      </c>
      <c r="G25" s="98" t="s">
        <v>148</v>
      </c>
      <c r="H25" s="99" t="s">
        <v>147</v>
      </c>
      <c r="I25" s="99" t="s">
        <v>147</v>
      </c>
      <c r="J25" s="98" t="s">
        <v>148</v>
      </c>
      <c r="K25" s="98" t="s">
        <v>148</v>
      </c>
      <c r="L25" s="98" t="s">
        <v>148</v>
      </c>
      <c r="M25" s="100">
        <v>12</v>
      </c>
      <c r="N25" s="100">
        <v>4</v>
      </c>
      <c r="O25" s="99" t="s">
        <v>147</v>
      </c>
      <c r="P25" s="99" t="s">
        <v>147</v>
      </c>
      <c r="Q25" s="98" t="s">
        <v>148</v>
      </c>
      <c r="R25" s="98" t="s">
        <v>148</v>
      </c>
      <c r="S25" s="98" t="s">
        <v>148</v>
      </c>
      <c r="T25" s="98" t="s">
        <v>148</v>
      </c>
      <c r="U25" s="98" t="s">
        <v>148</v>
      </c>
      <c r="V25" s="99" t="s">
        <v>147</v>
      </c>
      <c r="W25" s="99" t="s">
        <v>147</v>
      </c>
      <c r="X25" s="102">
        <v>450</v>
      </c>
      <c r="Y25" s="98" t="s">
        <v>148</v>
      </c>
      <c r="Z25" s="98" t="s">
        <v>148</v>
      </c>
      <c r="AA25" s="98" t="s">
        <v>148</v>
      </c>
      <c r="AB25" s="98" t="s">
        <v>148</v>
      </c>
      <c r="AC25" s="99" t="s">
        <v>147</v>
      </c>
      <c r="AD25" s="99" t="s">
        <v>147</v>
      </c>
      <c r="AE25" s="100">
        <v>1</v>
      </c>
      <c r="AF25" s="100">
        <v>4</v>
      </c>
      <c r="AG25" s="98" t="s">
        <v>148</v>
      </c>
      <c r="AH25" s="9"/>
      <c r="AI25" s="54">
        <f t="shared" si="0"/>
        <v>921</v>
      </c>
      <c r="AJ25" s="16">
        <f>AI25-AK25</f>
        <v>21</v>
      </c>
      <c r="AK25" s="5">
        <f t="shared" si="1"/>
        <v>900</v>
      </c>
      <c r="AL25" s="16">
        <f>AJ25+AK25</f>
        <v>921</v>
      </c>
      <c r="AM25">
        <f>AQ25*450</f>
        <v>9900</v>
      </c>
      <c r="AN25">
        <f t="shared" si="2"/>
        <v>8979</v>
      </c>
      <c r="AO25">
        <f t="shared" si="3"/>
        <v>0.90696969696969698</v>
      </c>
      <c r="AP25">
        <f t="shared" si="4"/>
        <v>22</v>
      </c>
      <c r="AQ25">
        <f t="shared" si="5"/>
        <v>22</v>
      </c>
      <c r="AR25" s="5">
        <f t="shared" si="6"/>
        <v>8</v>
      </c>
      <c r="AS25" s="5">
        <f t="shared" si="7"/>
        <v>0</v>
      </c>
      <c r="AT25" s="5">
        <f t="shared" si="8"/>
        <v>0</v>
      </c>
      <c r="AU25" s="5">
        <f t="shared" si="9"/>
        <v>2</v>
      </c>
      <c r="BF25" t="s">
        <v>147</v>
      </c>
    </row>
    <row r="26" spans="1:58">
      <c r="A26" s="5" t="s">
        <v>69</v>
      </c>
      <c r="B26" s="5" t="s">
        <v>22</v>
      </c>
      <c r="C26" s="5" t="s">
        <v>30</v>
      </c>
      <c r="D26" s="98" t="s">
        <v>148</v>
      </c>
      <c r="E26" s="98" t="s">
        <v>148</v>
      </c>
      <c r="F26" s="98" t="s">
        <v>148</v>
      </c>
      <c r="G26" s="98" t="s">
        <v>148</v>
      </c>
      <c r="H26" s="99" t="s">
        <v>147</v>
      </c>
      <c r="I26" s="99" t="s">
        <v>147</v>
      </c>
      <c r="J26" s="100">
        <v>5</v>
      </c>
      <c r="K26" s="100">
        <v>234</v>
      </c>
      <c r="L26" s="98" t="s">
        <v>148</v>
      </c>
      <c r="M26" s="98" t="s">
        <v>148</v>
      </c>
      <c r="N26" s="100">
        <v>88</v>
      </c>
      <c r="O26" s="99" t="s">
        <v>147</v>
      </c>
      <c r="P26" s="99" t="s">
        <v>147</v>
      </c>
      <c r="Q26" s="98" t="s">
        <v>148</v>
      </c>
      <c r="R26" s="98" t="s">
        <v>148</v>
      </c>
      <c r="S26" s="102">
        <v>450</v>
      </c>
      <c r="T26" s="98" t="s">
        <v>174</v>
      </c>
      <c r="U26" s="98" t="s">
        <v>148</v>
      </c>
      <c r="V26" s="99" t="s">
        <v>147</v>
      </c>
      <c r="W26" s="99" t="s">
        <v>147</v>
      </c>
      <c r="X26" s="102">
        <v>450</v>
      </c>
      <c r="Y26" s="102">
        <v>450</v>
      </c>
      <c r="Z26" s="98" t="s">
        <v>148</v>
      </c>
      <c r="AA26" s="102">
        <v>450</v>
      </c>
      <c r="AB26" s="98" t="s">
        <v>148</v>
      </c>
      <c r="AC26" s="99" t="s">
        <v>147</v>
      </c>
      <c r="AD26" s="99" t="s">
        <v>147</v>
      </c>
      <c r="AE26" s="98" t="s">
        <v>148</v>
      </c>
      <c r="AF26" s="98" t="s">
        <v>148</v>
      </c>
      <c r="AG26" s="98" t="s">
        <v>148</v>
      </c>
      <c r="AH26" s="9"/>
      <c r="AI26" s="54">
        <f t="shared" si="0"/>
        <v>2127</v>
      </c>
      <c r="AJ26" s="16">
        <f>AI26-AK26</f>
        <v>327</v>
      </c>
      <c r="AK26" s="5">
        <f t="shared" si="1"/>
        <v>1800</v>
      </c>
      <c r="AL26" s="16">
        <f>AJ26+AK26</f>
        <v>2127</v>
      </c>
      <c r="AM26">
        <f>AQ26*450</f>
        <v>9900</v>
      </c>
      <c r="AN26">
        <f t="shared" si="2"/>
        <v>7773</v>
      </c>
      <c r="AO26">
        <f t="shared" si="3"/>
        <v>0.78515151515151516</v>
      </c>
      <c r="AP26">
        <f t="shared" si="4"/>
        <v>22</v>
      </c>
      <c r="AQ26">
        <f t="shared" si="5"/>
        <v>22</v>
      </c>
      <c r="AR26" s="5">
        <f t="shared" si="6"/>
        <v>8</v>
      </c>
      <c r="AS26" s="5">
        <f t="shared" si="7"/>
        <v>0</v>
      </c>
      <c r="AT26" s="5">
        <f t="shared" si="8"/>
        <v>0</v>
      </c>
      <c r="AU26" s="5">
        <f t="shared" si="9"/>
        <v>4</v>
      </c>
      <c r="BF26" t="s">
        <v>149</v>
      </c>
    </row>
    <row r="27" spans="1:58">
      <c r="A27" s="5" t="s">
        <v>70</v>
      </c>
      <c r="B27" s="5" t="s">
        <v>22</v>
      </c>
      <c r="C27" s="5" t="s">
        <v>63</v>
      </c>
      <c r="D27" s="98" t="s">
        <v>148</v>
      </c>
      <c r="E27" s="98" t="s">
        <v>148</v>
      </c>
      <c r="F27" s="98" t="s">
        <v>148</v>
      </c>
      <c r="G27" s="98" t="s">
        <v>148</v>
      </c>
      <c r="H27" s="99" t="s">
        <v>147</v>
      </c>
      <c r="I27" s="99" t="s">
        <v>147</v>
      </c>
      <c r="J27" s="98" t="s">
        <v>148</v>
      </c>
      <c r="K27" s="98" t="s">
        <v>148</v>
      </c>
      <c r="L27" s="100">
        <v>8</v>
      </c>
      <c r="M27" s="98" t="s">
        <v>148</v>
      </c>
      <c r="N27" s="98" t="s">
        <v>148</v>
      </c>
      <c r="O27" s="99" t="s">
        <v>147</v>
      </c>
      <c r="P27" s="99" t="s">
        <v>147</v>
      </c>
      <c r="Q27" s="98" t="s">
        <v>148</v>
      </c>
      <c r="R27" s="100">
        <v>1</v>
      </c>
      <c r="S27" s="98" t="s">
        <v>148</v>
      </c>
      <c r="T27" s="100">
        <v>3</v>
      </c>
      <c r="U27" s="98" t="s">
        <v>148</v>
      </c>
      <c r="V27" s="99" t="s">
        <v>147</v>
      </c>
      <c r="W27" s="99" t="s">
        <v>147</v>
      </c>
      <c r="X27" s="102">
        <v>450</v>
      </c>
      <c r="Y27" s="98" t="s">
        <v>148</v>
      </c>
      <c r="Z27" s="104" t="s">
        <v>12</v>
      </c>
      <c r="AA27" s="98" t="s">
        <v>148</v>
      </c>
      <c r="AB27" s="98" t="s">
        <v>148</v>
      </c>
      <c r="AC27" s="99" t="s">
        <v>147</v>
      </c>
      <c r="AD27" s="99" t="s">
        <v>147</v>
      </c>
      <c r="AE27" s="98" t="s">
        <v>148</v>
      </c>
      <c r="AF27" s="98" t="s">
        <v>148</v>
      </c>
      <c r="AG27" s="98" t="s">
        <v>148</v>
      </c>
      <c r="AH27" s="9"/>
      <c r="AI27" s="54">
        <f t="shared" si="0"/>
        <v>462</v>
      </c>
      <c r="AJ27" s="16">
        <f>AI27-AK27</f>
        <v>12</v>
      </c>
      <c r="AK27" s="5">
        <f t="shared" si="1"/>
        <v>450</v>
      </c>
      <c r="AL27" s="16">
        <f>AJ27+AK27</f>
        <v>462</v>
      </c>
      <c r="AM27">
        <f>AQ27*450</f>
        <v>9900</v>
      </c>
      <c r="AN27">
        <f t="shared" si="2"/>
        <v>9438</v>
      </c>
      <c r="AO27">
        <f t="shared" si="3"/>
        <v>0.95333333333333337</v>
      </c>
      <c r="AP27">
        <f t="shared" si="4"/>
        <v>21</v>
      </c>
      <c r="AQ27">
        <f t="shared" si="5"/>
        <v>22</v>
      </c>
      <c r="AR27" s="5">
        <f t="shared" si="6"/>
        <v>8</v>
      </c>
      <c r="AS27" s="5">
        <f t="shared" si="7"/>
        <v>1</v>
      </c>
      <c r="AT27" s="5">
        <f t="shared" si="8"/>
        <v>0</v>
      </c>
      <c r="AU27" s="5">
        <f t="shared" si="9"/>
        <v>1</v>
      </c>
    </row>
    <row r="28" spans="1:58">
      <c r="A28" s="7" t="s">
        <v>53</v>
      </c>
      <c r="B28" s="5" t="s">
        <v>26</v>
      </c>
      <c r="C28" s="34" t="s">
        <v>25</v>
      </c>
      <c r="D28" s="106">
        <v>450</v>
      </c>
      <c r="E28" s="100">
        <v>2</v>
      </c>
      <c r="F28" s="100">
        <v>1</v>
      </c>
      <c r="G28" s="102">
        <v>450</v>
      </c>
      <c r="H28" s="99" t="s">
        <v>147</v>
      </c>
      <c r="I28" s="99" t="s">
        <v>147</v>
      </c>
      <c r="J28" s="100">
        <v>253</v>
      </c>
      <c r="K28" s="98" t="s">
        <v>148</v>
      </c>
      <c r="L28" s="102">
        <v>450</v>
      </c>
      <c r="M28" s="102">
        <v>450</v>
      </c>
      <c r="N28" s="100">
        <v>20</v>
      </c>
      <c r="O28" s="99" t="s">
        <v>147</v>
      </c>
      <c r="P28" s="99" t="s">
        <v>147</v>
      </c>
      <c r="Q28" s="98" t="s">
        <v>148</v>
      </c>
      <c r="R28" s="98" t="s">
        <v>148</v>
      </c>
      <c r="S28" s="102">
        <v>450</v>
      </c>
      <c r="T28" s="98" t="s">
        <v>148</v>
      </c>
      <c r="U28" s="100">
        <v>155</v>
      </c>
      <c r="V28" s="99" t="s">
        <v>147</v>
      </c>
      <c r="W28" s="99" t="s">
        <v>147</v>
      </c>
      <c r="X28" s="102">
        <v>450</v>
      </c>
      <c r="Y28" s="99" t="s">
        <v>147</v>
      </c>
      <c r="Z28" s="98" t="s">
        <v>174</v>
      </c>
      <c r="AA28" s="98" t="s">
        <v>148</v>
      </c>
      <c r="AB28" s="98" t="s">
        <v>148</v>
      </c>
      <c r="AC28" s="99" t="s">
        <v>147</v>
      </c>
      <c r="AD28" s="100">
        <v>219</v>
      </c>
      <c r="AE28" s="102" t="s">
        <v>13</v>
      </c>
      <c r="AF28" s="102" t="s">
        <v>13</v>
      </c>
      <c r="AG28" s="102">
        <v>450</v>
      </c>
      <c r="AH28" s="9"/>
      <c r="AI28" s="54">
        <f>SUM(D28:AG28)</f>
        <v>3800</v>
      </c>
      <c r="AJ28" s="16">
        <f>AI28-AK28</f>
        <v>650</v>
      </c>
      <c r="AK28" s="5">
        <f>SUMIF(C28:AG28,"450")</f>
        <v>3150</v>
      </c>
      <c r="AL28" s="16">
        <f>AJ28+AK28</f>
        <v>3800</v>
      </c>
      <c r="AM28">
        <f>AQ28*450</f>
        <v>9900</v>
      </c>
      <c r="AN28">
        <f>AM28-AL28</f>
        <v>6100</v>
      </c>
      <c r="AO28">
        <f>AN28/AM28</f>
        <v>0.61616161616161613</v>
      </c>
      <c r="AP28">
        <f>AQ28-(AS28+AT28)</f>
        <v>22</v>
      </c>
      <c r="AQ28">
        <f>30-AR28</f>
        <v>22</v>
      </c>
      <c r="AR28" s="5">
        <f>COUNTIF(D28:AF28,"RD")</f>
        <v>8</v>
      </c>
      <c r="AS28" s="5">
        <f>COUNTIF(D28:AG28,"VL")</f>
        <v>0</v>
      </c>
      <c r="AT28" s="5">
        <f>COUNTIF(D28:AG28,"LWOP")</f>
        <v>0</v>
      </c>
      <c r="AU28" s="5">
        <f>COUNTIF(D28:AI28,"450")</f>
        <v>7</v>
      </c>
    </row>
    <row r="29" spans="1:58">
      <c r="A29" s="7" t="s">
        <v>71</v>
      </c>
      <c r="B29" s="5" t="s">
        <v>26</v>
      </c>
      <c r="C29" s="34" t="s">
        <v>25</v>
      </c>
      <c r="D29" s="98" t="s">
        <v>148</v>
      </c>
      <c r="E29" s="98" t="s">
        <v>148</v>
      </c>
      <c r="F29" s="98" t="s">
        <v>148</v>
      </c>
      <c r="G29" s="98" t="s">
        <v>148</v>
      </c>
      <c r="H29" s="99" t="s">
        <v>147</v>
      </c>
      <c r="I29" s="99" t="s">
        <v>147</v>
      </c>
      <c r="J29" s="98" t="s">
        <v>148</v>
      </c>
      <c r="K29" s="98" t="s">
        <v>148</v>
      </c>
      <c r="L29" s="98" t="s">
        <v>148</v>
      </c>
      <c r="M29" s="98" t="s">
        <v>148</v>
      </c>
      <c r="N29" s="98" t="s">
        <v>148</v>
      </c>
      <c r="O29" s="99" t="s">
        <v>147</v>
      </c>
      <c r="P29" s="99" t="s">
        <v>147</v>
      </c>
      <c r="Q29" s="98" t="s">
        <v>148</v>
      </c>
      <c r="R29" s="98" t="s">
        <v>148</v>
      </c>
      <c r="S29" s="98" t="s">
        <v>148</v>
      </c>
      <c r="T29" s="98" t="s">
        <v>148</v>
      </c>
      <c r="U29" s="98" t="s">
        <v>148</v>
      </c>
      <c r="V29" s="99" t="s">
        <v>147</v>
      </c>
      <c r="W29" s="99" t="s">
        <v>147</v>
      </c>
      <c r="X29" s="98" t="s">
        <v>148</v>
      </c>
      <c r="Y29" s="98" t="s">
        <v>148</v>
      </c>
      <c r="Z29" s="98" t="s">
        <v>148</v>
      </c>
      <c r="AA29" s="98" t="s">
        <v>148</v>
      </c>
      <c r="AB29" s="102">
        <v>450</v>
      </c>
      <c r="AC29" s="99" t="s">
        <v>147</v>
      </c>
      <c r="AD29" s="99" t="s">
        <v>147</v>
      </c>
      <c r="AE29" s="100">
        <v>1</v>
      </c>
      <c r="AF29" s="98" t="s">
        <v>148</v>
      </c>
      <c r="AG29" s="98" t="s">
        <v>148</v>
      </c>
      <c r="AH29" s="9"/>
      <c r="AI29" s="54">
        <f t="shared" si="0"/>
        <v>451</v>
      </c>
      <c r="AJ29" s="16">
        <f>AI29-AK29</f>
        <v>1</v>
      </c>
      <c r="AK29" s="5">
        <f t="shared" si="1"/>
        <v>450</v>
      </c>
      <c r="AL29" s="16">
        <f>AJ29+AK29</f>
        <v>451</v>
      </c>
      <c r="AM29">
        <f>AQ29*450</f>
        <v>9900</v>
      </c>
      <c r="AN29">
        <f t="shared" si="2"/>
        <v>9449</v>
      </c>
      <c r="AO29">
        <f t="shared" si="3"/>
        <v>0.95444444444444443</v>
      </c>
      <c r="AP29">
        <f t="shared" si="4"/>
        <v>22</v>
      </c>
      <c r="AQ29">
        <f t="shared" si="5"/>
        <v>22</v>
      </c>
      <c r="AR29" s="5">
        <f t="shared" si="6"/>
        <v>8</v>
      </c>
      <c r="AS29" s="5">
        <f t="shared" si="7"/>
        <v>0</v>
      </c>
      <c r="AT29" s="5">
        <f t="shared" si="8"/>
        <v>0</v>
      </c>
      <c r="AU29" s="5">
        <f t="shared" si="9"/>
        <v>1</v>
      </c>
    </row>
    <row r="30" spans="1:58">
      <c r="A30" s="5" t="s">
        <v>72</v>
      </c>
      <c r="B30" s="5" t="s">
        <v>22</v>
      </c>
      <c r="C30" s="5" t="s">
        <v>30</v>
      </c>
      <c r="D30" s="98" t="s">
        <v>148</v>
      </c>
      <c r="E30" s="98" t="s">
        <v>148</v>
      </c>
      <c r="F30" s="98" t="s">
        <v>148</v>
      </c>
      <c r="G30" s="98" t="s">
        <v>148</v>
      </c>
      <c r="H30" s="99" t="s">
        <v>147</v>
      </c>
      <c r="I30" s="99" t="s">
        <v>147</v>
      </c>
      <c r="J30" s="98" t="s">
        <v>148</v>
      </c>
      <c r="K30" s="100">
        <v>1</v>
      </c>
      <c r="L30" s="98" t="s">
        <v>148</v>
      </c>
      <c r="M30" s="98" t="s">
        <v>148</v>
      </c>
      <c r="N30" s="98" t="s">
        <v>148</v>
      </c>
      <c r="O30" s="99" t="s">
        <v>147</v>
      </c>
      <c r="P30" s="99" t="s">
        <v>147</v>
      </c>
      <c r="Q30" s="98" t="s">
        <v>148</v>
      </c>
      <c r="R30" s="98" t="s">
        <v>148</v>
      </c>
      <c r="S30" s="98" t="s">
        <v>148</v>
      </c>
      <c r="T30" s="98" t="s">
        <v>148</v>
      </c>
      <c r="U30" s="98" t="s">
        <v>148</v>
      </c>
      <c r="V30" s="99" t="s">
        <v>147</v>
      </c>
      <c r="W30" s="99" t="s">
        <v>147</v>
      </c>
      <c r="X30" s="98" t="s">
        <v>148</v>
      </c>
      <c r="Y30" s="98" t="s">
        <v>148</v>
      </c>
      <c r="Z30" s="98" t="s">
        <v>148</v>
      </c>
      <c r="AA30" s="98" t="s">
        <v>148</v>
      </c>
      <c r="AB30" s="98" t="s">
        <v>148</v>
      </c>
      <c r="AC30" s="99" t="s">
        <v>147</v>
      </c>
      <c r="AD30" s="99" t="s">
        <v>147</v>
      </c>
      <c r="AE30" s="98" t="s">
        <v>148</v>
      </c>
      <c r="AF30" s="98" t="s">
        <v>148</v>
      </c>
      <c r="AG30" s="98" t="s">
        <v>148</v>
      </c>
      <c r="AH30" s="9"/>
      <c r="AI30" s="54">
        <f t="shared" si="0"/>
        <v>1</v>
      </c>
      <c r="AJ30" s="16">
        <f>AI30-AK30</f>
        <v>1</v>
      </c>
      <c r="AK30" s="5">
        <f t="shared" si="1"/>
        <v>0</v>
      </c>
      <c r="AL30" s="16">
        <f>AJ30+AK30</f>
        <v>1</v>
      </c>
      <c r="AM30">
        <f>AQ30*450</f>
        <v>9900</v>
      </c>
      <c r="AN30">
        <f t="shared" si="2"/>
        <v>9899</v>
      </c>
      <c r="AO30">
        <f t="shared" si="3"/>
        <v>0.99989898989898995</v>
      </c>
      <c r="AP30">
        <f t="shared" si="4"/>
        <v>22</v>
      </c>
      <c r="AQ30">
        <f t="shared" si="5"/>
        <v>22</v>
      </c>
      <c r="AR30" s="5">
        <f t="shared" si="6"/>
        <v>8</v>
      </c>
      <c r="AS30" s="5">
        <f t="shared" si="7"/>
        <v>0</v>
      </c>
      <c r="AT30" s="5">
        <f t="shared" si="8"/>
        <v>0</v>
      </c>
      <c r="AU30" s="5">
        <f t="shared" si="9"/>
        <v>0</v>
      </c>
    </row>
    <row r="31" spans="1:58">
      <c r="A31" s="7" t="s">
        <v>73</v>
      </c>
      <c r="B31" s="5" t="s">
        <v>26</v>
      </c>
      <c r="C31" s="34" t="s">
        <v>25</v>
      </c>
      <c r="D31" s="98" t="s">
        <v>148</v>
      </c>
      <c r="E31" s="98" t="s">
        <v>148</v>
      </c>
      <c r="F31" s="98" t="s">
        <v>148</v>
      </c>
      <c r="G31" s="98" t="s">
        <v>148</v>
      </c>
      <c r="H31" s="99" t="s">
        <v>147</v>
      </c>
      <c r="I31" s="99" t="s">
        <v>147</v>
      </c>
      <c r="J31" s="98" t="s">
        <v>148</v>
      </c>
      <c r="K31" s="98" t="s">
        <v>148</v>
      </c>
      <c r="L31" s="100">
        <v>19</v>
      </c>
      <c r="M31" s="98" t="s">
        <v>148</v>
      </c>
      <c r="N31" s="100">
        <v>12</v>
      </c>
      <c r="O31" s="99" t="s">
        <v>147</v>
      </c>
      <c r="P31" s="99" t="s">
        <v>147</v>
      </c>
      <c r="Q31" s="100">
        <v>12</v>
      </c>
      <c r="R31" s="98" t="s">
        <v>148</v>
      </c>
      <c r="S31" s="98" t="s">
        <v>148</v>
      </c>
      <c r="T31" s="98" t="s">
        <v>148</v>
      </c>
      <c r="U31" s="98" t="s">
        <v>174</v>
      </c>
      <c r="V31" s="99" t="s">
        <v>147</v>
      </c>
      <c r="W31" s="99" t="s">
        <v>147</v>
      </c>
      <c r="X31" s="98" t="s">
        <v>148</v>
      </c>
      <c r="Y31" s="98" t="s">
        <v>148</v>
      </c>
      <c r="Z31" s="98" t="s">
        <v>148</v>
      </c>
      <c r="AA31" s="98" t="s">
        <v>148</v>
      </c>
      <c r="AB31" s="98" t="s">
        <v>148</v>
      </c>
      <c r="AC31" s="99" t="s">
        <v>147</v>
      </c>
      <c r="AD31" s="99" t="s">
        <v>147</v>
      </c>
      <c r="AE31" s="100">
        <v>2</v>
      </c>
      <c r="AF31" s="102">
        <v>450</v>
      </c>
      <c r="AG31" s="102">
        <v>450</v>
      </c>
      <c r="AH31" s="9"/>
      <c r="AI31" s="54">
        <f t="shared" si="0"/>
        <v>945</v>
      </c>
      <c r="AJ31" s="16">
        <f>AI31-AK31</f>
        <v>45</v>
      </c>
      <c r="AK31" s="5">
        <f t="shared" si="1"/>
        <v>900</v>
      </c>
      <c r="AL31" s="16">
        <f>AJ31+AK31</f>
        <v>945</v>
      </c>
      <c r="AM31">
        <f>AQ31*450</f>
        <v>9900</v>
      </c>
      <c r="AN31">
        <f t="shared" si="2"/>
        <v>8955</v>
      </c>
      <c r="AO31">
        <f t="shared" si="3"/>
        <v>0.90454545454545454</v>
      </c>
      <c r="AP31">
        <f t="shared" si="4"/>
        <v>22</v>
      </c>
      <c r="AQ31">
        <f t="shared" si="5"/>
        <v>22</v>
      </c>
      <c r="AR31" s="5">
        <f t="shared" si="6"/>
        <v>8</v>
      </c>
      <c r="AS31" s="5">
        <f t="shared" si="7"/>
        <v>0</v>
      </c>
      <c r="AT31" s="5">
        <f t="shared" si="8"/>
        <v>0</v>
      </c>
      <c r="AU31" s="5">
        <f t="shared" si="9"/>
        <v>2</v>
      </c>
    </row>
    <row r="32" spans="1:58">
      <c r="A32" s="5" t="s">
        <v>58</v>
      </c>
      <c r="B32" s="5" t="s">
        <v>57</v>
      </c>
      <c r="C32" s="5" t="s">
        <v>40</v>
      </c>
      <c r="D32" s="98" t="s">
        <v>148</v>
      </c>
      <c r="E32" s="104" t="s">
        <v>12</v>
      </c>
      <c r="F32" s="98" t="s">
        <v>148</v>
      </c>
      <c r="G32" s="98" t="s">
        <v>148</v>
      </c>
      <c r="H32" s="99" t="s">
        <v>147</v>
      </c>
      <c r="I32" s="99" t="s">
        <v>147</v>
      </c>
      <c r="J32" s="98" t="s">
        <v>148</v>
      </c>
      <c r="K32" s="98" t="s">
        <v>148</v>
      </c>
      <c r="L32" s="98" t="s">
        <v>148</v>
      </c>
      <c r="M32" s="99" t="s">
        <v>147</v>
      </c>
      <c r="N32" s="98" t="s">
        <v>148</v>
      </c>
      <c r="O32" s="98" t="s">
        <v>148</v>
      </c>
      <c r="P32" s="99" t="s">
        <v>147</v>
      </c>
      <c r="Q32" s="98" t="s">
        <v>148</v>
      </c>
      <c r="R32" s="98" t="s">
        <v>148</v>
      </c>
      <c r="S32" s="98" t="s">
        <v>148</v>
      </c>
      <c r="T32" s="98" t="s">
        <v>148</v>
      </c>
      <c r="U32" s="104" t="s">
        <v>12</v>
      </c>
      <c r="V32" s="99" t="s">
        <v>147</v>
      </c>
      <c r="W32" s="99" t="s">
        <v>147</v>
      </c>
      <c r="X32" s="102">
        <v>450</v>
      </c>
      <c r="Y32" s="98" t="s">
        <v>148</v>
      </c>
      <c r="Z32" s="98" t="s">
        <v>148</v>
      </c>
      <c r="AA32" s="98" t="s">
        <v>148</v>
      </c>
      <c r="AB32" s="98" t="s">
        <v>148</v>
      </c>
      <c r="AC32" s="99" t="s">
        <v>147</v>
      </c>
      <c r="AD32" s="99" t="s">
        <v>147</v>
      </c>
      <c r="AE32" s="102" t="s">
        <v>13</v>
      </c>
      <c r="AF32" s="98" t="s">
        <v>148</v>
      </c>
      <c r="AG32" s="98" t="s">
        <v>148</v>
      </c>
      <c r="AH32" s="9"/>
      <c r="AI32" s="54">
        <f t="shared" si="0"/>
        <v>450</v>
      </c>
      <c r="AJ32" s="16">
        <f>AI32-AK32</f>
        <v>0</v>
      </c>
      <c r="AK32" s="5">
        <f t="shared" si="1"/>
        <v>450</v>
      </c>
      <c r="AL32" s="16">
        <f>AJ32+AK32</f>
        <v>450</v>
      </c>
      <c r="AM32">
        <f>AQ32*450</f>
        <v>9900</v>
      </c>
      <c r="AN32">
        <f t="shared" si="2"/>
        <v>9450</v>
      </c>
      <c r="AO32">
        <f t="shared" si="3"/>
        <v>0.95454545454545459</v>
      </c>
      <c r="AP32">
        <f t="shared" si="4"/>
        <v>20</v>
      </c>
      <c r="AQ32">
        <f t="shared" si="5"/>
        <v>22</v>
      </c>
      <c r="AR32" s="5">
        <f t="shared" si="6"/>
        <v>8</v>
      </c>
      <c r="AS32" s="5">
        <f t="shared" si="7"/>
        <v>2</v>
      </c>
      <c r="AT32" s="5">
        <f t="shared" si="8"/>
        <v>0</v>
      </c>
      <c r="AU32" s="5">
        <f t="shared" si="9"/>
        <v>2</v>
      </c>
    </row>
    <row r="33" spans="1:47">
      <c r="A33" s="5" t="s">
        <v>74</v>
      </c>
      <c r="B33" s="5" t="s">
        <v>37</v>
      </c>
      <c r="C33" s="5" t="s">
        <v>40</v>
      </c>
      <c r="D33" s="99" t="s">
        <v>147</v>
      </c>
      <c r="E33" s="99" t="s">
        <v>147</v>
      </c>
      <c r="F33" s="100">
        <v>7</v>
      </c>
      <c r="G33" s="100">
        <v>88</v>
      </c>
      <c r="H33" s="98" t="s">
        <v>148</v>
      </c>
      <c r="I33" s="98" t="s">
        <v>148</v>
      </c>
      <c r="J33" s="100">
        <v>55</v>
      </c>
      <c r="K33" s="99" t="s">
        <v>147</v>
      </c>
      <c r="L33" s="99" t="s">
        <v>147</v>
      </c>
      <c r="M33" s="98" t="s">
        <v>148</v>
      </c>
      <c r="N33" s="100">
        <v>28</v>
      </c>
      <c r="O33" s="98" t="s">
        <v>148</v>
      </c>
      <c r="P33" s="98" t="s">
        <v>148</v>
      </c>
      <c r="Q33" s="98" t="s">
        <v>148</v>
      </c>
      <c r="R33" s="99" t="s">
        <v>147</v>
      </c>
      <c r="S33" s="99" t="s">
        <v>147</v>
      </c>
      <c r="T33" s="100">
        <v>52</v>
      </c>
      <c r="U33" s="98" t="s">
        <v>148</v>
      </c>
      <c r="V33" s="98" t="s">
        <v>148</v>
      </c>
      <c r="W33" s="98" t="s">
        <v>148</v>
      </c>
      <c r="X33" s="98" t="s">
        <v>148</v>
      </c>
      <c r="Y33" s="99" t="s">
        <v>147</v>
      </c>
      <c r="Z33" s="99" t="s">
        <v>147</v>
      </c>
      <c r="AA33" s="98" t="s">
        <v>148</v>
      </c>
      <c r="AB33" s="98" t="s">
        <v>148</v>
      </c>
      <c r="AC33" s="100">
        <v>57</v>
      </c>
      <c r="AD33" s="102">
        <v>450</v>
      </c>
      <c r="AE33" s="98" t="s">
        <v>148</v>
      </c>
      <c r="AF33" s="98" t="s">
        <v>148</v>
      </c>
      <c r="AG33" s="100">
        <v>3</v>
      </c>
      <c r="AH33" s="9"/>
      <c r="AI33" s="54">
        <f t="shared" si="0"/>
        <v>740</v>
      </c>
      <c r="AJ33" s="16">
        <f>AI33-AK33</f>
        <v>290</v>
      </c>
      <c r="AK33" s="5">
        <f t="shared" si="1"/>
        <v>450</v>
      </c>
      <c r="AL33" s="16">
        <f>AJ33+AK33</f>
        <v>740</v>
      </c>
      <c r="AM33">
        <f>AQ33*450</f>
        <v>9900</v>
      </c>
      <c r="AN33">
        <f t="shared" si="2"/>
        <v>9160</v>
      </c>
      <c r="AO33">
        <f t="shared" si="3"/>
        <v>0.92525252525252522</v>
      </c>
      <c r="AP33">
        <f t="shared" si="4"/>
        <v>22</v>
      </c>
      <c r="AQ33">
        <f t="shared" si="5"/>
        <v>22</v>
      </c>
      <c r="AR33" s="5">
        <f t="shared" si="6"/>
        <v>8</v>
      </c>
      <c r="AS33" s="5">
        <f t="shared" si="7"/>
        <v>0</v>
      </c>
      <c r="AT33" s="5">
        <f t="shared" si="8"/>
        <v>0</v>
      </c>
      <c r="AU33" s="5">
        <f t="shared" si="9"/>
        <v>1</v>
      </c>
    </row>
    <row r="34" spans="1:47">
      <c r="A34" s="7" t="s">
        <v>75</v>
      </c>
      <c r="B34" s="5" t="s">
        <v>26</v>
      </c>
      <c r="C34" s="34" t="s">
        <v>40</v>
      </c>
      <c r="D34" s="98" t="s">
        <v>148</v>
      </c>
      <c r="E34" s="99" t="s">
        <v>147</v>
      </c>
      <c r="F34" s="99" t="s">
        <v>147</v>
      </c>
      <c r="G34" s="98" t="s">
        <v>148</v>
      </c>
      <c r="H34" s="98" t="s">
        <v>148</v>
      </c>
      <c r="I34" s="98" t="s">
        <v>148</v>
      </c>
      <c r="J34" s="98" t="s">
        <v>148</v>
      </c>
      <c r="K34" s="98" t="s">
        <v>148</v>
      </c>
      <c r="L34" s="99" t="s">
        <v>147</v>
      </c>
      <c r="M34" s="99" t="s">
        <v>147</v>
      </c>
      <c r="N34" s="98" t="s">
        <v>148</v>
      </c>
      <c r="O34" s="98" t="s">
        <v>148</v>
      </c>
      <c r="P34" s="98" t="s">
        <v>148</v>
      </c>
      <c r="Q34" s="98" t="s">
        <v>148</v>
      </c>
      <c r="R34" s="98" t="s">
        <v>148</v>
      </c>
      <c r="S34" s="99" t="s">
        <v>147</v>
      </c>
      <c r="T34" s="99" t="s">
        <v>147</v>
      </c>
      <c r="U34" s="98" t="s">
        <v>148</v>
      </c>
      <c r="V34" s="98" t="s">
        <v>148</v>
      </c>
      <c r="W34" s="98" t="s">
        <v>148</v>
      </c>
      <c r="X34" s="102">
        <v>450</v>
      </c>
      <c r="Y34" s="98" t="s">
        <v>148</v>
      </c>
      <c r="Z34" s="99" t="s">
        <v>147</v>
      </c>
      <c r="AA34" s="99" t="s">
        <v>147</v>
      </c>
      <c r="AB34" s="98" t="s">
        <v>148</v>
      </c>
      <c r="AC34" s="98" t="s">
        <v>148</v>
      </c>
      <c r="AD34" s="98" t="s">
        <v>148</v>
      </c>
      <c r="AE34" s="98" t="s">
        <v>148</v>
      </c>
      <c r="AF34" s="98" t="s">
        <v>148</v>
      </c>
      <c r="AG34" s="99" t="s">
        <v>147</v>
      </c>
      <c r="AH34" s="9"/>
      <c r="AI34" s="54">
        <f t="shared" si="0"/>
        <v>450</v>
      </c>
      <c r="AJ34" s="16">
        <f>AI34-AK34</f>
        <v>0</v>
      </c>
      <c r="AK34" s="5">
        <f t="shared" si="1"/>
        <v>450</v>
      </c>
      <c r="AL34" s="16">
        <f>AJ34+AK34</f>
        <v>450</v>
      </c>
      <c r="AM34">
        <f>AQ34*450</f>
        <v>9900</v>
      </c>
      <c r="AN34">
        <f t="shared" si="2"/>
        <v>9450</v>
      </c>
      <c r="AO34">
        <f t="shared" si="3"/>
        <v>0.95454545454545459</v>
      </c>
      <c r="AP34">
        <f t="shared" si="4"/>
        <v>22</v>
      </c>
      <c r="AQ34">
        <f t="shared" si="5"/>
        <v>22</v>
      </c>
      <c r="AR34" s="5">
        <f t="shared" si="6"/>
        <v>8</v>
      </c>
      <c r="AS34" s="5">
        <f t="shared" si="7"/>
        <v>0</v>
      </c>
      <c r="AT34" s="5">
        <f t="shared" si="8"/>
        <v>0</v>
      </c>
      <c r="AU34" s="5">
        <f t="shared" si="9"/>
        <v>2</v>
      </c>
    </row>
    <row r="35" spans="1:47">
      <c r="A35" s="5" t="s">
        <v>76</v>
      </c>
      <c r="B35" s="5" t="s">
        <v>37</v>
      </c>
      <c r="C35" s="5" t="s">
        <v>40</v>
      </c>
      <c r="D35" s="100">
        <v>7</v>
      </c>
      <c r="E35" s="98" t="s">
        <v>148</v>
      </c>
      <c r="F35" s="98" t="s">
        <v>148</v>
      </c>
      <c r="G35" s="99" t="s">
        <v>147</v>
      </c>
      <c r="H35" s="99" t="s">
        <v>147</v>
      </c>
      <c r="I35" s="98" t="s">
        <v>148</v>
      </c>
      <c r="J35" s="98" t="s">
        <v>148</v>
      </c>
      <c r="K35" s="98" t="s">
        <v>148</v>
      </c>
      <c r="L35" s="98" t="s">
        <v>148</v>
      </c>
      <c r="M35" s="102">
        <v>450</v>
      </c>
      <c r="N35" s="99" t="s">
        <v>147</v>
      </c>
      <c r="O35" s="99" t="s">
        <v>147</v>
      </c>
      <c r="P35" s="98" t="s">
        <v>148</v>
      </c>
      <c r="Q35" s="98" t="s">
        <v>148</v>
      </c>
      <c r="R35" s="98" t="s">
        <v>148</v>
      </c>
      <c r="S35" s="98" t="s">
        <v>148</v>
      </c>
      <c r="T35" s="100">
        <v>1</v>
      </c>
      <c r="U35" s="99" t="s">
        <v>147</v>
      </c>
      <c r="V35" s="99" t="s">
        <v>147</v>
      </c>
      <c r="W35" s="98" t="s">
        <v>148</v>
      </c>
      <c r="X35" s="102">
        <v>450</v>
      </c>
      <c r="Y35" s="98" t="s">
        <v>148</v>
      </c>
      <c r="Z35" s="98" t="s">
        <v>174</v>
      </c>
      <c r="AA35" s="98" t="s">
        <v>148</v>
      </c>
      <c r="AB35" s="99" t="s">
        <v>147</v>
      </c>
      <c r="AC35" s="99" t="s">
        <v>147</v>
      </c>
      <c r="AD35" s="98" t="s">
        <v>148</v>
      </c>
      <c r="AE35" s="98" t="s">
        <v>148</v>
      </c>
      <c r="AF35" s="98" t="s">
        <v>148</v>
      </c>
      <c r="AG35" s="100">
        <v>6</v>
      </c>
      <c r="AH35" s="9"/>
      <c r="AI35" s="54">
        <f t="shared" si="0"/>
        <v>914</v>
      </c>
      <c r="AJ35" s="16">
        <f>AI35-AK35</f>
        <v>14</v>
      </c>
      <c r="AK35" s="5">
        <f t="shared" si="1"/>
        <v>900</v>
      </c>
      <c r="AL35" s="16">
        <f>AJ35+AK35</f>
        <v>914</v>
      </c>
      <c r="AM35">
        <f>AQ35*450</f>
        <v>9900</v>
      </c>
      <c r="AN35">
        <f t="shared" si="2"/>
        <v>8986</v>
      </c>
      <c r="AO35">
        <f t="shared" si="3"/>
        <v>0.90767676767676764</v>
      </c>
      <c r="AP35">
        <f t="shared" si="4"/>
        <v>22</v>
      </c>
      <c r="AQ35">
        <f t="shared" si="5"/>
        <v>22</v>
      </c>
      <c r="AR35" s="5">
        <f t="shared" si="6"/>
        <v>8</v>
      </c>
      <c r="AS35" s="5">
        <f t="shared" si="7"/>
        <v>0</v>
      </c>
      <c r="AT35" s="5">
        <f t="shared" si="8"/>
        <v>0</v>
      </c>
      <c r="AU35" s="5">
        <f t="shared" si="9"/>
        <v>2</v>
      </c>
    </row>
    <row r="36" spans="1:47">
      <c r="A36" s="5" t="s">
        <v>77</v>
      </c>
      <c r="B36" s="5" t="s">
        <v>22</v>
      </c>
      <c r="C36" s="5" t="s">
        <v>30</v>
      </c>
      <c r="D36" s="98" t="s">
        <v>148</v>
      </c>
      <c r="E36" s="98" t="s">
        <v>148</v>
      </c>
      <c r="F36" s="98" t="s">
        <v>148</v>
      </c>
      <c r="G36" s="100">
        <v>165</v>
      </c>
      <c r="H36" s="99" t="s">
        <v>147</v>
      </c>
      <c r="I36" s="99" t="s">
        <v>147</v>
      </c>
      <c r="J36" s="104" t="s">
        <v>12</v>
      </c>
      <c r="K36" s="104" t="s">
        <v>12</v>
      </c>
      <c r="L36" s="102">
        <v>450</v>
      </c>
      <c r="M36" s="98" t="s">
        <v>148</v>
      </c>
      <c r="N36" s="98" t="s">
        <v>148</v>
      </c>
      <c r="O36" s="99" t="s">
        <v>147</v>
      </c>
      <c r="P36" s="99" t="s">
        <v>147</v>
      </c>
      <c r="Q36" s="98" t="s">
        <v>148</v>
      </c>
      <c r="R36" s="98" t="s">
        <v>148</v>
      </c>
      <c r="S36" s="98" t="s">
        <v>148</v>
      </c>
      <c r="T36" s="100">
        <v>45</v>
      </c>
      <c r="U36" s="98" t="s">
        <v>148</v>
      </c>
      <c r="V36" s="99" t="s">
        <v>147</v>
      </c>
      <c r="W36" s="99" t="s">
        <v>147</v>
      </c>
      <c r="X36" s="98" t="s">
        <v>148</v>
      </c>
      <c r="Y36" s="98" t="s">
        <v>148</v>
      </c>
      <c r="Z36" s="102">
        <v>450</v>
      </c>
      <c r="AA36" s="98" t="s">
        <v>148</v>
      </c>
      <c r="AB36" s="98" t="s">
        <v>148</v>
      </c>
      <c r="AC36" s="99" t="s">
        <v>147</v>
      </c>
      <c r="AD36" s="99" t="s">
        <v>147</v>
      </c>
      <c r="AE36" s="100">
        <v>69</v>
      </c>
      <c r="AF36" s="98" t="s">
        <v>148</v>
      </c>
      <c r="AG36" s="98" t="s">
        <v>148</v>
      </c>
      <c r="AH36" s="9"/>
      <c r="AI36" s="54">
        <f t="shared" si="0"/>
        <v>1179</v>
      </c>
      <c r="AJ36" s="16">
        <f>AI36-AK36</f>
        <v>279</v>
      </c>
      <c r="AK36" s="5">
        <f t="shared" si="1"/>
        <v>900</v>
      </c>
      <c r="AL36" s="16">
        <f>AJ36+AK36</f>
        <v>1179</v>
      </c>
      <c r="AM36">
        <f>AQ36*450</f>
        <v>9900</v>
      </c>
      <c r="AN36">
        <f t="shared" si="2"/>
        <v>8721</v>
      </c>
      <c r="AO36">
        <f t="shared" si="3"/>
        <v>0.88090909090909086</v>
      </c>
      <c r="AP36">
        <f t="shared" si="4"/>
        <v>20</v>
      </c>
      <c r="AQ36">
        <f t="shared" si="5"/>
        <v>22</v>
      </c>
      <c r="AR36" s="5">
        <f t="shared" si="6"/>
        <v>8</v>
      </c>
      <c r="AS36" s="5">
        <f t="shared" si="7"/>
        <v>2</v>
      </c>
      <c r="AT36" s="5">
        <f t="shared" si="8"/>
        <v>0</v>
      </c>
      <c r="AU36" s="5">
        <f t="shared" si="9"/>
        <v>2</v>
      </c>
    </row>
    <row r="37" spans="1:47">
      <c r="A37" s="7" t="s">
        <v>78</v>
      </c>
      <c r="B37" s="5" t="s">
        <v>26</v>
      </c>
      <c r="C37" s="34" t="s">
        <v>40</v>
      </c>
      <c r="D37" s="98" t="s">
        <v>148</v>
      </c>
      <c r="E37" s="98" t="s">
        <v>148</v>
      </c>
      <c r="F37" s="98" t="s">
        <v>148</v>
      </c>
      <c r="G37" s="98" t="s">
        <v>148</v>
      </c>
      <c r="H37" s="99" t="s">
        <v>147</v>
      </c>
      <c r="I37" s="99" t="s">
        <v>147</v>
      </c>
      <c r="J37" s="98" t="s">
        <v>148</v>
      </c>
      <c r="K37" s="98" t="s">
        <v>148</v>
      </c>
      <c r="L37" s="102">
        <v>450</v>
      </c>
      <c r="M37" s="98" t="s">
        <v>148</v>
      </c>
      <c r="N37" s="104" t="s">
        <v>12</v>
      </c>
      <c r="O37" s="99" t="s">
        <v>147</v>
      </c>
      <c r="P37" s="99" t="s">
        <v>147</v>
      </c>
      <c r="Q37" s="98" t="s">
        <v>148</v>
      </c>
      <c r="R37" s="98" t="s">
        <v>148</v>
      </c>
      <c r="S37" s="98" t="s">
        <v>148</v>
      </c>
      <c r="T37" s="98" t="s">
        <v>148</v>
      </c>
      <c r="U37" s="98" t="s">
        <v>148</v>
      </c>
      <c r="V37" s="99" t="s">
        <v>147</v>
      </c>
      <c r="W37" s="99" t="s">
        <v>147</v>
      </c>
      <c r="X37" s="99" t="s">
        <v>147</v>
      </c>
      <c r="Y37" s="98" t="s">
        <v>174</v>
      </c>
      <c r="Z37" s="98" t="s">
        <v>148</v>
      </c>
      <c r="AA37" s="98" t="s">
        <v>148</v>
      </c>
      <c r="AB37" s="98" t="s">
        <v>148</v>
      </c>
      <c r="AC37" s="98" t="s">
        <v>148</v>
      </c>
      <c r="AD37" s="99" t="s">
        <v>147</v>
      </c>
      <c r="AE37" s="98" t="s">
        <v>148</v>
      </c>
      <c r="AF37" s="98" t="s">
        <v>148</v>
      </c>
      <c r="AG37" s="98" t="s">
        <v>148</v>
      </c>
      <c r="AH37" s="9"/>
      <c r="AI37" s="54">
        <f t="shared" si="0"/>
        <v>450</v>
      </c>
      <c r="AJ37" s="16">
        <f>AI37-AK37</f>
        <v>0</v>
      </c>
      <c r="AK37" s="5">
        <f t="shared" si="1"/>
        <v>450</v>
      </c>
      <c r="AL37" s="16">
        <f>AJ37+AK37</f>
        <v>450</v>
      </c>
      <c r="AM37">
        <f>AQ37*450</f>
        <v>9900</v>
      </c>
      <c r="AN37">
        <f t="shared" si="2"/>
        <v>9450</v>
      </c>
      <c r="AO37">
        <f t="shared" si="3"/>
        <v>0.95454545454545459</v>
      </c>
      <c r="AP37">
        <f t="shared" si="4"/>
        <v>21</v>
      </c>
      <c r="AQ37">
        <f t="shared" si="5"/>
        <v>22</v>
      </c>
      <c r="AR37" s="5">
        <f t="shared" si="6"/>
        <v>8</v>
      </c>
      <c r="AS37" s="5">
        <f t="shared" si="7"/>
        <v>1</v>
      </c>
      <c r="AT37" s="5">
        <f t="shared" si="8"/>
        <v>0</v>
      </c>
      <c r="AU37" s="5">
        <f t="shared" si="9"/>
        <v>2</v>
      </c>
    </row>
    <row r="38" spans="1:47">
      <c r="A38" s="7" t="s">
        <v>80</v>
      </c>
      <c r="B38" s="5" t="s">
        <v>26</v>
      </c>
      <c r="C38" s="34" t="s">
        <v>40</v>
      </c>
      <c r="D38" s="99" t="s">
        <v>147</v>
      </c>
      <c r="E38" s="99" t="s">
        <v>147</v>
      </c>
      <c r="F38" s="98" t="s">
        <v>148</v>
      </c>
      <c r="G38" s="98" t="s">
        <v>148</v>
      </c>
      <c r="H38" s="98" t="s">
        <v>148</v>
      </c>
      <c r="I38" s="98" t="s">
        <v>148</v>
      </c>
      <c r="J38" s="98" t="s">
        <v>148</v>
      </c>
      <c r="K38" s="98" t="s">
        <v>148</v>
      </c>
      <c r="L38" s="99" t="s">
        <v>147</v>
      </c>
      <c r="M38" s="99" t="s">
        <v>147</v>
      </c>
      <c r="N38" s="104" t="s">
        <v>12</v>
      </c>
      <c r="O38" s="98" t="s">
        <v>148</v>
      </c>
      <c r="P38" s="98" t="s">
        <v>148</v>
      </c>
      <c r="Q38" s="98" t="s">
        <v>148</v>
      </c>
      <c r="R38" s="98" t="s">
        <v>148</v>
      </c>
      <c r="S38" s="99" t="s">
        <v>147</v>
      </c>
      <c r="T38" s="99" t="s">
        <v>147</v>
      </c>
      <c r="U38" s="102">
        <v>450</v>
      </c>
      <c r="V38" s="98" t="s">
        <v>148</v>
      </c>
      <c r="W38" s="98" t="s">
        <v>148</v>
      </c>
      <c r="X38" s="98" t="s">
        <v>148</v>
      </c>
      <c r="Y38" s="98" t="s">
        <v>148</v>
      </c>
      <c r="Z38" s="105" t="s">
        <v>147</v>
      </c>
      <c r="AA38" s="105" t="s">
        <v>147</v>
      </c>
      <c r="AB38" s="108" t="s">
        <v>148</v>
      </c>
      <c r="AC38" s="98" t="s">
        <v>148</v>
      </c>
      <c r="AD38" s="98" t="s">
        <v>148</v>
      </c>
      <c r="AE38" s="98" t="s">
        <v>148</v>
      </c>
      <c r="AF38" s="105" t="s">
        <v>147</v>
      </c>
      <c r="AG38" s="105" t="s">
        <v>147</v>
      </c>
      <c r="AH38" s="9"/>
      <c r="AI38" s="54">
        <f t="shared" si="0"/>
        <v>450</v>
      </c>
      <c r="AJ38" s="16">
        <f>AI38-AK38</f>
        <v>0</v>
      </c>
      <c r="AK38" s="5">
        <f t="shared" si="1"/>
        <v>450</v>
      </c>
      <c r="AL38" s="16">
        <f>AJ38+AK38</f>
        <v>450</v>
      </c>
      <c r="AM38">
        <f>AQ38*450</f>
        <v>9450</v>
      </c>
      <c r="AN38">
        <f t="shared" si="2"/>
        <v>9000</v>
      </c>
      <c r="AO38">
        <f t="shared" si="3"/>
        <v>0.95238095238095233</v>
      </c>
      <c r="AP38">
        <f t="shared" si="4"/>
        <v>20</v>
      </c>
      <c r="AQ38">
        <f t="shared" si="5"/>
        <v>21</v>
      </c>
      <c r="AR38" s="5">
        <f t="shared" si="6"/>
        <v>9</v>
      </c>
      <c r="AS38" s="5">
        <f t="shared" si="7"/>
        <v>1</v>
      </c>
      <c r="AT38" s="5">
        <f t="shared" si="8"/>
        <v>0</v>
      </c>
      <c r="AU38" s="5">
        <f t="shared" si="9"/>
        <v>2</v>
      </c>
    </row>
    <row r="39" spans="1:47">
      <c r="A39" s="7" t="s">
        <v>81</v>
      </c>
      <c r="B39" s="5" t="s">
        <v>26</v>
      </c>
      <c r="C39" s="34" t="s">
        <v>33</v>
      </c>
      <c r="D39" s="98" t="s">
        <v>148</v>
      </c>
      <c r="E39" s="98" t="s">
        <v>148</v>
      </c>
      <c r="F39" s="98" t="s">
        <v>148</v>
      </c>
      <c r="G39" s="98" t="s">
        <v>148</v>
      </c>
      <c r="H39" s="99" t="s">
        <v>147</v>
      </c>
      <c r="I39" s="99" t="s">
        <v>147</v>
      </c>
      <c r="J39" s="98" t="s">
        <v>148</v>
      </c>
      <c r="K39" s="98" t="s">
        <v>148</v>
      </c>
      <c r="L39" s="98" t="s">
        <v>148</v>
      </c>
      <c r="M39" s="98" t="s">
        <v>148</v>
      </c>
      <c r="N39" s="98" t="s">
        <v>148</v>
      </c>
      <c r="O39" s="99" t="s">
        <v>147</v>
      </c>
      <c r="P39" s="99" t="s">
        <v>147</v>
      </c>
      <c r="Q39" s="98" t="s">
        <v>148</v>
      </c>
      <c r="R39" s="98" t="s">
        <v>148</v>
      </c>
      <c r="S39" s="98" t="s">
        <v>148</v>
      </c>
      <c r="T39" s="98" t="s">
        <v>148</v>
      </c>
      <c r="U39" s="98" t="s">
        <v>148</v>
      </c>
      <c r="V39" s="99" t="s">
        <v>147</v>
      </c>
      <c r="W39" s="99" t="s">
        <v>147</v>
      </c>
      <c r="X39" s="98" t="s">
        <v>174</v>
      </c>
      <c r="Y39" s="98" t="s">
        <v>148</v>
      </c>
      <c r="Z39" s="98" t="s">
        <v>148</v>
      </c>
      <c r="AA39" s="107" t="s">
        <v>148</v>
      </c>
      <c r="AB39" s="107" t="s">
        <v>148</v>
      </c>
      <c r="AC39" s="109" t="s">
        <v>147</v>
      </c>
      <c r="AD39" s="109" t="s">
        <v>147</v>
      </c>
      <c r="AE39" s="98" t="s">
        <v>148</v>
      </c>
      <c r="AF39" s="98" t="s">
        <v>148</v>
      </c>
      <c r="AG39" s="101" t="s">
        <v>187</v>
      </c>
      <c r="AH39" s="9"/>
      <c r="AI39" s="54">
        <f t="shared" si="0"/>
        <v>0</v>
      </c>
      <c r="AJ39" s="16">
        <f>AI39-AK39</f>
        <v>0</v>
      </c>
      <c r="AK39" s="5">
        <f t="shared" si="1"/>
        <v>0</v>
      </c>
      <c r="AL39" s="16">
        <f>AJ39+AK39</f>
        <v>0</v>
      </c>
      <c r="AM39">
        <f>AQ39*450</f>
        <v>9900</v>
      </c>
      <c r="AN39">
        <f t="shared" si="2"/>
        <v>9900</v>
      </c>
      <c r="AO39">
        <f t="shared" si="3"/>
        <v>1</v>
      </c>
      <c r="AP39">
        <f t="shared" si="4"/>
        <v>22</v>
      </c>
      <c r="AQ39">
        <f t="shared" si="5"/>
        <v>22</v>
      </c>
      <c r="AR39" s="5">
        <f t="shared" si="6"/>
        <v>8</v>
      </c>
      <c r="AS39" s="5">
        <f t="shared" si="7"/>
        <v>0</v>
      </c>
      <c r="AT39" s="5">
        <f t="shared" si="8"/>
        <v>0</v>
      </c>
      <c r="AU39" s="5">
        <f t="shared" si="9"/>
        <v>0</v>
      </c>
    </row>
    <row r="40" spans="1:47">
      <c r="A40" s="5" t="s">
        <v>82</v>
      </c>
      <c r="B40" s="5" t="s">
        <v>22</v>
      </c>
      <c r="C40" s="5" t="s">
        <v>33</v>
      </c>
      <c r="D40" s="98" t="s">
        <v>148</v>
      </c>
      <c r="E40" s="98" t="s">
        <v>148</v>
      </c>
      <c r="F40" s="98" t="s">
        <v>148</v>
      </c>
      <c r="G40" s="98" t="s">
        <v>14</v>
      </c>
      <c r="H40" s="99" t="s">
        <v>147</v>
      </c>
      <c r="I40" s="99" t="s">
        <v>147</v>
      </c>
      <c r="J40" s="98" t="s">
        <v>148</v>
      </c>
      <c r="K40" s="100">
        <v>15</v>
      </c>
      <c r="L40" s="100">
        <v>241</v>
      </c>
      <c r="M40" s="98" t="s">
        <v>148</v>
      </c>
      <c r="N40" s="100">
        <v>17</v>
      </c>
      <c r="O40" s="99" t="s">
        <v>147</v>
      </c>
      <c r="P40" s="99" t="s">
        <v>147</v>
      </c>
      <c r="Q40" s="100">
        <v>24</v>
      </c>
      <c r="R40" s="98" t="s">
        <v>148</v>
      </c>
      <c r="S40" s="98" t="s">
        <v>148</v>
      </c>
      <c r="T40" s="100">
        <v>38</v>
      </c>
      <c r="U40" s="98" t="s">
        <v>148</v>
      </c>
      <c r="V40" s="99" t="s">
        <v>147</v>
      </c>
      <c r="W40" s="99" t="s">
        <v>147</v>
      </c>
      <c r="X40" s="102">
        <v>450</v>
      </c>
      <c r="Y40" s="102">
        <v>450</v>
      </c>
      <c r="Z40" s="102">
        <v>450</v>
      </c>
      <c r="AA40" s="98" t="s">
        <v>148</v>
      </c>
      <c r="AB40" s="98" t="s">
        <v>148</v>
      </c>
      <c r="AC40" s="99" t="s">
        <v>147</v>
      </c>
      <c r="AD40" s="99" t="s">
        <v>147</v>
      </c>
      <c r="AE40" s="100">
        <v>121</v>
      </c>
      <c r="AF40" s="102">
        <v>450</v>
      </c>
      <c r="AG40" s="98" t="s">
        <v>148</v>
      </c>
      <c r="AH40" s="9"/>
      <c r="AI40" s="54">
        <f t="shared" si="0"/>
        <v>2256</v>
      </c>
      <c r="AJ40" s="16">
        <f>AI40-AK40</f>
        <v>456</v>
      </c>
      <c r="AK40" s="5">
        <f t="shared" si="1"/>
        <v>1800</v>
      </c>
      <c r="AL40" s="16">
        <f>AJ40+AK40</f>
        <v>2256</v>
      </c>
      <c r="AM40">
        <f>AQ40*450</f>
        <v>9900</v>
      </c>
      <c r="AN40">
        <f t="shared" si="2"/>
        <v>7644</v>
      </c>
      <c r="AO40">
        <f t="shared" si="3"/>
        <v>0.7721212121212121</v>
      </c>
      <c r="AP40">
        <f t="shared" si="4"/>
        <v>21</v>
      </c>
      <c r="AQ40">
        <f t="shared" si="5"/>
        <v>22</v>
      </c>
      <c r="AR40" s="5">
        <f t="shared" si="6"/>
        <v>8</v>
      </c>
      <c r="AS40" s="5">
        <f t="shared" si="7"/>
        <v>0</v>
      </c>
      <c r="AT40" s="5">
        <f t="shared" si="8"/>
        <v>1</v>
      </c>
      <c r="AU40" s="5">
        <f t="shared" si="9"/>
        <v>4</v>
      </c>
    </row>
    <row r="41" spans="1:47">
      <c r="A41" s="5" t="s">
        <v>84</v>
      </c>
      <c r="B41" s="5" t="s">
        <v>60</v>
      </c>
      <c r="C41" s="5" t="s">
        <v>40</v>
      </c>
      <c r="D41" s="98" t="s">
        <v>148</v>
      </c>
      <c r="E41" s="102">
        <v>450</v>
      </c>
      <c r="F41" s="100">
        <v>60</v>
      </c>
      <c r="G41" s="98" t="s">
        <v>148</v>
      </c>
      <c r="H41" s="110" t="s">
        <v>26</v>
      </c>
      <c r="I41" s="99" t="s">
        <v>147</v>
      </c>
      <c r="J41" s="98" t="s">
        <v>148</v>
      </c>
      <c r="K41" s="98" t="s">
        <v>148</v>
      </c>
      <c r="L41" s="98" t="s">
        <v>148</v>
      </c>
      <c r="M41" s="98" t="s">
        <v>148</v>
      </c>
      <c r="N41" s="98" t="s">
        <v>148</v>
      </c>
      <c r="O41" s="99" t="s">
        <v>147</v>
      </c>
      <c r="P41" s="99" t="s">
        <v>147</v>
      </c>
      <c r="Q41" s="98" t="s">
        <v>148</v>
      </c>
      <c r="R41" s="98" t="s">
        <v>148</v>
      </c>
      <c r="S41" s="98" t="s">
        <v>148</v>
      </c>
      <c r="T41" s="98" t="s">
        <v>148</v>
      </c>
      <c r="U41" s="98" t="s">
        <v>148</v>
      </c>
      <c r="V41" s="99" t="s">
        <v>147</v>
      </c>
      <c r="W41" s="99" t="s">
        <v>147</v>
      </c>
      <c r="X41" s="102">
        <v>450</v>
      </c>
      <c r="Y41" s="98" t="s">
        <v>148</v>
      </c>
      <c r="Z41" s="107" t="s">
        <v>148</v>
      </c>
      <c r="AA41" s="107" t="s">
        <v>148</v>
      </c>
      <c r="AB41" s="107" t="s">
        <v>148</v>
      </c>
      <c r="AC41" s="99" t="s">
        <v>147</v>
      </c>
      <c r="AD41" s="99" t="s">
        <v>147</v>
      </c>
      <c r="AE41" s="104" t="s">
        <v>12</v>
      </c>
      <c r="AF41" s="104" t="s">
        <v>12</v>
      </c>
      <c r="AG41" s="104" t="s">
        <v>12</v>
      </c>
      <c r="AH41" s="9"/>
      <c r="AI41" s="54">
        <f t="shared" si="0"/>
        <v>960</v>
      </c>
      <c r="AJ41" s="16">
        <f>AI41-AK41</f>
        <v>60</v>
      </c>
      <c r="AK41" s="5">
        <f t="shared" si="1"/>
        <v>900</v>
      </c>
      <c r="AL41" s="16">
        <f>AJ41+AK41</f>
        <v>960</v>
      </c>
      <c r="AM41">
        <f>AQ41*450</f>
        <v>10350</v>
      </c>
      <c r="AN41">
        <f t="shared" si="2"/>
        <v>9390</v>
      </c>
      <c r="AO41">
        <f t="shared" si="3"/>
        <v>0.90724637681159426</v>
      </c>
      <c r="AP41">
        <f t="shared" si="4"/>
        <v>20</v>
      </c>
      <c r="AQ41">
        <f t="shared" si="5"/>
        <v>23</v>
      </c>
      <c r="AR41" s="5">
        <f t="shared" si="6"/>
        <v>7</v>
      </c>
      <c r="AS41" s="5">
        <f t="shared" si="7"/>
        <v>3</v>
      </c>
      <c r="AT41" s="5">
        <f t="shared" si="8"/>
        <v>0</v>
      </c>
      <c r="AU41" s="5">
        <f t="shared" si="9"/>
        <v>2</v>
      </c>
    </row>
    <row r="42" spans="1:47">
      <c r="A42" s="5" t="s">
        <v>61</v>
      </c>
      <c r="B42" s="5" t="s">
        <v>22</v>
      </c>
      <c r="C42" s="5" t="s">
        <v>63</v>
      </c>
      <c r="D42" s="98" t="s">
        <v>148</v>
      </c>
      <c r="E42" s="98" t="s">
        <v>148</v>
      </c>
      <c r="F42" s="98" t="s">
        <v>148</v>
      </c>
      <c r="G42" s="98" t="s">
        <v>148</v>
      </c>
      <c r="H42" s="99" t="s">
        <v>147</v>
      </c>
      <c r="I42" s="99" t="s">
        <v>147</v>
      </c>
      <c r="J42" s="104" t="s">
        <v>12</v>
      </c>
      <c r="K42" s="98" t="s">
        <v>148</v>
      </c>
      <c r="L42" s="98" t="s">
        <v>148</v>
      </c>
      <c r="M42" s="98" t="s">
        <v>148</v>
      </c>
      <c r="N42" s="98" t="s">
        <v>148</v>
      </c>
      <c r="O42" s="99" t="s">
        <v>147</v>
      </c>
      <c r="P42" s="99" t="s">
        <v>147</v>
      </c>
      <c r="Q42" s="98" t="s">
        <v>148</v>
      </c>
      <c r="R42" s="98" t="s">
        <v>148</v>
      </c>
      <c r="S42" s="98" t="s">
        <v>148</v>
      </c>
      <c r="T42" s="100">
        <v>6</v>
      </c>
      <c r="U42" s="98" t="s">
        <v>148</v>
      </c>
      <c r="V42" s="99" t="s">
        <v>147</v>
      </c>
      <c r="W42" s="99" t="s">
        <v>147</v>
      </c>
      <c r="X42" s="102">
        <v>450</v>
      </c>
      <c r="Y42" s="98" t="s">
        <v>148</v>
      </c>
      <c r="Z42" s="98" t="s">
        <v>148</v>
      </c>
      <c r="AA42" s="98" t="s">
        <v>148</v>
      </c>
      <c r="AB42" s="98" t="s">
        <v>148</v>
      </c>
      <c r="AC42" s="99" t="s">
        <v>147</v>
      </c>
      <c r="AD42" s="99" t="s">
        <v>147</v>
      </c>
      <c r="AE42" s="98" t="s">
        <v>148</v>
      </c>
      <c r="AF42" s="98" t="s">
        <v>148</v>
      </c>
      <c r="AG42" s="98" t="s">
        <v>148</v>
      </c>
      <c r="AH42" s="9"/>
      <c r="AI42" s="54">
        <f>SUM(D42:AG42)</f>
        <v>456</v>
      </c>
      <c r="AJ42" s="16">
        <f>AI42-AK42</f>
        <v>6</v>
      </c>
      <c r="AK42" s="5">
        <f>SUMIF(C42:AG42,"450")</f>
        <v>450</v>
      </c>
      <c r="AL42" s="16">
        <f>AJ42+AK42</f>
        <v>456</v>
      </c>
      <c r="AM42">
        <f>AQ42*450</f>
        <v>9900</v>
      </c>
      <c r="AN42">
        <f>AM42-AL42</f>
        <v>9444</v>
      </c>
      <c r="AO42">
        <f>AN42/AM42</f>
        <v>0.95393939393939398</v>
      </c>
      <c r="AP42">
        <f>AQ42-(AS42+AT42)</f>
        <v>21</v>
      </c>
      <c r="AQ42">
        <f>30-AR42</f>
        <v>22</v>
      </c>
      <c r="AR42" s="5">
        <f>COUNTIF(D42:AF42,"RD")</f>
        <v>8</v>
      </c>
      <c r="AS42" s="5">
        <f>COUNTIF(D42:AG42,"VL")</f>
        <v>1</v>
      </c>
      <c r="AT42" s="5">
        <f>COUNTIF(D42:AG42,"LWOP")</f>
        <v>0</v>
      </c>
      <c r="AU42" s="5">
        <f>COUNTIF(D42:AI42,"450")</f>
        <v>1</v>
      </c>
    </row>
    <row r="43" spans="1:47">
      <c r="A43" s="5" t="s">
        <v>85</v>
      </c>
      <c r="B43" s="5" t="s">
        <v>22</v>
      </c>
      <c r="C43" s="5" t="s">
        <v>63</v>
      </c>
      <c r="D43" s="100">
        <v>61</v>
      </c>
      <c r="E43" s="104" t="s">
        <v>12</v>
      </c>
      <c r="F43" s="104" t="s">
        <v>12</v>
      </c>
      <c r="G43" s="104" t="s">
        <v>12</v>
      </c>
      <c r="H43" s="99" t="s">
        <v>147</v>
      </c>
      <c r="I43" s="99" t="s">
        <v>147</v>
      </c>
      <c r="J43" s="98" t="s">
        <v>148</v>
      </c>
      <c r="K43" s="98" t="s">
        <v>148</v>
      </c>
      <c r="L43" s="98" t="s">
        <v>148</v>
      </c>
      <c r="M43" s="98" t="s">
        <v>148</v>
      </c>
      <c r="N43" s="98" t="s">
        <v>148</v>
      </c>
      <c r="O43" s="99" t="s">
        <v>147</v>
      </c>
      <c r="P43" s="99" t="s">
        <v>147</v>
      </c>
      <c r="Q43" s="98" t="s">
        <v>148</v>
      </c>
      <c r="R43" s="98" t="s">
        <v>148</v>
      </c>
      <c r="S43" s="98" t="s">
        <v>148</v>
      </c>
      <c r="T43" s="100">
        <v>42</v>
      </c>
      <c r="U43" s="98" t="s">
        <v>148</v>
      </c>
      <c r="V43" s="99" t="s">
        <v>147</v>
      </c>
      <c r="W43" s="99" t="s">
        <v>147</v>
      </c>
      <c r="X43" s="102">
        <v>450</v>
      </c>
      <c r="Y43" s="98" t="s">
        <v>148</v>
      </c>
      <c r="Z43" s="98" t="s">
        <v>148</v>
      </c>
      <c r="AA43" s="98" t="s">
        <v>148</v>
      </c>
      <c r="AB43" s="98" t="s">
        <v>148</v>
      </c>
      <c r="AC43" s="99" t="s">
        <v>147</v>
      </c>
      <c r="AD43" s="99" t="s">
        <v>147</v>
      </c>
      <c r="AE43" s="98" t="s">
        <v>148</v>
      </c>
      <c r="AF43" s="100">
        <v>11</v>
      </c>
      <c r="AG43" s="100">
        <v>12</v>
      </c>
      <c r="AH43" s="9"/>
      <c r="AI43" s="54">
        <f t="shared" si="0"/>
        <v>576</v>
      </c>
      <c r="AJ43" s="16">
        <f>AI43-AK43</f>
        <v>126</v>
      </c>
      <c r="AK43" s="5">
        <f t="shared" si="1"/>
        <v>450</v>
      </c>
      <c r="AL43" s="16">
        <f>AJ43+AK43</f>
        <v>576</v>
      </c>
      <c r="AM43">
        <f>AQ43*450</f>
        <v>9900</v>
      </c>
      <c r="AN43">
        <f t="shared" si="2"/>
        <v>9324</v>
      </c>
      <c r="AO43">
        <f t="shared" si="3"/>
        <v>0.94181818181818178</v>
      </c>
      <c r="AP43">
        <f t="shared" si="4"/>
        <v>19</v>
      </c>
      <c r="AQ43">
        <f t="shared" si="5"/>
        <v>22</v>
      </c>
      <c r="AR43" s="5">
        <f t="shared" si="6"/>
        <v>8</v>
      </c>
      <c r="AS43" s="5">
        <f t="shared" si="7"/>
        <v>3</v>
      </c>
      <c r="AT43" s="5">
        <f t="shared" si="8"/>
        <v>0</v>
      </c>
      <c r="AU43" s="5">
        <f t="shared" si="9"/>
        <v>1</v>
      </c>
    </row>
    <row r="44" spans="1:47">
      <c r="A44" s="7" t="s">
        <v>86</v>
      </c>
      <c r="B44" s="5" t="s">
        <v>26</v>
      </c>
      <c r="C44" s="34" t="s">
        <v>56</v>
      </c>
      <c r="D44" s="98" t="s">
        <v>148</v>
      </c>
      <c r="E44" s="99" t="s">
        <v>147</v>
      </c>
      <c r="F44" s="99" t="s">
        <v>147</v>
      </c>
      <c r="G44" s="98" t="s">
        <v>148</v>
      </c>
      <c r="H44" s="98" t="s">
        <v>148</v>
      </c>
      <c r="I44" s="98" t="s">
        <v>148</v>
      </c>
      <c r="J44" s="98" t="s">
        <v>148</v>
      </c>
      <c r="K44" s="98" t="s">
        <v>148</v>
      </c>
      <c r="L44" s="99" t="s">
        <v>147</v>
      </c>
      <c r="M44" s="99" t="s">
        <v>147</v>
      </c>
      <c r="N44" s="98" t="s">
        <v>148</v>
      </c>
      <c r="O44" s="98" t="s">
        <v>148</v>
      </c>
      <c r="P44" s="98" t="s">
        <v>148</v>
      </c>
      <c r="Q44" s="98" t="s">
        <v>148</v>
      </c>
      <c r="R44" s="98" t="s">
        <v>148</v>
      </c>
      <c r="S44" s="99" t="s">
        <v>147</v>
      </c>
      <c r="T44" s="99" t="s">
        <v>147</v>
      </c>
      <c r="U44" s="98" t="s">
        <v>148</v>
      </c>
      <c r="V44" s="98" t="s">
        <v>148</v>
      </c>
      <c r="W44" s="98" t="s">
        <v>148</v>
      </c>
      <c r="X44" s="98" t="s">
        <v>148</v>
      </c>
      <c r="Y44" s="98" t="s">
        <v>174</v>
      </c>
      <c r="Z44" s="105" t="s">
        <v>147</v>
      </c>
      <c r="AA44" s="105" t="s">
        <v>147</v>
      </c>
      <c r="AB44" s="98" t="s">
        <v>148</v>
      </c>
      <c r="AC44" s="98" t="s">
        <v>148</v>
      </c>
      <c r="AD44" s="98" t="s">
        <v>148</v>
      </c>
      <c r="AE44" s="100">
        <v>13</v>
      </c>
      <c r="AF44" s="98" t="s">
        <v>148</v>
      </c>
      <c r="AG44" s="99" t="s">
        <v>147</v>
      </c>
      <c r="AH44" s="9"/>
      <c r="AI44" s="54">
        <f t="shared" si="0"/>
        <v>13</v>
      </c>
      <c r="AJ44" s="16">
        <f>AI44-AK44</f>
        <v>13</v>
      </c>
      <c r="AK44" s="5">
        <f t="shared" si="1"/>
        <v>0</v>
      </c>
      <c r="AL44" s="16">
        <f>AJ44+AK44</f>
        <v>13</v>
      </c>
      <c r="AM44">
        <f>AQ44*450</f>
        <v>9900</v>
      </c>
      <c r="AN44">
        <f t="shared" si="2"/>
        <v>9887</v>
      </c>
      <c r="AO44">
        <f t="shared" si="3"/>
        <v>0.99868686868686873</v>
      </c>
      <c r="AP44">
        <f t="shared" si="4"/>
        <v>22</v>
      </c>
      <c r="AQ44">
        <f t="shared" si="5"/>
        <v>22</v>
      </c>
      <c r="AR44" s="5">
        <f t="shared" si="6"/>
        <v>8</v>
      </c>
      <c r="AS44" s="5">
        <f t="shared" si="7"/>
        <v>0</v>
      </c>
      <c r="AT44" s="5">
        <f t="shared" si="8"/>
        <v>0</v>
      </c>
      <c r="AU44" s="5">
        <f t="shared" si="9"/>
        <v>0</v>
      </c>
    </row>
    <row r="45" spans="1:47">
      <c r="A45" s="7" t="s">
        <v>87</v>
      </c>
      <c r="B45" s="5" t="s">
        <v>26</v>
      </c>
      <c r="C45" s="34" t="s">
        <v>33</v>
      </c>
      <c r="D45" s="98" t="s">
        <v>148</v>
      </c>
      <c r="E45" s="98" t="s">
        <v>148</v>
      </c>
      <c r="F45" s="100">
        <v>16</v>
      </c>
      <c r="G45" s="100">
        <v>18</v>
      </c>
      <c r="H45" s="99" t="s">
        <v>147</v>
      </c>
      <c r="I45" s="99" t="s">
        <v>147</v>
      </c>
      <c r="J45" s="98" t="s">
        <v>148</v>
      </c>
      <c r="K45" s="98" t="s">
        <v>148</v>
      </c>
      <c r="L45" s="98" t="s">
        <v>148</v>
      </c>
      <c r="M45" s="98" t="s">
        <v>148</v>
      </c>
      <c r="N45" s="98" t="s">
        <v>148</v>
      </c>
      <c r="O45" s="99" t="s">
        <v>147</v>
      </c>
      <c r="P45" s="99" t="s">
        <v>147</v>
      </c>
      <c r="Q45" s="98" t="s">
        <v>148</v>
      </c>
      <c r="R45" s="98" t="s">
        <v>148</v>
      </c>
      <c r="S45" s="98" t="s">
        <v>148</v>
      </c>
      <c r="T45" s="100">
        <v>4</v>
      </c>
      <c r="U45" s="98" t="s">
        <v>148</v>
      </c>
      <c r="V45" s="99" t="s">
        <v>147</v>
      </c>
      <c r="W45" s="99" t="s">
        <v>147</v>
      </c>
      <c r="X45" s="99" t="s">
        <v>147</v>
      </c>
      <c r="Y45" s="99" t="s">
        <v>147</v>
      </c>
      <c r="Z45" s="98" t="s">
        <v>148</v>
      </c>
      <c r="AA45" s="98" t="s">
        <v>148</v>
      </c>
      <c r="AB45" s="98" t="s">
        <v>148</v>
      </c>
      <c r="AC45" s="98" t="s">
        <v>148</v>
      </c>
      <c r="AD45" s="98" t="s">
        <v>148</v>
      </c>
      <c r="AE45" s="98" t="s">
        <v>148</v>
      </c>
      <c r="AF45" s="99" t="s">
        <v>147</v>
      </c>
      <c r="AG45" s="98" t="s">
        <v>148</v>
      </c>
      <c r="AH45" s="9"/>
      <c r="AI45" s="54">
        <f t="shared" si="0"/>
        <v>38</v>
      </c>
      <c r="AJ45" s="16">
        <f>AI45-AK45</f>
        <v>38</v>
      </c>
      <c r="AK45" s="5">
        <f t="shared" si="1"/>
        <v>0</v>
      </c>
      <c r="AL45" s="16">
        <f>AJ45+AK45</f>
        <v>38</v>
      </c>
      <c r="AM45">
        <f>AQ45*450</f>
        <v>9450</v>
      </c>
      <c r="AN45">
        <f t="shared" si="2"/>
        <v>9412</v>
      </c>
      <c r="AO45">
        <f t="shared" si="3"/>
        <v>0.99597883597883596</v>
      </c>
      <c r="AP45">
        <f t="shared" si="4"/>
        <v>21</v>
      </c>
      <c r="AQ45">
        <f t="shared" si="5"/>
        <v>21</v>
      </c>
      <c r="AR45" s="5">
        <f t="shared" si="6"/>
        <v>9</v>
      </c>
      <c r="AS45" s="5">
        <f t="shared" si="7"/>
        <v>0</v>
      </c>
      <c r="AT45" s="5">
        <f t="shared" si="8"/>
        <v>0</v>
      </c>
      <c r="AU45" s="5">
        <f t="shared" si="9"/>
        <v>0</v>
      </c>
    </row>
    <row r="46" spans="1:47">
      <c r="A46" s="5" t="s">
        <v>88</v>
      </c>
      <c r="B46" s="5" t="s">
        <v>22</v>
      </c>
      <c r="C46" s="5" t="s">
        <v>25</v>
      </c>
      <c r="D46" s="98" t="s">
        <v>148</v>
      </c>
      <c r="E46" s="102">
        <v>450</v>
      </c>
      <c r="F46" s="98" t="s">
        <v>148</v>
      </c>
      <c r="G46" s="100">
        <v>14</v>
      </c>
      <c r="H46" s="99" t="s">
        <v>147</v>
      </c>
      <c r="I46" s="99" t="s">
        <v>147</v>
      </c>
      <c r="J46" s="100">
        <v>113</v>
      </c>
      <c r="K46" s="98" t="s">
        <v>148</v>
      </c>
      <c r="L46" s="98" t="s">
        <v>148</v>
      </c>
      <c r="M46" s="102">
        <v>450</v>
      </c>
      <c r="N46" s="98" t="s">
        <v>148</v>
      </c>
      <c r="O46" s="99" t="s">
        <v>147</v>
      </c>
      <c r="P46" s="99" t="s">
        <v>147</v>
      </c>
      <c r="Q46" s="100">
        <v>52</v>
      </c>
      <c r="R46" s="98" t="s">
        <v>148</v>
      </c>
      <c r="S46" s="98" t="s">
        <v>148</v>
      </c>
      <c r="T46" s="98" t="s">
        <v>148</v>
      </c>
      <c r="U46" s="98" t="s">
        <v>148</v>
      </c>
      <c r="V46" s="99" t="s">
        <v>147</v>
      </c>
      <c r="W46" s="99" t="s">
        <v>147</v>
      </c>
      <c r="X46" s="98" t="s">
        <v>148</v>
      </c>
      <c r="Y46" s="98" t="s">
        <v>148</v>
      </c>
      <c r="Z46" s="98" t="s">
        <v>148</v>
      </c>
      <c r="AA46" s="98" t="s">
        <v>148</v>
      </c>
      <c r="AB46" s="102">
        <v>450</v>
      </c>
      <c r="AC46" s="99" t="s">
        <v>147</v>
      </c>
      <c r="AD46" s="99" t="s">
        <v>147</v>
      </c>
      <c r="AE46" s="98" t="s">
        <v>148</v>
      </c>
      <c r="AF46" s="98" t="s">
        <v>148</v>
      </c>
      <c r="AG46" s="102">
        <v>450</v>
      </c>
      <c r="AH46" s="9"/>
      <c r="AI46" s="54">
        <f t="shared" si="0"/>
        <v>1979</v>
      </c>
      <c r="AJ46" s="16">
        <f>AI46-AK46</f>
        <v>179</v>
      </c>
      <c r="AK46" s="5">
        <f t="shared" si="1"/>
        <v>1800</v>
      </c>
      <c r="AL46" s="16">
        <f>AJ46+AK46</f>
        <v>1979</v>
      </c>
      <c r="AM46">
        <f>AQ46*450</f>
        <v>9900</v>
      </c>
      <c r="AN46">
        <f t="shared" si="2"/>
        <v>7921</v>
      </c>
      <c r="AO46">
        <f t="shared" si="3"/>
        <v>0.80010101010101009</v>
      </c>
      <c r="AP46">
        <f t="shared" si="4"/>
        <v>22</v>
      </c>
      <c r="AQ46">
        <f t="shared" si="5"/>
        <v>22</v>
      </c>
      <c r="AR46" s="5">
        <f t="shared" si="6"/>
        <v>8</v>
      </c>
      <c r="AS46" s="5">
        <f t="shared" si="7"/>
        <v>0</v>
      </c>
      <c r="AT46" s="5">
        <f t="shared" si="8"/>
        <v>0</v>
      </c>
      <c r="AU46" s="5">
        <f t="shared" si="9"/>
        <v>4</v>
      </c>
    </row>
    <row r="47" spans="1:47">
      <c r="A47" s="7" t="s">
        <v>89</v>
      </c>
      <c r="B47" s="5" t="s">
        <v>26</v>
      </c>
      <c r="C47" s="34" t="s">
        <v>40</v>
      </c>
      <c r="D47" s="99" t="s">
        <v>147</v>
      </c>
      <c r="E47" s="98" t="s">
        <v>148</v>
      </c>
      <c r="F47" s="98" t="s">
        <v>148</v>
      </c>
      <c r="G47" s="98" t="s">
        <v>148</v>
      </c>
      <c r="H47" s="98" t="s">
        <v>148</v>
      </c>
      <c r="I47" s="99" t="s">
        <v>147</v>
      </c>
      <c r="J47" s="98" t="s">
        <v>148</v>
      </c>
      <c r="K47" s="99" t="s">
        <v>147</v>
      </c>
      <c r="L47" s="99" t="s">
        <v>147</v>
      </c>
      <c r="M47" s="100">
        <v>20</v>
      </c>
      <c r="N47" s="98" t="s">
        <v>148</v>
      </c>
      <c r="O47" s="98" t="s">
        <v>148</v>
      </c>
      <c r="P47" s="98" t="s">
        <v>148</v>
      </c>
      <c r="Q47" s="98" t="s">
        <v>148</v>
      </c>
      <c r="R47" s="99" t="s">
        <v>147</v>
      </c>
      <c r="S47" s="99" t="s">
        <v>147</v>
      </c>
      <c r="T47" s="98" t="s">
        <v>148</v>
      </c>
      <c r="U47" s="98" t="s">
        <v>148</v>
      </c>
      <c r="V47" s="98" t="s">
        <v>148</v>
      </c>
      <c r="W47" s="98" t="s">
        <v>148</v>
      </c>
      <c r="X47" s="99" t="s">
        <v>147</v>
      </c>
      <c r="Y47" s="99" t="s">
        <v>147</v>
      </c>
      <c r="Z47" s="98" t="s">
        <v>148</v>
      </c>
      <c r="AA47" s="98" t="s">
        <v>148</v>
      </c>
      <c r="AB47" s="98" t="s">
        <v>148</v>
      </c>
      <c r="AC47" s="98" t="s">
        <v>148</v>
      </c>
      <c r="AD47" s="98" t="s">
        <v>148</v>
      </c>
      <c r="AE47" s="100">
        <v>5</v>
      </c>
      <c r="AF47" s="99" t="s">
        <v>147</v>
      </c>
      <c r="AG47" s="99" t="s">
        <v>147</v>
      </c>
      <c r="AH47" s="9"/>
      <c r="AI47" s="54">
        <f t="shared" si="0"/>
        <v>25</v>
      </c>
      <c r="AJ47" s="16">
        <f>AI47-AK47</f>
        <v>25</v>
      </c>
      <c r="AK47" s="5">
        <f t="shared" si="1"/>
        <v>0</v>
      </c>
      <c r="AL47" s="16">
        <f>AJ47+AK47</f>
        <v>25</v>
      </c>
      <c r="AM47">
        <f>AQ47*450</f>
        <v>9450</v>
      </c>
      <c r="AN47">
        <f t="shared" si="2"/>
        <v>9425</v>
      </c>
      <c r="AO47">
        <f t="shared" si="3"/>
        <v>0.99735449735449733</v>
      </c>
      <c r="AP47">
        <f t="shared" si="4"/>
        <v>21</v>
      </c>
      <c r="AQ47">
        <f t="shared" si="5"/>
        <v>21</v>
      </c>
      <c r="AR47" s="5">
        <f t="shared" si="6"/>
        <v>9</v>
      </c>
      <c r="AS47" s="5">
        <f t="shared" si="7"/>
        <v>0</v>
      </c>
      <c r="AT47" s="5">
        <f t="shared" si="8"/>
        <v>0</v>
      </c>
      <c r="AU47" s="5">
        <f t="shared" si="9"/>
        <v>0</v>
      </c>
    </row>
    <row r="48" spans="1:47">
      <c r="A48" s="5" t="s">
        <v>90</v>
      </c>
      <c r="B48" s="5" t="s">
        <v>37</v>
      </c>
      <c r="C48" s="5" t="s">
        <v>40</v>
      </c>
      <c r="D48" s="98" t="s">
        <v>148</v>
      </c>
      <c r="E48" s="98" t="s">
        <v>174</v>
      </c>
      <c r="F48" s="98" t="s">
        <v>174</v>
      </c>
      <c r="G48" s="98" t="s">
        <v>174</v>
      </c>
      <c r="H48" s="98" t="s">
        <v>174</v>
      </c>
      <c r="I48" s="99" t="s">
        <v>147</v>
      </c>
      <c r="J48" s="99" t="s">
        <v>147</v>
      </c>
      <c r="K48" s="98" t="s">
        <v>174</v>
      </c>
      <c r="L48" s="98" t="s">
        <v>174</v>
      </c>
      <c r="M48" s="98" t="s">
        <v>148</v>
      </c>
      <c r="N48" s="98" t="s">
        <v>148</v>
      </c>
      <c r="O48" s="98" t="s">
        <v>148</v>
      </c>
      <c r="P48" s="99" t="s">
        <v>147</v>
      </c>
      <c r="Q48" s="99" t="s">
        <v>147</v>
      </c>
      <c r="R48" s="98" t="s">
        <v>148</v>
      </c>
      <c r="S48" s="98" t="s">
        <v>148</v>
      </c>
      <c r="T48" s="98" t="s">
        <v>148</v>
      </c>
      <c r="U48" s="98" t="s">
        <v>148</v>
      </c>
      <c r="V48" s="98" t="s">
        <v>148</v>
      </c>
      <c r="W48" s="99" t="s">
        <v>147</v>
      </c>
      <c r="X48" s="99" t="s">
        <v>147</v>
      </c>
      <c r="Y48" s="98" t="s">
        <v>148</v>
      </c>
      <c r="Z48" s="98" t="s">
        <v>148</v>
      </c>
      <c r="AA48" s="98" t="s">
        <v>148</v>
      </c>
      <c r="AB48" s="98" t="s">
        <v>148</v>
      </c>
      <c r="AC48" s="98" t="s">
        <v>148</v>
      </c>
      <c r="AD48" s="99" t="s">
        <v>147</v>
      </c>
      <c r="AE48" s="99" t="s">
        <v>147</v>
      </c>
      <c r="AF48" s="98" t="s">
        <v>148</v>
      </c>
      <c r="AG48" s="98" t="s">
        <v>148</v>
      </c>
      <c r="AH48" s="9"/>
      <c r="AI48" s="54">
        <f t="shared" si="0"/>
        <v>0</v>
      </c>
      <c r="AJ48" s="16">
        <f>AI48-AK48</f>
        <v>0</v>
      </c>
      <c r="AK48" s="5">
        <f t="shared" si="1"/>
        <v>0</v>
      </c>
      <c r="AL48" s="16">
        <f>AJ48+AK48</f>
        <v>0</v>
      </c>
      <c r="AM48">
        <f>AQ48*450</f>
        <v>9900</v>
      </c>
      <c r="AN48">
        <f t="shared" si="2"/>
        <v>9900</v>
      </c>
      <c r="AO48">
        <f t="shared" si="3"/>
        <v>1</v>
      </c>
      <c r="AP48">
        <f t="shared" si="4"/>
        <v>22</v>
      </c>
      <c r="AQ48">
        <f t="shared" si="5"/>
        <v>22</v>
      </c>
      <c r="AR48" s="5">
        <f t="shared" si="6"/>
        <v>8</v>
      </c>
      <c r="AS48" s="5">
        <f t="shared" si="7"/>
        <v>0</v>
      </c>
      <c r="AT48" s="5">
        <f t="shared" si="8"/>
        <v>0</v>
      </c>
      <c r="AU48" s="5">
        <f t="shared" si="9"/>
        <v>0</v>
      </c>
    </row>
    <row r="49" spans="1:47">
      <c r="A49" s="5" t="s">
        <v>91</v>
      </c>
      <c r="B49" s="5" t="s">
        <v>22</v>
      </c>
      <c r="C49" s="5" t="s">
        <v>30</v>
      </c>
      <c r="D49" s="98" t="s">
        <v>148</v>
      </c>
      <c r="E49" s="98" t="s">
        <v>148</v>
      </c>
      <c r="F49" s="98" t="s">
        <v>148</v>
      </c>
      <c r="G49" s="98" t="s">
        <v>148</v>
      </c>
      <c r="H49" s="99" t="s">
        <v>147</v>
      </c>
      <c r="I49" s="99" t="s">
        <v>147</v>
      </c>
      <c r="J49" s="98" t="s">
        <v>148</v>
      </c>
      <c r="K49" s="98" t="s">
        <v>148</v>
      </c>
      <c r="L49" s="98" t="s">
        <v>148</v>
      </c>
      <c r="M49" s="98" t="s">
        <v>148</v>
      </c>
      <c r="N49" s="98" t="s">
        <v>148</v>
      </c>
      <c r="O49" s="99" t="s">
        <v>147</v>
      </c>
      <c r="P49" s="99" t="s">
        <v>147</v>
      </c>
      <c r="Q49" s="98" t="s">
        <v>148</v>
      </c>
      <c r="R49" s="98" t="s">
        <v>148</v>
      </c>
      <c r="S49" s="98" t="s">
        <v>148</v>
      </c>
      <c r="T49" s="98" t="s">
        <v>148</v>
      </c>
      <c r="U49" s="98" t="s">
        <v>148</v>
      </c>
      <c r="V49" s="99" t="s">
        <v>147</v>
      </c>
      <c r="W49" s="99" t="s">
        <v>147</v>
      </c>
      <c r="X49" s="102">
        <v>450</v>
      </c>
      <c r="Y49" s="98" t="s">
        <v>148</v>
      </c>
      <c r="Z49" s="98" t="s">
        <v>148</v>
      </c>
      <c r="AA49" s="98" t="s">
        <v>148</v>
      </c>
      <c r="AB49" s="104" t="s">
        <v>12</v>
      </c>
      <c r="AC49" s="99" t="s">
        <v>147</v>
      </c>
      <c r="AD49" s="99" t="s">
        <v>147</v>
      </c>
      <c r="AE49" s="98" t="s">
        <v>148</v>
      </c>
      <c r="AF49" s="98" t="s">
        <v>148</v>
      </c>
      <c r="AG49" s="98" t="s">
        <v>148</v>
      </c>
      <c r="AH49" s="9"/>
      <c r="AI49" s="54">
        <f t="shared" si="0"/>
        <v>450</v>
      </c>
      <c r="AJ49" s="16">
        <f>AI49-AK49</f>
        <v>0</v>
      </c>
      <c r="AK49" s="5">
        <f t="shared" si="1"/>
        <v>450</v>
      </c>
      <c r="AL49" s="16">
        <f>AJ49+AK49</f>
        <v>450</v>
      </c>
      <c r="AM49">
        <f>AQ49*450</f>
        <v>9900</v>
      </c>
      <c r="AN49">
        <f t="shared" si="2"/>
        <v>9450</v>
      </c>
      <c r="AO49">
        <f t="shared" si="3"/>
        <v>0.95454545454545459</v>
      </c>
      <c r="AP49">
        <f t="shared" si="4"/>
        <v>21</v>
      </c>
      <c r="AQ49">
        <f t="shared" si="5"/>
        <v>22</v>
      </c>
      <c r="AR49" s="5">
        <f t="shared" si="6"/>
        <v>8</v>
      </c>
      <c r="AS49" s="5">
        <f t="shared" si="7"/>
        <v>1</v>
      </c>
      <c r="AT49" s="5">
        <f t="shared" si="8"/>
        <v>0</v>
      </c>
      <c r="AU49" s="5">
        <f t="shared" si="9"/>
        <v>2</v>
      </c>
    </row>
    <row r="50" spans="1:47">
      <c r="A50" s="5" t="s">
        <v>178</v>
      </c>
      <c r="B50" s="5" t="s">
        <v>22</v>
      </c>
      <c r="C50" s="5" t="s">
        <v>33</v>
      </c>
      <c r="D50" s="98" t="s">
        <v>148</v>
      </c>
      <c r="E50" s="98" t="s">
        <v>148</v>
      </c>
      <c r="F50" s="98" t="s">
        <v>148</v>
      </c>
      <c r="G50" s="98" t="s">
        <v>148</v>
      </c>
      <c r="H50" s="99" t="s">
        <v>147</v>
      </c>
      <c r="I50" s="99" t="s">
        <v>147</v>
      </c>
      <c r="J50" s="98" t="s">
        <v>148</v>
      </c>
      <c r="K50" s="98" t="s">
        <v>148</v>
      </c>
      <c r="L50" s="98" t="s">
        <v>148</v>
      </c>
      <c r="M50" s="98" t="s">
        <v>148</v>
      </c>
      <c r="N50" s="98" t="s">
        <v>148</v>
      </c>
      <c r="O50" s="99" t="s">
        <v>147</v>
      </c>
      <c r="P50" s="99" t="s">
        <v>147</v>
      </c>
      <c r="Q50" s="98" t="s">
        <v>148</v>
      </c>
      <c r="R50" s="98" t="s">
        <v>148</v>
      </c>
      <c r="S50" s="100">
        <v>4</v>
      </c>
      <c r="T50" s="100">
        <v>1</v>
      </c>
      <c r="U50" s="98" t="s">
        <v>148</v>
      </c>
      <c r="V50" s="99" t="s">
        <v>147</v>
      </c>
      <c r="W50" s="99" t="s">
        <v>147</v>
      </c>
      <c r="X50" s="102">
        <v>450</v>
      </c>
      <c r="Y50" s="102">
        <v>450</v>
      </c>
      <c r="Z50" s="98" t="s">
        <v>148</v>
      </c>
      <c r="AA50" s="98" t="s">
        <v>148</v>
      </c>
      <c r="AB50" s="104" t="s">
        <v>12</v>
      </c>
      <c r="AC50" s="99" t="s">
        <v>147</v>
      </c>
      <c r="AD50" s="99" t="s">
        <v>147</v>
      </c>
      <c r="AE50" s="98" t="s">
        <v>148</v>
      </c>
      <c r="AF50" s="98" t="s">
        <v>148</v>
      </c>
      <c r="AG50" s="98" t="s">
        <v>148</v>
      </c>
      <c r="AH50" s="9"/>
      <c r="AI50" s="54">
        <f t="shared" si="0"/>
        <v>905</v>
      </c>
      <c r="AJ50" s="16">
        <f>AI50-AK50</f>
        <v>5</v>
      </c>
      <c r="AK50" s="5">
        <f t="shared" si="1"/>
        <v>900</v>
      </c>
      <c r="AL50" s="16">
        <f>AJ50+AK50</f>
        <v>905</v>
      </c>
      <c r="AM50">
        <f>AQ50*450</f>
        <v>9900</v>
      </c>
      <c r="AN50">
        <f t="shared" si="2"/>
        <v>8995</v>
      </c>
      <c r="AO50">
        <f t="shared" si="3"/>
        <v>0.90858585858585861</v>
      </c>
      <c r="AP50">
        <f t="shared" si="4"/>
        <v>21</v>
      </c>
      <c r="AQ50">
        <f t="shared" si="5"/>
        <v>22</v>
      </c>
      <c r="AR50" s="5">
        <f t="shared" si="6"/>
        <v>8</v>
      </c>
      <c r="AS50" s="5">
        <f t="shared" si="7"/>
        <v>1</v>
      </c>
      <c r="AT50" s="5">
        <f t="shared" si="8"/>
        <v>0</v>
      </c>
      <c r="AU50" s="5">
        <f t="shared" si="9"/>
        <v>2</v>
      </c>
    </row>
    <row r="51" spans="1:47">
      <c r="A51" s="5" t="s">
        <v>92</v>
      </c>
      <c r="B51" s="5" t="s">
        <v>22</v>
      </c>
      <c r="C51" s="5" t="s">
        <v>63</v>
      </c>
      <c r="D51" s="98" t="s">
        <v>148</v>
      </c>
      <c r="E51" s="98" t="s">
        <v>148</v>
      </c>
      <c r="F51" s="98" t="s">
        <v>148</v>
      </c>
      <c r="G51" s="98" t="s">
        <v>148</v>
      </c>
      <c r="H51" s="99" t="s">
        <v>147</v>
      </c>
      <c r="I51" s="99" t="s">
        <v>147</v>
      </c>
      <c r="J51" s="98" t="s">
        <v>148</v>
      </c>
      <c r="K51" s="98" t="s">
        <v>148</v>
      </c>
      <c r="L51" s="98" t="s">
        <v>148</v>
      </c>
      <c r="M51" s="98" t="s">
        <v>148</v>
      </c>
      <c r="N51" s="98" t="s">
        <v>148</v>
      </c>
      <c r="O51" s="99" t="s">
        <v>147</v>
      </c>
      <c r="P51" s="99" t="s">
        <v>147</v>
      </c>
      <c r="Q51" s="98" t="s">
        <v>148</v>
      </c>
      <c r="R51" s="98" t="s">
        <v>148</v>
      </c>
      <c r="S51" s="98" t="s">
        <v>148</v>
      </c>
      <c r="T51" s="98" t="s">
        <v>148</v>
      </c>
      <c r="U51" s="98" t="s">
        <v>148</v>
      </c>
      <c r="V51" s="99" t="s">
        <v>147</v>
      </c>
      <c r="W51" s="99" t="s">
        <v>147</v>
      </c>
      <c r="X51" s="98" t="s">
        <v>148</v>
      </c>
      <c r="Y51" s="98" t="s">
        <v>148</v>
      </c>
      <c r="Z51" s="98" t="s">
        <v>148</v>
      </c>
      <c r="AA51" s="98" t="s">
        <v>148</v>
      </c>
      <c r="AB51" s="104" t="s">
        <v>12</v>
      </c>
      <c r="AC51" s="99" t="s">
        <v>147</v>
      </c>
      <c r="AD51" s="99" t="s">
        <v>147</v>
      </c>
      <c r="AE51" s="100">
        <v>13</v>
      </c>
      <c r="AF51" s="98" t="s">
        <v>148</v>
      </c>
      <c r="AG51" s="98" t="s">
        <v>148</v>
      </c>
      <c r="AH51" s="9"/>
      <c r="AI51" s="54">
        <f t="shared" si="0"/>
        <v>13</v>
      </c>
      <c r="AJ51" s="16">
        <f>AI51-AK51</f>
        <v>13</v>
      </c>
      <c r="AK51" s="5">
        <f t="shared" si="1"/>
        <v>0</v>
      </c>
      <c r="AL51" s="16">
        <f>AJ51+AK51</f>
        <v>13</v>
      </c>
      <c r="AM51">
        <f>AQ51*450</f>
        <v>9900</v>
      </c>
      <c r="AN51">
        <f t="shared" si="2"/>
        <v>9887</v>
      </c>
      <c r="AO51">
        <f t="shared" si="3"/>
        <v>0.99868686868686873</v>
      </c>
      <c r="AP51">
        <f t="shared" si="4"/>
        <v>21</v>
      </c>
      <c r="AQ51">
        <f t="shared" si="5"/>
        <v>22</v>
      </c>
      <c r="AR51" s="5">
        <f t="shared" si="6"/>
        <v>8</v>
      </c>
      <c r="AS51" s="5">
        <f t="shared" si="7"/>
        <v>1</v>
      </c>
      <c r="AT51" s="5">
        <f t="shared" si="8"/>
        <v>0</v>
      </c>
      <c r="AU51" s="5">
        <f t="shared" si="9"/>
        <v>0</v>
      </c>
    </row>
    <row r="52" spans="1:47">
      <c r="A52" s="7" t="s">
        <v>93</v>
      </c>
      <c r="B52" s="5" t="s">
        <v>26</v>
      </c>
      <c r="C52" s="34" t="s">
        <v>56</v>
      </c>
      <c r="D52" s="98" t="s">
        <v>148</v>
      </c>
      <c r="E52" s="100">
        <v>26</v>
      </c>
      <c r="F52" s="98" t="s">
        <v>148</v>
      </c>
      <c r="G52" s="98" t="s">
        <v>148</v>
      </c>
      <c r="H52" s="99" t="s">
        <v>147</v>
      </c>
      <c r="I52" s="99" t="s">
        <v>147</v>
      </c>
      <c r="J52" s="98" t="s">
        <v>148</v>
      </c>
      <c r="K52" s="98" t="s">
        <v>148</v>
      </c>
      <c r="L52" s="98" t="s">
        <v>148</v>
      </c>
      <c r="M52" s="98" t="s">
        <v>148</v>
      </c>
      <c r="N52" s="98" t="s">
        <v>148</v>
      </c>
      <c r="O52" s="99" t="s">
        <v>147</v>
      </c>
      <c r="P52" s="99" t="s">
        <v>147</v>
      </c>
      <c r="Q52" s="98" t="s">
        <v>148</v>
      </c>
      <c r="R52" s="98" t="s">
        <v>148</v>
      </c>
      <c r="S52" s="98" t="s">
        <v>148</v>
      </c>
      <c r="T52" s="98" t="s">
        <v>148</v>
      </c>
      <c r="U52" s="98" t="s">
        <v>148</v>
      </c>
      <c r="V52" s="99" t="s">
        <v>147</v>
      </c>
      <c r="W52" s="99" t="s">
        <v>147</v>
      </c>
      <c r="X52" s="98" t="s">
        <v>148</v>
      </c>
      <c r="Y52" s="98" t="s">
        <v>148</v>
      </c>
      <c r="Z52" s="98" t="s">
        <v>148</v>
      </c>
      <c r="AA52" s="98" t="s">
        <v>148</v>
      </c>
      <c r="AB52" s="104" t="s">
        <v>12</v>
      </c>
      <c r="AC52" s="99" t="s">
        <v>147</v>
      </c>
      <c r="AD52" s="99" t="s">
        <v>147</v>
      </c>
      <c r="AE52" s="98" t="s">
        <v>148</v>
      </c>
      <c r="AF52" s="98" t="s">
        <v>148</v>
      </c>
      <c r="AG52" s="102">
        <v>450</v>
      </c>
      <c r="AH52" s="9"/>
      <c r="AI52" s="54">
        <f t="shared" si="0"/>
        <v>476</v>
      </c>
      <c r="AJ52" s="16">
        <f>AI52-AK52</f>
        <v>26</v>
      </c>
      <c r="AK52" s="5">
        <f t="shared" si="1"/>
        <v>450</v>
      </c>
      <c r="AL52" s="16">
        <f>AJ52+AK52</f>
        <v>476</v>
      </c>
      <c r="AM52">
        <f>AQ52*450</f>
        <v>9900</v>
      </c>
      <c r="AN52">
        <f t="shared" si="2"/>
        <v>9424</v>
      </c>
      <c r="AO52">
        <f t="shared" si="3"/>
        <v>0.95191919191919194</v>
      </c>
      <c r="AP52">
        <f t="shared" si="4"/>
        <v>21</v>
      </c>
      <c r="AQ52">
        <f t="shared" si="5"/>
        <v>22</v>
      </c>
      <c r="AR52" s="5">
        <f t="shared" si="6"/>
        <v>8</v>
      </c>
      <c r="AS52" s="5">
        <f t="shared" si="7"/>
        <v>1</v>
      </c>
      <c r="AT52" s="5">
        <f t="shared" si="8"/>
        <v>0</v>
      </c>
      <c r="AU52" s="5">
        <f t="shared" si="9"/>
        <v>1</v>
      </c>
    </row>
    <row r="53" spans="1:47">
      <c r="A53" s="7" t="s">
        <v>94</v>
      </c>
      <c r="B53" s="5" t="s">
        <v>57</v>
      </c>
      <c r="C53" s="5" t="s">
        <v>40</v>
      </c>
      <c r="D53" s="98" t="s">
        <v>148</v>
      </c>
      <c r="E53" s="98" t="s">
        <v>148</v>
      </c>
      <c r="F53" s="98" t="s">
        <v>148</v>
      </c>
      <c r="G53" s="98" t="s">
        <v>148</v>
      </c>
      <c r="H53" s="99" t="s">
        <v>147</v>
      </c>
      <c r="I53" s="99" t="s">
        <v>147</v>
      </c>
      <c r="J53" s="98" t="s">
        <v>148</v>
      </c>
      <c r="K53" s="98" t="s">
        <v>148</v>
      </c>
      <c r="L53" s="98" t="s">
        <v>148</v>
      </c>
      <c r="M53" s="100">
        <v>12</v>
      </c>
      <c r="N53" s="98" t="s">
        <v>148</v>
      </c>
      <c r="O53" s="99" t="s">
        <v>147</v>
      </c>
      <c r="P53" s="99" t="s">
        <v>147</v>
      </c>
      <c r="Q53" s="100">
        <v>236</v>
      </c>
      <c r="R53" s="98" t="s">
        <v>148</v>
      </c>
      <c r="S53" s="104" t="s">
        <v>12</v>
      </c>
      <c r="T53" s="104" t="s">
        <v>12</v>
      </c>
      <c r="U53" s="102">
        <v>450</v>
      </c>
      <c r="V53" s="99" t="s">
        <v>147</v>
      </c>
      <c r="W53" s="99" t="s">
        <v>147</v>
      </c>
      <c r="X53" s="102">
        <v>450</v>
      </c>
      <c r="Y53" s="102">
        <v>450</v>
      </c>
      <c r="Z53" s="107" t="s">
        <v>148</v>
      </c>
      <c r="AA53" s="107" t="s">
        <v>148</v>
      </c>
      <c r="AB53" s="107" t="s">
        <v>148</v>
      </c>
      <c r="AC53" s="99" t="s">
        <v>147</v>
      </c>
      <c r="AD53" s="99" t="s">
        <v>147</v>
      </c>
      <c r="AE53" s="98" t="s">
        <v>148</v>
      </c>
      <c r="AF53" s="98" t="s">
        <v>148</v>
      </c>
      <c r="AG53" s="100">
        <v>39</v>
      </c>
      <c r="AH53" s="9"/>
      <c r="AI53" s="54">
        <f t="shared" si="0"/>
        <v>1637</v>
      </c>
      <c r="AJ53" s="16">
        <f>AI53-AK53</f>
        <v>287</v>
      </c>
      <c r="AK53" s="5">
        <f t="shared" si="1"/>
        <v>1350</v>
      </c>
      <c r="AL53" s="16">
        <f>AJ53+AK53</f>
        <v>1637</v>
      </c>
      <c r="AM53">
        <f>AQ53*450</f>
        <v>9900</v>
      </c>
      <c r="AN53">
        <f t="shared" si="2"/>
        <v>8263</v>
      </c>
      <c r="AO53">
        <f t="shared" si="3"/>
        <v>0.83464646464646464</v>
      </c>
      <c r="AP53">
        <f t="shared" si="4"/>
        <v>20</v>
      </c>
      <c r="AQ53">
        <f t="shared" si="5"/>
        <v>22</v>
      </c>
      <c r="AR53" s="5">
        <f t="shared" si="6"/>
        <v>8</v>
      </c>
      <c r="AS53" s="5">
        <f t="shared" si="7"/>
        <v>2</v>
      </c>
      <c r="AT53" s="5">
        <f t="shared" si="8"/>
        <v>0</v>
      </c>
      <c r="AU53" s="5">
        <f t="shared" si="9"/>
        <v>3</v>
      </c>
    </row>
    <row r="54" spans="1:47">
      <c r="A54" s="5" t="s">
        <v>23</v>
      </c>
      <c r="B54" s="5" t="s">
        <v>22</v>
      </c>
      <c r="C54" s="5" t="s">
        <v>25</v>
      </c>
      <c r="D54" s="98" t="s">
        <v>148</v>
      </c>
      <c r="E54" s="98" t="s">
        <v>148</v>
      </c>
      <c r="F54" s="98" t="s">
        <v>148</v>
      </c>
      <c r="G54" s="98" t="s">
        <v>148</v>
      </c>
      <c r="H54" s="99" t="s">
        <v>147</v>
      </c>
      <c r="I54" s="99" t="s">
        <v>147</v>
      </c>
      <c r="J54" s="104" t="s">
        <v>12</v>
      </c>
      <c r="K54" s="98" t="s">
        <v>148</v>
      </c>
      <c r="L54" s="98" t="s">
        <v>148</v>
      </c>
      <c r="M54" s="98" t="s">
        <v>148</v>
      </c>
      <c r="N54" s="98" t="s">
        <v>148</v>
      </c>
      <c r="O54" s="99" t="s">
        <v>147</v>
      </c>
      <c r="P54" s="99" t="s">
        <v>147</v>
      </c>
      <c r="Q54" s="98" t="s">
        <v>148</v>
      </c>
      <c r="R54" s="98" t="s">
        <v>148</v>
      </c>
      <c r="S54" s="98" t="s">
        <v>148</v>
      </c>
      <c r="T54" s="98" t="s">
        <v>148</v>
      </c>
      <c r="U54" s="98" t="s">
        <v>148</v>
      </c>
      <c r="V54" s="99" t="s">
        <v>147</v>
      </c>
      <c r="W54" s="99" t="s">
        <v>147</v>
      </c>
      <c r="X54" s="102">
        <v>450</v>
      </c>
      <c r="Y54" s="98" t="s">
        <v>148</v>
      </c>
      <c r="Z54" s="98" t="s">
        <v>148</v>
      </c>
      <c r="AA54" s="98" t="s">
        <v>148</v>
      </c>
      <c r="AB54" s="98" t="s">
        <v>148</v>
      </c>
      <c r="AC54" s="99" t="s">
        <v>147</v>
      </c>
      <c r="AD54" s="99" t="s">
        <v>147</v>
      </c>
      <c r="AE54" s="100">
        <v>13</v>
      </c>
      <c r="AF54" s="98" t="s">
        <v>148</v>
      </c>
      <c r="AG54" s="98" t="s">
        <v>148</v>
      </c>
      <c r="AH54" s="9"/>
      <c r="AI54" s="54">
        <f t="shared" si="0"/>
        <v>463</v>
      </c>
      <c r="AJ54" s="16">
        <f>AI54-AK54</f>
        <v>13</v>
      </c>
      <c r="AK54" s="5">
        <f t="shared" si="1"/>
        <v>450</v>
      </c>
      <c r="AL54" s="16">
        <f>AJ54+AK54</f>
        <v>463</v>
      </c>
      <c r="AM54">
        <f>AQ54*450</f>
        <v>9900</v>
      </c>
      <c r="AN54">
        <f t="shared" si="2"/>
        <v>9437</v>
      </c>
      <c r="AO54">
        <f t="shared" si="3"/>
        <v>0.95323232323232321</v>
      </c>
      <c r="AP54">
        <f t="shared" si="4"/>
        <v>21</v>
      </c>
      <c r="AQ54">
        <f t="shared" si="5"/>
        <v>22</v>
      </c>
      <c r="AR54" s="5">
        <f t="shared" si="6"/>
        <v>8</v>
      </c>
      <c r="AS54" s="5">
        <f t="shared" si="7"/>
        <v>1</v>
      </c>
      <c r="AT54" s="5">
        <f t="shared" si="8"/>
        <v>0</v>
      </c>
      <c r="AU54" s="5">
        <f t="shared" si="9"/>
        <v>1</v>
      </c>
    </row>
    <row r="55" spans="1:47">
      <c r="A55" s="5" t="s">
        <v>96</v>
      </c>
      <c r="B55" s="5" t="s">
        <v>37</v>
      </c>
      <c r="C55" s="5" t="s">
        <v>40</v>
      </c>
      <c r="D55" s="98" t="s">
        <v>148</v>
      </c>
      <c r="E55" s="98" t="s">
        <v>148</v>
      </c>
      <c r="F55" s="98" t="s">
        <v>148</v>
      </c>
      <c r="G55" s="98" t="s">
        <v>148</v>
      </c>
      <c r="H55" s="98" t="s">
        <v>148</v>
      </c>
      <c r="I55" s="99" t="s">
        <v>147</v>
      </c>
      <c r="J55" s="99" t="s">
        <v>147</v>
      </c>
      <c r="K55" s="98" t="s">
        <v>148</v>
      </c>
      <c r="L55" s="98" t="s">
        <v>148</v>
      </c>
      <c r="M55" s="98" t="s">
        <v>148</v>
      </c>
      <c r="N55" s="98" t="s">
        <v>148</v>
      </c>
      <c r="O55" s="98" t="s">
        <v>148</v>
      </c>
      <c r="P55" s="99" t="s">
        <v>147</v>
      </c>
      <c r="Q55" s="99" t="s">
        <v>147</v>
      </c>
      <c r="R55" s="98" t="s">
        <v>148</v>
      </c>
      <c r="S55" s="98" t="s">
        <v>148</v>
      </c>
      <c r="T55" s="98" t="s">
        <v>148</v>
      </c>
      <c r="U55" s="98" t="s">
        <v>174</v>
      </c>
      <c r="V55" s="98" t="s">
        <v>148</v>
      </c>
      <c r="W55" s="99" t="s">
        <v>147</v>
      </c>
      <c r="X55" s="99" t="s">
        <v>147</v>
      </c>
      <c r="Y55" s="103" t="s">
        <v>148</v>
      </c>
      <c r="Z55" s="103" t="s">
        <v>148</v>
      </c>
      <c r="AA55" s="103" t="s">
        <v>148</v>
      </c>
      <c r="AB55" s="103" t="s">
        <v>148</v>
      </c>
      <c r="AC55" s="103" t="s">
        <v>148</v>
      </c>
      <c r="AD55" s="99" t="s">
        <v>147</v>
      </c>
      <c r="AE55" s="99" t="s">
        <v>147</v>
      </c>
      <c r="AF55" s="98" t="s">
        <v>148</v>
      </c>
      <c r="AG55" s="98" t="s">
        <v>148</v>
      </c>
      <c r="AH55" s="9"/>
      <c r="AI55" s="54">
        <f t="shared" si="0"/>
        <v>0</v>
      </c>
      <c r="AJ55" s="16">
        <f>AI55-AK55</f>
        <v>0</v>
      </c>
      <c r="AK55" s="5">
        <f t="shared" si="1"/>
        <v>0</v>
      </c>
      <c r="AL55" s="16">
        <f>AJ55+AK55</f>
        <v>0</v>
      </c>
      <c r="AM55">
        <f>AQ55*450</f>
        <v>9900</v>
      </c>
      <c r="AN55">
        <f t="shared" si="2"/>
        <v>9900</v>
      </c>
      <c r="AO55">
        <f t="shared" si="3"/>
        <v>1</v>
      </c>
      <c r="AP55">
        <f t="shared" si="4"/>
        <v>22</v>
      </c>
      <c r="AQ55">
        <f t="shared" si="5"/>
        <v>22</v>
      </c>
      <c r="AR55" s="5">
        <f t="shared" si="6"/>
        <v>8</v>
      </c>
      <c r="AS55" s="5">
        <f t="shared" si="7"/>
        <v>0</v>
      </c>
      <c r="AT55" s="5">
        <f t="shared" si="8"/>
        <v>0</v>
      </c>
      <c r="AU55" s="5">
        <f t="shared" si="9"/>
        <v>0</v>
      </c>
    </row>
    <row r="56" spans="1:47">
      <c r="A56" s="7" t="s">
        <v>97</v>
      </c>
      <c r="B56" s="5" t="s">
        <v>26</v>
      </c>
      <c r="C56" s="34" t="s">
        <v>56</v>
      </c>
      <c r="D56" s="100">
        <v>4</v>
      </c>
      <c r="E56" s="100">
        <v>19</v>
      </c>
      <c r="F56" s="98" t="s">
        <v>148</v>
      </c>
      <c r="G56" s="98" t="s">
        <v>148</v>
      </c>
      <c r="H56" s="99" t="s">
        <v>147</v>
      </c>
      <c r="I56" s="99" t="s">
        <v>147</v>
      </c>
      <c r="J56" s="98" t="s">
        <v>148</v>
      </c>
      <c r="K56" s="98" t="s">
        <v>148</v>
      </c>
      <c r="L56" s="98" t="s">
        <v>148</v>
      </c>
      <c r="M56" s="98" t="s">
        <v>148</v>
      </c>
      <c r="N56" s="98" t="s">
        <v>148</v>
      </c>
      <c r="O56" s="99" t="s">
        <v>147</v>
      </c>
      <c r="P56" s="99" t="s">
        <v>147</v>
      </c>
      <c r="Q56" s="98" t="s">
        <v>148</v>
      </c>
      <c r="R56" s="100">
        <v>8</v>
      </c>
      <c r="S56" s="102">
        <v>450</v>
      </c>
      <c r="T56" s="98" t="s">
        <v>148</v>
      </c>
      <c r="U56" s="102">
        <v>450</v>
      </c>
      <c r="V56" s="99" t="s">
        <v>147</v>
      </c>
      <c r="W56" s="99" t="s">
        <v>147</v>
      </c>
      <c r="X56" s="102">
        <v>450</v>
      </c>
      <c r="Y56" s="101">
        <v>450</v>
      </c>
      <c r="Z56" s="101">
        <v>450</v>
      </c>
      <c r="AA56" s="98" t="s">
        <v>148</v>
      </c>
      <c r="AB56" s="98" t="s">
        <v>148</v>
      </c>
      <c r="AC56" s="99" t="s">
        <v>147</v>
      </c>
      <c r="AD56" s="99" t="s">
        <v>147</v>
      </c>
      <c r="AE56" s="100">
        <v>5</v>
      </c>
      <c r="AF56" s="100">
        <v>5</v>
      </c>
      <c r="AG56" s="100">
        <v>3</v>
      </c>
      <c r="AH56" s="9"/>
      <c r="AI56" s="54">
        <f t="shared" si="0"/>
        <v>2294</v>
      </c>
      <c r="AJ56" s="16">
        <f>AI56-AK56</f>
        <v>44</v>
      </c>
      <c r="AK56" s="5">
        <f t="shared" si="1"/>
        <v>2250</v>
      </c>
      <c r="AL56" s="16">
        <f>AJ56+AK56</f>
        <v>2294</v>
      </c>
      <c r="AM56">
        <f>AQ56*450</f>
        <v>9900</v>
      </c>
      <c r="AN56">
        <f t="shared" si="2"/>
        <v>7606</v>
      </c>
      <c r="AO56">
        <f t="shared" si="3"/>
        <v>0.76828282828282823</v>
      </c>
      <c r="AP56">
        <f t="shared" si="4"/>
        <v>22</v>
      </c>
      <c r="AQ56">
        <f t="shared" si="5"/>
        <v>22</v>
      </c>
      <c r="AR56" s="5">
        <f t="shared" si="6"/>
        <v>8</v>
      </c>
      <c r="AS56" s="5">
        <f t="shared" si="7"/>
        <v>0</v>
      </c>
      <c r="AT56" s="5">
        <f t="shared" si="8"/>
        <v>0</v>
      </c>
      <c r="AU56" s="5">
        <f t="shared" si="9"/>
        <v>5</v>
      </c>
    </row>
    <row r="57" spans="1:47">
      <c r="A57" s="5" t="s">
        <v>38</v>
      </c>
      <c r="B57" s="5" t="s">
        <v>37</v>
      </c>
      <c r="C57" s="5" t="s">
        <v>40</v>
      </c>
      <c r="D57" s="99" t="s">
        <v>147</v>
      </c>
      <c r="E57" s="98" t="s">
        <v>148</v>
      </c>
      <c r="F57" s="98" t="s">
        <v>148</v>
      </c>
      <c r="G57" s="98" t="s">
        <v>148</v>
      </c>
      <c r="H57" s="98" t="s">
        <v>148</v>
      </c>
      <c r="I57" s="98" t="s">
        <v>148</v>
      </c>
      <c r="J57" s="99" t="s">
        <v>147</v>
      </c>
      <c r="K57" s="99" t="s">
        <v>147</v>
      </c>
      <c r="L57" s="98" t="s">
        <v>174</v>
      </c>
      <c r="M57" s="98" t="s">
        <v>148</v>
      </c>
      <c r="N57" s="98" t="s">
        <v>148</v>
      </c>
      <c r="O57" s="98" t="s">
        <v>148</v>
      </c>
      <c r="P57" s="99" t="s">
        <v>147</v>
      </c>
      <c r="Q57" s="99" t="s">
        <v>147</v>
      </c>
      <c r="R57" s="98" t="s">
        <v>148</v>
      </c>
      <c r="S57" s="98" t="s">
        <v>148</v>
      </c>
      <c r="T57" s="98" t="s">
        <v>148</v>
      </c>
      <c r="U57" s="98" t="s">
        <v>148</v>
      </c>
      <c r="V57" s="98" t="s">
        <v>148</v>
      </c>
      <c r="W57" s="98" t="s">
        <v>148</v>
      </c>
      <c r="X57" s="98" t="s">
        <v>148</v>
      </c>
      <c r="Y57" s="107" t="s">
        <v>148</v>
      </c>
      <c r="Z57" s="107" t="s">
        <v>148</v>
      </c>
      <c r="AA57" s="107" t="s">
        <v>148</v>
      </c>
      <c r="AB57" s="107" t="s">
        <v>148</v>
      </c>
      <c r="AC57" s="107" t="s">
        <v>148</v>
      </c>
      <c r="AD57" s="107" t="s">
        <v>148</v>
      </c>
      <c r="AE57" s="98" t="s">
        <v>148</v>
      </c>
      <c r="AF57" s="98" t="s">
        <v>148</v>
      </c>
      <c r="AG57" s="98" t="s">
        <v>148</v>
      </c>
      <c r="AH57" s="9"/>
      <c r="AI57" s="54">
        <f t="shared" si="0"/>
        <v>0</v>
      </c>
      <c r="AJ57" s="16">
        <f>AI57-AK57</f>
        <v>0</v>
      </c>
      <c r="AK57" s="5">
        <f t="shared" si="1"/>
        <v>0</v>
      </c>
      <c r="AL57" s="16">
        <f>AJ57+AK57</f>
        <v>0</v>
      </c>
      <c r="AM57">
        <f>AQ57*450</f>
        <v>11250</v>
      </c>
      <c r="AN57">
        <f t="shared" si="2"/>
        <v>11250</v>
      </c>
      <c r="AO57">
        <f t="shared" si="3"/>
        <v>1</v>
      </c>
      <c r="AP57">
        <f t="shared" si="4"/>
        <v>25</v>
      </c>
      <c r="AQ57">
        <f t="shared" si="5"/>
        <v>25</v>
      </c>
      <c r="AR57" s="5">
        <f t="shared" si="6"/>
        <v>5</v>
      </c>
      <c r="AS57" s="5">
        <f t="shared" si="7"/>
        <v>0</v>
      </c>
      <c r="AT57" s="5">
        <f t="shared" si="8"/>
        <v>0</v>
      </c>
      <c r="AU57" s="5">
        <f t="shared" si="9"/>
        <v>0</v>
      </c>
    </row>
    <row r="58" spans="1:47">
      <c r="A58" s="5" t="s">
        <v>189</v>
      </c>
      <c r="B58" s="5" t="s">
        <v>22</v>
      </c>
      <c r="C58" s="5" t="s">
        <v>63</v>
      </c>
      <c r="D58" s="98" t="s">
        <v>148</v>
      </c>
      <c r="E58" s="98" t="s">
        <v>148</v>
      </c>
      <c r="F58" s="100">
        <v>47</v>
      </c>
      <c r="G58" s="100">
        <v>222</v>
      </c>
      <c r="H58" s="99" t="s">
        <v>147</v>
      </c>
      <c r="I58" s="99" t="s">
        <v>147</v>
      </c>
      <c r="J58" s="98" t="s">
        <v>148</v>
      </c>
      <c r="K58" s="98" t="s">
        <v>148</v>
      </c>
      <c r="L58" s="98" t="s">
        <v>148</v>
      </c>
      <c r="M58" s="98" t="s">
        <v>148</v>
      </c>
      <c r="N58" s="98" t="s">
        <v>148</v>
      </c>
      <c r="O58" s="99" t="s">
        <v>147</v>
      </c>
      <c r="P58" s="99" t="s">
        <v>147</v>
      </c>
      <c r="Q58" s="98" t="s">
        <v>148</v>
      </c>
      <c r="R58" s="98" t="s">
        <v>148</v>
      </c>
      <c r="S58" s="98" t="s">
        <v>148</v>
      </c>
      <c r="T58" s="98" t="s">
        <v>148</v>
      </c>
      <c r="U58" s="98" t="s">
        <v>148</v>
      </c>
      <c r="V58" s="99" t="s">
        <v>147</v>
      </c>
      <c r="W58" s="99" t="s">
        <v>147</v>
      </c>
      <c r="X58" s="102">
        <v>450</v>
      </c>
      <c r="Y58" s="98" t="s">
        <v>148</v>
      </c>
      <c r="Z58" s="98" t="s">
        <v>148</v>
      </c>
      <c r="AA58" s="98" t="s">
        <v>148</v>
      </c>
      <c r="AB58" s="98" t="s">
        <v>148</v>
      </c>
      <c r="AC58" s="99" t="s">
        <v>147</v>
      </c>
      <c r="AD58" s="99" t="s">
        <v>147</v>
      </c>
      <c r="AE58" s="100">
        <v>1</v>
      </c>
      <c r="AF58" s="98" t="s">
        <v>148</v>
      </c>
      <c r="AG58" s="100">
        <v>8</v>
      </c>
      <c r="AH58" s="9"/>
      <c r="AI58" s="54">
        <f t="shared" si="0"/>
        <v>728</v>
      </c>
      <c r="AJ58" s="16">
        <f>AI58-AK58</f>
        <v>278</v>
      </c>
      <c r="AK58" s="5">
        <f t="shared" si="1"/>
        <v>450</v>
      </c>
      <c r="AL58" s="16">
        <f>AJ58+AK58</f>
        <v>728</v>
      </c>
      <c r="AM58">
        <f>AQ58*450</f>
        <v>9900</v>
      </c>
      <c r="AN58">
        <f t="shared" si="2"/>
        <v>9172</v>
      </c>
      <c r="AO58">
        <f t="shared" si="3"/>
        <v>0.92646464646464644</v>
      </c>
      <c r="AP58">
        <f t="shared" si="4"/>
        <v>22</v>
      </c>
      <c r="AQ58">
        <f t="shared" si="5"/>
        <v>22</v>
      </c>
      <c r="AR58" s="5">
        <f t="shared" si="6"/>
        <v>8</v>
      </c>
      <c r="AS58" s="5">
        <f t="shared" si="7"/>
        <v>0</v>
      </c>
      <c r="AT58" s="5">
        <f t="shared" si="8"/>
        <v>0</v>
      </c>
      <c r="AU58" s="5">
        <f t="shared" si="9"/>
        <v>1</v>
      </c>
    </row>
    <row r="59" spans="1:47">
      <c r="A59" s="32" t="s">
        <v>100</v>
      </c>
      <c r="B59" s="5" t="s">
        <v>22</v>
      </c>
      <c r="C59" s="35" t="s">
        <v>63</v>
      </c>
      <c r="D59" s="98" t="s">
        <v>148</v>
      </c>
      <c r="E59" s="98" t="s">
        <v>148</v>
      </c>
      <c r="F59" s="98" t="s">
        <v>148</v>
      </c>
      <c r="G59" s="98" t="s">
        <v>148</v>
      </c>
      <c r="H59" s="99" t="s">
        <v>147</v>
      </c>
      <c r="I59" s="99" t="s">
        <v>147</v>
      </c>
      <c r="J59" s="98" t="s">
        <v>148</v>
      </c>
      <c r="K59" s="98" t="s">
        <v>148</v>
      </c>
      <c r="L59" s="98" t="s">
        <v>148</v>
      </c>
      <c r="M59" s="102">
        <v>450</v>
      </c>
      <c r="N59" s="98" t="s">
        <v>148</v>
      </c>
      <c r="O59" s="99" t="s">
        <v>147</v>
      </c>
      <c r="P59" s="99" t="s">
        <v>147</v>
      </c>
      <c r="Q59" s="98" t="s">
        <v>148</v>
      </c>
      <c r="R59" s="98" t="s">
        <v>148</v>
      </c>
      <c r="S59" s="98" t="s">
        <v>148</v>
      </c>
      <c r="T59" s="102">
        <v>450</v>
      </c>
      <c r="U59" s="98" t="s">
        <v>148</v>
      </c>
      <c r="V59" s="99" t="s">
        <v>147</v>
      </c>
      <c r="W59" s="99" t="s">
        <v>147</v>
      </c>
      <c r="X59" s="102">
        <v>450</v>
      </c>
      <c r="Y59" s="102">
        <v>450</v>
      </c>
      <c r="Z59" s="98" t="s">
        <v>148</v>
      </c>
      <c r="AA59" s="98" t="s">
        <v>148</v>
      </c>
      <c r="AB59" s="98" t="s">
        <v>148</v>
      </c>
      <c r="AC59" s="99" t="s">
        <v>147</v>
      </c>
      <c r="AD59" s="99" t="s">
        <v>147</v>
      </c>
      <c r="AE59" s="98" t="s">
        <v>148</v>
      </c>
      <c r="AF59" s="100">
        <v>16</v>
      </c>
      <c r="AG59" s="102" t="s">
        <v>13</v>
      </c>
      <c r="AH59" s="9"/>
      <c r="AI59" s="54">
        <f t="shared" si="0"/>
        <v>1816</v>
      </c>
      <c r="AJ59" s="16">
        <f>AI59-AK59</f>
        <v>16</v>
      </c>
      <c r="AK59" s="5">
        <f t="shared" si="1"/>
        <v>1800</v>
      </c>
      <c r="AL59" s="16">
        <f>AJ59+AK59</f>
        <v>1816</v>
      </c>
      <c r="AM59">
        <f>AQ59*450</f>
        <v>9900</v>
      </c>
      <c r="AN59">
        <f t="shared" si="2"/>
        <v>8084</v>
      </c>
      <c r="AO59">
        <f t="shared" si="3"/>
        <v>0.81656565656565661</v>
      </c>
      <c r="AP59">
        <f t="shared" si="4"/>
        <v>22</v>
      </c>
      <c r="AQ59">
        <f t="shared" si="5"/>
        <v>22</v>
      </c>
      <c r="AR59" s="5">
        <f t="shared" si="6"/>
        <v>8</v>
      </c>
      <c r="AS59" s="5">
        <f t="shared" si="7"/>
        <v>0</v>
      </c>
      <c r="AT59" s="5">
        <f t="shared" si="8"/>
        <v>0</v>
      </c>
      <c r="AU59" s="5">
        <f t="shared" si="9"/>
        <v>4</v>
      </c>
    </row>
    <row r="60" spans="1:47">
      <c r="A60" s="10" t="s">
        <v>101</v>
      </c>
      <c r="B60" s="5" t="s">
        <v>111</v>
      </c>
      <c r="C60" s="35" t="s">
        <v>40</v>
      </c>
      <c r="D60" s="98" t="s">
        <v>148</v>
      </c>
      <c r="E60" s="98" t="s">
        <v>148</v>
      </c>
      <c r="F60" s="98" t="s">
        <v>148</v>
      </c>
      <c r="G60" s="98" t="s">
        <v>148</v>
      </c>
      <c r="H60" s="99" t="s">
        <v>147</v>
      </c>
      <c r="I60" s="99" t="s">
        <v>147</v>
      </c>
      <c r="J60" s="98" t="s">
        <v>148</v>
      </c>
      <c r="K60" s="98" t="s">
        <v>148</v>
      </c>
      <c r="L60" s="98" t="s">
        <v>148</v>
      </c>
      <c r="M60" s="98" t="s">
        <v>148</v>
      </c>
      <c r="N60" s="104" t="s">
        <v>12</v>
      </c>
      <c r="O60" s="99" t="s">
        <v>147</v>
      </c>
      <c r="P60" s="99" t="s">
        <v>147</v>
      </c>
      <c r="Q60" s="98" t="s">
        <v>148</v>
      </c>
      <c r="R60" s="98" t="s">
        <v>148</v>
      </c>
      <c r="S60" s="98" t="s">
        <v>148</v>
      </c>
      <c r="T60" s="98" t="s">
        <v>148</v>
      </c>
      <c r="U60" s="98" t="s">
        <v>148</v>
      </c>
      <c r="V60" s="99" t="s">
        <v>147</v>
      </c>
      <c r="W60" s="99" t="s">
        <v>147</v>
      </c>
      <c r="X60" s="102">
        <v>450</v>
      </c>
      <c r="Y60" s="98" t="s">
        <v>148</v>
      </c>
      <c r="Z60" s="103" t="s">
        <v>148</v>
      </c>
      <c r="AA60" s="103" t="s">
        <v>148</v>
      </c>
      <c r="AB60" s="103" t="s">
        <v>148</v>
      </c>
      <c r="AC60" s="99" t="s">
        <v>147</v>
      </c>
      <c r="AD60" s="99" t="s">
        <v>147</v>
      </c>
      <c r="AE60" s="98" t="s">
        <v>148</v>
      </c>
      <c r="AF60" s="98" t="s">
        <v>148</v>
      </c>
      <c r="AG60" s="98" t="s">
        <v>148</v>
      </c>
      <c r="AH60" s="9"/>
      <c r="AI60" s="54">
        <f t="shared" si="0"/>
        <v>450</v>
      </c>
      <c r="AJ60" s="16">
        <f>AI60-AK60</f>
        <v>0</v>
      </c>
      <c r="AK60" s="5">
        <f t="shared" si="1"/>
        <v>450</v>
      </c>
      <c r="AL60" s="16">
        <f>AJ60+AK60</f>
        <v>450</v>
      </c>
      <c r="AM60">
        <f>AQ60*450</f>
        <v>10350</v>
      </c>
      <c r="AN60">
        <f t="shared" si="2"/>
        <v>9900</v>
      </c>
      <c r="AO60">
        <f t="shared" si="3"/>
        <v>0.95652173913043481</v>
      </c>
      <c r="AP60">
        <f t="shared" si="4"/>
        <v>22</v>
      </c>
      <c r="AQ60">
        <f>31-AR60</f>
        <v>23</v>
      </c>
      <c r="AR60" s="5">
        <f t="shared" si="6"/>
        <v>8</v>
      </c>
      <c r="AS60" s="5">
        <f t="shared" si="7"/>
        <v>1</v>
      </c>
      <c r="AT60" s="5">
        <f t="shared" si="8"/>
        <v>0</v>
      </c>
      <c r="AU60" s="5">
        <f t="shared" si="9"/>
        <v>2</v>
      </c>
    </row>
    <row r="61" spans="1:47">
      <c r="A61" s="32" t="s">
        <v>102</v>
      </c>
      <c r="B61" s="5" t="s">
        <v>22</v>
      </c>
      <c r="C61" s="35" t="s">
        <v>33</v>
      </c>
      <c r="D61" s="98" t="s">
        <v>148</v>
      </c>
      <c r="E61" s="98" t="s">
        <v>148</v>
      </c>
      <c r="F61" s="98" t="s">
        <v>148</v>
      </c>
      <c r="G61" s="98" t="s">
        <v>148</v>
      </c>
      <c r="H61" s="99" t="s">
        <v>147</v>
      </c>
      <c r="I61" s="99" t="s">
        <v>147</v>
      </c>
      <c r="J61" s="98" t="s">
        <v>148</v>
      </c>
      <c r="K61" s="98" t="s">
        <v>148</v>
      </c>
      <c r="L61" s="98" t="s">
        <v>148</v>
      </c>
      <c r="M61" s="98" t="s">
        <v>148</v>
      </c>
      <c r="N61" s="98" t="s">
        <v>148</v>
      </c>
      <c r="O61" s="99" t="s">
        <v>147</v>
      </c>
      <c r="P61" s="99" t="s">
        <v>147</v>
      </c>
      <c r="Q61" s="98" t="s">
        <v>148</v>
      </c>
      <c r="R61" s="98" t="s">
        <v>148</v>
      </c>
      <c r="S61" s="100">
        <v>1</v>
      </c>
      <c r="T61" s="104" t="s">
        <v>12</v>
      </c>
      <c r="U61" s="104" t="s">
        <v>12</v>
      </c>
      <c r="V61" s="99" t="s">
        <v>147</v>
      </c>
      <c r="W61" s="99" t="s">
        <v>147</v>
      </c>
      <c r="X61" s="102">
        <v>450</v>
      </c>
      <c r="Y61" s="98" t="s">
        <v>148</v>
      </c>
      <c r="Z61" s="98" t="s">
        <v>148</v>
      </c>
      <c r="AA61" s="98" t="s">
        <v>148</v>
      </c>
      <c r="AB61" s="101">
        <v>450</v>
      </c>
      <c r="AC61" s="99" t="s">
        <v>147</v>
      </c>
      <c r="AD61" s="99" t="s">
        <v>147</v>
      </c>
      <c r="AE61" s="98" t="s">
        <v>148</v>
      </c>
      <c r="AF61" s="98" t="s">
        <v>148</v>
      </c>
      <c r="AG61" s="100">
        <v>4</v>
      </c>
      <c r="AH61" s="9"/>
      <c r="AI61" s="54">
        <f t="shared" si="0"/>
        <v>905</v>
      </c>
      <c r="AJ61" s="16">
        <f>AI61-AK61</f>
        <v>5</v>
      </c>
      <c r="AK61" s="5">
        <f t="shared" si="1"/>
        <v>900</v>
      </c>
      <c r="AL61" s="16">
        <f>AJ61+AK61</f>
        <v>905</v>
      </c>
      <c r="AM61">
        <f>AQ61*450</f>
        <v>9900</v>
      </c>
      <c r="AN61">
        <f t="shared" si="2"/>
        <v>8995</v>
      </c>
      <c r="AO61">
        <f t="shared" si="3"/>
        <v>0.90858585858585861</v>
      </c>
      <c r="AP61">
        <f t="shared" si="4"/>
        <v>20</v>
      </c>
      <c r="AQ61">
        <f t="shared" si="5"/>
        <v>22</v>
      </c>
      <c r="AR61" s="5">
        <f t="shared" si="6"/>
        <v>8</v>
      </c>
      <c r="AS61" s="5">
        <f t="shared" si="7"/>
        <v>2</v>
      </c>
      <c r="AT61" s="5">
        <f t="shared" si="8"/>
        <v>0</v>
      </c>
      <c r="AU61" s="5">
        <f t="shared" si="9"/>
        <v>2</v>
      </c>
    </row>
    <row r="62" spans="1:47">
      <c r="A62" s="32" t="s">
        <v>31</v>
      </c>
      <c r="B62" s="5" t="s">
        <v>22</v>
      </c>
      <c r="C62" s="35" t="s">
        <v>33</v>
      </c>
      <c r="D62" s="98" t="s">
        <v>148</v>
      </c>
      <c r="E62" s="98" t="s">
        <v>148</v>
      </c>
      <c r="F62" s="98" t="s">
        <v>148</v>
      </c>
      <c r="G62" s="98" t="s">
        <v>148</v>
      </c>
      <c r="H62" s="99" t="s">
        <v>147</v>
      </c>
      <c r="I62" s="99" t="s">
        <v>147</v>
      </c>
      <c r="J62" s="98" t="s">
        <v>148</v>
      </c>
      <c r="K62" s="98" t="s">
        <v>148</v>
      </c>
      <c r="L62" s="98" t="s">
        <v>148</v>
      </c>
      <c r="M62" s="98" t="s">
        <v>148</v>
      </c>
      <c r="N62" s="98" t="s">
        <v>148</v>
      </c>
      <c r="O62" s="99" t="s">
        <v>147</v>
      </c>
      <c r="P62" s="99" t="s">
        <v>147</v>
      </c>
      <c r="Q62" s="98" t="s">
        <v>148</v>
      </c>
      <c r="R62" s="98" t="s">
        <v>148</v>
      </c>
      <c r="S62" s="98" t="s">
        <v>148</v>
      </c>
      <c r="T62" s="98" t="s">
        <v>148</v>
      </c>
      <c r="U62" s="104" t="s">
        <v>12</v>
      </c>
      <c r="V62" s="99" t="s">
        <v>147</v>
      </c>
      <c r="W62" s="99" t="s">
        <v>147</v>
      </c>
      <c r="X62" s="98" t="s">
        <v>148</v>
      </c>
      <c r="Y62" s="98" t="s">
        <v>148</v>
      </c>
      <c r="Z62" s="98" t="s">
        <v>148</v>
      </c>
      <c r="AA62" s="98" t="s">
        <v>148</v>
      </c>
      <c r="AB62" s="98" t="s">
        <v>148</v>
      </c>
      <c r="AC62" s="99" t="s">
        <v>147</v>
      </c>
      <c r="AD62" s="99" t="s">
        <v>147</v>
      </c>
      <c r="AE62" s="98" t="s">
        <v>148</v>
      </c>
      <c r="AF62" s="98" t="s">
        <v>148</v>
      </c>
      <c r="AG62" s="98" t="s">
        <v>148</v>
      </c>
      <c r="AH62" s="9"/>
      <c r="AI62" s="54">
        <f t="shared" si="0"/>
        <v>0</v>
      </c>
      <c r="AJ62" s="16">
        <f>AI62-AK62</f>
        <v>0</v>
      </c>
      <c r="AK62" s="5">
        <f t="shared" si="1"/>
        <v>0</v>
      </c>
      <c r="AL62" s="16">
        <f>AJ62+AK62</f>
        <v>0</v>
      </c>
      <c r="AM62">
        <f>AQ62*450</f>
        <v>9900</v>
      </c>
      <c r="AN62">
        <f t="shared" si="2"/>
        <v>9900</v>
      </c>
      <c r="AO62">
        <f t="shared" si="3"/>
        <v>1</v>
      </c>
      <c r="AP62">
        <f t="shared" si="4"/>
        <v>21</v>
      </c>
      <c r="AQ62">
        <f t="shared" si="5"/>
        <v>22</v>
      </c>
      <c r="AR62" s="5">
        <f t="shared" si="6"/>
        <v>8</v>
      </c>
      <c r="AS62" s="5">
        <f t="shared" si="7"/>
        <v>1</v>
      </c>
      <c r="AT62" s="5">
        <f t="shared" si="8"/>
        <v>0</v>
      </c>
      <c r="AU62" s="5">
        <f t="shared" si="9"/>
        <v>0</v>
      </c>
    </row>
    <row r="63" spans="1:47">
      <c r="A63" s="10" t="s">
        <v>103</v>
      </c>
      <c r="B63" s="5" t="s">
        <v>26</v>
      </c>
      <c r="C63" s="11" t="s">
        <v>40</v>
      </c>
      <c r="D63" s="99" t="s">
        <v>147</v>
      </c>
      <c r="E63" s="99" t="s">
        <v>147</v>
      </c>
      <c r="F63" s="98" t="s">
        <v>148</v>
      </c>
      <c r="G63" s="98" t="s">
        <v>148</v>
      </c>
      <c r="H63" s="98" t="s">
        <v>148</v>
      </c>
      <c r="I63" s="98" t="s">
        <v>148</v>
      </c>
      <c r="J63" s="98" t="s">
        <v>148</v>
      </c>
      <c r="K63" s="99" t="s">
        <v>147</v>
      </c>
      <c r="L63" s="99" t="s">
        <v>147</v>
      </c>
      <c r="M63" s="98" t="s">
        <v>148</v>
      </c>
      <c r="N63" s="100">
        <v>1</v>
      </c>
      <c r="O63" s="98" t="s">
        <v>148</v>
      </c>
      <c r="P63" s="98" t="s">
        <v>148</v>
      </c>
      <c r="Q63" s="98" t="s">
        <v>148</v>
      </c>
      <c r="R63" s="99" t="s">
        <v>147</v>
      </c>
      <c r="S63" s="99" t="s">
        <v>147</v>
      </c>
      <c r="T63" s="98" t="s">
        <v>148</v>
      </c>
      <c r="U63" s="98" t="s">
        <v>148</v>
      </c>
      <c r="V63" s="98" t="s">
        <v>148</v>
      </c>
      <c r="W63" s="98" t="s">
        <v>148</v>
      </c>
      <c r="X63" s="98" t="s">
        <v>148</v>
      </c>
      <c r="Y63" s="98" t="s">
        <v>148</v>
      </c>
      <c r="Z63" s="109" t="s">
        <v>147</v>
      </c>
      <c r="AA63" s="107" t="s">
        <v>148</v>
      </c>
      <c r="AB63" s="107" t="s">
        <v>148</v>
      </c>
      <c r="AC63" s="107" t="s">
        <v>148</v>
      </c>
      <c r="AD63" s="107" t="s">
        <v>148</v>
      </c>
      <c r="AE63" s="98" t="s">
        <v>148</v>
      </c>
      <c r="AF63" s="109" t="s">
        <v>147</v>
      </c>
      <c r="AG63" s="109" t="s">
        <v>147</v>
      </c>
      <c r="AH63" s="9"/>
      <c r="AI63" s="54">
        <f t="shared" si="0"/>
        <v>1</v>
      </c>
      <c r="AJ63" s="16">
        <f>AI63-AK63</f>
        <v>1</v>
      </c>
      <c r="AK63" s="5">
        <f t="shared" si="1"/>
        <v>0</v>
      </c>
      <c r="AL63" s="16">
        <f>AJ63+AK63</f>
        <v>1</v>
      </c>
      <c r="AM63">
        <f>AQ63*450</f>
        <v>9900</v>
      </c>
      <c r="AN63">
        <f t="shared" si="2"/>
        <v>9899</v>
      </c>
      <c r="AO63">
        <f t="shared" si="3"/>
        <v>0.99989898989898995</v>
      </c>
      <c r="AP63">
        <f t="shared" si="4"/>
        <v>22</v>
      </c>
      <c r="AQ63">
        <f t="shared" si="5"/>
        <v>22</v>
      </c>
      <c r="AR63" s="5">
        <f t="shared" si="6"/>
        <v>8</v>
      </c>
      <c r="AS63" s="5">
        <f t="shared" si="7"/>
        <v>0</v>
      </c>
      <c r="AT63" s="5">
        <f t="shared" si="8"/>
        <v>0</v>
      </c>
      <c r="AU63" s="5">
        <f t="shared" si="9"/>
        <v>0</v>
      </c>
    </row>
    <row r="64" spans="1:47">
      <c r="A64" s="32" t="s">
        <v>104</v>
      </c>
      <c r="B64" s="5" t="s">
        <v>22</v>
      </c>
      <c r="C64" s="35" t="s">
        <v>25</v>
      </c>
      <c r="D64" s="98" t="s">
        <v>148</v>
      </c>
      <c r="E64" s="98" t="s">
        <v>148</v>
      </c>
      <c r="F64" s="98" t="s">
        <v>148</v>
      </c>
      <c r="G64" s="98" t="s">
        <v>148</v>
      </c>
      <c r="H64" s="99" t="s">
        <v>147</v>
      </c>
      <c r="I64" s="99" t="s">
        <v>147</v>
      </c>
      <c r="J64" s="100">
        <v>81</v>
      </c>
      <c r="K64" s="102">
        <v>450</v>
      </c>
      <c r="L64" s="100">
        <v>1</v>
      </c>
      <c r="M64" s="98" t="s">
        <v>148</v>
      </c>
      <c r="N64" s="100">
        <v>13</v>
      </c>
      <c r="O64" s="99" t="s">
        <v>147</v>
      </c>
      <c r="P64" s="99" t="s">
        <v>147</v>
      </c>
      <c r="Q64" s="100">
        <v>12</v>
      </c>
      <c r="R64" s="98" t="s">
        <v>148</v>
      </c>
      <c r="S64" s="98" t="s">
        <v>148</v>
      </c>
      <c r="T64" s="98" t="s">
        <v>148</v>
      </c>
      <c r="U64" s="98" t="s">
        <v>148</v>
      </c>
      <c r="V64" s="99" t="s">
        <v>147</v>
      </c>
      <c r="W64" s="99" t="s">
        <v>147</v>
      </c>
      <c r="X64" s="102">
        <v>450</v>
      </c>
      <c r="Y64" s="111">
        <v>450</v>
      </c>
      <c r="Z64" s="103" t="s">
        <v>148</v>
      </c>
      <c r="AA64" s="103" t="s">
        <v>148</v>
      </c>
      <c r="AB64" s="112" t="s">
        <v>12</v>
      </c>
      <c r="AC64" s="99" t="s">
        <v>147</v>
      </c>
      <c r="AD64" s="99" t="s">
        <v>147</v>
      </c>
      <c r="AE64" s="100">
        <v>19</v>
      </c>
      <c r="AF64" s="98" t="s">
        <v>148</v>
      </c>
      <c r="AG64" s="98" t="s">
        <v>148</v>
      </c>
      <c r="AH64" s="9"/>
      <c r="AI64" s="54">
        <f t="shared" si="0"/>
        <v>1476</v>
      </c>
      <c r="AJ64" s="16">
        <f>AI64-AK64</f>
        <v>126</v>
      </c>
      <c r="AK64" s="5">
        <f t="shared" si="1"/>
        <v>1350</v>
      </c>
      <c r="AL64" s="16">
        <f>AJ64+AK64</f>
        <v>1476</v>
      </c>
      <c r="AM64">
        <f>AQ64*450</f>
        <v>9900</v>
      </c>
      <c r="AN64">
        <f t="shared" si="2"/>
        <v>8424</v>
      </c>
      <c r="AO64">
        <f t="shared" si="3"/>
        <v>0.85090909090909095</v>
      </c>
      <c r="AP64">
        <f t="shared" si="4"/>
        <v>21</v>
      </c>
      <c r="AQ64">
        <f t="shared" si="5"/>
        <v>22</v>
      </c>
      <c r="AR64" s="5">
        <f t="shared" si="6"/>
        <v>8</v>
      </c>
      <c r="AS64" s="5">
        <f t="shared" si="7"/>
        <v>1</v>
      </c>
      <c r="AT64" s="5">
        <f t="shared" si="8"/>
        <v>0</v>
      </c>
      <c r="AU64" s="5">
        <f t="shared" si="9"/>
        <v>3</v>
      </c>
    </row>
    <row r="65" spans="1:47">
      <c r="A65" s="32" t="s">
        <v>190</v>
      </c>
      <c r="B65" s="5" t="s">
        <v>22</v>
      </c>
      <c r="C65" s="35" t="s">
        <v>56</v>
      </c>
      <c r="D65" s="98" t="s">
        <v>148</v>
      </c>
      <c r="E65" s="100">
        <v>18</v>
      </c>
      <c r="F65" s="98" t="s">
        <v>148</v>
      </c>
      <c r="G65" s="98" t="s">
        <v>148</v>
      </c>
      <c r="H65" s="99" t="s">
        <v>147</v>
      </c>
      <c r="I65" s="99" t="s">
        <v>147</v>
      </c>
      <c r="J65" s="98" t="s">
        <v>148</v>
      </c>
      <c r="K65" s="98" t="s">
        <v>148</v>
      </c>
      <c r="L65" s="100">
        <v>8</v>
      </c>
      <c r="M65" s="100">
        <v>15</v>
      </c>
      <c r="N65" s="100">
        <v>4</v>
      </c>
      <c r="O65" s="99" t="s">
        <v>147</v>
      </c>
      <c r="P65" s="99" t="s">
        <v>147</v>
      </c>
      <c r="Q65" s="98" t="s">
        <v>148</v>
      </c>
      <c r="R65" s="100">
        <v>8</v>
      </c>
      <c r="S65" s="98" t="s">
        <v>148</v>
      </c>
      <c r="T65" s="102">
        <v>450</v>
      </c>
      <c r="U65" s="98" t="s">
        <v>148</v>
      </c>
      <c r="V65" s="99" t="s">
        <v>147</v>
      </c>
      <c r="W65" s="99" t="s">
        <v>147</v>
      </c>
      <c r="X65" s="98" t="s">
        <v>148</v>
      </c>
      <c r="Y65" s="98" t="s">
        <v>148</v>
      </c>
      <c r="Z65" s="98" t="s">
        <v>148</v>
      </c>
      <c r="AA65" s="98" t="s">
        <v>148</v>
      </c>
      <c r="AB65" s="98" t="s">
        <v>148</v>
      </c>
      <c r="AC65" s="99" t="s">
        <v>147</v>
      </c>
      <c r="AD65" s="99" t="s">
        <v>147</v>
      </c>
      <c r="AE65" s="102" t="s">
        <v>13</v>
      </c>
      <c r="AF65" s="98" t="s">
        <v>148</v>
      </c>
      <c r="AG65" s="98" t="s">
        <v>148</v>
      </c>
      <c r="AH65" s="9"/>
      <c r="AI65" s="54">
        <f t="shared" ref="AI65:AI93" si="20">SUM(D65:AG65)</f>
        <v>503</v>
      </c>
      <c r="AJ65" s="16">
        <f>AI65-AK65</f>
        <v>53</v>
      </c>
      <c r="AK65" s="5">
        <f t="shared" ref="AK65:AK93" si="21">SUMIF(C65:AG65,"450")</f>
        <v>450</v>
      </c>
      <c r="AL65" s="16">
        <f>AJ65+AK65</f>
        <v>503</v>
      </c>
      <c r="AM65">
        <f>AQ65*450</f>
        <v>9900</v>
      </c>
      <c r="AN65">
        <f t="shared" si="2"/>
        <v>9397</v>
      </c>
      <c r="AO65">
        <f t="shared" si="3"/>
        <v>0.94919191919191914</v>
      </c>
      <c r="AP65">
        <f t="shared" si="4"/>
        <v>22</v>
      </c>
      <c r="AQ65">
        <f t="shared" si="5"/>
        <v>22</v>
      </c>
      <c r="AR65" s="5">
        <f t="shared" si="6"/>
        <v>8</v>
      </c>
      <c r="AS65" s="5">
        <f t="shared" si="7"/>
        <v>0</v>
      </c>
      <c r="AT65" s="5">
        <f t="shared" si="8"/>
        <v>0</v>
      </c>
      <c r="AU65" s="5">
        <f t="shared" si="9"/>
        <v>1</v>
      </c>
    </row>
    <row r="66" spans="1:47">
      <c r="A66" s="32" t="s">
        <v>106</v>
      </c>
      <c r="B66" s="5" t="s">
        <v>22</v>
      </c>
      <c r="C66" s="35" t="s">
        <v>30</v>
      </c>
      <c r="D66" s="98" t="s">
        <v>148</v>
      </c>
      <c r="E66" s="98" t="s">
        <v>148</v>
      </c>
      <c r="F66" s="98" t="s">
        <v>148</v>
      </c>
      <c r="G66" s="102">
        <v>450</v>
      </c>
      <c r="H66" s="99" t="s">
        <v>147</v>
      </c>
      <c r="I66" s="99" t="s">
        <v>147</v>
      </c>
      <c r="J66" s="98" t="s">
        <v>148</v>
      </c>
      <c r="K66" s="100">
        <v>5</v>
      </c>
      <c r="L66" s="98" t="s">
        <v>148</v>
      </c>
      <c r="M66" s="98" t="s">
        <v>148</v>
      </c>
      <c r="N66" s="98" t="s">
        <v>148</v>
      </c>
      <c r="O66" s="99" t="s">
        <v>147</v>
      </c>
      <c r="P66" s="99" t="s">
        <v>147</v>
      </c>
      <c r="Q66" s="98" t="s">
        <v>148</v>
      </c>
      <c r="R66" s="98" t="s">
        <v>148</v>
      </c>
      <c r="S66" s="98" t="s">
        <v>148</v>
      </c>
      <c r="T66" s="98" t="s">
        <v>148</v>
      </c>
      <c r="U66" s="98" t="s">
        <v>148</v>
      </c>
      <c r="V66" s="99" t="s">
        <v>147</v>
      </c>
      <c r="W66" s="99" t="s">
        <v>147</v>
      </c>
      <c r="X66" s="102">
        <v>450</v>
      </c>
      <c r="Y66" s="98" t="s">
        <v>148</v>
      </c>
      <c r="Z66" s="98" t="s">
        <v>148</v>
      </c>
      <c r="AA66" s="98" t="s">
        <v>148</v>
      </c>
      <c r="AB66" s="98" t="s">
        <v>148</v>
      </c>
      <c r="AC66" s="99" t="s">
        <v>147</v>
      </c>
      <c r="AD66" s="99" t="s">
        <v>147</v>
      </c>
      <c r="AE66" s="98" t="s">
        <v>148</v>
      </c>
      <c r="AF66" s="98" t="s">
        <v>148</v>
      </c>
      <c r="AG66" s="98" t="s">
        <v>148</v>
      </c>
      <c r="AH66" s="9"/>
      <c r="AI66" s="54">
        <f t="shared" si="20"/>
        <v>905</v>
      </c>
      <c r="AJ66" s="16">
        <f>AI66-AK66</f>
        <v>5</v>
      </c>
      <c r="AK66" s="5">
        <f t="shared" si="21"/>
        <v>900</v>
      </c>
      <c r="AL66" s="16">
        <f>AJ66+AK66</f>
        <v>905</v>
      </c>
      <c r="AM66">
        <f>AQ66*450</f>
        <v>9900</v>
      </c>
      <c r="AN66">
        <f t="shared" ref="AN66:AN93" si="22">AM66-AL66</f>
        <v>8995</v>
      </c>
      <c r="AO66">
        <f t="shared" ref="AO66:AO93" si="23">AN66/AM66</f>
        <v>0.90858585858585861</v>
      </c>
      <c r="AP66">
        <f t="shared" ref="AP66:AP93" si="24">AQ66-(AS66+AT66)</f>
        <v>22</v>
      </c>
      <c r="AQ66">
        <f t="shared" ref="AQ66:AQ93" si="25">30-AR66</f>
        <v>22</v>
      </c>
      <c r="AR66" s="5">
        <f t="shared" ref="AR66:AR93" si="26">COUNTIF(D66:AF66,"RD")</f>
        <v>8</v>
      </c>
      <c r="AS66" s="5">
        <f t="shared" ref="AS66:AS93" si="27">COUNTIF(D66:AG66,"VL")</f>
        <v>0</v>
      </c>
      <c r="AT66" s="5">
        <f t="shared" ref="AT66:AT93" si="28">COUNTIF(D66:AG66,"LWOP")</f>
        <v>0</v>
      </c>
      <c r="AU66" s="5">
        <f t="shared" ref="AU66:AU93" si="29">COUNTIF(D66:AI66,"450")</f>
        <v>2</v>
      </c>
    </row>
    <row r="67" spans="1:47">
      <c r="A67" s="10" t="s">
        <v>107</v>
      </c>
      <c r="B67" s="5" t="s">
        <v>57</v>
      </c>
      <c r="C67" s="35" t="s">
        <v>40</v>
      </c>
      <c r="D67" s="98" t="s">
        <v>148</v>
      </c>
      <c r="E67" s="100">
        <v>190</v>
      </c>
      <c r="F67" s="98" t="s">
        <v>148</v>
      </c>
      <c r="G67" s="98" t="s">
        <v>148</v>
      </c>
      <c r="H67" s="99" t="s">
        <v>147</v>
      </c>
      <c r="I67" s="99" t="s">
        <v>147</v>
      </c>
      <c r="J67" s="104" t="s">
        <v>12</v>
      </c>
      <c r="K67" s="102">
        <v>450</v>
      </c>
      <c r="L67" s="98" t="s">
        <v>148</v>
      </c>
      <c r="M67" s="100">
        <v>18</v>
      </c>
      <c r="N67" s="98" t="s">
        <v>148</v>
      </c>
      <c r="O67" s="99" t="s">
        <v>147</v>
      </c>
      <c r="P67" s="99" t="s">
        <v>147</v>
      </c>
      <c r="Q67" s="98" t="s">
        <v>14</v>
      </c>
      <c r="R67" s="100">
        <v>240</v>
      </c>
      <c r="S67" s="98" t="s">
        <v>148</v>
      </c>
      <c r="T67" s="98" t="s">
        <v>148</v>
      </c>
      <c r="U67" s="98" t="s">
        <v>148</v>
      </c>
      <c r="V67" s="99" t="s">
        <v>147</v>
      </c>
      <c r="W67" s="99" t="s">
        <v>147</v>
      </c>
      <c r="X67" s="102">
        <v>450</v>
      </c>
      <c r="Y67" s="102">
        <v>450</v>
      </c>
      <c r="Z67" s="98" t="s">
        <v>148</v>
      </c>
      <c r="AA67" s="98" t="s">
        <v>148</v>
      </c>
      <c r="AB67" s="98" t="s">
        <v>148</v>
      </c>
      <c r="AC67" s="99" t="s">
        <v>147</v>
      </c>
      <c r="AD67" s="99" t="s">
        <v>147</v>
      </c>
      <c r="AE67" s="100">
        <v>5</v>
      </c>
      <c r="AF67" s="98" t="s">
        <v>148</v>
      </c>
      <c r="AG67" s="98" t="s">
        <v>148</v>
      </c>
      <c r="AH67" s="9"/>
      <c r="AI67" s="54">
        <f t="shared" si="20"/>
        <v>1803</v>
      </c>
      <c r="AJ67" s="16">
        <f>AI67-AK67</f>
        <v>453</v>
      </c>
      <c r="AK67" s="5">
        <f t="shared" si="21"/>
        <v>1350</v>
      </c>
      <c r="AL67" s="16">
        <f>AJ67+AK67</f>
        <v>1803</v>
      </c>
      <c r="AM67">
        <f>AQ67*450</f>
        <v>9900</v>
      </c>
      <c r="AN67">
        <f t="shared" si="22"/>
        <v>8097</v>
      </c>
      <c r="AO67">
        <f t="shared" si="23"/>
        <v>0.81787878787878787</v>
      </c>
      <c r="AP67">
        <f t="shared" si="24"/>
        <v>20</v>
      </c>
      <c r="AQ67">
        <f t="shared" si="25"/>
        <v>22</v>
      </c>
      <c r="AR67" s="5">
        <f t="shared" si="26"/>
        <v>8</v>
      </c>
      <c r="AS67" s="5">
        <f t="shared" si="27"/>
        <v>1</v>
      </c>
      <c r="AT67" s="5">
        <f t="shared" si="28"/>
        <v>1</v>
      </c>
      <c r="AU67" s="5">
        <f t="shared" si="29"/>
        <v>3</v>
      </c>
    </row>
    <row r="68" spans="1:47">
      <c r="A68" s="7" t="s">
        <v>98</v>
      </c>
      <c r="B68" s="5" t="s">
        <v>26</v>
      </c>
      <c r="C68" s="34" t="s">
        <v>30</v>
      </c>
      <c r="D68" s="100">
        <v>11</v>
      </c>
      <c r="E68" s="98" t="s">
        <v>148</v>
      </c>
      <c r="F68" s="98" t="s">
        <v>148</v>
      </c>
      <c r="G68" s="102">
        <v>450</v>
      </c>
      <c r="H68" s="99" t="s">
        <v>147</v>
      </c>
      <c r="I68" s="99" t="s">
        <v>147</v>
      </c>
      <c r="J68" s="98" t="s">
        <v>148</v>
      </c>
      <c r="K68" s="98" t="s">
        <v>148</v>
      </c>
      <c r="L68" s="98" t="s">
        <v>148</v>
      </c>
      <c r="M68" s="98" t="s">
        <v>148</v>
      </c>
      <c r="N68" s="100">
        <v>12</v>
      </c>
      <c r="O68" s="99" t="s">
        <v>147</v>
      </c>
      <c r="P68" s="99" t="s">
        <v>147</v>
      </c>
      <c r="Q68" s="100">
        <v>9</v>
      </c>
      <c r="R68" s="100">
        <v>6</v>
      </c>
      <c r="S68" s="98" t="s">
        <v>148</v>
      </c>
      <c r="T68" s="98" t="s">
        <v>148</v>
      </c>
      <c r="U68" s="98" t="s">
        <v>174</v>
      </c>
      <c r="V68" s="99" t="s">
        <v>147</v>
      </c>
      <c r="W68" s="99" t="s">
        <v>147</v>
      </c>
      <c r="X68" s="102">
        <v>450</v>
      </c>
      <c r="Y68" s="102">
        <v>450</v>
      </c>
      <c r="Z68" s="102">
        <v>450</v>
      </c>
      <c r="AA68" s="98" t="s">
        <v>148</v>
      </c>
      <c r="AB68" s="98" t="s">
        <v>148</v>
      </c>
      <c r="AC68" s="99" t="s">
        <v>147</v>
      </c>
      <c r="AD68" s="99" t="s">
        <v>147</v>
      </c>
      <c r="AE68" s="98" t="s">
        <v>148</v>
      </c>
      <c r="AF68" s="102">
        <v>450</v>
      </c>
      <c r="AG68" s="98" t="s">
        <v>148</v>
      </c>
      <c r="AH68" s="9"/>
      <c r="AI68" s="54">
        <f>SUM(D68:AG68)</f>
        <v>2288</v>
      </c>
      <c r="AJ68" s="16">
        <f>AI68-AK68</f>
        <v>38</v>
      </c>
      <c r="AK68" s="5">
        <f>SUMIF(C68:AG68,"450")</f>
        <v>2250</v>
      </c>
      <c r="AL68" s="16">
        <f>AJ68+AK68</f>
        <v>2288</v>
      </c>
      <c r="AM68">
        <f>AQ68*450</f>
        <v>9900</v>
      </c>
      <c r="AN68">
        <f>AM68-AL68</f>
        <v>7612</v>
      </c>
      <c r="AO68">
        <f>AN68/AM68</f>
        <v>0.76888888888888884</v>
      </c>
      <c r="AP68">
        <f>AQ68-(AS68+AT68)</f>
        <v>22</v>
      </c>
      <c r="AQ68">
        <f>30-AR68</f>
        <v>22</v>
      </c>
      <c r="AR68" s="5">
        <f>COUNTIF(D68:AF68,"RD")</f>
        <v>8</v>
      </c>
      <c r="AS68" s="5">
        <f>COUNTIF(D68:AG68,"VL")</f>
        <v>0</v>
      </c>
      <c r="AT68" s="5">
        <f>COUNTIF(D68:AG68,"LWOP")</f>
        <v>0</v>
      </c>
      <c r="AU68" s="5">
        <f>COUNTIF(D68:AI68,"450")</f>
        <v>5</v>
      </c>
    </row>
    <row r="69" spans="1:47">
      <c r="A69" s="10" t="s">
        <v>108</v>
      </c>
      <c r="B69" s="5" t="s">
        <v>26</v>
      </c>
      <c r="C69" s="11" t="s">
        <v>30</v>
      </c>
      <c r="D69" s="98" t="s">
        <v>148</v>
      </c>
      <c r="E69" s="98" t="s">
        <v>148</v>
      </c>
      <c r="F69" s="99" t="s">
        <v>147</v>
      </c>
      <c r="G69" s="99" t="s">
        <v>147</v>
      </c>
      <c r="H69" s="98" t="s">
        <v>148</v>
      </c>
      <c r="I69" s="99" t="s">
        <v>147</v>
      </c>
      <c r="J69" s="98" t="s">
        <v>148</v>
      </c>
      <c r="K69" s="99" t="s">
        <v>147</v>
      </c>
      <c r="L69" s="99" t="s">
        <v>147</v>
      </c>
      <c r="M69" s="98" t="s">
        <v>148</v>
      </c>
      <c r="N69" s="98" t="s">
        <v>148</v>
      </c>
      <c r="O69" s="98" t="s">
        <v>148</v>
      </c>
      <c r="P69" s="98" t="s">
        <v>148</v>
      </c>
      <c r="Q69" s="99" t="s">
        <v>147</v>
      </c>
      <c r="R69" s="99" t="s">
        <v>147</v>
      </c>
      <c r="S69" s="98" t="s">
        <v>148</v>
      </c>
      <c r="T69" s="98" t="s">
        <v>148</v>
      </c>
      <c r="U69" s="98" t="s">
        <v>148</v>
      </c>
      <c r="V69" s="98" t="s">
        <v>148</v>
      </c>
      <c r="W69" s="98" t="s">
        <v>148</v>
      </c>
      <c r="X69" s="99" t="s">
        <v>147</v>
      </c>
      <c r="Y69" s="99" t="s">
        <v>147</v>
      </c>
      <c r="Z69" s="98" t="s">
        <v>148</v>
      </c>
      <c r="AA69" s="107" t="s">
        <v>148</v>
      </c>
      <c r="AB69" s="107" t="s">
        <v>148</v>
      </c>
      <c r="AC69" s="104" t="s">
        <v>12</v>
      </c>
      <c r="AD69" s="104" t="s">
        <v>12</v>
      </c>
      <c r="AE69" s="99" t="s">
        <v>147</v>
      </c>
      <c r="AF69" s="99" t="s">
        <v>147</v>
      </c>
      <c r="AG69" s="98" t="s">
        <v>148</v>
      </c>
      <c r="AH69" s="9"/>
      <c r="AI69" s="54">
        <f t="shared" si="20"/>
        <v>0</v>
      </c>
      <c r="AJ69" s="16">
        <f>AI69-AK69</f>
        <v>0</v>
      </c>
      <c r="AK69" s="5">
        <f t="shared" si="21"/>
        <v>0</v>
      </c>
      <c r="AL69" s="16">
        <f>AJ69+AK69</f>
        <v>0</v>
      </c>
      <c r="AM69">
        <f>AQ69*450</f>
        <v>8550</v>
      </c>
      <c r="AN69">
        <f t="shared" si="22"/>
        <v>8550</v>
      </c>
      <c r="AO69">
        <f t="shared" si="23"/>
        <v>1</v>
      </c>
      <c r="AP69">
        <f t="shared" si="24"/>
        <v>17</v>
      </c>
      <c r="AQ69">
        <f t="shared" si="25"/>
        <v>19</v>
      </c>
      <c r="AR69" s="5">
        <f t="shared" si="26"/>
        <v>11</v>
      </c>
      <c r="AS69" s="5">
        <f t="shared" si="27"/>
        <v>2</v>
      </c>
      <c r="AT69" s="5">
        <f t="shared" si="28"/>
        <v>0</v>
      </c>
      <c r="AU69" s="5">
        <f t="shared" si="29"/>
        <v>0</v>
      </c>
    </row>
    <row r="70" spans="1:47">
      <c r="A70" s="10" t="s">
        <v>109</v>
      </c>
      <c r="B70" s="5" t="s">
        <v>26</v>
      </c>
      <c r="C70" s="34" t="s">
        <v>40</v>
      </c>
      <c r="D70" s="98" t="s">
        <v>148</v>
      </c>
      <c r="E70" s="98" t="s">
        <v>148</v>
      </c>
      <c r="F70" s="98" t="s">
        <v>148</v>
      </c>
      <c r="G70" s="98" t="s">
        <v>148</v>
      </c>
      <c r="H70" s="99" t="s">
        <v>147</v>
      </c>
      <c r="I70" s="99" t="s">
        <v>147</v>
      </c>
      <c r="J70" s="98" t="s">
        <v>148</v>
      </c>
      <c r="K70" s="98" t="s">
        <v>148</v>
      </c>
      <c r="L70" s="98" t="s">
        <v>148</v>
      </c>
      <c r="M70" s="98" t="s">
        <v>148</v>
      </c>
      <c r="N70" s="98" t="s">
        <v>148</v>
      </c>
      <c r="O70" s="99" t="s">
        <v>147</v>
      </c>
      <c r="P70" s="99" t="s">
        <v>147</v>
      </c>
      <c r="Q70" s="98" t="s">
        <v>148</v>
      </c>
      <c r="R70" s="98" t="s">
        <v>148</v>
      </c>
      <c r="S70" s="104" t="s">
        <v>12</v>
      </c>
      <c r="T70" s="98" t="s">
        <v>148</v>
      </c>
      <c r="U70" s="98" t="s">
        <v>148</v>
      </c>
      <c r="V70" s="99" t="s">
        <v>147</v>
      </c>
      <c r="W70" s="99" t="s">
        <v>147</v>
      </c>
      <c r="X70" s="99" t="s">
        <v>147</v>
      </c>
      <c r="Y70" s="98" t="s">
        <v>174</v>
      </c>
      <c r="Z70" s="98" t="s">
        <v>148</v>
      </c>
      <c r="AA70" s="98" t="s">
        <v>148</v>
      </c>
      <c r="AB70" s="98" t="s">
        <v>148</v>
      </c>
      <c r="AC70" s="98" t="s">
        <v>148</v>
      </c>
      <c r="AD70" s="99" t="s">
        <v>147</v>
      </c>
      <c r="AE70" s="98" t="s">
        <v>148</v>
      </c>
      <c r="AF70" s="98" t="s">
        <v>148</v>
      </c>
      <c r="AG70" s="98" t="s">
        <v>148</v>
      </c>
      <c r="AH70" s="9"/>
      <c r="AI70" s="54">
        <f t="shared" si="20"/>
        <v>0</v>
      </c>
      <c r="AJ70" s="16">
        <f>AI70-AK70</f>
        <v>0</v>
      </c>
      <c r="AK70" s="5">
        <f t="shared" si="21"/>
        <v>0</v>
      </c>
      <c r="AL70" s="16">
        <f>AJ70+AK70</f>
        <v>0</v>
      </c>
      <c r="AM70">
        <f>AQ70*450</f>
        <v>9900</v>
      </c>
      <c r="AN70">
        <f t="shared" si="22"/>
        <v>9900</v>
      </c>
      <c r="AO70">
        <f t="shared" si="23"/>
        <v>1</v>
      </c>
      <c r="AP70">
        <f t="shared" si="24"/>
        <v>21</v>
      </c>
      <c r="AQ70">
        <f t="shared" si="25"/>
        <v>22</v>
      </c>
      <c r="AR70" s="5">
        <f t="shared" si="26"/>
        <v>8</v>
      </c>
      <c r="AS70" s="5">
        <f t="shared" si="27"/>
        <v>1</v>
      </c>
      <c r="AT70" s="5">
        <f t="shared" si="28"/>
        <v>0</v>
      </c>
      <c r="AU70" s="5">
        <f t="shared" si="29"/>
        <v>0</v>
      </c>
    </row>
    <row r="71" spans="1:47">
      <c r="A71" s="10" t="s">
        <v>110</v>
      </c>
      <c r="B71" s="5" t="s">
        <v>111</v>
      </c>
      <c r="C71" s="35" t="s">
        <v>40</v>
      </c>
      <c r="D71" s="98" t="s">
        <v>148</v>
      </c>
      <c r="E71" s="98" t="s">
        <v>148</v>
      </c>
      <c r="F71" s="98" t="s">
        <v>148</v>
      </c>
      <c r="G71" s="98" t="s">
        <v>148</v>
      </c>
      <c r="H71" s="99" t="s">
        <v>147</v>
      </c>
      <c r="I71" s="99" t="s">
        <v>147</v>
      </c>
      <c r="J71" s="98" t="s">
        <v>148</v>
      </c>
      <c r="K71" s="98" t="s">
        <v>148</v>
      </c>
      <c r="L71" s="98" t="s">
        <v>148</v>
      </c>
      <c r="M71" s="98" t="s">
        <v>148</v>
      </c>
      <c r="N71" s="98" t="s">
        <v>148</v>
      </c>
      <c r="O71" s="99" t="s">
        <v>147</v>
      </c>
      <c r="P71" s="99" t="s">
        <v>147</v>
      </c>
      <c r="Q71" s="98" t="s">
        <v>148</v>
      </c>
      <c r="R71" s="98" t="s">
        <v>148</v>
      </c>
      <c r="S71" s="98" t="s">
        <v>148</v>
      </c>
      <c r="T71" s="98" t="s">
        <v>148</v>
      </c>
      <c r="U71" s="98" t="s">
        <v>148</v>
      </c>
      <c r="V71" s="99" t="s">
        <v>147</v>
      </c>
      <c r="W71" s="99" t="s">
        <v>147</v>
      </c>
      <c r="X71" s="98" t="s">
        <v>148</v>
      </c>
      <c r="Y71" s="102">
        <v>450</v>
      </c>
      <c r="Z71" s="98" t="s">
        <v>148</v>
      </c>
      <c r="AA71" s="98" t="s">
        <v>148</v>
      </c>
      <c r="AB71" s="98" t="s">
        <v>148</v>
      </c>
      <c r="AC71" s="99" t="s">
        <v>147</v>
      </c>
      <c r="AD71" s="99" t="s">
        <v>147</v>
      </c>
      <c r="AE71" s="98" t="s">
        <v>148</v>
      </c>
      <c r="AF71" s="98" t="s">
        <v>148</v>
      </c>
      <c r="AG71" s="98" t="s">
        <v>148</v>
      </c>
      <c r="AH71" s="9"/>
      <c r="AI71" s="54">
        <f t="shared" si="20"/>
        <v>450</v>
      </c>
      <c r="AJ71" s="16">
        <f>AI71-AK71</f>
        <v>0</v>
      </c>
      <c r="AK71" s="5">
        <f t="shared" si="21"/>
        <v>450</v>
      </c>
      <c r="AL71" s="16">
        <f>AJ71+AK71</f>
        <v>450</v>
      </c>
      <c r="AM71">
        <f>AQ71*450</f>
        <v>10350</v>
      </c>
      <c r="AN71">
        <f t="shared" si="22"/>
        <v>9900</v>
      </c>
      <c r="AO71">
        <f t="shared" si="23"/>
        <v>0.95652173913043481</v>
      </c>
      <c r="AP71">
        <f t="shared" si="24"/>
        <v>23</v>
      </c>
      <c r="AQ71">
        <f>31-AR71</f>
        <v>23</v>
      </c>
      <c r="AR71" s="5">
        <f t="shared" si="26"/>
        <v>8</v>
      </c>
      <c r="AS71" s="5">
        <f t="shared" si="27"/>
        <v>0</v>
      </c>
      <c r="AT71" s="5">
        <f t="shared" si="28"/>
        <v>0</v>
      </c>
      <c r="AU71" s="5">
        <f t="shared" si="29"/>
        <v>2</v>
      </c>
    </row>
    <row r="72" spans="1:47">
      <c r="A72" s="32" t="s">
        <v>112</v>
      </c>
      <c r="B72" s="5" t="s">
        <v>22</v>
      </c>
      <c r="C72" s="35" t="s">
        <v>25</v>
      </c>
      <c r="D72" s="98" t="s">
        <v>148</v>
      </c>
      <c r="E72" s="98" t="s">
        <v>148</v>
      </c>
      <c r="F72" s="98" t="s">
        <v>148</v>
      </c>
      <c r="G72" s="98" t="s">
        <v>148</v>
      </c>
      <c r="H72" s="99" t="s">
        <v>147</v>
      </c>
      <c r="I72" s="99" t="s">
        <v>147</v>
      </c>
      <c r="J72" s="98" t="s">
        <v>148</v>
      </c>
      <c r="K72" s="100">
        <v>9</v>
      </c>
      <c r="L72" s="98" t="s">
        <v>148</v>
      </c>
      <c r="M72" s="98" t="s">
        <v>148</v>
      </c>
      <c r="N72" s="98" t="s">
        <v>14</v>
      </c>
      <c r="O72" s="99" t="s">
        <v>147</v>
      </c>
      <c r="P72" s="99" t="s">
        <v>147</v>
      </c>
      <c r="Q72" s="98" t="s">
        <v>148</v>
      </c>
      <c r="R72" s="100">
        <v>7</v>
      </c>
      <c r="S72" s="98" t="s">
        <v>148</v>
      </c>
      <c r="T72" s="98" t="s">
        <v>174</v>
      </c>
      <c r="U72" s="98" t="s">
        <v>148</v>
      </c>
      <c r="V72" s="99" t="s">
        <v>147</v>
      </c>
      <c r="W72" s="99" t="s">
        <v>147</v>
      </c>
      <c r="X72" s="102">
        <v>450</v>
      </c>
      <c r="Y72" s="98" t="s">
        <v>148</v>
      </c>
      <c r="Z72" s="98" t="s">
        <v>148</v>
      </c>
      <c r="AA72" s="98" t="s">
        <v>148</v>
      </c>
      <c r="AB72" s="98" t="s">
        <v>148</v>
      </c>
      <c r="AC72" s="99" t="s">
        <v>147</v>
      </c>
      <c r="AD72" s="99" t="s">
        <v>147</v>
      </c>
      <c r="AE72" s="98" t="s">
        <v>148</v>
      </c>
      <c r="AF72" s="98" t="s">
        <v>148</v>
      </c>
      <c r="AG72" s="98" t="s">
        <v>148</v>
      </c>
      <c r="AH72" s="9"/>
      <c r="AI72" s="54">
        <f t="shared" si="20"/>
        <v>466</v>
      </c>
      <c r="AJ72" s="16">
        <f>AI72-AK72</f>
        <v>16</v>
      </c>
      <c r="AK72" s="5">
        <f t="shared" si="21"/>
        <v>450</v>
      </c>
      <c r="AL72" s="16">
        <f>AJ72+AK72</f>
        <v>466</v>
      </c>
      <c r="AM72">
        <f>AQ72*450</f>
        <v>9900</v>
      </c>
      <c r="AN72">
        <f t="shared" si="22"/>
        <v>9434</v>
      </c>
      <c r="AO72">
        <f t="shared" si="23"/>
        <v>0.95292929292929296</v>
      </c>
      <c r="AP72">
        <f t="shared" si="24"/>
        <v>21</v>
      </c>
      <c r="AQ72">
        <f t="shared" si="25"/>
        <v>22</v>
      </c>
      <c r="AR72" s="5">
        <f t="shared" si="26"/>
        <v>8</v>
      </c>
      <c r="AS72" s="5">
        <f t="shared" si="27"/>
        <v>0</v>
      </c>
      <c r="AT72" s="5">
        <f t="shared" si="28"/>
        <v>1</v>
      </c>
      <c r="AU72" s="5">
        <f t="shared" si="29"/>
        <v>1</v>
      </c>
    </row>
    <row r="73" spans="1:47">
      <c r="A73" s="32" t="s">
        <v>114</v>
      </c>
      <c r="B73" s="5" t="s">
        <v>37</v>
      </c>
      <c r="C73" s="35" t="s">
        <v>40</v>
      </c>
      <c r="D73" s="100">
        <v>12</v>
      </c>
      <c r="E73" s="100">
        <v>256</v>
      </c>
      <c r="F73" s="98" t="s">
        <v>148</v>
      </c>
      <c r="G73" s="100">
        <v>11</v>
      </c>
      <c r="H73" s="102">
        <v>450</v>
      </c>
      <c r="I73" s="99" t="s">
        <v>147</v>
      </c>
      <c r="J73" s="99" t="s">
        <v>147</v>
      </c>
      <c r="K73" s="100">
        <v>14</v>
      </c>
      <c r="L73" s="100">
        <v>28</v>
      </c>
      <c r="M73" s="98" t="s">
        <v>148</v>
      </c>
      <c r="N73" s="100">
        <v>15</v>
      </c>
      <c r="O73" s="100">
        <v>2</v>
      </c>
      <c r="P73" s="99" t="s">
        <v>147</v>
      </c>
      <c r="Q73" s="99" t="s">
        <v>147</v>
      </c>
      <c r="R73" s="98" t="s">
        <v>148</v>
      </c>
      <c r="S73" s="102">
        <v>450</v>
      </c>
      <c r="T73" s="98" t="s">
        <v>148</v>
      </c>
      <c r="U73" s="100">
        <v>27</v>
      </c>
      <c r="V73" s="100">
        <v>30</v>
      </c>
      <c r="W73" s="99" t="s">
        <v>147</v>
      </c>
      <c r="X73" s="99" t="s">
        <v>147</v>
      </c>
      <c r="Y73" s="98" t="s">
        <v>148</v>
      </c>
      <c r="Z73" s="98" t="s">
        <v>148</v>
      </c>
      <c r="AA73" s="98" t="s">
        <v>148</v>
      </c>
      <c r="AB73" s="102">
        <v>450</v>
      </c>
      <c r="AC73" s="102">
        <v>450</v>
      </c>
      <c r="AD73" s="102">
        <v>450</v>
      </c>
      <c r="AE73" s="102" t="s">
        <v>187</v>
      </c>
      <c r="AF73" s="102" t="s">
        <v>187</v>
      </c>
      <c r="AG73" s="102" t="s">
        <v>187</v>
      </c>
      <c r="AH73" s="9"/>
      <c r="AI73" s="54">
        <f t="shared" si="20"/>
        <v>2645</v>
      </c>
      <c r="AJ73" s="16">
        <f>AI73-AK73</f>
        <v>395</v>
      </c>
      <c r="AK73" s="5">
        <f t="shared" si="21"/>
        <v>2250</v>
      </c>
      <c r="AL73" s="16">
        <f>AJ73+AK73</f>
        <v>2645</v>
      </c>
      <c r="AM73">
        <f>AQ73*450</f>
        <v>10800</v>
      </c>
      <c r="AN73">
        <f t="shared" si="22"/>
        <v>8155</v>
      </c>
      <c r="AO73">
        <f t="shared" si="23"/>
        <v>0.75509259259259254</v>
      </c>
      <c r="AP73">
        <f t="shared" si="24"/>
        <v>24</v>
      </c>
      <c r="AQ73">
        <f t="shared" si="25"/>
        <v>24</v>
      </c>
      <c r="AR73" s="5">
        <f t="shared" si="26"/>
        <v>6</v>
      </c>
      <c r="AS73" s="5">
        <f t="shared" si="27"/>
        <v>0</v>
      </c>
      <c r="AT73" s="5">
        <f t="shared" si="28"/>
        <v>0</v>
      </c>
      <c r="AU73" s="5">
        <f t="shared" si="29"/>
        <v>5</v>
      </c>
    </row>
    <row r="74" spans="1:47">
      <c r="A74" s="32" t="s">
        <v>66</v>
      </c>
      <c r="B74" s="5" t="s">
        <v>22</v>
      </c>
      <c r="C74" s="35" t="s">
        <v>30</v>
      </c>
      <c r="D74" s="98" t="s">
        <v>148</v>
      </c>
      <c r="E74" s="98" t="s">
        <v>148</v>
      </c>
      <c r="F74" s="98" t="s">
        <v>148</v>
      </c>
      <c r="G74" s="98" t="s">
        <v>148</v>
      </c>
      <c r="H74" s="99" t="s">
        <v>147</v>
      </c>
      <c r="I74" s="99" t="s">
        <v>147</v>
      </c>
      <c r="J74" s="98" t="s">
        <v>148</v>
      </c>
      <c r="K74" s="98" t="s">
        <v>148</v>
      </c>
      <c r="L74" s="98" t="s">
        <v>148</v>
      </c>
      <c r="M74" s="98" t="s">
        <v>148</v>
      </c>
      <c r="N74" s="98" t="s">
        <v>148</v>
      </c>
      <c r="O74" s="99" t="s">
        <v>147</v>
      </c>
      <c r="P74" s="99" t="s">
        <v>147</v>
      </c>
      <c r="Q74" s="98" t="s">
        <v>148</v>
      </c>
      <c r="R74" s="98" t="s">
        <v>148</v>
      </c>
      <c r="S74" s="98" t="s">
        <v>148</v>
      </c>
      <c r="T74" s="98" t="s">
        <v>148</v>
      </c>
      <c r="U74" s="98" t="s">
        <v>148</v>
      </c>
      <c r="V74" s="99" t="s">
        <v>147</v>
      </c>
      <c r="W74" s="99" t="s">
        <v>147</v>
      </c>
      <c r="X74" s="102">
        <v>450</v>
      </c>
      <c r="Y74" s="98" t="s">
        <v>148</v>
      </c>
      <c r="Z74" s="98" t="s">
        <v>148</v>
      </c>
      <c r="AA74" s="98" t="s">
        <v>148</v>
      </c>
      <c r="AB74" s="98" t="s">
        <v>148</v>
      </c>
      <c r="AC74" s="99" t="s">
        <v>147</v>
      </c>
      <c r="AD74" s="99" t="s">
        <v>147</v>
      </c>
      <c r="AE74" s="98" t="s">
        <v>148</v>
      </c>
      <c r="AF74" s="98" t="s">
        <v>148</v>
      </c>
      <c r="AG74" s="98" t="s">
        <v>148</v>
      </c>
      <c r="AH74" s="9"/>
      <c r="AI74" s="54">
        <f t="shared" si="20"/>
        <v>450</v>
      </c>
      <c r="AJ74" s="16">
        <f>AI74-AK74</f>
        <v>0</v>
      </c>
      <c r="AK74" s="5">
        <f t="shared" si="21"/>
        <v>450</v>
      </c>
      <c r="AL74" s="16">
        <f>AJ74+AK74</f>
        <v>450</v>
      </c>
      <c r="AM74">
        <f>AQ74*450</f>
        <v>9900</v>
      </c>
      <c r="AN74">
        <f t="shared" si="22"/>
        <v>9450</v>
      </c>
      <c r="AO74">
        <f t="shared" si="23"/>
        <v>0.95454545454545459</v>
      </c>
      <c r="AP74">
        <f t="shared" si="24"/>
        <v>22</v>
      </c>
      <c r="AQ74">
        <f t="shared" si="25"/>
        <v>22</v>
      </c>
      <c r="AR74" s="5">
        <f t="shared" si="26"/>
        <v>8</v>
      </c>
      <c r="AS74" s="5">
        <f t="shared" si="27"/>
        <v>0</v>
      </c>
      <c r="AT74" s="5">
        <f t="shared" si="28"/>
        <v>0</v>
      </c>
      <c r="AU74" s="5">
        <f t="shared" si="29"/>
        <v>2</v>
      </c>
    </row>
    <row r="75" spans="1:47">
      <c r="A75" s="32" t="s">
        <v>115</v>
      </c>
      <c r="B75" s="5" t="s">
        <v>22</v>
      </c>
      <c r="C75" s="35" t="s">
        <v>33</v>
      </c>
      <c r="D75" s="98" t="s">
        <v>148</v>
      </c>
      <c r="E75" s="98" t="s">
        <v>148</v>
      </c>
      <c r="F75" s="98" t="s">
        <v>148</v>
      </c>
      <c r="G75" s="98" t="s">
        <v>148</v>
      </c>
      <c r="H75" s="99" t="s">
        <v>147</v>
      </c>
      <c r="I75" s="99" t="s">
        <v>147</v>
      </c>
      <c r="J75" s="98" t="s">
        <v>148</v>
      </c>
      <c r="K75" s="98" t="s">
        <v>148</v>
      </c>
      <c r="L75" s="98" t="s">
        <v>148</v>
      </c>
      <c r="M75" s="98" t="s">
        <v>148</v>
      </c>
      <c r="N75" s="98" t="s">
        <v>14</v>
      </c>
      <c r="O75" s="99" t="s">
        <v>147</v>
      </c>
      <c r="P75" s="99" t="s">
        <v>147</v>
      </c>
      <c r="Q75" s="98" t="s">
        <v>14</v>
      </c>
      <c r="R75" s="98" t="s">
        <v>148</v>
      </c>
      <c r="S75" s="100">
        <v>7</v>
      </c>
      <c r="T75" s="98" t="s">
        <v>148</v>
      </c>
      <c r="U75" s="98" t="s">
        <v>148</v>
      </c>
      <c r="V75" s="99" t="s">
        <v>147</v>
      </c>
      <c r="W75" s="99" t="s">
        <v>147</v>
      </c>
      <c r="X75" s="98" t="s">
        <v>148</v>
      </c>
      <c r="Y75" s="102">
        <v>450</v>
      </c>
      <c r="Z75" s="98" t="s">
        <v>148</v>
      </c>
      <c r="AA75" s="98" t="s">
        <v>148</v>
      </c>
      <c r="AB75" s="98" t="s">
        <v>148</v>
      </c>
      <c r="AC75" s="99" t="s">
        <v>147</v>
      </c>
      <c r="AD75" s="99" t="s">
        <v>147</v>
      </c>
      <c r="AE75" s="100">
        <v>9</v>
      </c>
      <c r="AF75" s="98" t="s">
        <v>148</v>
      </c>
      <c r="AG75" s="98" t="s">
        <v>148</v>
      </c>
      <c r="AH75" s="9"/>
      <c r="AI75" s="54">
        <f t="shared" si="20"/>
        <v>466</v>
      </c>
      <c r="AJ75" s="16">
        <f>AI75-AK75</f>
        <v>16</v>
      </c>
      <c r="AK75" s="5">
        <f t="shared" si="21"/>
        <v>450</v>
      </c>
      <c r="AL75" s="16">
        <f>AJ75+AK75</f>
        <v>466</v>
      </c>
      <c r="AM75">
        <f>AQ75*450</f>
        <v>9900</v>
      </c>
      <c r="AN75">
        <f t="shared" si="22"/>
        <v>9434</v>
      </c>
      <c r="AO75">
        <f t="shared" si="23"/>
        <v>0.95292929292929296</v>
      </c>
      <c r="AP75">
        <f t="shared" si="24"/>
        <v>20</v>
      </c>
      <c r="AQ75">
        <f t="shared" si="25"/>
        <v>22</v>
      </c>
      <c r="AR75" s="5">
        <f t="shared" si="26"/>
        <v>8</v>
      </c>
      <c r="AS75" s="5">
        <f t="shared" si="27"/>
        <v>0</v>
      </c>
      <c r="AT75" s="5">
        <f t="shared" si="28"/>
        <v>2</v>
      </c>
      <c r="AU75" s="5">
        <f t="shared" si="29"/>
        <v>1</v>
      </c>
    </row>
    <row r="76" spans="1:47">
      <c r="A76" s="32" t="s">
        <v>116</v>
      </c>
      <c r="B76" s="5" t="s">
        <v>22</v>
      </c>
      <c r="C76" s="35" t="s">
        <v>63</v>
      </c>
      <c r="D76" s="98" t="s">
        <v>148</v>
      </c>
      <c r="E76" s="100">
        <v>17</v>
      </c>
      <c r="F76" s="98" t="s">
        <v>148</v>
      </c>
      <c r="G76" s="100">
        <v>1</v>
      </c>
      <c r="H76" s="99" t="s">
        <v>147</v>
      </c>
      <c r="I76" s="99" t="s">
        <v>147</v>
      </c>
      <c r="J76" s="98" t="s">
        <v>148</v>
      </c>
      <c r="K76" s="100">
        <v>23</v>
      </c>
      <c r="L76" s="98" t="s">
        <v>148</v>
      </c>
      <c r="M76" s="98" t="s">
        <v>148</v>
      </c>
      <c r="N76" s="98" t="s">
        <v>148</v>
      </c>
      <c r="O76" s="99" t="s">
        <v>147</v>
      </c>
      <c r="P76" s="99" t="s">
        <v>147</v>
      </c>
      <c r="Q76" s="98" t="s">
        <v>148</v>
      </c>
      <c r="R76" s="98" t="s">
        <v>148</v>
      </c>
      <c r="S76" s="98" t="s">
        <v>148</v>
      </c>
      <c r="T76" s="98" t="s">
        <v>148</v>
      </c>
      <c r="U76" s="98" t="s">
        <v>148</v>
      </c>
      <c r="V76" s="99" t="s">
        <v>147</v>
      </c>
      <c r="W76" s="99" t="s">
        <v>147</v>
      </c>
      <c r="X76" s="98" t="s">
        <v>148</v>
      </c>
      <c r="Y76" s="102">
        <v>450</v>
      </c>
      <c r="Z76" s="102">
        <v>450</v>
      </c>
      <c r="AA76" s="102">
        <v>450</v>
      </c>
      <c r="AB76" s="98" t="s">
        <v>148</v>
      </c>
      <c r="AC76" s="99" t="s">
        <v>147</v>
      </c>
      <c r="AD76" s="99" t="s">
        <v>147</v>
      </c>
      <c r="AE76" s="100">
        <v>41</v>
      </c>
      <c r="AF76" s="98" t="s">
        <v>148</v>
      </c>
      <c r="AG76" s="98" t="s">
        <v>148</v>
      </c>
      <c r="AH76" s="9"/>
      <c r="AI76" s="54">
        <f t="shared" si="20"/>
        <v>1432</v>
      </c>
      <c r="AJ76" s="16">
        <f>AI76-AK76</f>
        <v>82</v>
      </c>
      <c r="AK76" s="5">
        <f t="shared" si="21"/>
        <v>1350</v>
      </c>
      <c r="AL76" s="16">
        <f>AJ76+AK76</f>
        <v>1432</v>
      </c>
      <c r="AM76">
        <f>AQ76*450</f>
        <v>9900</v>
      </c>
      <c r="AN76">
        <f t="shared" si="22"/>
        <v>8468</v>
      </c>
      <c r="AO76">
        <f t="shared" si="23"/>
        <v>0.85535353535353531</v>
      </c>
      <c r="AP76">
        <f t="shared" si="24"/>
        <v>22</v>
      </c>
      <c r="AQ76">
        <f t="shared" si="25"/>
        <v>22</v>
      </c>
      <c r="AR76" s="5">
        <f t="shared" si="26"/>
        <v>8</v>
      </c>
      <c r="AS76" s="5">
        <f t="shared" si="27"/>
        <v>0</v>
      </c>
      <c r="AT76" s="5">
        <f t="shared" si="28"/>
        <v>0</v>
      </c>
      <c r="AU76" s="5">
        <f t="shared" si="29"/>
        <v>3</v>
      </c>
    </row>
    <row r="77" spans="1:47">
      <c r="A77" s="32" t="s">
        <v>117</v>
      </c>
      <c r="B77" s="5" t="s">
        <v>22</v>
      </c>
      <c r="C77" s="35" t="s">
        <v>30</v>
      </c>
      <c r="D77" s="98" t="s">
        <v>148</v>
      </c>
      <c r="E77" s="98" t="s">
        <v>148</v>
      </c>
      <c r="F77" s="98" t="s">
        <v>148</v>
      </c>
      <c r="G77" s="104" t="s">
        <v>12</v>
      </c>
      <c r="H77" s="99" t="s">
        <v>147</v>
      </c>
      <c r="I77" s="99" t="s">
        <v>147</v>
      </c>
      <c r="J77" s="98" t="s">
        <v>148</v>
      </c>
      <c r="K77" s="98" t="s">
        <v>148</v>
      </c>
      <c r="L77" s="98" t="s">
        <v>148</v>
      </c>
      <c r="M77" s="98" t="s">
        <v>148</v>
      </c>
      <c r="N77" s="98" t="s">
        <v>148</v>
      </c>
      <c r="O77" s="99" t="s">
        <v>147</v>
      </c>
      <c r="P77" s="99" t="s">
        <v>147</v>
      </c>
      <c r="Q77" s="98" t="s">
        <v>148</v>
      </c>
      <c r="R77" s="98" t="s">
        <v>148</v>
      </c>
      <c r="S77" s="98" t="s">
        <v>148</v>
      </c>
      <c r="T77" s="98" t="s">
        <v>148</v>
      </c>
      <c r="U77" s="98" t="s">
        <v>148</v>
      </c>
      <c r="V77" s="99" t="s">
        <v>147</v>
      </c>
      <c r="W77" s="99" t="s">
        <v>147</v>
      </c>
      <c r="X77" s="102">
        <v>450</v>
      </c>
      <c r="Y77" s="98" t="s">
        <v>148</v>
      </c>
      <c r="Z77" s="98" t="s">
        <v>148</v>
      </c>
      <c r="AA77" s="98" t="s">
        <v>148</v>
      </c>
      <c r="AB77" s="98" t="s">
        <v>148</v>
      </c>
      <c r="AC77" s="99" t="s">
        <v>147</v>
      </c>
      <c r="AD77" s="99" t="s">
        <v>147</v>
      </c>
      <c r="AE77" s="98" t="s">
        <v>148</v>
      </c>
      <c r="AF77" s="98" t="s">
        <v>148</v>
      </c>
      <c r="AG77" s="98" t="s">
        <v>148</v>
      </c>
      <c r="AH77" s="9"/>
      <c r="AI77" s="54">
        <f t="shared" si="20"/>
        <v>450</v>
      </c>
      <c r="AJ77" s="16">
        <f>AI77-AK77</f>
        <v>0</v>
      </c>
      <c r="AK77" s="5">
        <f t="shared" si="21"/>
        <v>450</v>
      </c>
      <c r="AL77" s="16">
        <f>AJ77+AK77</f>
        <v>450</v>
      </c>
      <c r="AM77">
        <f>AQ77*450</f>
        <v>9900</v>
      </c>
      <c r="AN77">
        <f t="shared" si="22"/>
        <v>9450</v>
      </c>
      <c r="AO77">
        <f t="shared" si="23"/>
        <v>0.95454545454545459</v>
      </c>
      <c r="AP77">
        <f t="shared" si="24"/>
        <v>21</v>
      </c>
      <c r="AQ77">
        <f t="shared" si="25"/>
        <v>22</v>
      </c>
      <c r="AR77" s="5">
        <f t="shared" si="26"/>
        <v>8</v>
      </c>
      <c r="AS77" s="5">
        <f t="shared" si="27"/>
        <v>1</v>
      </c>
      <c r="AT77" s="5">
        <f t="shared" si="28"/>
        <v>0</v>
      </c>
      <c r="AU77" s="5">
        <f t="shared" si="29"/>
        <v>2</v>
      </c>
    </row>
    <row r="78" spans="1:47">
      <c r="A78" s="32" t="s">
        <v>118</v>
      </c>
      <c r="B78" s="5" t="s">
        <v>37</v>
      </c>
      <c r="C78" s="35" t="s">
        <v>40</v>
      </c>
      <c r="D78" s="98" t="s">
        <v>148</v>
      </c>
      <c r="E78" s="98" t="s">
        <v>148</v>
      </c>
      <c r="F78" s="98" t="s">
        <v>148</v>
      </c>
      <c r="G78" s="98" t="s">
        <v>148</v>
      </c>
      <c r="H78" s="98" t="s">
        <v>148</v>
      </c>
      <c r="I78" s="99" t="s">
        <v>147</v>
      </c>
      <c r="J78" s="98" t="s">
        <v>148</v>
      </c>
      <c r="K78" s="98" t="s">
        <v>148</v>
      </c>
      <c r="L78" s="98" t="s">
        <v>148</v>
      </c>
      <c r="M78" s="98" t="s">
        <v>148</v>
      </c>
      <c r="N78" s="98" t="s">
        <v>148</v>
      </c>
      <c r="O78" s="99" t="s">
        <v>147</v>
      </c>
      <c r="P78" s="99" t="s">
        <v>147</v>
      </c>
      <c r="Q78" s="98" t="s">
        <v>148</v>
      </c>
      <c r="R78" s="98" t="s">
        <v>148</v>
      </c>
      <c r="S78" s="98" t="s">
        <v>148</v>
      </c>
      <c r="T78" s="98" t="s">
        <v>148</v>
      </c>
      <c r="U78" s="98" t="s">
        <v>174</v>
      </c>
      <c r="V78" s="99" t="s">
        <v>147</v>
      </c>
      <c r="W78" s="99" t="s">
        <v>147</v>
      </c>
      <c r="X78" s="102">
        <v>450</v>
      </c>
      <c r="Y78" s="98" t="s">
        <v>148</v>
      </c>
      <c r="Z78" s="98" t="s">
        <v>148</v>
      </c>
      <c r="AA78" s="98" t="s">
        <v>148</v>
      </c>
      <c r="AB78" s="98" t="s">
        <v>148</v>
      </c>
      <c r="AC78" s="99" t="s">
        <v>147</v>
      </c>
      <c r="AD78" s="99" t="s">
        <v>147</v>
      </c>
      <c r="AE78" s="98" t="s">
        <v>148</v>
      </c>
      <c r="AF78" s="98" t="s">
        <v>148</v>
      </c>
      <c r="AG78" s="98" t="s">
        <v>148</v>
      </c>
      <c r="AH78" s="9"/>
      <c r="AI78" s="54">
        <f t="shared" si="20"/>
        <v>450</v>
      </c>
      <c r="AJ78" s="16">
        <f>AI78-AK78</f>
        <v>0</v>
      </c>
      <c r="AK78" s="5">
        <f t="shared" si="21"/>
        <v>450</v>
      </c>
      <c r="AL78" s="16">
        <f>AJ78+AK78</f>
        <v>450</v>
      </c>
      <c r="AM78">
        <f>AQ78*450</f>
        <v>10350</v>
      </c>
      <c r="AN78">
        <f t="shared" si="22"/>
        <v>9900</v>
      </c>
      <c r="AO78">
        <f t="shared" si="23"/>
        <v>0.95652173913043481</v>
      </c>
      <c r="AP78">
        <f t="shared" si="24"/>
        <v>23</v>
      </c>
      <c r="AQ78">
        <f t="shared" si="25"/>
        <v>23</v>
      </c>
      <c r="AR78" s="5">
        <f t="shared" si="26"/>
        <v>7</v>
      </c>
      <c r="AS78" s="5">
        <f t="shared" si="27"/>
        <v>0</v>
      </c>
      <c r="AT78" s="5">
        <f t="shared" si="28"/>
        <v>0</v>
      </c>
      <c r="AU78" s="5">
        <f t="shared" si="29"/>
        <v>2</v>
      </c>
    </row>
    <row r="79" spans="1:47">
      <c r="A79" s="10" t="s">
        <v>113</v>
      </c>
      <c r="B79" s="5" t="s">
        <v>26</v>
      </c>
      <c r="C79" s="93" t="s">
        <v>40</v>
      </c>
      <c r="D79" s="99" t="s">
        <v>147</v>
      </c>
      <c r="E79" s="99" t="s">
        <v>147</v>
      </c>
      <c r="F79" s="98" t="s">
        <v>148</v>
      </c>
      <c r="G79" s="98" t="s">
        <v>148</v>
      </c>
      <c r="H79" s="98" t="s">
        <v>148</v>
      </c>
      <c r="I79" s="98" t="s">
        <v>148</v>
      </c>
      <c r="J79" s="98" t="s">
        <v>174</v>
      </c>
      <c r="K79" s="99" t="s">
        <v>147</v>
      </c>
      <c r="L79" s="99" t="s">
        <v>147</v>
      </c>
      <c r="M79" s="98" t="s">
        <v>148</v>
      </c>
      <c r="N79" s="98" t="s">
        <v>148</v>
      </c>
      <c r="O79" s="98" t="s">
        <v>148</v>
      </c>
      <c r="P79" s="98" t="s">
        <v>148</v>
      </c>
      <c r="Q79" s="98" t="s">
        <v>148</v>
      </c>
      <c r="R79" s="99" t="s">
        <v>147</v>
      </c>
      <c r="S79" s="99" t="s">
        <v>147</v>
      </c>
      <c r="T79" s="98" t="s">
        <v>148</v>
      </c>
      <c r="U79" s="98" t="s">
        <v>148</v>
      </c>
      <c r="V79" s="98" t="s">
        <v>148</v>
      </c>
      <c r="W79" s="98" t="s">
        <v>174</v>
      </c>
      <c r="X79" s="99" t="s">
        <v>147</v>
      </c>
      <c r="Y79" s="98" t="s">
        <v>148</v>
      </c>
      <c r="Z79" s="98" t="s">
        <v>148</v>
      </c>
      <c r="AA79" s="98" t="s">
        <v>148</v>
      </c>
      <c r="AB79" s="99" t="s">
        <v>147</v>
      </c>
      <c r="AC79" s="107" t="s">
        <v>148</v>
      </c>
      <c r="AD79" s="107" t="s">
        <v>148</v>
      </c>
      <c r="AE79" s="98" t="s">
        <v>148</v>
      </c>
      <c r="AF79" s="109" t="s">
        <v>147</v>
      </c>
      <c r="AG79" s="109" t="s">
        <v>147</v>
      </c>
      <c r="AH79" s="9"/>
      <c r="AI79" s="54">
        <f>SUM(D79:AG79)</f>
        <v>0</v>
      </c>
      <c r="AJ79" s="16">
        <f>AI79-AK79</f>
        <v>0</v>
      </c>
      <c r="AK79" s="5">
        <f>SUMIF(C79:AG79,"450")</f>
        <v>0</v>
      </c>
      <c r="AL79" s="16">
        <f>AJ79+AK79</f>
        <v>0</v>
      </c>
      <c r="AM79">
        <f>AQ79*450</f>
        <v>9450</v>
      </c>
      <c r="AN79">
        <f>AM79-AL79</f>
        <v>9450</v>
      </c>
      <c r="AO79">
        <f>AN79/AM79</f>
        <v>1</v>
      </c>
      <c r="AP79">
        <f>AQ79-(AS79+AT79)</f>
        <v>21</v>
      </c>
      <c r="AQ79">
        <f>30-AR79</f>
        <v>21</v>
      </c>
      <c r="AR79" s="5">
        <f>COUNTIF(D79:AF79,"RD")</f>
        <v>9</v>
      </c>
      <c r="AS79" s="5">
        <f>COUNTIF(D79:AG79,"VL")</f>
        <v>0</v>
      </c>
      <c r="AT79" s="5">
        <f>COUNTIF(D79:AG79,"LWOP")</f>
        <v>0</v>
      </c>
      <c r="AU79" s="5">
        <f>COUNTIF(D79:AI79,"450")</f>
        <v>0</v>
      </c>
    </row>
    <row r="80" spans="1:47">
      <c r="A80" s="10" t="s">
        <v>119</v>
      </c>
      <c r="B80" s="5" t="s">
        <v>26</v>
      </c>
      <c r="C80" s="11" t="s">
        <v>25</v>
      </c>
      <c r="D80" s="99" t="s">
        <v>147</v>
      </c>
      <c r="E80" s="99" t="s">
        <v>147</v>
      </c>
      <c r="F80" s="98" t="s">
        <v>148</v>
      </c>
      <c r="G80" s="98" t="s">
        <v>148</v>
      </c>
      <c r="H80" s="100">
        <v>5</v>
      </c>
      <c r="I80" s="98" t="s">
        <v>148</v>
      </c>
      <c r="J80" s="98" t="s">
        <v>148</v>
      </c>
      <c r="K80" s="99" t="s">
        <v>147</v>
      </c>
      <c r="L80" s="99" t="s">
        <v>147</v>
      </c>
      <c r="M80" s="98" t="s">
        <v>148</v>
      </c>
      <c r="N80" s="98" t="s">
        <v>148</v>
      </c>
      <c r="O80" s="98" t="s">
        <v>148</v>
      </c>
      <c r="P80" s="98" t="s">
        <v>148</v>
      </c>
      <c r="Q80" s="98" t="s">
        <v>148</v>
      </c>
      <c r="R80" s="99" t="s">
        <v>147</v>
      </c>
      <c r="S80" s="99" t="s">
        <v>147</v>
      </c>
      <c r="T80" s="98" t="s">
        <v>148</v>
      </c>
      <c r="U80" s="98" t="s">
        <v>148</v>
      </c>
      <c r="V80" s="98" t="s">
        <v>148</v>
      </c>
      <c r="W80" s="98" t="s">
        <v>148</v>
      </c>
      <c r="X80" s="98" t="s">
        <v>148</v>
      </c>
      <c r="Y80" s="99" t="s">
        <v>147</v>
      </c>
      <c r="Z80" s="99" t="s">
        <v>147</v>
      </c>
      <c r="AA80" s="98" t="s">
        <v>148</v>
      </c>
      <c r="AB80" s="98" t="s">
        <v>148</v>
      </c>
      <c r="AC80" s="107" t="s">
        <v>148</v>
      </c>
      <c r="AD80" s="107" t="s">
        <v>148</v>
      </c>
      <c r="AE80" s="98" t="s">
        <v>148</v>
      </c>
      <c r="AF80" s="99" t="s">
        <v>147</v>
      </c>
      <c r="AG80" s="102" t="s">
        <v>187</v>
      </c>
      <c r="AH80" s="9"/>
      <c r="AI80" s="54">
        <f t="shared" si="20"/>
        <v>5</v>
      </c>
      <c r="AJ80" s="16">
        <f>AI80-AK80</f>
        <v>5</v>
      </c>
      <c r="AK80" s="5">
        <f t="shared" si="21"/>
        <v>0</v>
      </c>
      <c r="AL80" s="16">
        <f>AJ80+AK80</f>
        <v>5</v>
      </c>
      <c r="AM80">
        <f>AQ80*450</f>
        <v>9450</v>
      </c>
      <c r="AN80">
        <f t="shared" si="22"/>
        <v>9445</v>
      </c>
      <c r="AO80">
        <f t="shared" si="23"/>
        <v>0.99947089947089951</v>
      </c>
      <c r="AP80">
        <f t="shared" si="24"/>
        <v>21</v>
      </c>
      <c r="AQ80">
        <f t="shared" si="25"/>
        <v>21</v>
      </c>
      <c r="AR80" s="5">
        <f t="shared" si="26"/>
        <v>9</v>
      </c>
      <c r="AS80" s="5">
        <f t="shared" si="27"/>
        <v>0</v>
      </c>
      <c r="AT80" s="5">
        <f t="shared" si="28"/>
        <v>0</v>
      </c>
      <c r="AU80" s="5">
        <f t="shared" si="29"/>
        <v>0</v>
      </c>
    </row>
    <row r="81" spans="1:110">
      <c r="A81" s="32" t="s">
        <v>120</v>
      </c>
      <c r="B81" s="5" t="s">
        <v>22</v>
      </c>
      <c r="C81" s="35" t="s">
        <v>30</v>
      </c>
      <c r="D81" s="98" t="s">
        <v>148</v>
      </c>
      <c r="E81" s="98" t="s">
        <v>148</v>
      </c>
      <c r="F81" s="98" t="s">
        <v>148</v>
      </c>
      <c r="G81" s="98" t="s">
        <v>148</v>
      </c>
      <c r="H81" s="99" t="s">
        <v>147</v>
      </c>
      <c r="I81" s="99" t="s">
        <v>147</v>
      </c>
      <c r="J81" s="98" t="s">
        <v>148</v>
      </c>
      <c r="K81" s="98" t="s">
        <v>148</v>
      </c>
      <c r="L81" s="100">
        <v>230</v>
      </c>
      <c r="M81" s="98" t="s">
        <v>148</v>
      </c>
      <c r="N81" s="98" t="s">
        <v>148</v>
      </c>
      <c r="O81" s="99" t="s">
        <v>147</v>
      </c>
      <c r="P81" s="99" t="s">
        <v>147</v>
      </c>
      <c r="Q81" s="98" t="s">
        <v>148</v>
      </c>
      <c r="R81" s="100">
        <v>240</v>
      </c>
      <c r="S81" s="102">
        <v>450</v>
      </c>
      <c r="T81" s="100">
        <v>48</v>
      </c>
      <c r="U81" s="98" t="s">
        <v>174</v>
      </c>
      <c r="V81" s="99" t="s">
        <v>147</v>
      </c>
      <c r="W81" s="99" t="s">
        <v>147</v>
      </c>
      <c r="X81" s="98" t="s">
        <v>148</v>
      </c>
      <c r="Y81" s="102">
        <v>450</v>
      </c>
      <c r="Z81" s="102">
        <v>450</v>
      </c>
      <c r="AA81" s="98" t="s">
        <v>148</v>
      </c>
      <c r="AB81" s="98" t="s">
        <v>148</v>
      </c>
      <c r="AC81" s="99" t="s">
        <v>147</v>
      </c>
      <c r="AD81" s="99" t="s">
        <v>147</v>
      </c>
      <c r="AE81" s="104" t="s">
        <v>12</v>
      </c>
      <c r="AF81" s="104" t="s">
        <v>12</v>
      </c>
      <c r="AG81" s="104" t="s">
        <v>12</v>
      </c>
      <c r="AH81" s="9"/>
      <c r="AI81" s="54">
        <f t="shared" si="20"/>
        <v>1868</v>
      </c>
      <c r="AJ81" s="16">
        <f>AI81-AK81</f>
        <v>518</v>
      </c>
      <c r="AK81" s="5">
        <f t="shared" si="21"/>
        <v>1350</v>
      </c>
      <c r="AL81" s="16">
        <f>AJ81+AK81</f>
        <v>1868</v>
      </c>
      <c r="AM81">
        <f>AQ81*450</f>
        <v>9900</v>
      </c>
      <c r="AN81">
        <f t="shared" si="22"/>
        <v>8032</v>
      </c>
      <c r="AO81">
        <f t="shared" si="23"/>
        <v>0.81131313131313132</v>
      </c>
      <c r="AP81">
        <f t="shared" si="24"/>
        <v>19</v>
      </c>
      <c r="AQ81">
        <f t="shared" si="25"/>
        <v>22</v>
      </c>
      <c r="AR81" s="5">
        <f t="shared" si="26"/>
        <v>8</v>
      </c>
      <c r="AS81" s="5">
        <f t="shared" si="27"/>
        <v>3</v>
      </c>
      <c r="AT81" s="5">
        <f t="shared" si="28"/>
        <v>0</v>
      </c>
      <c r="AU81" s="5">
        <f t="shared" si="29"/>
        <v>3</v>
      </c>
    </row>
    <row r="82" spans="1:110">
      <c r="A82" s="32" t="s">
        <v>122</v>
      </c>
      <c r="B82" s="5" t="s">
        <v>22</v>
      </c>
      <c r="C82" s="35" t="s">
        <v>30</v>
      </c>
      <c r="D82" s="98" t="s">
        <v>148</v>
      </c>
      <c r="E82" s="98" t="s">
        <v>148</v>
      </c>
      <c r="F82" s="98" t="s">
        <v>148</v>
      </c>
      <c r="G82" s="98" t="s">
        <v>148</v>
      </c>
      <c r="H82" s="99" t="s">
        <v>147</v>
      </c>
      <c r="I82" s="99" t="s">
        <v>147</v>
      </c>
      <c r="J82" s="98" t="s">
        <v>148</v>
      </c>
      <c r="K82" s="98" t="s">
        <v>148</v>
      </c>
      <c r="L82" s="98" t="s">
        <v>148</v>
      </c>
      <c r="M82" s="98" t="s">
        <v>148</v>
      </c>
      <c r="N82" s="98" t="s">
        <v>148</v>
      </c>
      <c r="O82" s="99" t="s">
        <v>147</v>
      </c>
      <c r="P82" s="99" t="s">
        <v>147</v>
      </c>
      <c r="Q82" s="98" t="s">
        <v>148</v>
      </c>
      <c r="R82" s="98" t="s">
        <v>148</v>
      </c>
      <c r="S82" s="98" t="s">
        <v>148</v>
      </c>
      <c r="T82" s="98" t="s">
        <v>148</v>
      </c>
      <c r="U82" s="98" t="s">
        <v>148</v>
      </c>
      <c r="V82" s="99" t="s">
        <v>147</v>
      </c>
      <c r="W82" s="99" t="s">
        <v>147</v>
      </c>
      <c r="X82" s="98" t="s">
        <v>148</v>
      </c>
      <c r="Y82" s="98" t="s">
        <v>148</v>
      </c>
      <c r="Z82" s="98" t="s">
        <v>148</v>
      </c>
      <c r="AA82" s="98" t="s">
        <v>148</v>
      </c>
      <c r="AB82" s="98" t="s">
        <v>148</v>
      </c>
      <c r="AC82" s="99" t="s">
        <v>147</v>
      </c>
      <c r="AD82" s="99" t="s">
        <v>147</v>
      </c>
      <c r="AE82" s="98" t="s">
        <v>148</v>
      </c>
      <c r="AF82" s="98" t="s">
        <v>148</v>
      </c>
      <c r="AG82" s="98" t="s">
        <v>148</v>
      </c>
      <c r="AH82" s="9"/>
      <c r="AI82" s="54">
        <f t="shared" si="20"/>
        <v>0</v>
      </c>
      <c r="AJ82" s="16">
        <f>AI82-AK82</f>
        <v>0</v>
      </c>
      <c r="AK82" s="5">
        <f t="shared" si="21"/>
        <v>0</v>
      </c>
      <c r="AL82" s="16">
        <f>AJ82+AK82</f>
        <v>0</v>
      </c>
      <c r="AM82">
        <f>AQ82*450</f>
        <v>9900</v>
      </c>
      <c r="AN82">
        <f t="shared" si="22"/>
        <v>9900</v>
      </c>
      <c r="AO82">
        <f t="shared" si="23"/>
        <v>1</v>
      </c>
      <c r="AP82">
        <f t="shared" si="24"/>
        <v>22</v>
      </c>
      <c r="AQ82">
        <f t="shared" si="25"/>
        <v>22</v>
      </c>
      <c r="AR82" s="5">
        <f t="shared" si="26"/>
        <v>8</v>
      </c>
      <c r="AS82" s="5">
        <f t="shared" si="27"/>
        <v>0</v>
      </c>
      <c r="AT82" s="5">
        <f t="shared" si="28"/>
        <v>0</v>
      </c>
      <c r="AU82" s="5">
        <f t="shared" si="29"/>
        <v>0</v>
      </c>
    </row>
    <row r="83" spans="1:110">
      <c r="A83" s="10" t="s">
        <v>123</v>
      </c>
      <c r="B83" s="5" t="s">
        <v>26</v>
      </c>
      <c r="C83" s="11" t="s">
        <v>40</v>
      </c>
      <c r="D83" s="98" t="s">
        <v>148</v>
      </c>
      <c r="E83" s="98" t="s">
        <v>148</v>
      </c>
      <c r="F83" s="98" t="s">
        <v>148</v>
      </c>
      <c r="G83" s="98" t="s">
        <v>148</v>
      </c>
      <c r="H83" s="98" t="s">
        <v>148</v>
      </c>
      <c r="I83" s="99" t="s">
        <v>147</v>
      </c>
      <c r="J83" s="99" t="s">
        <v>147</v>
      </c>
      <c r="K83" s="98" t="s">
        <v>148</v>
      </c>
      <c r="L83" s="98" t="s">
        <v>148</v>
      </c>
      <c r="M83" s="98" t="s">
        <v>148</v>
      </c>
      <c r="N83" s="98" t="s">
        <v>148</v>
      </c>
      <c r="O83" s="99" t="s">
        <v>147</v>
      </c>
      <c r="P83" s="99" t="s">
        <v>147</v>
      </c>
      <c r="Q83" s="98" t="s">
        <v>148</v>
      </c>
      <c r="R83" s="98" t="s">
        <v>148</v>
      </c>
      <c r="S83" s="98" t="s">
        <v>148</v>
      </c>
      <c r="T83" s="98" t="s">
        <v>148</v>
      </c>
      <c r="U83" s="98" t="s">
        <v>174</v>
      </c>
      <c r="V83" s="99" t="s">
        <v>147</v>
      </c>
      <c r="W83" s="99" t="s">
        <v>147</v>
      </c>
      <c r="X83" s="98" t="s">
        <v>148</v>
      </c>
      <c r="Y83" s="98" t="s">
        <v>148</v>
      </c>
      <c r="Z83" s="98" t="s">
        <v>148</v>
      </c>
      <c r="AA83" s="98" t="s">
        <v>148</v>
      </c>
      <c r="AB83" s="98" t="s">
        <v>148</v>
      </c>
      <c r="AC83" s="99" t="s">
        <v>147</v>
      </c>
      <c r="AD83" s="99" t="s">
        <v>147</v>
      </c>
      <c r="AE83" s="98" t="s">
        <v>148</v>
      </c>
      <c r="AF83" s="98" t="s">
        <v>148</v>
      </c>
      <c r="AG83" s="98" t="s">
        <v>148</v>
      </c>
      <c r="AH83" s="9"/>
      <c r="AI83" s="54">
        <f t="shared" si="20"/>
        <v>0</v>
      </c>
      <c r="AJ83" s="16">
        <f>AI83-AK83</f>
        <v>0</v>
      </c>
      <c r="AK83" s="5">
        <f t="shared" si="21"/>
        <v>0</v>
      </c>
      <c r="AL83" s="16">
        <f>AJ83+AK83</f>
        <v>0</v>
      </c>
      <c r="AM83">
        <f>AQ83*450</f>
        <v>9900</v>
      </c>
      <c r="AN83">
        <f t="shared" si="22"/>
        <v>9900</v>
      </c>
      <c r="AO83">
        <f t="shared" si="23"/>
        <v>1</v>
      </c>
      <c r="AP83">
        <f t="shared" si="24"/>
        <v>22</v>
      </c>
      <c r="AQ83">
        <f t="shared" si="25"/>
        <v>22</v>
      </c>
      <c r="AR83" s="5">
        <f t="shared" si="26"/>
        <v>8</v>
      </c>
      <c r="AS83" s="5">
        <f t="shared" si="27"/>
        <v>0</v>
      </c>
      <c r="AT83" s="5">
        <f t="shared" si="28"/>
        <v>0</v>
      </c>
      <c r="AU83" s="5">
        <f t="shared" si="29"/>
        <v>0</v>
      </c>
    </row>
    <row r="84" spans="1:110">
      <c r="A84" s="10" t="s">
        <v>124</v>
      </c>
      <c r="B84" s="5" t="s">
        <v>26</v>
      </c>
      <c r="C84" s="34" t="s">
        <v>40</v>
      </c>
      <c r="D84" s="100">
        <v>12</v>
      </c>
      <c r="E84" s="98" t="s">
        <v>148</v>
      </c>
      <c r="F84" s="98" t="s">
        <v>148</v>
      </c>
      <c r="G84" s="98" t="s">
        <v>148</v>
      </c>
      <c r="H84" s="99" t="s">
        <v>147</v>
      </c>
      <c r="I84" s="99" t="s">
        <v>147</v>
      </c>
      <c r="J84" s="98" t="s">
        <v>148</v>
      </c>
      <c r="K84" s="98" t="s">
        <v>148</v>
      </c>
      <c r="L84" s="98" t="s">
        <v>148</v>
      </c>
      <c r="M84" s="98" t="s">
        <v>148</v>
      </c>
      <c r="N84" s="98" t="s">
        <v>148</v>
      </c>
      <c r="O84" s="99" t="s">
        <v>147</v>
      </c>
      <c r="P84" s="99" t="s">
        <v>147</v>
      </c>
      <c r="Q84" s="98" t="s">
        <v>148</v>
      </c>
      <c r="R84" s="98" t="s">
        <v>148</v>
      </c>
      <c r="S84" s="98" t="s">
        <v>148</v>
      </c>
      <c r="T84" s="98" t="s">
        <v>148</v>
      </c>
      <c r="U84" s="98" t="s">
        <v>148</v>
      </c>
      <c r="V84" s="99" t="s">
        <v>147</v>
      </c>
      <c r="W84" s="99" t="s">
        <v>147</v>
      </c>
      <c r="X84" s="98" t="s">
        <v>148</v>
      </c>
      <c r="Y84" s="98" t="s">
        <v>148</v>
      </c>
      <c r="Z84" s="98" t="s">
        <v>148</v>
      </c>
      <c r="AA84" s="98" t="s">
        <v>148</v>
      </c>
      <c r="AB84" s="98" t="s">
        <v>148</v>
      </c>
      <c r="AC84" s="99" t="s">
        <v>147</v>
      </c>
      <c r="AD84" s="99" t="s">
        <v>147</v>
      </c>
      <c r="AE84" s="98" t="s">
        <v>148</v>
      </c>
      <c r="AF84" s="98" t="s">
        <v>148</v>
      </c>
      <c r="AG84" s="102" t="s">
        <v>187</v>
      </c>
      <c r="AH84" s="9"/>
      <c r="AI84" s="54">
        <f>SUM(D84:AG84)</f>
        <v>12</v>
      </c>
      <c r="AJ84" s="16">
        <f>AI84-AK84</f>
        <v>12</v>
      </c>
      <c r="AK84" s="5">
        <f>SUMIF(C84:AG84,"450")</f>
        <v>0</v>
      </c>
      <c r="AL84" s="16">
        <f>AJ84+AK84</f>
        <v>12</v>
      </c>
      <c r="AM84">
        <f>AQ84*450</f>
        <v>9900</v>
      </c>
      <c r="AN84">
        <f t="shared" si="22"/>
        <v>9888</v>
      </c>
      <c r="AO84">
        <f t="shared" si="23"/>
        <v>0.99878787878787878</v>
      </c>
      <c r="AP84">
        <f t="shared" si="24"/>
        <v>22</v>
      </c>
      <c r="AQ84">
        <f t="shared" si="25"/>
        <v>22</v>
      </c>
      <c r="AR84" s="5">
        <f>COUNTIF(D84:AF84,"RD")</f>
        <v>8</v>
      </c>
      <c r="AS84" s="5">
        <f>COUNTIF(D84:AG84,"VL")</f>
        <v>0</v>
      </c>
      <c r="AT84" s="5">
        <f>COUNTIF(D84:AG84,"LWOP")</f>
        <v>0</v>
      </c>
      <c r="AU84" s="5">
        <f>COUNTIF(D84:AI84,"450")</f>
        <v>0</v>
      </c>
    </row>
    <row r="85" spans="1:110">
      <c r="A85" s="32" t="s">
        <v>125</v>
      </c>
      <c r="B85" s="5" t="s">
        <v>22</v>
      </c>
      <c r="C85" s="35" t="s">
        <v>25</v>
      </c>
      <c r="D85" s="98" t="s">
        <v>148</v>
      </c>
      <c r="E85" s="98" t="s">
        <v>148</v>
      </c>
      <c r="F85" s="98" t="s">
        <v>148</v>
      </c>
      <c r="G85" s="98" t="s">
        <v>148</v>
      </c>
      <c r="H85" s="99" t="s">
        <v>147</v>
      </c>
      <c r="I85" s="99" t="s">
        <v>147</v>
      </c>
      <c r="J85" s="98" t="s">
        <v>148</v>
      </c>
      <c r="K85" s="100">
        <v>9</v>
      </c>
      <c r="L85" s="100">
        <v>2</v>
      </c>
      <c r="M85" s="98" t="s">
        <v>148</v>
      </c>
      <c r="N85" s="100">
        <v>9</v>
      </c>
      <c r="O85" s="99" t="s">
        <v>147</v>
      </c>
      <c r="P85" s="99" t="s">
        <v>147</v>
      </c>
      <c r="Q85" s="102">
        <v>450</v>
      </c>
      <c r="R85" s="100">
        <v>4</v>
      </c>
      <c r="S85" s="100">
        <v>6</v>
      </c>
      <c r="T85" s="100">
        <v>2</v>
      </c>
      <c r="U85" s="98" t="s">
        <v>148</v>
      </c>
      <c r="V85" s="99" t="s">
        <v>147</v>
      </c>
      <c r="W85" s="99" t="s">
        <v>147</v>
      </c>
      <c r="X85" s="102">
        <v>450</v>
      </c>
      <c r="Y85" s="102">
        <v>450</v>
      </c>
      <c r="Z85" s="102">
        <v>450</v>
      </c>
      <c r="AA85" s="98" t="s">
        <v>148</v>
      </c>
      <c r="AB85" s="98" t="s">
        <v>148</v>
      </c>
      <c r="AC85" s="99" t="s">
        <v>147</v>
      </c>
      <c r="AD85" s="99" t="s">
        <v>147</v>
      </c>
      <c r="AE85" s="100">
        <v>2</v>
      </c>
      <c r="AF85" s="100">
        <v>7</v>
      </c>
      <c r="AG85" s="100">
        <v>2</v>
      </c>
      <c r="AH85" s="9"/>
      <c r="AI85" s="54">
        <f t="shared" si="20"/>
        <v>1843</v>
      </c>
      <c r="AJ85" s="16">
        <f>AI85-AK85</f>
        <v>43</v>
      </c>
      <c r="AK85" s="5">
        <f t="shared" si="21"/>
        <v>1800</v>
      </c>
      <c r="AL85" s="16">
        <f>AJ85+AK85</f>
        <v>1843</v>
      </c>
      <c r="AM85">
        <f>AQ85*450</f>
        <v>9900</v>
      </c>
      <c r="AN85">
        <f t="shared" si="22"/>
        <v>8057</v>
      </c>
      <c r="AO85">
        <f t="shared" si="23"/>
        <v>0.81383838383838381</v>
      </c>
      <c r="AP85">
        <f t="shared" si="24"/>
        <v>22</v>
      </c>
      <c r="AQ85">
        <f t="shared" si="25"/>
        <v>22</v>
      </c>
      <c r="AR85" s="5">
        <f t="shared" si="26"/>
        <v>8</v>
      </c>
      <c r="AS85" s="5">
        <f t="shared" si="27"/>
        <v>0</v>
      </c>
      <c r="AT85" s="5">
        <f t="shared" si="28"/>
        <v>0</v>
      </c>
      <c r="AU85" s="5">
        <f t="shared" si="29"/>
        <v>4</v>
      </c>
    </row>
    <row r="86" spans="1:110">
      <c r="A86" s="10" t="s">
        <v>126</v>
      </c>
      <c r="B86" s="5" t="s">
        <v>26</v>
      </c>
      <c r="C86" s="11" t="s">
        <v>30</v>
      </c>
      <c r="D86" s="100">
        <v>9</v>
      </c>
      <c r="E86" s="98" t="s">
        <v>148</v>
      </c>
      <c r="F86" s="99" t="s">
        <v>147</v>
      </c>
      <c r="G86" s="99" t="s">
        <v>147</v>
      </c>
      <c r="H86" s="98" t="s">
        <v>148</v>
      </c>
      <c r="I86" s="102">
        <v>450</v>
      </c>
      <c r="J86" s="98" t="s">
        <v>148</v>
      </c>
      <c r="K86" s="98" t="s">
        <v>148</v>
      </c>
      <c r="L86" s="98" t="s">
        <v>148</v>
      </c>
      <c r="M86" s="99" t="s">
        <v>147</v>
      </c>
      <c r="N86" s="99" t="s">
        <v>147</v>
      </c>
      <c r="O86" s="98" t="s">
        <v>14</v>
      </c>
      <c r="P86" s="98" t="s">
        <v>148</v>
      </c>
      <c r="Q86" s="98" t="s">
        <v>148</v>
      </c>
      <c r="R86" s="98" t="s">
        <v>148</v>
      </c>
      <c r="S86" s="98" t="s">
        <v>148</v>
      </c>
      <c r="T86" s="99" t="s">
        <v>147</v>
      </c>
      <c r="U86" s="99" t="s">
        <v>147</v>
      </c>
      <c r="V86" s="102">
        <v>450</v>
      </c>
      <c r="W86" s="98" t="s">
        <v>148</v>
      </c>
      <c r="X86" s="102">
        <v>450</v>
      </c>
      <c r="Y86" s="102">
        <v>450</v>
      </c>
      <c r="Z86" s="99" t="s">
        <v>147</v>
      </c>
      <c r="AA86" s="98" t="s">
        <v>148</v>
      </c>
      <c r="AB86" s="99" t="s">
        <v>147</v>
      </c>
      <c r="AC86" s="100">
        <v>89</v>
      </c>
      <c r="AD86" s="107" t="s">
        <v>148</v>
      </c>
      <c r="AE86" s="98" t="s">
        <v>148</v>
      </c>
      <c r="AF86" s="107" t="s">
        <v>148</v>
      </c>
      <c r="AG86" s="107" t="s">
        <v>148</v>
      </c>
      <c r="AH86" s="9"/>
      <c r="AI86" s="54">
        <f t="shared" si="20"/>
        <v>1898</v>
      </c>
      <c r="AJ86" s="16">
        <f>AI86-AK86</f>
        <v>98</v>
      </c>
      <c r="AK86" s="5">
        <f t="shared" si="21"/>
        <v>1800</v>
      </c>
      <c r="AL86" s="16">
        <f>AJ86+AK86</f>
        <v>1898</v>
      </c>
      <c r="AM86">
        <f>AQ86*450</f>
        <v>9900</v>
      </c>
      <c r="AN86">
        <f t="shared" si="22"/>
        <v>8002</v>
      </c>
      <c r="AO86">
        <f t="shared" si="23"/>
        <v>0.80828282828282827</v>
      </c>
      <c r="AP86">
        <f t="shared" si="24"/>
        <v>21</v>
      </c>
      <c r="AQ86">
        <f t="shared" si="25"/>
        <v>22</v>
      </c>
      <c r="AR86" s="5">
        <f t="shared" si="26"/>
        <v>8</v>
      </c>
      <c r="AS86" s="5">
        <f t="shared" si="27"/>
        <v>0</v>
      </c>
      <c r="AT86" s="5">
        <f t="shared" si="28"/>
        <v>1</v>
      </c>
      <c r="AU86" s="5">
        <f t="shared" si="29"/>
        <v>4</v>
      </c>
    </row>
    <row r="87" spans="1:110">
      <c r="A87" s="32" t="s">
        <v>127</v>
      </c>
      <c r="B87" s="5" t="s">
        <v>22</v>
      </c>
      <c r="C87" s="35" t="s">
        <v>33</v>
      </c>
      <c r="D87" s="98" t="s">
        <v>148</v>
      </c>
      <c r="E87" s="98" t="s">
        <v>148</v>
      </c>
      <c r="F87" s="98" t="s">
        <v>148</v>
      </c>
      <c r="G87" s="98" t="s">
        <v>148</v>
      </c>
      <c r="H87" s="99" t="s">
        <v>147</v>
      </c>
      <c r="I87" s="99" t="s">
        <v>147</v>
      </c>
      <c r="J87" s="98" t="s">
        <v>148</v>
      </c>
      <c r="K87" s="98" t="s">
        <v>148</v>
      </c>
      <c r="L87" s="98" t="s">
        <v>148</v>
      </c>
      <c r="M87" s="98" t="s">
        <v>148</v>
      </c>
      <c r="N87" s="100">
        <v>2</v>
      </c>
      <c r="O87" s="99" t="s">
        <v>147</v>
      </c>
      <c r="P87" s="99" t="s">
        <v>147</v>
      </c>
      <c r="Q87" s="98" t="s">
        <v>148</v>
      </c>
      <c r="R87" s="98" t="s">
        <v>148</v>
      </c>
      <c r="S87" s="102">
        <v>450</v>
      </c>
      <c r="T87" s="100">
        <v>2</v>
      </c>
      <c r="U87" s="98" t="s">
        <v>148</v>
      </c>
      <c r="V87" s="99" t="s">
        <v>147</v>
      </c>
      <c r="W87" s="99" t="s">
        <v>147</v>
      </c>
      <c r="X87" s="102">
        <v>450</v>
      </c>
      <c r="Y87" s="98" t="s">
        <v>148</v>
      </c>
      <c r="Z87" s="98" t="s">
        <v>148</v>
      </c>
      <c r="AA87" s="98" t="s">
        <v>148</v>
      </c>
      <c r="AB87" s="98" t="s">
        <v>148</v>
      </c>
      <c r="AC87" s="99" t="s">
        <v>147</v>
      </c>
      <c r="AD87" s="99" t="s">
        <v>147</v>
      </c>
      <c r="AE87" s="100">
        <v>56</v>
      </c>
      <c r="AF87" s="98" t="s">
        <v>148</v>
      </c>
      <c r="AG87" s="98" t="s">
        <v>174</v>
      </c>
      <c r="AH87" s="9"/>
      <c r="AI87" s="54">
        <f t="shared" si="20"/>
        <v>960</v>
      </c>
      <c r="AJ87" s="16">
        <f>AI87-AK87</f>
        <v>60</v>
      </c>
      <c r="AK87" s="5">
        <f t="shared" si="21"/>
        <v>900</v>
      </c>
      <c r="AL87" s="16">
        <f>AJ87+AK87</f>
        <v>960</v>
      </c>
      <c r="AM87">
        <f>AQ87*450</f>
        <v>9900</v>
      </c>
      <c r="AN87">
        <f t="shared" si="22"/>
        <v>8940</v>
      </c>
      <c r="AO87">
        <f t="shared" si="23"/>
        <v>0.90303030303030307</v>
      </c>
      <c r="AP87">
        <f t="shared" si="24"/>
        <v>22</v>
      </c>
      <c r="AQ87">
        <f t="shared" si="25"/>
        <v>22</v>
      </c>
      <c r="AR87" s="5">
        <f t="shared" si="26"/>
        <v>8</v>
      </c>
      <c r="AS87" s="5">
        <f t="shared" si="27"/>
        <v>0</v>
      </c>
      <c r="AT87" s="5">
        <f t="shared" si="28"/>
        <v>0</v>
      </c>
      <c r="AU87" s="5">
        <f t="shared" si="29"/>
        <v>2</v>
      </c>
    </row>
    <row r="88" spans="1:110">
      <c r="A88" s="32" t="s">
        <v>128</v>
      </c>
      <c r="B88" s="5" t="s">
        <v>22</v>
      </c>
      <c r="C88" s="35" t="s">
        <v>33</v>
      </c>
      <c r="D88" s="98" t="s">
        <v>148</v>
      </c>
      <c r="E88" s="98" t="s">
        <v>148</v>
      </c>
      <c r="F88" s="98" t="s">
        <v>148</v>
      </c>
      <c r="G88" s="98" t="s">
        <v>148</v>
      </c>
      <c r="H88" s="99" t="s">
        <v>147</v>
      </c>
      <c r="I88" s="99" t="s">
        <v>147</v>
      </c>
      <c r="J88" s="98" t="s">
        <v>148</v>
      </c>
      <c r="K88" s="98" t="s">
        <v>148</v>
      </c>
      <c r="L88" s="100">
        <v>6</v>
      </c>
      <c r="M88" s="98" t="s">
        <v>148</v>
      </c>
      <c r="N88" s="100">
        <v>264</v>
      </c>
      <c r="O88" s="99" t="s">
        <v>147</v>
      </c>
      <c r="P88" s="99" t="s">
        <v>147</v>
      </c>
      <c r="Q88" s="102">
        <v>450</v>
      </c>
      <c r="R88" s="98" t="s">
        <v>148</v>
      </c>
      <c r="S88" s="100">
        <v>1</v>
      </c>
      <c r="T88" s="100">
        <v>1</v>
      </c>
      <c r="U88" s="98" t="s">
        <v>148</v>
      </c>
      <c r="V88" s="99" t="s">
        <v>147</v>
      </c>
      <c r="W88" s="99" t="s">
        <v>147</v>
      </c>
      <c r="X88" s="102">
        <v>450</v>
      </c>
      <c r="Y88" s="102">
        <v>450</v>
      </c>
      <c r="Z88" s="98" t="s">
        <v>148</v>
      </c>
      <c r="AA88" s="102">
        <v>450</v>
      </c>
      <c r="AB88" s="98" t="s">
        <v>148</v>
      </c>
      <c r="AC88" s="99" t="s">
        <v>147</v>
      </c>
      <c r="AD88" s="99" t="s">
        <v>147</v>
      </c>
      <c r="AE88" s="98" t="s">
        <v>148</v>
      </c>
      <c r="AF88" s="98" t="s">
        <v>148</v>
      </c>
      <c r="AG88" s="98" t="s">
        <v>148</v>
      </c>
      <c r="AH88" s="9"/>
      <c r="AI88" s="54">
        <f t="shared" si="20"/>
        <v>2072</v>
      </c>
      <c r="AJ88" s="16">
        <f>AI88-AK88</f>
        <v>272</v>
      </c>
      <c r="AK88" s="5">
        <f t="shared" si="21"/>
        <v>1800</v>
      </c>
      <c r="AL88" s="16">
        <f>AJ88+AK88</f>
        <v>2072</v>
      </c>
      <c r="AM88">
        <f>AQ88*450</f>
        <v>9900</v>
      </c>
      <c r="AN88">
        <f t="shared" si="22"/>
        <v>7828</v>
      </c>
      <c r="AO88">
        <f t="shared" si="23"/>
        <v>0.79070707070707069</v>
      </c>
      <c r="AP88">
        <f t="shared" si="24"/>
        <v>22</v>
      </c>
      <c r="AQ88">
        <f t="shared" si="25"/>
        <v>22</v>
      </c>
      <c r="AR88" s="5">
        <f t="shared" si="26"/>
        <v>8</v>
      </c>
      <c r="AS88" s="5">
        <f t="shared" si="27"/>
        <v>0</v>
      </c>
      <c r="AT88" s="5">
        <f t="shared" si="28"/>
        <v>0</v>
      </c>
      <c r="AU88" s="5">
        <f t="shared" si="29"/>
        <v>4</v>
      </c>
    </row>
    <row r="89" spans="1:110">
      <c r="A89" s="32" t="s">
        <v>129</v>
      </c>
      <c r="B89" s="5" t="s">
        <v>22</v>
      </c>
      <c r="C89" s="35" t="s">
        <v>56</v>
      </c>
      <c r="D89" s="98" t="s">
        <v>148</v>
      </c>
      <c r="E89" s="98" t="s">
        <v>148</v>
      </c>
      <c r="F89" s="98" t="s">
        <v>148</v>
      </c>
      <c r="G89" s="98" t="s">
        <v>148</v>
      </c>
      <c r="H89" s="99" t="s">
        <v>147</v>
      </c>
      <c r="I89" s="99" t="s">
        <v>147</v>
      </c>
      <c r="J89" s="98" t="s">
        <v>148</v>
      </c>
      <c r="K89" s="98" t="s">
        <v>148</v>
      </c>
      <c r="L89" s="102">
        <v>450</v>
      </c>
      <c r="M89" s="98" t="s">
        <v>148</v>
      </c>
      <c r="N89" s="98" t="s">
        <v>148</v>
      </c>
      <c r="O89" s="99" t="s">
        <v>147</v>
      </c>
      <c r="P89" s="99" t="s">
        <v>147</v>
      </c>
      <c r="Q89" s="98" t="s">
        <v>148</v>
      </c>
      <c r="R89" s="100">
        <v>13</v>
      </c>
      <c r="S89" s="100">
        <v>14</v>
      </c>
      <c r="T89" s="98" t="s">
        <v>148</v>
      </c>
      <c r="U89" s="98" t="s">
        <v>148</v>
      </c>
      <c r="V89" s="99" t="s">
        <v>147</v>
      </c>
      <c r="W89" s="99" t="s">
        <v>147</v>
      </c>
      <c r="X89" s="102">
        <v>450</v>
      </c>
      <c r="Y89" s="98" t="s">
        <v>148</v>
      </c>
      <c r="Z89" s="98" t="s">
        <v>148</v>
      </c>
      <c r="AA89" s="102">
        <v>450</v>
      </c>
      <c r="AB89" s="98" t="s">
        <v>148</v>
      </c>
      <c r="AC89" s="99" t="s">
        <v>147</v>
      </c>
      <c r="AD89" s="99" t="s">
        <v>147</v>
      </c>
      <c r="AE89" s="98" t="s">
        <v>148</v>
      </c>
      <c r="AF89" s="100">
        <v>11</v>
      </c>
      <c r="AG89" s="100">
        <v>3</v>
      </c>
      <c r="AH89" s="9"/>
      <c r="AI89" s="54">
        <f t="shared" si="20"/>
        <v>1391</v>
      </c>
      <c r="AJ89" s="16">
        <f>AI89-AK89</f>
        <v>41</v>
      </c>
      <c r="AK89" s="5">
        <f t="shared" si="21"/>
        <v>1350</v>
      </c>
      <c r="AL89" s="16">
        <f>AJ89+AK89</f>
        <v>1391</v>
      </c>
      <c r="AM89">
        <f>AQ89*450</f>
        <v>9900</v>
      </c>
      <c r="AN89">
        <f t="shared" si="22"/>
        <v>8509</v>
      </c>
      <c r="AO89">
        <f t="shared" si="23"/>
        <v>0.85949494949494953</v>
      </c>
      <c r="AP89">
        <f t="shared" si="24"/>
        <v>22</v>
      </c>
      <c r="AQ89">
        <f t="shared" si="25"/>
        <v>22</v>
      </c>
      <c r="AR89" s="5">
        <f t="shared" si="26"/>
        <v>8</v>
      </c>
      <c r="AS89" s="5">
        <f t="shared" si="27"/>
        <v>0</v>
      </c>
      <c r="AT89" s="5">
        <f t="shared" si="28"/>
        <v>0</v>
      </c>
      <c r="AU89" s="5">
        <f t="shared" si="29"/>
        <v>3</v>
      </c>
    </row>
    <row r="90" spans="1:110">
      <c r="A90" s="10" t="s">
        <v>131</v>
      </c>
      <c r="B90" s="5" t="s">
        <v>26</v>
      </c>
      <c r="C90" s="11" t="s">
        <v>33</v>
      </c>
      <c r="D90" s="98" t="s">
        <v>148</v>
      </c>
      <c r="E90" s="98" t="s">
        <v>148</v>
      </c>
      <c r="F90" s="98" t="s">
        <v>148</v>
      </c>
      <c r="G90" s="102">
        <v>450</v>
      </c>
      <c r="H90" s="99" t="s">
        <v>147</v>
      </c>
      <c r="I90" s="99" t="s">
        <v>147</v>
      </c>
      <c r="J90" s="100">
        <v>18</v>
      </c>
      <c r="K90" s="98" t="s">
        <v>148</v>
      </c>
      <c r="L90" s="100">
        <v>47</v>
      </c>
      <c r="M90" s="102">
        <v>450</v>
      </c>
      <c r="N90" s="100">
        <v>43</v>
      </c>
      <c r="O90" s="99" t="s">
        <v>147</v>
      </c>
      <c r="P90" s="99" t="s">
        <v>147</v>
      </c>
      <c r="Q90" s="100">
        <v>7</v>
      </c>
      <c r="R90" s="100">
        <v>11</v>
      </c>
      <c r="S90" s="100">
        <v>13</v>
      </c>
      <c r="T90" s="100">
        <v>24</v>
      </c>
      <c r="U90" s="102">
        <v>450</v>
      </c>
      <c r="V90" s="99" t="s">
        <v>147</v>
      </c>
      <c r="W90" s="99" t="s">
        <v>147</v>
      </c>
      <c r="X90" s="102">
        <v>450</v>
      </c>
      <c r="Y90" s="99" t="s">
        <v>147</v>
      </c>
      <c r="Z90" s="98" t="s">
        <v>148</v>
      </c>
      <c r="AA90" s="98" t="s">
        <v>148</v>
      </c>
      <c r="AB90" s="102">
        <v>450</v>
      </c>
      <c r="AC90" s="99" t="s">
        <v>147</v>
      </c>
      <c r="AD90" s="98" t="s">
        <v>148</v>
      </c>
      <c r="AE90" s="98" t="s">
        <v>148</v>
      </c>
      <c r="AF90" s="99" t="s">
        <v>147</v>
      </c>
      <c r="AG90" s="98" t="s">
        <v>148</v>
      </c>
      <c r="AH90" s="9"/>
      <c r="AI90" s="54">
        <f t="shared" si="20"/>
        <v>2413</v>
      </c>
      <c r="AJ90" s="16">
        <f>AI90-AK90</f>
        <v>163</v>
      </c>
      <c r="AK90" s="5">
        <f t="shared" si="21"/>
        <v>2250</v>
      </c>
      <c r="AL90" s="16">
        <f>AJ90+AK90</f>
        <v>2413</v>
      </c>
      <c r="AM90">
        <f>AQ90*450</f>
        <v>9450</v>
      </c>
      <c r="AN90">
        <f t="shared" si="22"/>
        <v>7037</v>
      </c>
      <c r="AO90">
        <f t="shared" si="23"/>
        <v>0.74465608465608468</v>
      </c>
      <c r="AP90">
        <f t="shared" si="24"/>
        <v>21</v>
      </c>
      <c r="AQ90">
        <f t="shared" si="25"/>
        <v>21</v>
      </c>
      <c r="AR90" s="5">
        <f t="shared" si="26"/>
        <v>9</v>
      </c>
      <c r="AS90" s="5">
        <f t="shared" si="27"/>
        <v>0</v>
      </c>
      <c r="AT90" s="5">
        <f t="shared" si="28"/>
        <v>0</v>
      </c>
      <c r="AU90" s="5">
        <f t="shared" si="29"/>
        <v>5</v>
      </c>
    </row>
    <row r="91" spans="1:110">
      <c r="A91" s="10" t="s">
        <v>133</v>
      </c>
      <c r="B91" s="5" t="s">
        <v>26</v>
      </c>
      <c r="C91" s="11" t="s">
        <v>40</v>
      </c>
      <c r="D91" s="98" t="s">
        <v>148</v>
      </c>
      <c r="E91" s="98" t="s">
        <v>148</v>
      </c>
      <c r="F91" s="98" t="s">
        <v>148</v>
      </c>
      <c r="G91" s="102">
        <v>450</v>
      </c>
      <c r="H91" s="99" t="s">
        <v>147</v>
      </c>
      <c r="I91" s="99" t="s">
        <v>147</v>
      </c>
      <c r="J91" s="98" t="s">
        <v>148</v>
      </c>
      <c r="K91" s="98" t="s">
        <v>148</v>
      </c>
      <c r="L91" s="98" t="s">
        <v>148</v>
      </c>
      <c r="M91" s="100">
        <v>7</v>
      </c>
      <c r="N91" s="100">
        <v>26</v>
      </c>
      <c r="O91" s="99" t="s">
        <v>147</v>
      </c>
      <c r="P91" s="99" t="s">
        <v>147</v>
      </c>
      <c r="Q91" s="104" t="s">
        <v>12</v>
      </c>
      <c r="R91" s="104" t="s">
        <v>12</v>
      </c>
      <c r="S91" s="98" t="s">
        <v>174</v>
      </c>
      <c r="T91" s="100">
        <v>10</v>
      </c>
      <c r="U91" s="98" t="s">
        <v>148</v>
      </c>
      <c r="V91" s="99" t="s">
        <v>147</v>
      </c>
      <c r="W91" s="99" t="s">
        <v>147</v>
      </c>
      <c r="X91" s="102">
        <v>450</v>
      </c>
      <c r="Y91" s="102">
        <v>450</v>
      </c>
      <c r="Z91" s="107" t="s">
        <v>148</v>
      </c>
      <c r="AA91" s="107" t="s">
        <v>148</v>
      </c>
      <c r="AB91" s="98" t="s">
        <v>148</v>
      </c>
      <c r="AC91" s="99" t="s">
        <v>147</v>
      </c>
      <c r="AD91" s="99" t="s">
        <v>147</v>
      </c>
      <c r="AE91" s="102">
        <v>450</v>
      </c>
      <c r="AF91" s="98" t="s">
        <v>148</v>
      </c>
      <c r="AG91" s="100">
        <v>36</v>
      </c>
      <c r="AH91" s="9"/>
      <c r="AI91" s="54">
        <f t="shared" si="20"/>
        <v>1879</v>
      </c>
      <c r="AJ91" s="16">
        <f>AI91-AK91</f>
        <v>79</v>
      </c>
      <c r="AK91" s="5">
        <f t="shared" si="21"/>
        <v>1800</v>
      </c>
      <c r="AL91" s="16">
        <f>AJ91+AK91</f>
        <v>1879</v>
      </c>
      <c r="AM91">
        <f>AQ91*450</f>
        <v>9900</v>
      </c>
      <c r="AN91">
        <f t="shared" si="22"/>
        <v>8021</v>
      </c>
      <c r="AO91">
        <f t="shared" si="23"/>
        <v>0.81020202020202026</v>
      </c>
      <c r="AP91">
        <f t="shared" si="24"/>
        <v>20</v>
      </c>
      <c r="AQ91">
        <f t="shared" si="25"/>
        <v>22</v>
      </c>
      <c r="AR91" s="5">
        <f t="shared" si="26"/>
        <v>8</v>
      </c>
      <c r="AS91" s="5">
        <f t="shared" si="27"/>
        <v>2</v>
      </c>
      <c r="AT91" s="5">
        <f t="shared" si="28"/>
        <v>0</v>
      </c>
      <c r="AU91" s="5">
        <f t="shared" si="29"/>
        <v>4</v>
      </c>
    </row>
    <row r="92" spans="1:110" s="89" customFormat="1">
      <c r="A92" s="83" t="s">
        <v>27</v>
      </c>
      <c r="B92" s="84" t="s">
        <v>26</v>
      </c>
      <c r="C92" s="85" t="s">
        <v>40</v>
      </c>
      <c r="D92" s="108" t="s">
        <v>148</v>
      </c>
      <c r="E92" s="108" t="s">
        <v>148</v>
      </c>
      <c r="F92" s="108" t="s">
        <v>148</v>
      </c>
      <c r="G92" s="108" t="s">
        <v>148</v>
      </c>
      <c r="H92" s="113" t="s">
        <v>147</v>
      </c>
      <c r="I92" s="113" t="s">
        <v>147</v>
      </c>
      <c r="J92" s="108" t="s">
        <v>148</v>
      </c>
      <c r="K92" s="108" t="s">
        <v>148</v>
      </c>
      <c r="L92" s="108" t="s">
        <v>148</v>
      </c>
      <c r="M92" s="108" t="s">
        <v>148</v>
      </c>
      <c r="N92" s="108" t="s">
        <v>148</v>
      </c>
      <c r="O92" s="113" t="s">
        <v>147</v>
      </c>
      <c r="P92" s="113" t="s">
        <v>147</v>
      </c>
      <c r="Q92" s="108" t="s">
        <v>148</v>
      </c>
      <c r="R92" s="108" t="s">
        <v>148</v>
      </c>
      <c r="S92" s="108" t="s">
        <v>148</v>
      </c>
      <c r="T92" s="108" t="s">
        <v>148</v>
      </c>
      <c r="U92" s="114" t="s">
        <v>12</v>
      </c>
      <c r="V92" s="113" t="s">
        <v>147</v>
      </c>
      <c r="W92" s="113" t="s">
        <v>147</v>
      </c>
      <c r="X92" s="108" t="s">
        <v>148</v>
      </c>
      <c r="Y92" s="108" t="s">
        <v>148</v>
      </c>
      <c r="Z92" s="108" t="s">
        <v>148</v>
      </c>
      <c r="AA92" s="114" t="s">
        <v>12</v>
      </c>
      <c r="AB92" s="115" t="s">
        <v>148</v>
      </c>
      <c r="AC92" s="113" t="s">
        <v>147</v>
      </c>
      <c r="AD92" s="113" t="s">
        <v>147</v>
      </c>
      <c r="AE92" s="108" t="s">
        <v>148</v>
      </c>
      <c r="AF92" s="108" t="s">
        <v>148</v>
      </c>
      <c r="AG92" s="108" t="s">
        <v>148</v>
      </c>
      <c r="AH92" s="86"/>
      <c r="AI92" s="87">
        <f t="shared" si="20"/>
        <v>0</v>
      </c>
      <c r="AJ92" s="88">
        <f>AI92-AK92</f>
        <v>0</v>
      </c>
      <c r="AK92" s="84">
        <f t="shared" si="21"/>
        <v>0</v>
      </c>
      <c r="AL92" s="88">
        <f>AJ92+AK92</f>
        <v>0</v>
      </c>
      <c r="AM92" s="89">
        <f>AQ92*450</f>
        <v>9900</v>
      </c>
      <c r="AN92" s="89">
        <f t="shared" si="22"/>
        <v>9900</v>
      </c>
      <c r="AO92" s="89">
        <f t="shared" si="23"/>
        <v>1</v>
      </c>
      <c r="AP92" s="89">
        <f t="shared" si="24"/>
        <v>20</v>
      </c>
      <c r="AQ92" s="89">
        <f t="shared" si="25"/>
        <v>22</v>
      </c>
      <c r="AR92" s="84">
        <f t="shared" si="26"/>
        <v>8</v>
      </c>
      <c r="AS92" s="84">
        <f t="shared" si="27"/>
        <v>2</v>
      </c>
      <c r="AT92" s="84">
        <f t="shared" si="28"/>
        <v>0</v>
      </c>
      <c r="AU92" s="84">
        <f t="shared" si="29"/>
        <v>0</v>
      </c>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c r="CT92"/>
      <c r="CU92"/>
      <c r="CV92"/>
      <c r="CW92"/>
      <c r="CX92"/>
      <c r="CY92"/>
      <c r="CZ92"/>
      <c r="DA92"/>
      <c r="DB92"/>
      <c r="DC92"/>
      <c r="DD92"/>
      <c r="DE92"/>
      <c r="DF92"/>
    </row>
    <row r="93" spans="1:110">
      <c r="A93" s="90" t="s">
        <v>134</v>
      </c>
      <c r="B93" s="90" t="s">
        <v>22</v>
      </c>
      <c r="C93" s="90" t="s">
        <v>56</v>
      </c>
      <c r="D93" s="107" t="s">
        <v>148</v>
      </c>
      <c r="E93" s="107" t="s">
        <v>148</v>
      </c>
      <c r="F93" s="107" t="s">
        <v>148</v>
      </c>
      <c r="G93" s="116">
        <v>3</v>
      </c>
      <c r="H93" s="109" t="s">
        <v>147</v>
      </c>
      <c r="I93" s="109" t="s">
        <v>147</v>
      </c>
      <c r="J93" s="107" t="s">
        <v>148</v>
      </c>
      <c r="K93" s="116">
        <v>32</v>
      </c>
      <c r="L93" s="116">
        <v>20</v>
      </c>
      <c r="M93" s="107" t="s">
        <v>148</v>
      </c>
      <c r="N93" s="102">
        <v>450</v>
      </c>
      <c r="O93" s="109" t="s">
        <v>147</v>
      </c>
      <c r="P93" s="109" t="s">
        <v>147</v>
      </c>
      <c r="Q93" s="107" t="s">
        <v>148</v>
      </c>
      <c r="R93" s="116">
        <v>22</v>
      </c>
      <c r="S93" s="107" t="s">
        <v>148</v>
      </c>
      <c r="T93" s="102">
        <v>450</v>
      </c>
      <c r="U93" s="102">
        <v>450</v>
      </c>
      <c r="V93" s="109" t="s">
        <v>147</v>
      </c>
      <c r="W93" s="109" t="s">
        <v>147</v>
      </c>
      <c r="X93" s="107" t="s">
        <v>148</v>
      </c>
      <c r="Y93" s="107" t="s">
        <v>148</v>
      </c>
      <c r="Z93" s="102">
        <v>450</v>
      </c>
      <c r="AA93" s="107" t="s">
        <v>148</v>
      </c>
      <c r="AB93" s="117" t="s">
        <v>12</v>
      </c>
      <c r="AC93" s="109" t="s">
        <v>147</v>
      </c>
      <c r="AD93" s="109" t="s">
        <v>147</v>
      </c>
      <c r="AE93" s="102">
        <v>450</v>
      </c>
      <c r="AF93" s="102">
        <v>450</v>
      </c>
      <c r="AG93" s="107" t="s">
        <v>148</v>
      </c>
      <c r="AH93" s="48"/>
      <c r="AI93" s="91">
        <f t="shared" si="20"/>
        <v>2777</v>
      </c>
      <c r="AJ93" s="92">
        <f>AI93-AK93</f>
        <v>77</v>
      </c>
      <c r="AK93" s="90">
        <f t="shared" si="21"/>
        <v>2700</v>
      </c>
      <c r="AL93" s="92">
        <f>AJ93+AK93</f>
        <v>2777</v>
      </c>
      <c r="AM93">
        <f>AQ93*450</f>
        <v>9900</v>
      </c>
      <c r="AN93">
        <f t="shared" si="22"/>
        <v>7123</v>
      </c>
      <c r="AO93">
        <f t="shared" si="23"/>
        <v>0.71949494949494952</v>
      </c>
      <c r="AP93">
        <f t="shared" si="24"/>
        <v>21</v>
      </c>
      <c r="AQ93">
        <f t="shared" si="25"/>
        <v>22</v>
      </c>
      <c r="AR93" s="90">
        <f t="shared" si="26"/>
        <v>8</v>
      </c>
      <c r="AS93" s="90">
        <f t="shared" si="27"/>
        <v>1</v>
      </c>
      <c r="AT93" s="90">
        <f t="shared" si="28"/>
        <v>0</v>
      </c>
      <c r="AU93" s="90">
        <f t="shared" si="29"/>
        <v>6</v>
      </c>
    </row>
    <row r="94" spans="1:110">
      <c r="A94" s="6"/>
      <c r="B94" s="6"/>
      <c r="C94" s="6"/>
      <c r="D94" s="43"/>
      <c r="E94" s="43"/>
      <c r="F94" s="43"/>
      <c r="G94" s="43"/>
      <c r="H94" s="43"/>
      <c r="I94" s="43"/>
      <c r="J94" s="43"/>
      <c r="K94" s="43"/>
      <c r="L94" s="43"/>
      <c r="M94" s="43"/>
      <c r="N94" s="43"/>
      <c r="O94" s="43"/>
      <c r="P94" s="43"/>
      <c r="Q94" s="43"/>
      <c r="R94" s="43"/>
      <c r="S94" s="43"/>
      <c r="T94" s="43"/>
      <c r="U94" s="43"/>
      <c r="V94" s="43"/>
      <c r="W94" s="43"/>
      <c r="X94" s="43"/>
      <c r="Y94" s="43"/>
      <c r="Z94" s="43"/>
      <c r="AA94" s="43"/>
      <c r="AB94" s="43"/>
      <c r="AC94" s="43"/>
      <c r="AD94" s="43"/>
      <c r="AE94" s="43"/>
      <c r="AF94" s="43"/>
      <c r="AG94" s="43"/>
      <c r="AH94" s="43"/>
      <c r="AI94" s="43"/>
      <c r="AJ94" s="15"/>
      <c r="AK94" s="6"/>
      <c r="AL94" s="15"/>
      <c r="AR94" s="6"/>
      <c r="AS94" s="6"/>
      <c r="AT94" s="6"/>
      <c r="AU94" s="6">
        <f>SUM(AU3:AU93)</f>
        <v>190</v>
      </c>
    </row>
    <row r="95" spans="1:110">
      <c r="A95" s="6"/>
      <c r="B95" s="6"/>
      <c r="C95" s="6"/>
      <c r="D95" s="43"/>
      <c r="E95" s="43"/>
      <c r="F95" s="43"/>
      <c r="G95" s="43"/>
      <c r="H95" s="43"/>
      <c r="I95" s="43"/>
      <c r="J95" s="43"/>
      <c r="K95" s="43"/>
      <c r="L95" s="43"/>
      <c r="M95" s="43"/>
      <c r="N95" s="43"/>
      <c r="O95" s="43"/>
      <c r="P95" s="43"/>
      <c r="Q95" s="43"/>
      <c r="R95" s="43"/>
      <c r="S95" s="43"/>
      <c r="T95" s="43"/>
      <c r="U95" s="43"/>
      <c r="V95" s="43"/>
      <c r="W95" s="43"/>
      <c r="X95" s="43"/>
      <c r="Y95" s="43"/>
      <c r="Z95" s="43"/>
      <c r="AA95" s="43"/>
      <c r="AB95" s="43"/>
      <c r="AC95" s="43"/>
      <c r="AD95" s="43"/>
      <c r="AE95" s="43"/>
      <c r="AF95" s="43"/>
      <c r="AG95" s="43"/>
      <c r="AH95" s="43"/>
      <c r="AI95" s="43"/>
      <c r="AJ95" s="15"/>
      <c r="AK95" s="6"/>
      <c r="AL95" s="15"/>
      <c r="AR95" s="6"/>
      <c r="AS95" s="6"/>
      <c r="AT95" s="6"/>
      <c r="AU95" s="6"/>
    </row>
    <row r="96" spans="1:110">
      <c r="A96" s="6"/>
      <c r="B96" s="6"/>
      <c r="C96" s="6"/>
      <c r="D96" s="43"/>
      <c r="E96" s="43"/>
      <c r="F96" s="43"/>
      <c r="G96" s="43"/>
      <c r="H96" s="43"/>
      <c r="I96" s="43"/>
      <c r="J96" s="43"/>
      <c r="K96" s="43"/>
      <c r="L96" s="43"/>
      <c r="M96" s="43"/>
      <c r="N96" s="43"/>
      <c r="O96" s="43"/>
      <c r="P96" s="43"/>
      <c r="Q96" s="43"/>
      <c r="R96" s="43"/>
      <c r="S96" s="43"/>
      <c r="T96" s="43"/>
      <c r="U96" s="43"/>
      <c r="V96" s="43"/>
      <c r="W96" s="43"/>
      <c r="X96" s="43"/>
      <c r="Y96" s="43"/>
      <c r="Z96" s="43"/>
      <c r="AA96" s="43"/>
      <c r="AB96" s="43"/>
      <c r="AC96" s="43"/>
      <c r="AD96" s="43"/>
      <c r="AE96" s="43"/>
      <c r="AF96" s="43"/>
      <c r="AG96" s="43"/>
      <c r="AH96" s="43"/>
      <c r="AI96" s="43"/>
      <c r="AJ96" s="15"/>
      <c r="AK96" s="6"/>
      <c r="AL96" s="15"/>
      <c r="AR96" s="6"/>
      <c r="AS96" s="6"/>
      <c r="AT96" s="6"/>
      <c r="AU96" s="6"/>
    </row>
    <row r="97" spans="1:47">
      <c r="A97" s="6"/>
      <c r="B97" s="6"/>
      <c r="C97" s="6"/>
      <c r="D97" s="43"/>
      <c r="E97" s="43"/>
      <c r="F97" s="43"/>
      <c r="G97" s="43"/>
      <c r="H97" s="43"/>
      <c r="I97" s="43"/>
      <c r="J97" s="43"/>
      <c r="K97" s="43"/>
      <c r="L97" s="43"/>
      <c r="M97" s="43"/>
      <c r="N97" s="43"/>
      <c r="O97" s="43"/>
      <c r="P97" s="43"/>
      <c r="Q97" s="43"/>
      <c r="R97" s="43"/>
      <c r="S97" s="43"/>
      <c r="T97" s="43"/>
      <c r="U97" s="43"/>
      <c r="V97" s="43"/>
      <c r="W97" s="43"/>
      <c r="X97" s="43"/>
      <c r="Y97" s="43"/>
      <c r="Z97" s="43"/>
      <c r="AA97" s="43"/>
      <c r="AB97" s="43"/>
      <c r="AC97" s="43"/>
      <c r="AD97" s="43"/>
      <c r="AE97" s="43"/>
      <c r="AF97" s="43"/>
      <c r="AG97" s="43"/>
      <c r="AH97" s="43"/>
      <c r="AI97" s="43"/>
      <c r="AJ97" s="15"/>
      <c r="AK97" s="6"/>
      <c r="AL97" s="15"/>
      <c r="AR97" s="6"/>
      <c r="AS97" s="6"/>
      <c r="AT97" s="6"/>
      <c r="AU97" s="6"/>
    </row>
    <row r="98" spans="1:47">
      <c r="A98" s="6"/>
      <c r="B98" s="6"/>
      <c r="C98" s="6"/>
      <c r="D98" s="43"/>
      <c r="E98" s="43"/>
      <c r="F98" s="43"/>
      <c r="G98" s="43"/>
      <c r="H98" s="43"/>
      <c r="I98" s="43"/>
      <c r="J98" s="43"/>
      <c r="K98" s="43"/>
      <c r="L98" s="43"/>
      <c r="M98" s="43"/>
      <c r="N98" s="43"/>
      <c r="O98" s="43"/>
      <c r="P98" s="43"/>
      <c r="Q98" s="43"/>
      <c r="R98" s="43"/>
      <c r="S98" s="43"/>
      <c r="T98" s="43"/>
      <c r="U98" s="43"/>
      <c r="V98" s="43"/>
      <c r="W98" s="43"/>
      <c r="X98" s="43"/>
      <c r="Y98" s="43"/>
      <c r="Z98" s="43"/>
      <c r="AA98" s="43"/>
      <c r="AB98" s="43"/>
      <c r="AC98" s="43"/>
      <c r="AD98" s="43"/>
      <c r="AE98" s="43"/>
      <c r="AF98" s="43"/>
      <c r="AG98" s="43"/>
      <c r="AH98" s="43"/>
      <c r="AI98" s="43"/>
      <c r="AJ98" s="15"/>
      <c r="AK98" s="6"/>
      <c r="AL98" s="15"/>
      <c r="AR98" s="6"/>
      <c r="AS98" s="6"/>
      <c r="AT98" s="6"/>
      <c r="AU98" s="6"/>
    </row>
    <row r="99" spans="1:47">
      <c r="A99" s="6"/>
      <c r="B99" s="6"/>
      <c r="C99" s="6"/>
      <c r="D99" s="43"/>
      <c r="E99" s="43"/>
      <c r="F99" s="43"/>
      <c r="G99" s="43"/>
      <c r="H99" s="43"/>
      <c r="I99" s="43"/>
      <c r="J99" s="43"/>
      <c r="K99" s="43"/>
      <c r="L99" s="43"/>
      <c r="M99" s="43"/>
      <c r="N99" s="43"/>
      <c r="O99" s="43"/>
      <c r="P99" s="43"/>
      <c r="Q99" s="43"/>
      <c r="R99" s="43"/>
      <c r="S99" s="43"/>
      <c r="T99" s="43"/>
      <c r="U99" s="43"/>
      <c r="V99" s="43"/>
      <c r="W99" s="43"/>
      <c r="X99" s="43"/>
      <c r="Y99" s="43"/>
      <c r="Z99" s="43"/>
      <c r="AA99" s="43"/>
      <c r="AB99" s="43"/>
      <c r="AC99" s="43"/>
      <c r="AD99" s="43"/>
      <c r="AE99" s="43"/>
      <c r="AF99" s="43"/>
      <c r="AG99" s="43"/>
      <c r="AH99" s="43"/>
      <c r="AI99" s="43"/>
      <c r="AJ99" s="15"/>
      <c r="AK99" s="6"/>
      <c r="AL99" s="15"/>
      <c r="AR99" s="6"/>
      <c r="AS99" s="6"/>
      <c r="AT99" s="6"/>
      <c r="AU99" s="6"/>
    </row>
    <row r="100" spans="1:47">
      <c r="A100" s="6"/>
      <c r="B100" s="6"/>
      <c r="C100" s="6"/>
      <c r="D100" s="43"/>
      <c r="E100" s="43"/>
      <c r="F100" s="43"/>
      <c r="G100" s="43"/>
      <c r="H100" s="43"/>
      <c r="I100" s="43"/>
      <c r="J100" s="43"/>
      <c r="K100" s="43"/>
      <c r="L100" s="43"/>
      <c r="M100" s="43"/>
      <c r="N100" s="43"/>
      <c r="O100" s="43"/>
      <c r="P100" s="43"/>
      <c r="Q100" s="43"/>
      <c r="R100" s="43"/>
      <c r="S100" s="43"/>
      <c r="T100" s="43"/>
      <c r="U100" s="43"/>
      <c r="V100" s="43"/>
      <c r="W100" s="43"/>
      <c r="X100" s="43"/>
      <c r="Y100" s="43"/>
      <c r="Z100" s="43"/>
      <c r="AA100" s="43"/>
      <c r="AB100" s="43"/>
      <c r="AC100" s="43"/>
      <c r="AD100" s="43"/>
      <c r="AE100" s="43"/>
      <c r="AF100" s="43"/>
      <c r="AG100" s="43"/>
      <c r="AH100" s="43"/>
      <c r="AI100" s="43"/>
      <c r="AJ100" s="15"/>
      <c r="AK100" s="6"/>
      <c r="AL100" s="15"/>
      <c r="AR100" s="6"/>
      <c r="AS100" s="6"/>
      <c r="AT100" s="6"/>
      <c r="AU100" s="6"/>
    </row>
    <row r="101" spans="1:47">
      <c r="C101"/>
      <c r="X101" s="43"/>
      <c r="AI101" s="43"/>
      <c r="AJ101" s="15"/>
    </row>
    <row r="102" spans="1:47" ht="15.75">
      <c r="A102" s="55" t="s">
        <v>191</v>
      </c>
      <c r="C102" s="55" t="s">
        <v>191</v>
      </c>
      <c r="D102" s="56">
        <f>SUM(D4:D93)</f>
        <v>1491</v>
      </c>
      <c r="E102" s="56">
        <f t="shared" ref="E102:AH102" si="30">SUM(E4:E93)</f>
        <v>1668</v>
      </c>
      <c r="F102" s="56">
        <f t="shared" si="30"/>
        <v>1960</v>
      </c>
      <c r="G102" s="56">
        <f t="shared" si="30"/>
        <v>3688</v>
      </c>
      <c r="H102" s="56">
        <f t="shared" si="30"/>
        <v>455</v>
      </c>
      <c r="I102" s="56">
        <f t="shared" si="30"/>
        <v>450</v>
      </c>
      <c r="J102" s="56">
        <f t="shared" si="30"/>
        <v>1891</v>
      </c>
      <c r="K102" s="56">
        <f t="shared" si="30"/>
        <v>2613</v>
      </c>
      <c r="L102" s="56">
        <f t="shared" si="30"/>
        <v>3343</v>
      </c>
      <c r="M102" s="56">
        <f t="shared" si="30"/>
        <v>3289</v>
      </c>
      <c r="N102" s="56">
        <f t="shared" si="30"/>
        <v>3260</v>
      </c>
      <c r="O102" s="56">
        <f t="shared" si="30"/>
        <v>19</v>
      </c>
      <c r="P102" s="56">
        <f t="shared" si="30"/>
        <v>75</v>
      </c>
      <c r="Q102" s="56">
        <f t="shared" si="30"/>
        <v>2616</v>
      </c>
      <c r="R102" s="56">
        <f t="shared" si="30"/>
        <v>1910</v>
      </c>
      <c r="S102" s="56">
        <f t="shared" si="30"/>
        <v>3647</v>
      </c>
      <c r="T102" s="56">
        <f t="shared" si="30"/>
        <v>1761</v>
      </c>
      <c r="U102" s="56">
        <f t="shared" si="30"/>
        <v>2925</v>
      </c>
      <c r="V102" s="56">
        <f t="shared" si="30"/>
        <v>930</v>
      </c>
      <c r="W102" s="56">
        <f t="shared" si="30"/>
        <v>1350</v>
      </c>
      <c r="X102" s="56">
        <f t="shared" si="30"/>
        <v>19800</v>
      </c>
      <c r="Y102" s="56">
        <f t="shared" si="30"/>
        <v>10350</v>
      </c>
      <c r="Z102" s="56">
        <f t="shared" si="30"/>
        <v>3600</v>
      </c>
      <c r="AA102" s="56">
        <f t="shared" si="30"/>
        <v>2250</v>
      </c>
      <c r="AB102" s="56">
        <f t="shared" si="30"/>
        <v>3150</v>
      </c>
      <c r="AC102" s="56">
        <f t="shared" si="30"/>
        <v>607</v>
      </c>
      <c r="AD102" s="56">
        <f t="shared" si="30"/>
        <v>1569</v>
      </c>
      <c r="AE102" s="56">
        <f t="shared" si="30"/>
        <v>1398</v>
      </c>
      <c r="AF102" s="56">
        <f t="shared" si="30"/>
        <v>2328</v>
      </c>
      <c r="AG102" s="56">
        <f t="shared" si="30"/>
        <v>1944</v>
      </c>
      <c r="AH102" s="56">
        <f t="shared" si="30"/>
        <v>0</v>
      </c>
      <c r="AI102" s="54"/>
      <c r="AJ102" s="15"/>
    </row>
    <row r="103" spans="1:47" ht="15.75">
      <c r="A103" s="65" t="s">
        <v>4</v>
      </c>
      <c r="C103" s="65" t="s">
        <v>4</v>
      </c>
      <c r="D103" s="57">
        <f>D102-D104</f>
        <v>1491</v>
      </c>
      <c r="E103" s="57">
        <f t="shared" ref="E103:AH103" si="31">E102-E104</f>
        <v>1668</v>
      </c>
      <c r="F103" s="57">
        <f t="shared" si="31"/>
        <v>1960</v>
      </c>
      <c r="G103" s="57">
        <f t="shared" si="31"/>
        <v>1888</v>
      </c>
      <c r="H103" s="57">
        <f t="shared" si="31"/>
        <v>5</v>
      </c>
      <c r="I103" s="57">
        <f t="shared" si="31"/>
        <v>0</v>
      </c>
      <c r="J103" s="57">
        <f t="shared" si="31"/>
        <v>1891</v>
      </c>
      <c r="K103" s="57">
        <f t="shared" si="31"/>
        <v>1713</v>
      </c>
      <c r="L103" s="57">
        <f t="shared" si="31"/>
        <v>2893</v>
      </c>
      <c r="M103" s="57">
        <f t="shared" si="31"/>
        <v>2839</v>
      </c>
      <c r="N103" s="57">
        <f t="shared" si="31"/>
        <v>2810</v>
      </c>
      <c r="O103" s="57">
        <f t="shared" si="31"/>
        <v>19</v>
      </c>
      <c r="P103" s="57">
        <f t="shared" si="31"/>
        <v>75</v>
      </c>
      <c r="Q103" s="57">
        <f t="shared" si="31"/>
        <v>1716</v>
      </c>
      <c r="R103" s="57">
        <f t="shared" si="31"/>
        <v>1910</v>
      </c>
      <c r="S103" s="57">
        <f t="shared" si="31"/>
        <v>2297</v>
      </c>
      <c r="T103" s="57">
        <f t="shared" si="31"/>
        <v>861</v>
      </c>
      <c r="U103" s="57">
        <f t="shared" si="31"/>
        <v>2025</v>
      </c>
      <c r="V103" s="57">
        <f t="shared" si="31"/>
        <v>480</v>
      </c>
      <c r="W103" s="57">
        <f t="shared" si="31"/>
        <v>1350</v>
      </c>
      <c r="X103" s="57">
        <f t="shared" si="31"/>
        <v>13050</v>
      </c>
      <c r="Y103" s="57">
        <f t="shared" si="31"/>
        <v>5400</v>
      </c>
      <c r="Z103" s="57">
        <f t="shared" si="31"/>
        <v>1350</v>
      </c>
      <c r="AA103" s="57">
        <f t="shared" si="31"/>
        <v>900</v>
      </c>
      <c r="AB103" s="57">
        <f t="shared" si="31"/>
        <v>2250</v>
      </c>
      <c r="AC103" s="57">
        <f t="shared" si="31"/>
        <v>157</v>
      </c>
      <c r="AD103" s="57">
        <f t="shared" si="31"/>
        <v>1119</v>
      </c>
      <c r="AE103" s="57">
        <f t="shared" si="31"/>
        <v>498</v>
      </c>
      <c r="AF103" s="57">
        <f t="shared" si="31"/>
        <v>78</v>
      </c>
      <c r="AG103" s="57">
        <f>AG102-AG104</f>
        <v>144</v>
      </c>
      <c r="AH103" s="57">
        <f t="shared" si="31"/>
        <v>0</v>
      </c>
      <c r="AI103" s="82"/>
    </row>
    <row r="104" spans="1:47" ht="15.75">
      <c r="A104" s="68" t="s">
        <v>11</v>
      </c>
      <c r="C104" s="68" t="s">
        <v>11</v>
      </c>
      <c r="D104" s="57">
        <f>SUMIF(D62:D93,"450")</f>
        <v>0</v>
      </c>
      <c r="E104" s="57">
        <f t="shared" ref="E104:AF104" si="32">SUMIF(E62:E93,"450")</f>
        <v>0</v>
      </c>
      <c r="F104" s="57">
        <f t="shared" si="32"/>
        <v>0</v>
      </c>
      <c r="G104" s="57">
        <f>SUMIF(G62:G93,"450")</f>
        <v>1800</v>
      </c>
      <c r="H104" s="57">
        <f t="shared" si="32"/>
        <v>450</v>
      </c>
      <c r="I104" s="57">
        <f t="shared" si="32"/>
        <v>450</v>
      </c>
      <c r="J104" s="57">
        <f t="shared" si="32"/>
        <v>0</v>
      </c>
      <c r="K104" s="57">
        <f t="shared" si="32"/>
        <v>900</v>
      </c>
      <c r="L104" s="57">
        <f t="shared" si="32"/>
        <v>450</v>
      </c>
      <c r="M104" s="57">
        <f t="shared" si="32"/>
        <v>450</v>
      </c>
      <c r="N104" s="57">
        <f t="shared" si="32"/>
        <v>450</v>
      </c>
      <c r="O104" s="57">
        <f t="shared" si="32"/>
        <v>0</v>
      </c>
      <c r="P104" s="57">
        <f t="shared" si="32"/>
        <v>0</v>
      </c>
      <c r="Q104" s="57">
        <f>SUMIF(Q62:Q93,"450")</f>
        <v>900</v>
      </c>
      <c r="R104" s="57">
        <f t="shared" si="32"/>
        <v>0</v>
      </c>
      <c r="S104" s="57">
        <f t="shared" si="32"/>
        <v>1350</v>
      </c>
      <c r="T104" s="57">
        <f t="shared" si="32"/>
        <v>900</v>
      </c>
      <c r="U104" s="57">
        <f t="shared" si="32"/>
        <v>900</v>
      </c>
      <c r="V104" s="57">
        <f t="shared" si="32"/>
        <v>450</v>
      </c>
      <c r="W104" s="57">
        <f t="shared" si="32"/>
        <v>0</v>
      </c>
      <c r="X104" s="57">
        <f t="shared" si="32"/>
        <v>6750</v>
      </c>
      <c r="Y104" s="57">
        <f>SUMIF(Y62:Y93,"450")</f>
        <v>4950</v>
      </c>
      <c r="Z104" s="57">
        <f t="shared" si="32"/>
        <v>2250</v>
      </c>
      <c r="AA104" s="57">
        <f t="shared" si="32"/>
        <v>1350</v>
      </c>
      <c r="AB104" s="57">
        <f t="shared" si="32"/>
        <v>900</v>
      </c>
      <c r="AC104" s="57">
        <f t="shared" si="32"/>
        <v>450</v>
      </c>
      <c r="AD104" s="57">
        <f t="shared" si="32"/>
        <v>450</v>
      </c>
      <c r="AE104" s="57">
        <f t="shared" si="32"/>
        <v>900</v>
      </c>
      <c r="AF104" s="57">
        <f>SUMIF(AF3:AF93,"450")</f>
        <v>2250</v>
      </c>
      <c r="AG104" s="57">
        <f>SUMIF(AG3:AG93,"450")</f>
        <v>1800</v>
      </c>
      <c r="AH104" s="57">
        <f t="shared" ref="E104:AH104" si="33">SUMIF(AH62:AH93,"450")</f>
        <v>0</v>
      </c>
      <c r="AI104" s="82"/>
    </row>
    <row r="105" spans="1:47" ht="15.75">
      <c r="A105" s="55" t="s">
        <v>192</v>
      </c>
      <c r="C105" s="55" t="s">
        <v>192</v>
      </c>
      <c r="D105" s="57">
        <f>D103+D104</f>
        <v>1491</v>
      </c>
      <c r="E105" s="57">
        <f t="shared" ref="E105:AH105" si="34">E103+E104</f>
        <v>1668</v>
      </c>
      <c r="F105" s="57">
        <f t="shared" si="34"/>
        <v>1960</v>
      </c>
      <c r="G105" s="57">
        <f t="shared" si="34"/>
        <v>3688</v>
      </c>
      <c r="H105" s="57">
        <f t="shared" si="34"/>
        <v>455</v>
      </c>
      <c r="I105" s="57">
        <f t="shared" si="34"/>
        <v>450</v>
      </c>
      <c r="J105" s="57">
        <f t="shared" si="34"/>
        <v>1891</v>
      </c>
      <c r="K105" s="57">
        <f t="shared" si="34"/>
        <v>2613</v>
      </c>
      <c r="L105" s="57">
        <f t="shared" si="34"/>
        <v>3343</v>
      </c>
      <c r="M105" s="57">
        <f t="shared" si="34"/>
        <v>3289</v>
      </c>
      <c r="N105" s="57">
        <f t="shared" si="34"/>
        <v>3260</v>
      </c>
      <c r="O105" s="57">
        <f t="shared" si="34"/>
        <v>19</v>
      </c>
      <c r="P105" s="57">
        <f t="shared" si="34"/>
        <v>75</v>
      </c>
      <c r="Q105" s="57">
        <f t="shared" si="34"/>
        <v>2616</v>
      </c>
      <c r="R105" s="57">
        <f t="shared" si="34"/>
        <v>1910</v>
      </c>
      <c r="S105" s="57">
        <f t="shared" si="34"/>
        <v>3647</v>
      </c>
      <c r="T105" s="57">
        <f t="shared" si="34"/>
        <v>1761</v>
      </c>
      <c r="U105" s="57">
        <f t="shared" si="34"/>
        <v>2925</v>
      </c>
      <c r="V105" s="57">
        <f t="shared" si="34"/>
        <v>930</v>
      </c>
      <c r="W105" s="57">
        <f t="shared" si="34"/>
        <v>1350</v>
      </c>
      <c r="X105" s="57">
        <f t="shared" si="34"/>
        <v>19800</v>
      </c>
      <c r="Y105" s="57">
        <f t="shared" si="34"/>
        <v>10350</v>
      </c>
      <c r="Z105" s="57">
        <f t="shared" si="34"/>
        <v>3600</v>
      </c>
      <c r="AA105" s="57">
        <f t="shared" si="34"/>
        <v>2250</v>
      </c>
      <c r="AB105" s="57">
        <f t="shared" si="34"/>
        <v>3150</v>
      </c>
      <c r="AC105" s="57">
        <f t="shared" si="34"/>
        <v>607</v>
      </c>
      <c r="AD105" s="57">
        <f t="shared" si="34"/>
        <v>1569</v>
      </c>
      <c r="AE105" s="57">
        <f t="shared" si="34"/>
        <v>1398</v>
      </c>
      <c r="AF105" s="57">
        <f t="shared" si="34"/>
        <v>2328</v>
      </c>
      <c r="AG105" s="57">
        <f>AG103+AG104</f>
        <v>1944</v>
      </c>
      <c r="AH105" s="57">
        <f t="shared" si="34"/>
        <v>0</v>
      </c>
      <c r="AI105" s="82"/>
    </row>
    <row r="106" spans="1:47" ht="15.75">
      <c r="A106" s="55" t="s">
        <v>193</v>
      </c>
      <c r="C106" s="55" t="s">
        <v>193</v>
      </c>
      <c r="D106" s="57">
        <f>COUNTA(D3:D93)</f>
        <v>91</v>
      </c>
      <c r="E106" s="57">
        <f t="shared" ref="E106:AH106" si="35">COUNTA(E3:E93)</f>
        <v>91</v>
      </c>
      <c r="F106" s="57">
        <f t="shared" si="35"/>
        <v>91</v>
      </c>
      <c r="G106" s="57">
        <f t="shared" si="35"/>
        <v>91</v>
      </c>
      <c r="H106" s="57">
        <f t="shared" si="35"/>
        <v>91</v>
      </c>
      <c r="I106" s="57">
        <f t="shared" si="35"/>
        <v>91</v>
      </c>
      <c r="J106" s="57">
        <f t="shared" si="35"/>
        <v>91</v>
      </c>
      <c r="K106" s="57">
        <f t="shared" si="35"/>
        <v>91</v>
      </c>
      <c r="L106" s="57">
        <f t="shared" si="35"/>
        <v>91</v>
      </c>
      <c r="M106" s="57">
        <f t="shared" si="35"/>
        <v>91</v>
      </c>
      <c r="N106" s="57">
        <f t="shared" si="35"/>
        <v>91</v>
      </c>
      <c r="O106" s="57">
        <f t="shared" si="35"/>
        <v>91</v>
      </c>
      <c r="P106" s="57">
        <f t="shared" si="35"/>
        <v>91</v>
      </c>
      <c r="Q106" s="57">
        <f t="shared" si="35"/>
        <v>91</v>
      </c>
      <c r="R106" s="57">
        <f t="shared" si="35"/>
        <v>91</v>
      </c>
      <c r="S106" s="57">
        <f t="shared" si="35"/>
        <v>91</v>
      </c>
      <c r="T106" s="57">
        <f t="shared" si="35"/>
        <v>91</v>
      </c>
      <c r="U106" s="57">
        <f t="shared" si="35"/>
        <v>91</v>
      </c>
      <c r="V106" s="57">
        <f t="shared" si="35"/>
        <v>91</v>
      </c>
      <c r="W106" s="57">
        <f t="shared" si="35"/>
        <v>91</v>
      </c>
      <c r="X106" s="57">
        <f t="shared" si="35"/>
        <v>91</v>
      </c>
      <c r="Y106" s="57">
        <f t="shared" si="35"/>
        <v>91</v>
      </c>
      <c r="Z106" s="57">
        <f t="shared" si="35"/>
        <v>91</v>
      </c>
      <c r="AA106" s="57">
        <f t="shared" si="35"/>
        <v>91</v>
      </c>
      <c r="AB106" s="57">
        <f t="shared" si="35"/>
        <v>91</v>
      </c>
      <c r="AC106" s="57">
        <f t="shared" si="35"/>
        <v>91</v>
      </c>
      <c r="AD106" s="57">
        <f t="shared" si="35"/>
        <v>91</v>
      </c>
      <c r="AE106" s="57">
        <f t="shared" si="35"/>
        <v>91</v>
      </c>
      <c r="AF106" s="57">
        <f t="shared" si="35"/>
        <v>91</v>
      </c>
      <c r="AG106" s="57">
        <f t="shared" si="35"/>
        <v>91</v>
      </c>
      <c r="AH106" s="57">
        <f t="shared" si="35"/>
        <v>1</v>
      </c>
      <c r="AI106" s="82"/>
    </row>
    <row r="107" spans="1:47" ht="15.75">
      <c r="A107" s="55" t="s">
        <v>194</v>
      </c>
      <c r="C107" s="55" t="s">
        <v>194</v>
      </c>
      <c r="D107" s="57">
        <f>D106-D112-D113-D114-D115</f>
        <v>76</v>
      </c>
      <c r="E107" s="57">
        <f t="shared" ref="E107:AH107" si="36">E106-E112-E113-E114-E115</f>
        <v>76</v>
      </c>
      <c r="F107" s="57">
        <f t="shared" si="36"/>
        <v>80</v>
      </c>
      <c r="G107" s="57">
        <f t="shared" si="36"/>
        <v>75</v>
      </c>
      <c r="H107" s="57">
        <f t="shared" si="36"/>
        <v>21</v>
      </c>
      <c r="I107" s="57">
        <f t="shared" si="36"/>
        <v>13</v>
      </c>
      <c r="J107" s="57">
        <f t="shared" si="36"/>
        <v>78</v>
      </c>
      <c r="K107" s="57">
        <f t="shared" si="36"/>
        <v>75</v>
      </c>
      <c r="L107" s="57">
        <f t="shared" si="36"/>
        <v>72</v>
      </c>
      <c r="M107" s="57">
        <f t="shared" si="36"/>
        <v>78</v>
      </c>
      <c r="N107" s="57">
        <f t="shared" si="36"/>
        <v>76</v>
      </c>
      <c r="O107" s="57">
        <f t="shared" si="36"/>
        <v>19</v>
      </c>
      <c r="P107" s="57">
        <f t="shared" si="36"/>
        <v>16</v>
      </c>
      <c r="Q107" s="57">
        <f t="shared" si="36"/>
        <v>76</v>
      </c>
      <c r="R107" s="57">
        <f t="shared" si="36"/>
        <v>78</v>
      </c>
      <c r="S107" s="57">
        <f t="shared" si="36"/>
        <v>69</v>
      </c>
      <c r="T107" s="57">
        <f t="shared" si="36"/>
        <v>81</v>
      </c>
      <c r="U107" s="57">
        <f t="shared" si="36"/>
        <v>75</v>
      </c>
      <c r="V107" s="57">
        <f t="shared" si="36"/>
        <v>18</v>
      </c>
      <c r="W107" s="57">
        <f t="shared" si="36"/>
        <v>16</v>
      </c>
      <c r="X107" s="57">
        <f t="shared" si="36"/>
        <v>33</v>
      </c>
      <c r="Y107" s="57">
        <f t="shared" si="36"/>
        <v>58</v>
      </c>
      <c r="Z107" s="57">
        <f t="shared" si="36"/>
        <v>73</v>
      </c>
      <c r="AA107" s="57">
        <f t="shared" si="36"/>
        <v>81</v>
      </c>
      <c r="AB107" s="57">
        <f t="shared" si="36"/>
        <v>71</v>
      </c>
      <c r="AC107" s="57">
        <f t="shared" si="36"/>
        <v>22</v>
      </c>
      <c r="AD107" s="57">
        <f t="shared" si="36"/>
        <v>19</v>
      </c>
      <c r="AE107" s="57">
        <f t="shared" si="36"/>
        <v>83</v>
      </c>
      <c r="AF107" s="57">
        <f t="shared" si="36"/>
        <v>74</v>
      </c>
      <c r="AG107" s="57">
        <f t="shared" si="36"/>
        <v>76</v>
      </c>
      <c r="AH107" s="57">
        <f t="shared" si="36"/>
        <v>1</v>
      </c>
      <c r="AI107" s="82"/>
    </row>
    <row r="108" spans="1:47" ht="15.75">
      <c r="A108" s="55" t="s">
        <v>195</v>
      </c>
      <c r="C108" s="55" t="s">
        <v>195</v>
      </c>
      <c r="D108" s="57">
        <f>D107+D115</f>
        <v>79</v>
      </c>
      <c r="E108" s="57">
        <f t="shared" ref="E108:AH108" si="37">E107+E115</f>
        <v>78</v>
      </c>
      <c r="F108" s="57">
        <f t="shared" si="37"/>
        <v>84</v>
      </c>
      <c r="G108" s="57">
        <f t="shared" si="37"/>
        <v>82</v>
      </c>
      <c r="H108" s="57">
        <f t="shared" si="37"/>
        <v>22</v>
      </c>
      <c r="I108" s="57">
        <f t="shared" si="37"/>
        <v>15</v>
      </c>
      <c r="J108" s="57">
        <f t="shared" si="37"/>
        <v>81</v>
      </c>
      <c r="K108" s="57">
        <f t="shared" si="37"/>
        <v>80</v>
      </c>
      <c r="L108" s="57">
        <f t="shared" si="37"/>
        <v>78</v>
      </c>
      <c r="M108" s="57">
        <f t="shared" si="37"/>
        <v>85</v>
      </c>
      <c r="N108" s="57">
        <f t="shared" si="37"/>
        <v>82</v>
      </c>
      <c r="O108" s="57">
        <f t="shared" si="37"/>
        <v>19</v>
      </c>
      <c r="P108" s="57">
        <f t="shared" si="37"/>
        <v>16</v>
      </c>
      <c r="Q108" s="57">
        <f t="shared" si="37"/>
        <v>81</v>
      </c>
      <c r="R108" s="57">
        <f t="shared" si="37"/>
        <v>81</v>
      </c>
      <c r="S108" s="57">
        <f t="shared" si="37"/>
        <v>78</v>
      </c>
      <c r="T108" s="57">
        <f t="shared" si="37"/>
        <v>84</v>
      </c>
      <c r="U108" s="57">
        <f t="shared" si="37"/>
        <v>81</v>
      </c>
      <c r="V108" s="57">
        <f t="shared" si="37"/>
        <v>20</v>
      </c>
      <c r="W108" s="57">
        <f t="shared" si="37"/>
        <v>19</v>
      </c>
      <c r="X108" s="57">
        <f t="shared" si="37"/>
        <v>78</v>
      </c>
      <c r="Y108" s="57">
        <f t="shared" si="37"/>
        <v>82</v>
      </c>
      <c r="Z108" s="57">
        <f t="shared" si="37"/>
        <v>81</v>
      </c>
      <c r="AA108" s="57">
        <f t="shared" si="37"/>
        <v>86</v>
      </c>
      <c r="AB108" s="57">
        <f t="shared" si="37"/>
        <v>78</v>
      </c>
      <c r="AC108" s="57">
        <f t="shared" si="37"/>
        <v>23</v>
      </c>
      <c r="AD108" s="57">
        <f t="shared" si="37"/>
        <v>22</v>
      </c>
      <c r="AE108" s="57">
        <f t="shared" si="37"/>
        <v>85</v>
      </c>
      <c r="AF108" s="57">
        <f t="shared" si="37"/>
        <v>79</v>
      </c>
      <c r="AG108" s="57">
        <f t="shared" si="37"/>
        <v>80</v>
      </c>
      <c r="AH108" s="57">
        <f t="shared" si="37"/>
        <v>1</v>
      </c>
      <c r="AI108" s="82"/>
    </row>
    <row r="109" spans="1:47" ht="15.75">
      <c r="A109" s="55" t="s">
        <v>7</v>
      </c>
      <c r="C109" s="55" t="s">
        <v>7</v>
      </c>
      <c r="D109" s="57">
        <f>D108*450</f>
        <v>35550</v>
      </c>
      <c r="E109" s="57">
        <f>E108*450</f>
        <v>35100</v>
      </c>
      <c r="F109" s="57">
        <f>F108*450</f>
        <v>37800</v>
      </c>
      <c r="G109" s="57">
        <f>G108*450</f>
        <v>36900</v>
      </c>
      <c r="H109" s="57">
        <f>H108*450</f>
        <v>9900</v>
      </c>
      <c r="I109" s="57">
        <f>I108*450</f>
        <v>6750</v>
      </c>
      <c r="J109" s="57">
        <f>J108*450</f>
        <v>36450</v>
      </c>
      <c r="K109" s="57">
        <f>K108*450</f>
        <v>36000</v>
      </c>
      <c r="L109" s="57">
        <f>L108*450</f>
        <v>35100</v>
      </c>
      <c r="M109" s="57">
        <f>M108*450</f>
        <v>38250</v>
      </c>
      <c r="N109" s="57">
        <f>N108*450</f>
        <v>36900</v>
      </c>
      <c r="O109" s="57">
        <f>O108*450</f>
        <v>8550</v>
      </c>
      <c r="P109" s="57">
        <f>P108*450</f>
        <v>7200</v>
      </c>
      <c r="Q109" s="57">
        <f>Q108*450</f>
        <v>36450</v>
      </c>
      <c r="R109" s="57">
        <f>R108*450</f>
        <v>36450</v>
      </c>
      <c r="S109" s="57">
        <f>S108*450</f>
        <v>35100</v>
      </c>
      <c r="T109" s="57">
        <f>T108*450</f>
        <v>37800</v>
      </c>
      <c r="U109" s="57">
        <f>U108*450</f>
        <v>36450</v>
      </c>
      <c r="V109" s="57">
        <f>V108*450</f>
        <v>9000</v>
      </c>
      <c r="W109" s="57">
        <f>W108*450</f>
        <v>8550</v>
      </c>
      <c r="X109" s="57">
        <f>X108*450</f>
        <v>35100</v>
      </c>
      <c r="Y109" s="57">
        <f t="shared" ref="Y109:AH109" si="38">Y107*450</f>
        <v>26100</v>
      </c>
      <c r="Z109" s="57">
        <f>Z107*450</f>
        <v>32850</v>
      </c>
      <c r="AA109" s="57">
        <f t="shared" si="38"/>
        <v>36450</v>
      </c>
      <c r="AB109" s="57">
        <f t="shared" si="38"/>
        <v>31950</v>
      </c>
      <c r="AC109" s="57">
        <f t="shared" si="38"/>
        <v>9900</v>
      </c>
      <c r="AD109" s="57">
        <f t="shared" si="38"/>
        <v>8550</v>
      </c>
      <c r="AE109" s="57">
        <f>AE107*450</f>
        <v>37350</v>
      </c>
      <c r="AF109" s="57">
        <f t="shared" si="38"/>
        <v>33300</v>
      </c>
      <c r="AG109" s="57">
        <f t="shared" si="38"/>
        <v>34200</v>
      </c>
      <c r="AH109" s="57">
        <f t="shared" si="38"/>
        <v>450</v>
      </c>
      <c r="AI109" s="82"/>
    </row>
    <row r="110" spans="1:47" ht="15.75">
      <c r="A110" s="65" t="s">
        <v>8</v>
      </c>
      <c r="C110" s="65" t="s">
        <v>8</v>
      </c>
      <c r="D110" s="57">
        <f>D109-D105</f>
        <v>34059</v>
      </c>
      <c r="E110" s="57">
        <f>E109-E105</f>
        <v>33432</v>
      </c>
      <c r="F110" s="57">
        <f>F109-F105</f>
        <v>35840</v>
      </c>
      <c r="G110" s="57">
        <f>G109-G105</f>
        <v>33212</v>
      </c>
      <c r="H110" s="57">
        <f>H109-H105</f>
        <v>9445</v>
      </c>
      <c r="I110" s="57">
        <f>I109-I105</f>
        <v>6300</v>
      </c>
      <c r="J110" s="57">
        <f>J109-J105</f>
        <v>34559</v>
      </c>
      <c r="K110" s="57">
        <f>K109-K105</f>
        <v>33387</v>
      </c>
      <c r="L110" s="57">
        <f>L109-L105</f>
        <v>31757</v>
      </c>
      <c r="M110" s="57">
        <f>M109-M105</f>
        <v>34961</v>
      </c>
      <c r="N110" s="57">
        <f>N109-N105</f>
        <v>33640</v>
      </c>
      <c r="O110" s="57">
        <f>O109-O105</f>
        <v>8531</v>
      </c>
      <c r="P110" s="57">
        <f>P109-P105</f>
        <v>7125</v>
      </c>
      <c r="Q110" s="57">
        <f>Q109-Q105</f>
        <v>33834</v>
      </c>
      <c r="R110" s="57">
        <f>R109-R105</f>
        <v>34540</v>
      </c>
      <c r="S110" s="57">
        <f>S109-S105</f>
        <v>31453</v>
      </c>
      <c r="T110" s="57">
        <f>T109-T105</f>
        <v>36039</v>
      </c>
      <c r="U110" s="57">
        <f>U109-U105</f>
        <v>33525</v>
      </c>
      <c r="V110" s="57">
        <f>V109-V105</f>
        <v>8070</v>
      </c>
      <c r="W110" s="57">
        <f>W109-W105</f>
        <v>7200</v>
      </c>
      <c r="X110" s="57">
        <f>X109-X105</f>
        <v>15300</v>
      </c>
      <c r="Y110" s="57">
        <f>Y109-Y105</f>
        <v>15750</v>
      </c>
      <c r="Z110" s="57">
        <f>Z109-Z105</f>
        <v>29250</v>
      </c>
      <c r="AA110" s="57">
        <f>AA109-AA105</f>
        <v>34200</v>
      </c>
      <c r="AB110" s="57">
        <f t="shared" ref="AB110:AE110" si="39">AB109-AB105</f>
        <v>28800</v>
      </c>
      <c r="AC110" s="57">
        <f t="shared" si="39"/>
        <v>9293</v>
      </c>
      <c r="AD110" s="57">
        <f t="shared" si="39"/>
        <v>6981</v>
      </c>
      <c r="AE110" s="57">
        <f t="shared" si="39"/>
        <v>35952</v>
      </c>
      <c r="AF110" s="57">
        <f>AF109-AF105</f>
        <v>30972</v>
      </c>
      <c r="AG110" s="57">
        <f>AG109-AG105</f>
        <v>32256</v>
      </c>
      <c r="AH110" s="57">
        <f>AH109-AH105</f>
        <v>450</v>
      </c>
      <c r="AI110" s="82"/>
    </row>
    <row r="111" spans="1:47" ht="15.75">
      <c r="A111" s="59" t="s">
        <v>9</v>
      </c>
      <c r="C111" s="59" t="s">
        <v>9</v>
      </c>
      <c r="D111" s="60">
        <f>D110/D109</f>
        <v>0.95805907172995786</v>
      </c>
      <c r="E111" s="60">
        <f>E110/E109</f>
        <v>0.95247863247863251</v>
      </c>
      <c r="F111" s="60">
        <f>F110/F109</f>
        <v>0.94814814814814818</v>
      </c>
      <c r="G111" s="60">
        <f>G110/G109</f>
        <v>0.90005420054200547</v>
      </c>
      <c r="H111" s="60">
        <f>H110/H109</f>
        <v>0.95404040404040402</v>
      </c>
      <c r="I111" s="60">
        <f>I110/I109</f>
        <v>0.93333333333333335</v>
      </c>
      <c r="J111" s="60">
        <f>J110/J109</f>
        <v>0.94812071330589853</v>
      </c>
      <c r="K111" s="60">
        <f>K110/K109</f>
        <v>0.92741666666666667</v>
      </c>
      <c r="L111" s="60">
        <f>L110/L109</f>
        <v>0.90475783475783478</v>
      </c>
      <c r="M111" s="60">
        <f>M110/M109</f>
        <v>0.9140130718954248</v>
      </c>
      <c r="N111" s="60">
        <f>N110/N109</f>
        <v>0.91165311653116532</v>
      </c>
      <c r="O111" s="60">
        <f>O110/O109</f>
        <v>0.99777777777777776</v>
      </c>
      <c r="P111" s="60">
        <f>P110/P109</f>
        <v>0.98958333333333337</v>
      </c>
      <c r="Q111" s="60">
        <f>Q110/Q109</f>
        <v>0.92823045267489712</v>
      </c>
      <c r="R111" s="60">
        <f>R110/R109</f>
        <v>0.94759945130315504</v>
      </c>
      <c r="S111" s="60">
        <f>S110/S109</f>
        <v>0.89609686609686612</v>
      </c>
      <c r="T111" s="60">
        <f>T110/T109</f>
        <v>0.95341269841269838</v>
      </c>
      <c r="U111" s="60">
        <f>U110/U109</f>
        <v>0.91975308641975306</v>
      </c>
      <c r="V111" s="60">
        <f>V110/V109</f>
        <v>0.89666666666666661</v>
      </c>
      <c r="W111" s="60">
        <f>W110/W109</f>
        <v>0.84210526315789469</v>
      </c>
      <c r="X111" s="60">
        <f>X110/X109</f>
        <v>0.4358974358974359</v>
      </c>
      <c r="Y111" s="60">
        <f>Y110/Y109</f>
        <v>0.60344827586206895</v>
      </c>
      <c r="Z111" s="60">
        <f>Z110/Z109</f>
        <v>0.8904109589041096</v>
      </c>
      <c r="AA111" s="60">
        <f>AA110/AA109</f>
        <v>0.93827160493827155</v>
      </c>
      <c r="AB111" s="60">
        <f t="shared" ref="AB111:AH111" si="40">AB110/AB109</f>
        <v>0.90140845070422537</v>
      </c>
      <c r="AC111" s="60">
        <f t="shared" si="40"/>
        <v>0.93868686868686868</v>
      </c>
      <c r="AD111" s="60">
        <f t="shared" si="40"/>
        <v>0.81649122807017549</v>
      </c>
      <c r="AE111" s="60">
        <f>AE110/AE109</f>
        <v>0.96257028112449794</v>
      </c>
      <c r="AF111" s="60">
        <f>AF110/AF109</f>
        <v>0.93009009009009014</v>
      </c>
      <c r="AG111" s="60">
        <f t="shared" ref="AG111:AH111" si="41">AG110/AG109</f>
        <v>0.94315789473684208</v>
      </c>
      <c r="AH111" s="60">
        <f t="shared" si="41"/>
        <v>1</v>
      </c>
      <c r="AI111" s="82"/>
    </row>
    <row r="112" spans="1:47" ht="15.75">
      <c r="A112" s="55" t="s">
        <v>147</v>
      </c>
      <c r="C112" s="55" t="s">
        <v>147</v>
      </c>
      <c r="D112" s="57">
        <f>COUNTIF(D3:D93,"RD")</f>
        <v>10</v>
      </c>
      <c r="E112" s="57">
        <f>COUNTIF(E3:E93,"RD")</f>
        <v>10</v>
      </c>
      <c r="F112" s="57">
        <f>COUNTIF(F3:F93,"RD")</f>
        <v>5</v>
      </c>
      <c r="G112" s="57">
        <f>COUNTIF(G3:G93,"RD")</f>
        <v>5</v>
      </c>
      <c r="H112" s="57">
        <f>COUNTIF(H3:H93,"RD")</f>
        <v>68</v>
      </c>
      <c r="I112" s="57">
        <f>COUNTIF(I3:I93,"RD")</f>
        <v>76</v>
      </c>
      <c r="J112" s="57">
        <f>COUNTIF(J3:J93,"RD")</f>
        <v>6</v>
      </c>
      <c r="K112" s="57">
        <f>COUNTIF(K3:K93,"RD")</f>
        <v>9</v>
      </c>
      <c r="L112" s="57">
        <f>COUNTIF(L3:L93,"RD")</f>
        <v>13</v>
      </c>
      <c r="M112" s="57">
        <f>COUNTIF(M3:M93,"RD")</f>
        <v>6</v>
      </c>
      <c r="N112" s="57">
        <f>COUNTIF(N3:N93,"RD")</f>
        <v>4</v>
      </c>
      <c r="O112" s="57">
        <f>COUNTIF(O3:O93,"RD")</f>
        <v>71</v>
      </c>
      <c r="P112" s="57">
        <f>COUNTIF(P3:P93,"RD")</f>
        <v>75</v>
      </c>
      <c r="Q112" s="57">
        <f>COUNTIF(Q3:Q93,"RD")</f>
        <v>6</v>
      </c>
      <c r="R112" s="57">
        <f>COUNTIF(R3:R93,"RD")</f>
        <v>8</v>
      </c>
      <c r="S112" s="57">
        <f>COUNTIF(S3:S93,"RD")</f>
        <v>11</v>
      </c>
      <c r="T112" s="57">
        <f>COUNTIF(T3:T93,"RD")</f>
        <v>5</v>
      </c>
      <c r="U112" s="57">
        <f>COUNTIF(U3:U93,"RD")</f>
        <v>4</v>
      </c>
      <c r="V112" s="57">
        <f>COUNTIF(V3:V93,"RD")</f>
        <v>71</v>
      </c>
      <c r="W112" s="57">
        <f>COUNTIF(W3:W93,"RD")</f>
        <v>72</v>
      </c>
      <c r="X112" s="57">
        <f>COUNTIF(X3:X93,"RD")</f>
        <v>13</v>
      </c>
      <c r="Y112" s="57">
        <f>COUNTIF(Y3:Y93,"RD")</f>
        <v>9</v>
      </c>
      <c r="Z112" s="57">
        <f>COUNTIF(Z3:Z93,"RD")</f>
        <v>9</v>
      </c>
      <c r="AA112" s="57">
        <f>COUNTIF(AA3:AA93,"RD")</f>
        <v>4</v>
      </c>
      <c r="AB112" s="57">
        <f t="shared" ref="AB112:AH112" si="42">COUNTIF(AB3:AB93,"RD")</f>
        <v>7</v>
      </c>
      <c r="AC112" s="57">
        <f t="shared" si="42"/>
        <v>67</v>
      </c>
      <c r="AD112" s="57">
        <f t="shared" si="42"/>
        <v>68</v>
      </c>
      <c r="AE112" s="57">
        <f t="shared" si="42"/>
        <v>3</v>
      </c>
      <c r="AF112" s="57">
        <f t="shared" si="42"/>
        <v>10</v>
      </c>
      <c r="AG112" s="57">
        <f t="shared" si="42"/>
        <v>9</v>
      </c>
      <c r="AH112" s="57">
        <f t="shared" si="42"/>
        <v>0</v>
      </c>
      <c r="AI112" s="82"/>
    </row>
    <row r="113" spans="1:35" ht="15.75">
      <c r="A113" s="55" t="s">
        <v>12</v>
      </c>
      <c r="C113" s="55" t="s">
        <v>12</v>
      </c>
      <c r="D113" s="57">
        <f>COUNTIF(D3:D93,"VL")</f>
        <v>1</v>
      </c>
      <c r="E113" s="57">
        <f t="shared" ref="E113:AH113" si="43">COUNTIF(E3:E93,"VL")</f>
        <v>2</v>
      </c>
      <c r="F113" s="57">
        <f t="shared" si="43"/>
        <v>1</v>
      </c>
      <c r="G113" s="57">
        <f t="shared" si="43"/>
        <v>2</v>
      </c>
      <c r="H113" s="57">
        <f t="shared" si="43"/>
        <v>0</v>
      </c>
      <c r="I113" s="57">
        <f t="shared" si="43"/>
        <v>0</v>
      </c>
      <c r="J113" s="57">
        <f t="shared" si="43"/>
        <v>4</v>
      </c>
      <c r="K113" s="57">
        <f t="shared" si="43"/>
        <v>2</v>
      </c>
      <c r="L113" s="57">
        <f t="shared" si="43"/>
        <v>0</v>
      </c>
      <c r="M113" s="57">
        <f t="shared" si="43"/>
        <v>0</v>
      </c>
      <c r="N113" s="57">
        <f t="shared" si="43"/>
        <v>3</v>
      </c>
      <c r="O113" s="57">
        <f t="shared" si="43"/>
        <v>0</v>
      </c>
      <c r="P113" s="57">
        <f t="shared" si="43"/>
        <v>0</v>
      </c>
      <c r="Q113" s="57">
        <f t="shared" si="43"/>
        <v>2</v>
      </c>
      <c r="R113" s="57">
        <f t="shared" si="43"/>
        <v>1</v>
      </c>
      <c r="S113" s="57">
        <f t="shared" si="43"/>
        <v>2</v>
      </c>
      <c r="T113" s="57">
        <f t="shared" si="43"/>
        <v>2</v>
      </c>
      <c r="U113" s="57">
        <f t="shared" si="43"/>
        <v>6</v>
      </c>
      <c r="V113" s="57">
        <f t="shared" si="43"/>
        <v>0</v>
      </c>
      <c r="W113" s="57">
        <f t="shared" si="43"/>
        <v>0</v>
      </c>
      <c r="X113" s="57">
        <f t="shared" si="43"/>
        <v>0</v>
      </c>
      <c r="Y113" s="57">
        <f t="shared" si="43"/>
        <v>0</v>
      </c>
      <c r="Z113" s="57">
        <f t="shared" si="43"/>
        <v>1</v>
      </c>
      <c r="AA113" s="57">
        <f>COUNTIF(AA3:AA93,"VL")</f>
        <v>1</v>
      </c>
      <c r="AB113" s="57">
        <f t="shared" si="43"/>
        <v>6</v>
      </c>
      <c r="AC113" s="57">
        <f t="shared" si="43"/>
        <v>1</v>
      </c>
      <c r="AD113" s="57">
        <f t="shared" si="43"/>
        <v>1</v>
      </c>
      <c r="AE113" s="57">
        <f t="shared" si="43"/>
        <v>3</v>
      </c>
      <c r="AF113" s="57">
        <f t="shared" si="43"/>
        <v>2</v>
      </c>
      <c r="AG113" s="57">
        <f t="shared" si="43"/>
        <v>2</v>
      </c>
      <c r="AH113" s="57">
        <f t="shared" si="43"/>
        <v>0</v>
      </c>
      <c r="AI113" s="82"/>
    </row>
    <row r="114" spans="1:35" ht="15.75">
      <c r="A114" s="55" t="s">
        <v>14</v>
      </c>
      <c r="C114" s="55" t="s">
        <v>14</v>
      </c>
      <c r="D114" s="57">
        <f>COUNTIF(D3:D93,"LWOP")</f>
        <v>1</v>
      </c>
      <c r="E114" s="57">
        <f t="shared" ref="E114:AH114" si="44">COUNTIF(E3:E93,"LWOP")</f>
        <v>1</v>
      </c>
      <c r="F114" s="57">
        <f t="shared" si="44"/>
        <v>1</v>
      </c>
      <c r="G114" s="57">
        <f t="shared" si="44"/>
        <v>2</v>
      </c>
      <c r="H114" s="57">
        <f t="shared" si="44"/>
        <v>1</v>
      </c>
      <c r="I114" s="57">
        <f t="shared" si="44"/>
        <v>0</v>
      </c>
      <c r="J114" s="57">
        <f t="shared" si="44"/>
        <v>0</v>
      </c>
      <c r="K114" s="57">
        <f t="shared" si="44"/>
        <v>0</v>
      </c>
      <c r="L114" s="57">
        <f t="shared" si="44"/>
        <v>0</v>
      </c>
      <c r="M114" s="57">
        <f t="shared" si="44"/>
        <v>0</v>
      </c>
      <c r="N114" s="57">
        <f t="shared" si="44"/>
        <v>2</v>
      </c>
      <c r="O114" s="57">
        <f t="shared" si="44"/>
        <v>1</v>
      </c>
      <c r="P114" s="57">
        <f t="shared" si="44"/>
        <v>0</v>
      </c>
      <c r="Q114" s="57">
        <f t="shared" si="44"/>
        <v>2</v>
      </c>
      <c r="R114" s="57">
        <f t="shared" si="44"/>
        <v>1</v>
      </c>
      <c r="S114" s="57">
        <f t="shared" si="44"/>
        <v>0</v>
      </c>
      <c r="T114" s="57">
        <f t="shared" si="44"/>
        <v>0</v>
      </c>
      <c r="U114" s="57">
        <f t="shared" si="44"/>
        <v>0</v>
      </c>
      <c r="V114" s="57">
        <f t="shared" si="44"/>
        <v>0</v>
      </c>
      <c r="W114" s="57">
        <f t="shared" si="44"/>
        <v>0</v>
      </c>
      <c r="X114" s="57">
        <f t="shared" si="44"/>
        <v>0</v>
      </c>
      <c r="Y114" s="57">
        <f t="shared" si="44"/>
        <v>0</v>
      </c>
      <c r="Z114" s="57">
        <f t="shared" si="44"/>
        <v>0</v>
      </c>
      <c r="AA114" s="57">
        <f>COUNTIF(AA3:AA93,"LWOP")</f>
        <v>0</v>
      </c>
      <c r="AB114" s="57">
        <f t="shared" si="44"/>
        <v>0</v>
      </c>
      <c r="AC114" s="57">
        <f t="shared" si="44"/>
        <v>0</v>
      </c>
      <c r="AD114" s="57">
        <f t="shared" si="44"/>
        <v>0</v>
      </c>
      <c r="AE114" s="57">
        <f t="shared" si="44"/>
        <v>0</v>
      </c>
      <c r="AF114" s="57">
        <f t="shared" si="44"/>
        <v>0</v>
      </c>
      <c r="AG114" s="57">
        <f t="shared" si="44"/>
        <v>0</v>
      </c>
      <c r="AH114" s="57">
        <f t="shared" si="44"/>
        <v>0</v>
      </c>
      <c r="AI114" s="82"/>
    </row>
    <row r="115" spans="1:35" ht="15.75">
      <c r="A115" s="55" t="s">
        <v>11</v>
      </c>
      <c r="C115" s="55" t="s">
        <v>11</v>
      </c>
      <c r="D115" s="57">
        <f>COUNTIF(D3:D93,"450")</f>
        <v>3</v>
      </c>
      <c r="E115" s="57">
        <f t="shared" ref="E115:AH115" si="45">COUNTIF(E3:E102,"450")</f>
        <v>2</v>
      </c>
      <c r="F115" s="57">
        <f t="shared" si="45"/>
        <v>4</v>
      </c>
      <c r="G115" s="57">
        <f t="shared" si="45"/>
        <v>7</v>
      </c>
      <c r="H115" s="57">
        <f t="shared" si="45"/>
        <v>1</v>
      </c>
      <c r="I115" s="57">
        <f t="shared" si="45"/>
        <v>2</v>
      </c>
      <c r="J115" s="57">
        <f t="shared" si="45"/>
        <v>3</v>
      </c>
      <c r="K115" s="57">
        <f t="shared" si="45"/>
        <v>5</v>
      </c>
      <c r="L115" s="57">
        <f t="shared" si="45"/>
        <v>6</v>
      </c>
      <c r="M115" s="57">
        <f t="shared" si="45"/>
        <v>7</v>
      </c>
      <c r="N115" s="57">
        <f t="shared" si="45"/>
        <v>6</v>
      </c>
      <c r="O115" s="57">
        <f t="shared" si="45"/>
        <v>0</v>
      </c>
      <c r="P115" s="57">
        <f t="shared" si="45"/>
        <v>0</v>
      </c>
      <c r="Q115" s="57">
        <f t="shared" si="45"/>
        <v>5</v>
      </c>
      <c r="R115" s="57">
        <f>COUNTIF(R3:R102,"450")</f>
        <v>3</v>
      </c>
      <c r="S115" s="57">
        <f t="shared" si="45"/>
        <v>9</v>
      </c>
      <c r="T115" s="57">
        <f t="shared" si="45"/>
        <v>3</v>
      </c>
      <c r="U115" s="57">
        <f t="shared" si="45"/>
        <v>6</v>
      </c>
      <c r="V115" s="57">
        <f t="shared" si="45"/>
        <v>2</v>
      </c>
      <c r="W115" s="57">
        <f t="shared" si="45"/>
        <v>3</v>
      </c>
      <c r="X115" s="57">
        <f t="shared" si="45"/>
        <v>45</v>
      </c>
      <c r="Y115" s="57">
        <f t="shared" si="45"/>
        <v>24</v>
      </c>
      <c r="Z115" s="57">
        <f t="shared" si="45"/>
        <v>8</v>
      </c>
      <c r="AA115" s="57">
        <f>COUNTIF(AA3:AA102,"450")</f>
        <v>5</v>
      </c>
      <c r="AB115" s="57">
        <f t="shared" si="45"/>
        <v>7</v>
      </c>
      <c r="AC115" s="57">
        <f t="shared" si="45"/>
        <v>1</v>
      </c>
      <c r="AD115" s="57">
        <f t="shared" si="45"/>
        <v>3</v>
      </c>
      <c r="AE115" s="57">
        <f t="shared" si="45"/>
        <v>2</v>
      </c>
      <c r="AF115" s="57">
        <f>COUNTIF(AF3:AF102,"450")</f>
        <v>5</v>
      </c>
      <c r="AG115" s="57">
        <f t="shared" si="45"/>
        <v>4</v>
      </c>
      <c r="AH115" s="57">
        <f t="shared" si="45"/>
        <v>0</v>
      </c>
      <c r="AI115" s="82"/>
    </row>
    <row r="116" spans="1:35">
      <c r="A116" s="66" t="s">
        <v>196</v>
      </c>
      <c r="C116" s="66" t="s">
        <v>196</v>
      </c>
      <c r="D116" s="39">
        <f>D103/D110</f>
        <v>4.3776975248832908E-2</v>
      </c>
      <c r="E116" s="39">
        <f t="shared" ref="E116:AD116" si="46">E103/E110</f>
        <v>4.9892318736539841E-2</v>
      </c>
      <c r="F116" s="39">
        <f t="shared" si="46"/>
        <v>5.46875E-2</v>
      </c>
      <c r="G116" s="39">
        <f t="shared" si="46"/>
        <v>5.6846922798988314E-2</v>
      </c>
      <c r="H116" s="39">
        <f t="shared" si="46"/>
        <v>5.2938062466913714E-4</v>
      </c>
      <c r="I116" s="39">
        <f t="shared" si="46"/>
        <v>0</v>
      </c>
      <c r="J116" s="39">
        <f t="shared" si="46"/>
        <v>5.4718018461182329E-2</v>
      </c>
      <c r="K116" s="39">
        <f t="shared" si="46"/>
        <v>5.1307395093898825E-2</v>
      </c>
      <c r="L116" s="39">
        <f t="shared" si="46"/>
        <v>9.10980256321441E-2</v>
      </c>
      <c r="M116" s="39">
        <f t="shared" si="46"/>
        <v>8.1204771030576925E-2</v>
      </c>
      <c r="N116" s="39">
        <f t="shared" si="46"/>
        <v>8.3531510107015455E-2</v>
      </c>
      <c r="O116" s="39">
        <f t="shared" si="46"/>
        <v>2.2271714922048997E-3</v>
      </c>
      <c r="P116" s="39">
        <f t="shared" si="46"/>
        <v>1.0526315789473684E-2</v>
      </c>
      <c r="Q116" s="39">
        <f t="shared" si="46"/>
        <v>5.0718212449015782E-2</v>
      </c>
      <c r="R116" s="39">
        <f t="shared" si="46"/>
        <v>5.5298204979733645E-2</v>
      </c>
      <c r="S116" s="39">
        <f t="shared" si="46"/>
        <v>7.302959972021747E-2</v>
      </c>
      <c r="T116" s="39">
        <f t="shared" si="46"/>
        <v>2.3890784982935155E-2</v>
      </c>
      <c r="U116" s="39">
        <f t="shared" si="46"/>
        <v>6.0402684563758392E-2</v>
      </c>
      <c r="V116" s="39">
        <f t="shared" si="46"/>
        <v>5.9479553903345722E-2</v>
      </c>
      <c r="W116" s="39">
        <f t="shared" si="46"/>
        <v>0.1875</v>
      </c>
      <c r="X116" s="39">
        <f t="shared" si="46"/>
        <v>0.8529411764705882</v>
      </c>
      <c r="Y116" s="39">
        <f t="shared" si="46"/>
        <v>0.34285714285714286</v>
      </c>
      <c r="Z116" s="39">
        <f t="shared" si="46"/>
        <v>4.6153846153846156E-2</v>
      </c>
      <c r="AA116" s="39">
        <f t="shared" si="46"/>
        <v>2.6315789473684209E-2</v>
      </c>
      <c r="AB116" s="39">
        <f t="shared" si="46"/>
        <v>7.8125E-2</v>
      </c>
      <c r="AC116" s="39">
        <f t="shared" si="46"/>
        <v>1.6894436672764447E-2</v>
      </c>
      <c r="AD116" s="39">
        <f t="shared" si="46"/>
        <v>0.1602922217447357</v>
      </c>
      <c r="AE116" s="39">
        <f>AE103/AE110</f>
        <v>1.3851802403204272E-2</v>
      </c>
      <c r="AF116" s="39">
        <f>AF103/AF110</f>
        <v>2.5184037194885705E-3</v>
      </c>
      <c r="AG116" s="39">
        <f>AG103/AG110</f>
        <v>4.464285714285714E-3</v>
      </c>
      <c r="AH116" s="39">
        <f>AH103/AH110</f>
        <v>0</v>
      </c>
      <c r="AI116" s="82"/>
    </row>
    <row r="117" spans="1:35">
      <c r="A117" s="67" t="s">
        <v>197</v>
      </c>
      <c r="C117" s="67" t="s">
        <v>197</v>
      </c>
      <c r="D117" s="39">
        <f>D104/D109</f>
        <v>0</v>
      </c>
      <c r="E117" s="39">
        <f t="shared" ref="E117:AF117" si="47">E104/E109</f>
        <v>0</v>
      </c>
      <c r="F117" s="39">
        <f t="shared" si="47"/>
        <v>0</v>
      </c>
      <c r="G117" s="39">
        <f t="shared" si="47"/>
        <v>4.878048780487805E-2</v>
      </c>
      <c r="H117" s="39">
        <f t="shared" si="47"/>
        <v>4.5454545454545456E-2</v>
      </c>
      <c r="I117" s="39">
        <f t="shared" si="47"/>
        <v>6.6666666666666666E-2</v>
      </c>
      <c r="J117" s="39">
        <f t="shared" si="47"/>
        <v>0</v>
      </c>
      <c r="K117" s="39">
        <f t="shared" si="47"/>
        <v>2.5000000000000001E-2</v>
      </c>
      <c r="L117" s="39">
        <f t="shared" si="47"/>
        <v>1.282051282051282E-2</v>
      </c>
      <c r="M117" s="39">
        <f t="shared" si="47"/>
        <v>1.1764705882352941E-2</v>
      </c>
      <c r="N117" s="39">
        <f t="shared" si="47"/>
        <v>1.2195121951219513E-2</v>
      </c>
      <c r="O117" s="39">
        <f t="shared" si="47"/>
        <v>0</v>
      </c>
      <c r="P117" s="39">
        <f t="shared" si="47"/>
        <v>0</v>
      </c>
      <c r="Q117" s="39">
        <f t="shared" si="47"/>
        <v>2.4691358024691357E-2</v>
      </c>
      <c r="R117" s="39">
        <f t="shared" si="47"/>
        <v>0</v>
      </c>
      <c r="S117" s="39">
        <f t="shared" si="47"/>
        <v>3.8461538461538464E-2</v>
      </c>
      <c r="T117" s="39">
        <f t="shared" si="47"/>
        <v>2.3809523809523808E-2</v>
      </c>
      <c r="U117" s="39">
        <f t="shared" si="47"/>
        <v>2.4691358024691357E-2</v>
      </c>
      <c r="V117" s="39">
        <f t="shared" si="47"/>
        <v>0.05</v>
      </c>
      <c r="W117" s="39">
        <f t="shared" si="47"/>
        <v>0</v>
      </c>
      <c r="X117" s="39">
        <f t="shared" si="47"/>
        <v>0.19230769230769232</v>
      </c>
      <c r="Y117" s="39">
        <f t="shared" si="47"/>
        <v>0.18965517241379309</v>
      </c>
      <c r="Z117" s="39">
        <f t="shared" si="47"/>
        <v>6.8493150684931503E-2</v>
      </c>
      <c r="AA117" s="39">
        <f t="shared" si="47"/>
        <v>3.7037037037037035E-2</v>
      </c>
      <c r="AB117" s="39">
        <f t="shared" si="47"/>
        <v>2.8169014084507043E-2</v>
      </c>
      <c r="AC117" s="39">
        <f t="shared" si="47"/>
        <v>4.5454545454545456E-2</v>
      </c>
      <c r="AD117" s="39">
        <f t="shared" si="47"/>
        <v>5.2631578947368418E-2</v>
      </c>
      <c r="AE117" s="39">
        <f t="shared" si="47"/>
        <v>2.4096385542168676E-2</v>
      </c>
      <c r="AF117" s="39">
        <f>AF104/AF109</f>
        <v>6.7567567567567571E-2</v>
      </c>
      <c r="AG117" s="39">
        <f t="shared" ref="AB117:AG117" si="48">AG104/AG110</f>
        <v>5.5803571428571432E-2</v>
      </c>
      <c r="AH117" s="39">
        <f>AH104/AH110</f>
        <v>0</v>
      </c>
      <c r="AI117" s="82"/>
    </row>
    <row r="118" spans="1:35">
      <c r="AI118" s="82"/>
    </row>
    <row r="119" spans="1:35">
      <c r="AI119" s="82"/>
    </row>
    <row r="120" spans="1:35">
      <c r="AI120" s="82"/>
    </row>
    <row r="121" spans="1:35">
      <c r="AI121" s="82"/>
    </row>
    <row r="122" spans="1:35">
      <c r="AI122" s="82"/>
    </row>
    <row r="123" spans="1:35">
      <c r="AI123" s="82"/>
    </row>
    <row r="124" spans="1:35">
      <c r="AI124" s="82"/>
    </row>
    <row r="125" spans="1:35">
      <c r="AI125" s="82"/>
    </row>
    <row r="126" spans="1:35">
      <c r="AI126" s="82"/>
    </row>
    <row r="127" spans="1:35">
      <c r="AI127" s="82"/>
    </row>
    <row r="128" spans="1:35">
      <c r="AI128" s="82"/>
    </row>
    <row r="129" spans="35:35">
      <c r="AI129" s="82"/>
    </row>
    <row r="130" spans="35:35">
      <c r="AI130" s="82"/>
    </row>
    <row r="131" spans="35:35">
      <c r="AI131" s="82"/>
    </row>
    <row r="132" spans="35:35">
      <c r="AI132" s="82"/>
    </row>
    <row r="133" spans="35:35">
      <c r="AI133" s="82"/>
    </row>
    <row r="134" spans="35:35">
      <c r="AI134" s="82"/>
    </row>
    <row r="135" spans="35:35">
      <c r="AI135" s="82"/>
    </row>
    <row r="136" spans="35:35">
      <c r="AI136" s="82"/>
    </row>
    <row r="137" spans="35:35">
      <c r="AI137" s="82"/>
    </row>
  </sheetData>
  <autoFilter ref="A2:AV117" xr:uid="{847987DF-FC0C-451E-B99E-C78446EA4E17}"/>
  <phoneticPr fontId="9" type="noConversion"/>
  <conditionalFormatting sqref="D94:J100">
    <cfRule type="containsText" dxfId="7285" priority="9424" operator="containsText" text="P">
      <formula>NOT(ISERROR(SEARCH("P",D94)))</formula>
    </cfRule>
    <cfRule type="containsText" dxfId="7284" priority="9425" operator="containsText" text="TFO">
      <formula>NOT(ISERROR(SEARCH("TFO",D94)))</formula>
    </cfRule>
    <cfRule type="containsText" dxfId="7283" priority="9426" operator="containsText" text="AA">
      <formula>NOT(ISERROR(SEARCH("AA",D94)))</formula>
    </cfRule>
    <cfRule type="containsText" dxfId="7282" priority="9427" operator="containsText" text="RESIGNED">
      <formula>NOT(ISERROR(SEARCH("RESIGNED",D94)))</formula>
    </cfRule>
    <cfRule type="containsText" dxfId="7281" priority="9428" operator="containsText" text="P">
      <formula>NOT(ISERROR(SEARCH("P",D94)))</formula>
    </cfRule>
    <cfRule type="containsText" dxfId="7280" priority="9429" operator="containsText" text="TARDY">
      <formula>NOT(ISERROR(SEARCH("TARDY",D94)))</formula>
    </cfRule>
    <cfRule type="containsText" dxfId="7279" priority="9430" operator="containsText" text="REST DAY">
      <formula>NOT(ISERROR(SEARCH("REST DAY",D94)))</formula>
    </cfRule>
    <cfRule type="containsText" dxfId="7278" priority="9431" operator="containsText" text="UA">
      <formula>NOT(ISERROR(SEARCH("UA",D94)))</formula>
    </cfRule>
    <cfRule type="containsText" dxfId="7277" priority="9432" operator="containsText" text="LWOP UA">
      <formula>NOT(ISERROR(SEARCH("LWOP UA",D94)))</formula>
    </cfRule>
  </conditionalFormatting>
  <conditionalFormatting sqref="H94:J100">
    <cfRule type="containsText" dxfId="7276" priority="9434" operator="containsText" text="TFO">
      <formula>NOT(ISERROR(SEARCH("TFO",H94)))</formula>
    </cfRule>
    <cfRule type="containsText" dxfId="7275" priority="9435" operator="containsText" text="AA">
      <formula>NOT(ISERROR(SEARCH("AA",H94)))</formula>
    </cfRule>
    <cfRule type="containsText" dxfId="7274" priority="9436" operator="containsText" text="RESIGNED">
      <formula>NOT(ISERROR(SEARCH("RESIGNED",H94)))</formula>
    </cfRule>
    <cfRule type="containsText" dxfId="7273" priority="9437" operator="containsText" text="P">
      <formula>NOT(ISERROR(SEARCH("P",H94)))</formula>
    </cfRule>
    <cfRule type="containsText" dxfId="7272" priority="9438" operator="containsText" text="TARDY">
      <formula>NOT(ISERROR(SEARCH("TARDY",H94)))</formula>
    </cfRule>
    <cfRule type="containsText" dxfId="7271" priority="9439" operator="containsText" text="REST DAY">
      <formula>NOT(ISERROR(SEARCH("REST DAY",H94)))</formula>
    </cfRule>
    <cfRule type="containsText" dxfId="7270" priority="9440" operator="containsText" text="UA">
      <formula>NOT(ISERROR(SEARCH("UA",H94)))</formula>
    </cfRule>
    <cfRule type="containsText" dxfId="7269" priority="9441" operator="containsText" text="LWOP UA">
      <formula>NOT(ISERROR(SEARCH("LWOP UA",H94)))</formula>
    </cfRule>
  </conditionalFormatting>
  <conditionalFormatting sqref="D94:J100">
    <cfRule type="containsText" dxfId="7268" priority="9410" operator="containsText" text="VL">
      <formula>NOT(ISERROR(SEARCH("VL",D94)))</formula>
    </cfRule>
    <cfRule type="containsText" dxfId="7267" priority="9411" operator="containsText" text="RD">
      <formula>NOT(ISERROR(SEARCH("RD",D94)))</formula>
    </cfRule>
    <cfRule type="containsText" dxfId="7266" priority="9412" operator="containsText" text="540">
      <formula>NOT(ISERROR(SEARCH("540",D94)))</formula>
    </cfRule>
    <cfRule type="cellIs" dxfId="7265" priority="9413" operator="between">
      <formula>1</formula>
      <formula>400</formula>
    </cfRule>
    <cfRule type="containsText" dxfId="7264" priority="9423" operator="containsText" text="LWOP UA">
      <formula>NOT(ISERROR(SEARCH("LWOP UA",D94)))</formula>
    </cfRule>
  </conditionalFormatting>
  <conditionalFormatting sqref="AH8 AH17 AH73">
    <cfRule type="containsText" dxfId="7263" priority="9414" operator="containsText" text="LWOP UA">
      <formula>NOT(ISERROR(SEARCH("LWOP UA",AH8)))</formula>
    </cfRule>
    <cfRule type="containsText" dxfId="7262" priority="9415" operator="containsText" text="P">
      <formula>NOT(ISERROR(SEARCH("P",AH8)))</formula>
    </cfRule>
    <cfRule type="containsText" dxfId="7261" priority="9416" operator="containsText" text="TFO">
      <formula>NOT(ISERROR(SEARCH("TFO",AH8)))</formula>
    </cfRule>
    <cfRule type="containsText" dxfId="7260" priority="9417" operator="containsText" text="AA">
      <formula>NOT(ISERROR(SEARCH("AA",AH8)))</formula>
    </cfRule>
    <cfRule type="containsText" dxfId="7259" priority="9418" operator="containsText" text="RESIGNED">
      <formula>NOT(ISERROR(SEARCH("RESIGNED",AH8)))</formula>
    </cfRule>
    <cfRule type="containsText" dxfId="7258" priority="9419" operator="containsText" text="P">
      <formula>NOT(ISERROR(SEARCH("P",AH8)))</formula>
    </cfRule>
    <cfRule type="containsText" dxfId="7257" priority="9420" operator="containsText" text="TARDY">
      <formula>NOT(ISERROR(SEARCH("TARDY",AH8)))</formula>
    </cfRule>
    <cfRule type="containsText" dxfId="7256" priority="9421" operator="containsText" text="REST DAY">
      <formula>NOT(ISERROR(SEARCH("REST DAY",AH8)))</formula>
    </cfRule>
    <cfRule type="containsText" dxfId="7255" priority="9422" operator="containsText" text="UA">
      <formula>NOT(ISERROR(SEARCH("UA",AH8)))</formula>
    </cfRule>
  </conditionalFormatting>
  <conditionalFormatting sqref="H94:J100 AH61 AH83 AH4 AH42 AH47 AH13 AH63 AH80 AH16 AH56:AH57 AH68:AH69 AH86">
    <cfRule type="containsText" dxfId="7254" priority="9433" operator="containsText" text="P">
      <formula>NOT(ISERROR(SEARCH("P",H4)))</formula>
    </cfRule>
  </conditionalFormatting>
  <conditionalFormatting sqref="AH61 AH83 AH8 AH42 AH63 AH4 AH13 AH47 AH80 AH73 AH16:AH17 AH56:AH57 AH68:AH69 AH86">
    <cfRule type="containsText" dxfId="7253" priority="9175" operator="containsText" text="LWOP UA">
      <formula>NOT(ISERROR(SEARCH("LWOP UA",AH4)))</formula>
    </cfRule>
  </conditionalFormatting>
  <conditionalFormatting sqref="AH61 AH83 AH4 AH42 AH47 AH13 AH63 AH80 AH16 AH56:AH57 AH68:AH69 AH86">
    <cfRule type="containsText" dxfId="7252" priority="9168" operator="containsText" text="TFO">
      <formula>NOT(ISERROR(SEARCH("TFO",AH4)))</formula>
    </cfRule>
    <cfRule type="containsText" dxfId="7251" priority="9169" operator="containsText" text="AA">
      <formula>NOT(ISERROR(SEARCH("AA",AH4)))</formula>
    </cfRule>
    <cfRule type="containsText" dxfId="7250" priority="9170" operator="containsText" text="RESIGNED">
      <formula>NOT(ISERROR(SEARCH("RESIGNED",AH4)))</formula>
    </cfRule>
    <cfRule type="containsText" dxfId="7249" priority="9171" operator="containsText" text="P">
      <formula>NOT(ISERROR(SEARCH("P",AH4)))</formula>
    </cfRule>
    <cfRule type="containsText" dxfId="7248" priority="9172" operator="containsText" text="TARDY">
      <formula>NOT(ISERROR(SEARCH("TARDY",AH4)))</formula>
    </cfRule>
    <cfRule type="containsText" dxfId="7247" priority="9173" operator="containsText" text="REST DAY">
      <formula>NOT(ISERROR(SEARCH("REST DAY",AH4)))</formula>
    </cfRule>
    <cfRule type="containsText" dxfId="7246" priority="9174" operator="containsText" text="UA">
      <formula>NOT(ISERROR(SEARCH("UA",AH4)))</formula>
    </cfRule>
  </conditionalFormatting>
  <conditionalFormatting sqref="AH61 AH8 AH42 AH63 AH4 AH13 AH47 AH80 AH73 AH16:AH17 AH56:AH57 AH68:AH69">
    <cfRule type="containsText" dxfId="7245" priority="9153" operator="containsText" text="VL">
      <formula>NOT(ISERROR(SEARCH("VL",AH4)))</formula>
    </cfRule>
    <cfRule type="containsText" dxfId="7244" priority="9154" operator="containsText" text="RD">
      <formula>NOT(ISERROR(SEARCH("RD",AH4)))</formula>
    </cfRule>
    <cfRule type="containsText" dxfId="7243" priority="9155" operator="containsText" text="540">
      <formula>NOT(ISERROR(SEARCH("540",AH4)))</formula>
    </cfRule>
    <cfRule type="cellIs" dxfId="7242" priority="9156" operator="between">
      <formula>1</formula>
      <formula>400</formula>
    </cfRule>
  </conditionalFormatting>
  <conditionalFormatting sqref="AH83 AH86">
    <cfRule type="containsText" dxfId="7241" priority="9117" operator="containsText" text="RD">
      <formula>NOT(ISERROR(SEARCH("RD",AH83)))</formula>
    </cfRule>
    <cfRule type="containsText" dxfId="7240" priority="9118" operator="containsText" text="540">
      <formula>NOT(ISERROR(SEARCH("540",AH83)))</formula>
    </cfRule>
    <cfRule type="cellIs" dxfId="7239" priority="9119" operator="between">
      <formula>1</formula>
      <formula>400</formula>
    </cfRule>
  </conditionalFormatting>
  <conditionalFormatting sqref="AH5">
    <cfRule type="containsText" dxfId="7238" priority="8911" operator="containsText" text="P">
      <formula>NOT(ISERROR(SEARCH("P",AH5)))</formula>
    </cfRule>
  </conditionalFormatting>
  <conditionalFormatting sqref="AH5">
    <cfRule type="containsText" dxfId="7237" priority="8919" operator="containsText" text="LWOP UA">
      <formula>NOT(ISERROR(SEARCH("LWOP UA",AH5)))</formula>
    </cfRule>
  </conditionalFormatting>
  <conditionalFormatting sqref="AH5">
    <cfRule type="containsText" dxfId="7236" priority="8912" operator="containsText" text="TFO">
      <formula>NOT(ISERROR(SEARCH("TFO",AH5)))</formula>
    </cfRule>
    <cfRule type="containsText" dxfId="7235" priority="8913" operator="containsText" text="AA">
      <formula>NOT(ISERROR(SEARCH("AA",AH5)))</formula>
    </cfRule>
    <cfRule type="containsText" dxfId="7234" priority="8914" operator="containsText" text="RESIGNED">
      <formula>NOT(ISERROR(SEARCH("RESIGNED",AH5)))</formula>
    </cfRule>
    <cfRule type="containsText" dxfId="7233" priority="8915" operator="containsText" text="P">
      <formula>NOT(ISERROR(SEARCH("P",AH5)))</formula>
    </cfRule>
    <cfRule type="containsText" dxfId="7232" priority="8916" operator="containsText" text="TARDY">
      <formula>NOT(ISERROR(SEARCH("TARDY",AH5)))</formula>
    </cfRule>
    <cfRule type="containsText" dxfId="7231" priority="8917" operator="containsText" text="REST DAY">
      <formula>NOT(ISERROR(SEARCH("REST DAY",AH5)))</formula>
    </cfRule>
    <cfRule type="containsText" dxfId="7230" priority="8918" operator="containsText" text="UA">
      <formula>NOT(ISERROR(SEARCH("UA",AH5)))</formula>
    </cfRule>
  </conditionalFormatting>
  <conditionalFormatting sqref="AH5">
    <cfRule type="containsText" dxfId="7229" priority="8910" operator="containsText" text="LWOP UA">
      <formula>NOT(ISERROR(SEARCH("LWOP UA",AH5)))</formula>
    </cfRule>
  </conditionalFormatting>
  <conditionalFormatting sqref="AH5">
    <cfRule type="containsText" dxfId="7228" priority="8897" operator="containsText" text="VL">
      <formula>NOT(ISERROR(SEARCH("VL",AH5)))</formula>
    </cfRule>
    <cfRule type="containsText" dxfId="7227" priority="8898" operator="containsText" text="RD">
      <formula>NOT(ISERROR(SEARCH("RD",AH5)))</formula>
    </cfRule>
    <cfRule type="containsText" dxfId="7226" priority="8899" operator="containsText" text="540">
      <formula>NOT(ISERROR(SEARCH("540",AH5)))</formula>
    </cfRule>
    <cfRule type="cellIs" dxfId="7225" priority="8900" operator="between">
      <formula>1</formula>
      <formula>400</formula>
    </cfRule>
  </conditionalFormatting>
  <conditionalFormatting sqref="AH24">
    <cfRule type="containsText" dxfId="7224" priority="8865" operator="containsText" text="P">
      <formula>NOT(ISERROR(SEARCH("P",AH24)))</formula>
    </cfRule>
  </conditionalFormatting>
  <conditionalFormatting sqref="AH24">
    <cfRule type="containsText" dxfId="7223" priority="8873" operator="containsText" text="LWOP UA">
      <formula>NOT(ISERROR(SEARCH("LWOP UA",AH24)))</formula>
    </cfRule>
  </conditionalFormatting>
  <conditionalFormatting sqref="AH24">
    <cfRule type="containsText" dxfId="7222" priority="8866" operator="containsText" text="TFO">
      <formula>NOT(ISERROR(SEARCH("TFO",AH24)))</formula>
    </cfRule>
    <cfRule type="containsText" dxfId="7221" priority="8867" operator="containsText" text="AA">
      <formula>NOT(ISERROR(SEARCH("AA",AH24)))</formula>
    </cfRule>
    <cfRule type="containsText" dxfId="7220" priority="8868" operator="containsText" text="RESIGNED">
      <formula>NOT(ISERROR(SEARCH("RESIGNED",AH24)))</formula>
    </cfRule>
    <cfRule type="containsText" dxfId="7219" priority="8869" operator="containsText" text="P">
      <formula>NOT(ISERROR(SEARCH("P",AH24)))</formula>
    </cfRule>
    <cfRule type="containsText" dxfId="7218" priority="8870" operator="containsText" text="TARDY">
      <formula>NOT(ISERROR(SEARCH("TARDY",AH24)))</formula>
    </cfRule>
    <cfRule type="containsText" dxfId="7217" priority="8871" operator="containsText" text="REST DAY">
      <formula>NOT(ISERROR(SEARCH("REST DAY",AH24)))</formula>
    </cfRule>
    <cfRule type="containsText" dxfId="7216" priority="8872" operator="containsText" text="UA">
      <formula>NOT(ISERROR(SEARCH("UA",AH24)))</formula>
    </cfRule>
  </conditionalFormatting>
  <conditionalFormatting sqref="AH24">
    <cfRule type="containsText" dxfId="7215" priority="8861" operator="containsText" text="RD">
      <formula>NOT(ISERROR(SEARCH("RD",AH24)))</formula>
    </cfRule>
    <cfRule type="containsText" dxfId="7214" priority="8862" operator="containsText" text="540">
      <formula>NOT(ISERROR(SEARCH("540",AH24)))</formula>
    </cfRule>
    <cfRule type="cellIs" dxfId="7213" priority="8863" operator="between">
      <formula>1</formula>
      <formula>400</formula>
    </cfRule>
  </conditionalFormatting>
  <conditionalFormatting sqref="AH24 AH83 AH86">
    <cfRule type="containsText" dxfId="7212" priority="8860" operator="containsText" text="VL">
      <formula>NOT(ISERROR(SEARCH("VL",AH24)))</formula>
    </cfRule>
    <cfRule type="containsText" dxfId="7211" priority="8864" operator="containsText" text="LWOP UA">
      <formula>NOT(ISERROR(SEARCH("LWOP UA",AH24)))</formula>
    </cfRule>
  </conditionalFormatting>
  <conditionalFormatting sqref="AH26">
    <cfRule type="containsText" dxfId="7210" priority="8851" operator="containsText" text="P">
      <formula>NOT(ISERROR(SEARCH("P",AH26)))</formula>
    </cfRule>
  </conditionalFormatting>
  <conditionalFormatting sqref="AH26">
    <cfRule type="containsText" dxfId="7209" priority="8859" operator="containsText" text="LWOP UA">
      <formula>NOT(ISERROR(SEARCH("LWOP UA",AH26)))</formula>
    </cfRule>
  </conditionalFormatting>
  <conditionalFormatting sqref="AH26">
    <cfRule type="containsText" dxfId="7208" priority="8852" operator="containsText" text="TFO">
      <formula>NOT(ISERROR(SEARCH("TFO",AH26)))</formula>
    </cfRule>
    <cfRule type="containsText" dxfId="7207" priority="8853" operator="containsText" text="AA">
      <formula>NOT(ISERROR(SEARCH("AA",AH26)))</formula>
    </cfRule>
    <cfRule type="containsText" dxfId="7206" priority="8854" operator="containsText" text="RESIGNED">
      <formula>NOT(ISERROR(SEARCH("RESIGNED",AH26)))</formula>
    </cfRule>
    <cfRule type="containsText" dxfId="7205" priority="8855" operator="containsText" text="P">
      <formula>NOT(ISERROR(SEARCH("P",AH26)))</formula>
    </cfRule>
    <cfRule type="containsText" dxfId="7204" priority="8856" operator="containsText" text="TARDY">
      <formula>NOT(ISERROR(SEARCH("TARDY",AH26)))</formula>
    </cfRule>
    <cfRule type="containsText" dxfId="7203" priority="8857" operator="containsText" text="REST DAY">
      <formula>NOT(ISERROR(SEARCH("REST DAY",AH26)))</formula>
    </cfRule>
    <cfRule type="containsText" dxfId="7202" priority="8858" operator="containsText" text="UA">
      <formula>NOT(ISERROR(SEARCH("UA",AH26)))</formula>
    </cfRule>
  </conditionalFormatting>
  <conditionalFormatting sqref="AH26">
    <cfRule type="containsText" dxfId="7201" priority="8847" operator="containsText" text="RD">
      <formula>NOT(ISERROR(SEARCH("RD",AH26)))</formula>
    </cfRule>
    <cfRule type="containsText" dxfId="7200" priority="8848" operator="containsText" text="540">
      <formula>NOT(ISERROR(SEARCH("540",AH26)))</formula>
    </cfRule>
    <cfRule type="cellIs" dxfId="7199" priority="8849" operator="between">
      <formula>1</formula>
      <formula>400</formula>
    </cfRule>
  </conditionalFormatting>
  <conditionalFormatting sqref="AH26">
    <cfRule type="containsText" dxfId="7198" priority="8846" operator="containsText" text="VL">
      <formula>NOT(ISERROR(SEARCH("VL",AH26)))</formula>
    </cfRule>
    <cfRule type="containsText" dxfId="7197" priority="8850" operator="containsText" text="LWOP UA">
      <formula>NOT(ISERROR(SEARCH("LWOP UA",AH26)))</formula>
    </cfRule>
  </conditionalFormatting>
  <conditionalFormatting sqref="AH30">
    <cfRule type="containsText" dxfId="7196" priority="8837" operator="containsText" text="P">
      <formula>NOT(ISERROR(SEARCH("P",AH30)))</formula>
    </cfRule>
  </conditionalFormatting>
  <conditionalFormatting sqref="AH30">
    <cfRule type="containsText" dxfId="7195" priority="8845" operator="containsText" text="LWOP UA">
      <formula>NOT(ISERROR(SEARCH("LWOP UA",AH30)))</formula>
    </cfRule>
  </conditionalFormatting>
  <conditionalFormatting sqref="AH30">
    <cfRule type="containsText" dxfId="7194" priority="8838" operator="containsText" text="TFO">
      <formula>NOT(ISERROR(SEARCH("TFO",AH30)))</formula>
    </cfRule>
    <cfRule type="containsText" dxfId="7193" priority="8839" operator="containsText" text="AA">
      <formula>NOT(ISERROR(SEARCH("AA",AH30)))</formula>
    </cfRule>
    <cfRule type="containsText" dxfId="7192" priority="8840" operator="containsText" text="RESIGNED">
      <formula>NOT(ISERROR(SEARCH("RESIGNED",AH30)))</formula>
    </cfRule>
    <cfRule type="containsText" dxfId="7191" priority="8841" operator="containsText" text="P">
      <formula>NOT(ISERROR(SEARCH("P",AH30)))</formula>
    </cfRule>
    <cfRule type="containsText" dxfId="7190" priority="8842" operator="containsText" text="TARDY">
      <formula>NOT(ISERROR(SEARCH("TARDY",AH30)))</formula>
    </cfRule>
    <cfRule type="containsText" dxfId="7189" priority="8843" operator="containsText" text="REST DAY">
      <formula>NOT(ISERROR(SEARCH("REST DAY",AH30)))</formula>
    </cfRule>
    <cfRule type="containsText" dxfId="7188" priority="8844" operator="containsText" text="UA">
      <formula>NOT(ISERROR(SEARCH("UA",AH30)))</formula>
    </cfRule>
  </conditionalFormatting>
  <conditionalFormatting sqref="AH30">
    <cfRule type="containsText" dxfId="7187" priority="8833" operator="containsText" text="RD">
      <formula>NOT(ISERROR(SEARCH("RD",AH30)))</formula>
    </cfRule>
    <cfRule type="containsText" dxfId="7186" priority="8834" operator="containsText" text="540">
      <formula>NOT(ISERROR(SEARCH("540",AH30)))</formula>
    </cfRule>
    <cfRule type="cellIs" dxfId="7185" priority="8835" operator="between">
      <formula>1</formula>
      <formula>400</formula>
    </cfRule>
  </conditionalFormatting>
  <conditionalFormatting sqref="AH30">
    <cfRule type="containsText" dxfId="7184" priority="8832" operator="containsText" text="VL">
      <formula>NOT(ISERROR(SEARCH("VL",AH30)))</formula>
    </cfRule>
    <cfRule type="containsText" dxfId="7183" priority="8836" operator="containsText" text="LWOP UA">
      <formula>NOT(ISERROR(SEARCH("LWOP UA",AH30)))</formula>
    </cfRule>
  </conditionalFormatting>
  <conditionalFormatting sqref="AH36">
    <cfRule type="containsText" dxfId="7182" priority="8823" operator="containsText" text="P">
      <formula>NOT(ISERROR(SEARCH("P",AH36)))</formula>
    </cfRule>
  </conditionalFormatting>
  <conditionalFormatting sqref="AH36">
    <cfRule type="containsText" dxfId="7181" priority="8831" operator="containsText" text="LWOP UA">
      <formula>NOT(ISERROR(SEARCH("LWOP UA",AH36)))</formula>
    </cfRule>
  </conditionalFormatting>
  <conditionalFormatting sqref="AH36">
    <cfRule type="containsText" dxfId="7180" priority="8824" operator="containsText" text="TFO">
      <formula>NOT(ISERROR(SEARCH("TFO",AH36)))</formula>
    </cfRule>
    <cfRule type="containsText" dxfId="7179" priority="8825" operator="containsText" text="AA">
      <formula>NOT(ISERROR(SEARCH("AA",AH36)))</formula>
    </cfRule>
    <cfRule type="containsText" dxfId="7178" priority="8826" operator="containsText" text="RESIGNED">
      <formula>NOT(ISERROR(SEARCH("RESIGNED",AH36)))</formula>
    </cfRule>
    <cfRule type="containsText" dxfId="7177" priority="8827" operator="containsText" text="P">
      <formula>NOT(ISERROR(SEARCH("P",AH36)))</formula>
    </cfRule>
    <cfRule type="containsText" dxfId="7176" priority="8828" operator="containsText" text="TARDY">
      <formula>NOT(ISERROR(SEARCH("TARDY",AH36)))</formula>
    </cfRule>
    <cfRule type="containsText" dxfId="7175" priority="8829" operator="containsText" text="REST DAY">
      <formula>NOT(ISERROR(SEARCH("REST DAY",AH36)))</formula>
    </cfRule>
    <cfRule type="containsText" dxfId="7174" priority="8830" operator="containsText" text="UA">
      <formula>NOT(ISERROR(SEARCH("UA",AH36)))</formula>
    </cfRule>
  </conditionalFormatting>
  <conditionalFormatting sqref="AH36">
    <cfRule type="containsText" dxfId="7173" priority="8818" operator="containsText" text="VL">
      <formula>NOT(ISERROR(SEARCH("VL",AH36)))</formula>
    </cfRule>
    <cfRule type="containsText" dxfId="7172" priority="8819" operator="containsText" text="RD">
      <formula>NOT(ISERROR(SEARCH("RD",AH36)))</formula>
    </cfRule>
    <cfRule type="containsText" dxfId="7171" priority="8820" operator="containsText" text="540">
      <formula>NOT(ISERROR(SEARCH("540",AH36)))</formula>
    </cfRule>
    <cfRule type="cellIs" dxfId="7170" priority="8821" operator="between">
      <formula>1</formula>
      <formula>400</formula>
    </cfRule>
  </conditionalFormatting>
  <conditionalFormatting sqref="AH36">
    <cfRule type="containsText" dxfId="7169" priority="8822" operator="containsText" text="LWOP UA">
      <formula>NOT(ISERROR(SEARCH("LWOP UA",AH36)))</formula>
    </cfRule>
  </conditionalFormatting>
  <conditionalFormatting sqref="AH49">
    <cfRule type="containsText" dxfId="7168" priority="8809" operator="containsText" text="P">
      <formula>NOT(ISERROR(SEARCH("P",AH49)))</formula>
    </cfRule>
  </conditionalFormatting>
  <conditionalFormatting sqref="AH49">
    <cfRule type="containsText" dxfId="7167" priority="8817" operator="containsText" text="LWOP UA">
      <formula>NOT(ISERROR(SEARCH("LWOP UA",AH49)))</formula>
    </cfRule>
  </conditionalFormatting>
  <conditionalFormatting sqref="AH49">
    <cfRule type="containsText" dxfId="7166" priority="8810" operator="containsText" text="TFO">
      <formula>NOT(ISERROR(SEARCH("TFO",AH49)))</formula>
    </cfRule>
    <cfRule type="containsText" dxfId="7165" priority="8811" operator="containsText" text="AA">
      <formula>NOT(ISERROR(SEARCH("AA",AH49)))</formula>
    </cfRule>
    <cfRule type="containsText" dxfId="7164" priority="8812" operator="containsText" text="RESIGNED">
      <formula>NOT(ISERROR(SEARCH("RESIGNED",AH49)))</formula>
    </cfRule>
    <cfRule type="containsText" dxfId="7163" priority="8813" operator="containsText" text="P">
      <formula>NOT(ISERROR(SEARCH("P",AH49)))</formula>
    </cfRule>
    <cfRule type="containsText" dxfId="7162" priority="8814" operator="containsText" text="TARDY">
      <formula>NOT(ISERROR(SEARCH("TARDY",AH49)))</formula>
    </cfRule>
    <cfRule type="containsText" dxfId="7161" priority="8815" operator="containsText" text="REST DAY">
      <formula>NOT(ISERROR(SEARCH("REST DAY",AH49)))</formula>
    </cfRule>
    <cfRule type="containsText" dxfId="7160" priority="8816" operator="containsText" text="UA">
      <formula>NOT(ISERROR(SEARCH("UA",AH49)))</formula>
    </cfRule>
  </conditionalFormatting>
  <conditionalFormatting sqref="AH49">
    <cfRule type="containsText" dxfId="7159" priority="8795" operator="containsText" text="VL">
      <formula>NOT(ISERROR(SEARCH("VL",AH49)))</formula>
    </cfRule>
    <cfRule type="containsText" dxfId="7158" priority="8796" operator="containsText" text="RD">
      <formula>NOT(ISERROR(SEARCH("RD",AH49)))</formula>
    </cfRule>
    <cfRule type="containsText" dxfId="7157" priority="8797" operator="containsText" text="540">
      <formula>NOT(ISERROR(SEARCH("540",AH49)))</formula>
    </cfRule>
    <cfRule type="cellIs" dxfId="7156" priority="8798" operator="between">
      <formula>1</formula>
      <formula>400</formula>
    </cfRule>
  </conditionalFormatting>
  <conditionalFormatting sqref="AH49">
    <cfRule type="containsText" dxfId="7155" priority="8808" operator="containsText" text="LWOP UA">
      <formula>NOT(ISERROR(SEARCH("LWOP UA",AH49)))</formula>
    </cfRule>
  </conditionalFormatting>
  <conditionalFormatting sqref="AH66">
    <cfRule type="containsText" dxfId="7154" priority="8786" operator="containsText" text="P">
      <formula>NOT(ISERROR(SEARCH("P",AH66)))</formula>
    </cfRule>
  </conditionalFormatting>
  <conditionalFormatting sqref="AH66">
    <cfRule type="containsText" dxfId="7153" priority="8785" operator="containsText" text="LWOP UA">
      <formula>NOT(ISERROR(SEARCH("LWOP UA",AH66)))</formula>
    </cfRule>
  </conditionalFormatting>
  <conditionalFormatting sqref="AH66">
    <cfRule type="containsText" dxfId="7152" priority="8794" operator="containsText" text="LWOP UA">
      <formula>NOT(ISERROR(SEARCH("LWOP UA",AH66)))</formula>
    </cfRule>
  </conditionalFormatting>
  <conditionalFormatting sqref="AH66">
    <cfRule type="containsText" dxfId="7151" priority="8787" operator="containsText" text="TFO">
      <formula>NOT(ISERROR(SEARCH("TFO",AH66)))</formula>
    </cfRule>
    <cfRule type="containsText" dxfId="7150" priority="8788" operator="containsText" text="AA">
      <formula>NOT(ISERROR(SEARCH("AA",AH66)))</formula>
    </cfRule>
    <cfRule type="containsText" dxfId="7149" priority="8789" operator="containsText" text="RESIGNED">
      <formula>NOT(ISERROR(SEARCH("RESIGNED",AH66)))</formula>
    </cfRule>
    <cfRule type="containsText" dxfId="7148" priority="8790" operator="containsText" text="P">
      <formula>NOT(ISERROR(SEARCH("P",AH66)))</formula>
    </cfRule>
    <cfRule type="containsText" dxfId="7147" priority="8791" operator="containsText" text="TARDY">
      <formula>NOT(ISERROR(SEARCH("TARDY",AH66)))</formula>
    </cfRule>
    <cfRule type="containsText" dxfId="7146" priority="8792" operator="containsText" text="REST DAY">
      <formula>NOT(ISERROR(SEARCH("REST DAY",AH66)))</formula>
    </cfRule>
    <cfRule type="containsText" dxfId="7145" priority="8793" operator="containsText" text="UA">
      <formula>NOT(ISERROR(SEARCH("UA",AH66)))</formula>
    </cfRule>
  </conditionalFormatting>
  <conditionalFormatting sqref="AH66">
    <cfRule type="containsText" dxfId="7144" priority="8763" operator="containsText" text="VL">
      <formula>NOT(ISERROR(SEARCH("VL",AH66)))</formula>
    </cfRule>
    <cfRule type="containsText" dxfId="7143" priority="8764" operator="containsText" text="RD">
      <formula>NOT(ISERROR(SEARCH("RD",AH66)))</formula>
    </cfRule>
    <cfRule type="containsText" dxfId="7142" priority="8765" operator="containsText" text="540">
      <formula>NOT(ISERROR(SEARCH("540",AH66)))</formula>
    </cfRule>
    <cfRule type="cellIs" dxfId="7141" priority="8766" operator="between">
      <formula>1</formula>
      <formula>400</formula>
    </cfRule>
  </conditionalFormatting>
  <conditionalFormatting sqref="AH74">
    <cfRule type="containsText" dxfId="7140" priority="8754" operator="containsText" text="P">
      <formula>NOT(ISERROR(SEARCH("P",AH74)))</formula>
    </cfRule>
  </conditionalFormatting>
  <conditionalFormatting sqref="AH74">
    <cfRule type="containsText" dxfId="7139" priority="8753" operator="containsText" text="LWOP UA">
      <formula>NOT(ISERROR(SEARCH("LWOP UA",AH74)))</formula>
    </cfRule>
  </conditionalFormatting>
  <conditionalFormatting sqref="AH74">
    <cfRule type="containsText" dxfId="7138" priority="8762" operator="containsText" text="LWOP UA">
      <formula>NOT(ISERROR(SEARCH("LWOP UA",AH74)))</formula>
    </cfRule>
  </conditionalFormatting>
  <conditionalFormatting sqref="AH74">
    <cfRule type="containsText" dxfId="7137" priority="8755" operator="containsText" text="TFO">
      <formula>NOT(ISERROR(SEARCH("TFO",AH74)))</formula>
    </cfRule>
    <cfRule type="containsText" dxfId="7136" priority="8756" operator="containsText" text="AA">
      <formula>NOT(ISERROR(SEARCH("AA",AH74)))</formula>
    </cfRule>
    <cfRule type="containsText" dxfId="7135" priority="8757" operator="containsText" text="RESIGNED">
      <formula>NOT(ISERROR(SEARCH("RESIGNED",AH74)))</formula>
    </cfRule>
    <cfRule type="containsText" dxfId="7134" priority="8758" operator="containsText" text="P">
      <formula>NOT(ISERROR(SEARCH("P",AH74)))</formula>
    </cfRule>
    <cfRule type="containsText" dxfId="7133" priority="8759" operator="containsText" text="TARDY">
      <formula>NOT(ISERROR(SEARCH("TARDY",AH74)))</formula>
    </cfRule>
    <cfRule type="containsText" dxfId="7132" priority="8760" operator="containsText" text="REST DAY">
      <formula>NOT(ISERROR(SEARCH("REST DAY",AH74)))</formula>
    </cfRule>
    <cfRule type="containsText" dxfId="7131" priority="8761" operator="containsText" text="UA">
      <formula>NOT(ISERROR(SEARCH("UA",AH74)))</formula>
    </cfRule>
  </conditionalFormatting>
  <conditionalFormatting sqref="AH74">
    <cfRule type="containsText" dxfId="7130" priority="8740" operator="containsText" text="VL">
      <formula>NOT(ISERROR(SEARCH("VL",AH74)))</formula>
    </cfRule>
    <cfRule type="containsText" dxfId="7129" priority="8741" operator="containsText" text="RD">
      <formula>NOT(ISERROR(SEARCH("RD",AH74)))</formula>
    </cfRule>
    <cfRule type="containsText" dxfId="7128" priority="8742" operator="containsText" text="540">
      <formula>NOT(ISERROR(SEARCH("540",AH74)))</formula>
    </cfRule>
    <cfRule type="cellIs" dxfId="7127" priority="8743" operator="between">
      <formula>1</formula>
      <formula>400</formula>
    </cfRule>
  </conditionalFormatting>
  <conditionalFormatting sqref="AH77">
    <cfRule type="containsText" dxfId="7126" priority="8731" operator="containsText" text="P">
      <formula>NOT(ISERROR(SEARCH("P",AH77)))</formula>
    </cfRule>
  </conditionalFormatting>
  <conditionalFormatting sqref="AH77">
    <cfRule type="containsText" dxfId="7125" priority="8730" operator="containsText" text="LWOP UA">
      <formula>NOT(ISERROR(SEARCH("LWOP UA",AH77)))</formula>
    </cfRule>
  </conditionalFormatting>
  <conditionalFormatting sqref="AH77">
    <cfRule type="containsText" dxfId="7124" priority="8739" operator="containsText" text="LWOP UA">
      <formula>NOT(ISERROR(SEARCH("LWOP UA",AH77)))</formula>
    </cfRule>
  </conditionalFormatting>
  <conditionalFormatting sqref="AH77">
    <cfRule type="containsText" dxfId="7123" priority="8732" operator="containsText" text="TFO">
      <formula>NOT(ISERROR(SEARCH("TFO",AH77)))</formula>
    </cfRule>
    <cfRule type="containsText" dxfId="7122" priority="8733" operator="containsText" text="AA">
      <formula>NOT(ISERROR(SEARCH("AA",AH77)))</formula>
    </cfRule>
    <cfRule type="containsText" dxfId="7121" priority="8734" operator="containsText" text="RESIGNED">
      <formula>NOT(ISERROR(SEARCH("RESIGNED",AH77)))</formula>
    </cfRule>
    <cfRule type="containsText" dxfId="7120" priority="8735" operator="containsText" text="P">
      <formula>NOT(ISERROR(SEARCH("P",AH77)))</formula>
    </cfRule>
    <cfRule type="containsText" dxfId="7119" priority="8736" operator="containsText" text="TARDY">
      <formula>NOT(ISERROR(SEARCH("TARDY",AH77)))</formula>
    </cfRule>
    <cfRule type="containsText" dxfId="7118" priority="8737" operator="containsText" text="REST DAY">
      <formula>NOT(ISERROR(SEARCH("REST DAY",AH77)))</formula>
    </cfRule>
    <cfRule type="containsText" dxfId="7117" priority="8738" operator="containsText" text="UA">
      <formula>NOT(ISERROR(SEARCH("UA",AH77)))</formula>
    </cfRule>
  </conditionalFormatting>
  <conditionalFormatting sqref="AH77">
    <cfRule type="containsText" dxfId="7116" priority="8726" operator="containsText" text="VL">
      <formula>NOT(ISERROR(SEARCH("VL",AH77)))</formula>
    </cfRule>
    <cfRule type="containsText" dxfId="7115" priority="8727" operator="containsText" text="RD">
      <formula>NOT(ISERROR(SEARCH("RD",AH77)))</formula>
    </cfRule>
    <cfRule type="containsText" dxfId="7114" priority="8728" operator="containsText" text="540">
      <formula>NOT(ISERROR(SEARCH("540",AH77)))</formula>
    </cfRule>
    <cfRule type="cellIs" dxfId="7113" priority="8729" operator="between">
      <formula>1</formula>
      <formula>400</formula>
    </cfRule>
  </conditionalFormatting>
  <conditionalFormatting sqref="AH81">
    <cfRule type="containsText" dxfId="7112" priority="8717" operator="containsText" text="P">
      <formula>NOT(ISERROR(SEARCH("P",AH81)))</formula>
    </cfRule>
  </conditionalFormatting>
  <conditionalFormatting sqref="AH81">
    <cfRule type="containsText" dxfId="7111" priority="8725" operator="containsText" text="LWOP UA">
      <formula>NOT(ISERROR(SEARCH("LWOP UA",AH81)))</formula>
    </cfRule>
  </conditionalFormatting>
  <conditionalFormatting sqref="AH81">
    <cfRule type="containsText" dxfId="7110" priority="8718" operator="containsText" text="TFO">
      <formula>NOT(ISERROR(SEARCH("TFO",AH81)))</formula>
    </cfRule>
    <cfRule type="containsText" dxfId="7109" priority="8719" operator="containsText" text="AA">
      <formula>NOT(ISERROR(SEARCH("AA",AH81)))</formula>
    </cfRule>
    <cfRule type="containsText" dxfId="7108" priority="8720" operator="containsText" text="RESIGNED">
      <formula>NOT(ISERROR(SEARCH("RESIGNED",AH81)))</formula>
    </cfRule>
    <cfRule type="containsText" dxfId="7107" priority="8721" operator="containsText" text="P">
      <formula>NOT(ISERROR(SEARCH("P",AH81)))</formula>
    </cfRule>
    <cfRule type="containsText" dxfId="7106" priority="8722" operator="containsText" text="TARDY">
      <formula>NOT(ISERROR(SEARCH("TARDY",AH81)))</formula>
    </cfRule>
    <cfRule type="containsText" dxfId="7105" priority="8723" operator="containsText" text="REST DAY">
      <formula>NOT(ISERROR(SEARCH("REST DAY",AH81)))</formula>
    </cfRule>
    <cfRule type="containsText" dxfId="7104" priority="8724" operator="containsText" text="UA">
      <formula>NOT(ISERROR(SEARCH("UA",AH81)))</formula>
    </cfRule>
  </conditionalFormatting>
  <conditionalFormatting sqref="AH81">
    <cfRule type="containsText" dxfId="7103" priority="8713" operator="containsText" text="RD">
      <formula>NOT(ISERROR(SEARCH("RD",AH81)))</formula>
    </cfRule>
    <cfRule type="containsText" dxfId="7102" priority="8714" operator="containsText" text="540">
      <formula>NOT(ISERROR(SEARCH("540",AH81)))</formula>
    </cfRule>
    <cfRule type="cellIs" dxfId="7101" priority="8715" operator="between">
      <formula>1</formula>
      <formula>400</formula>
    </cfRule>
  </conditionalFormatting>
  <conditionalFormatting sqref="AH81">
    <cfRule type="containsText" dxfId="7100" priority="8712" operator="containsText" text="VL">
      <formula>NOT(ISERROR(SEARCH("VL",AH81)))</formula>
    </cfRule>
    <cfRule type="containsText" dxfId="7099" priority="8716" operator="containsText" text="LWOP UA">
      <formula>NOT(ISERROR(SEARCH("LWOP UA",AH81)))</formula>
    </cfRule>
  </conditionalFormatting>
  <conditionalFormatting sqref="AH82">
    <cfRule type="containsText" dxfId="7098" priority="8703" operator="containsText" text="P">
      <formula>NOT(ISERROR(SEARCH("P",AH82)))</formula>
    </cfRule>
  </conditionalFormatting>
  <conditionalFormatting sqref="AH82">
    <cfRule type="containsText" dxfId="7097" priority="8711" operator="containsText" text="LWOP UA">
      <formula>NOT(ISERROR(SEARCH("LWOP UA",AH82)))</formula>
    </cfRule>
  </conditionalFormatting>
  <conditionalFormatting sqref="AH82">
    <cfRule type="containsText" dxfId="7096" priority="8704" operator="containsText" text="TFO">
      <formula>NOT(ISERROR(SEARCH("TFO",AH82)))</formula>
    </cfRule>
    <cfRule type="containsText" dxfId="7095" priority="8705" operator="containsText" text="AA">
      <formula>NOT(ISERROR(SEARCH("AA",AH82)))</formula>
    </cfRule>
    <cfRule type="containsText" dxfId="7094" priority="8706" operator="containsText" text="RESIGNED">
      <formula>NOT(ISERROR(SEARCH("RESIGNED",AH82)))</formula>
    </cfRule>
    <cfRule type="containsText" dxfId="7093" priority="8707" operator="containsText" text="P">
      <formula>NOT(ISERROR(SEARCH("P",AH82)))</formula>
    </cfRule>
    <cfRule type="containsText" dxfId="7092" priority="8708" operator="containsText" text="TARDY">
      <formula>NOT(ISERROR(SEARCH("TARDY",AH82)))</formula>
    </cfRule>
    <cfRule type="containsText" dxfId="7091" priority="8709" operator="containsText" text="REST DAY">
      <formula>NOT(ISERROR(SEARCH("REST DAY",AH82)))</formula>
    </cfRule>
    <cfRule type="containsText" dxfId="7090" priority="8710" operator="containsText" text="UA">
      <formula>NOT(ISERROR(SEARCH("UA",AH82)))</formula>
    </cfRule>
  </conditionalFormatting>
  <conditionalFormatting sqref="AH82">
    <cfRule type="containsText" dxfId="7089" priority="8699" operator="containsText" text="RD">
      <formula>NOT(ISERROR(SEARCH("RD",AH82)))</formula>
    </cfRule>
    <cfRule type="containsText" dxfId="7088" priority="8700" operator="containsText" text="540">
      <formula>NOT(ISERROR(SEARCH("540",AH82)))</formula>
    </cfRule>
    <cfRule type="cellIs" dxfId="7087" priority="8701" operator="between">
      <formula>1</formula>
      <formula>400</formula>
    </cfRule>
  </conditionalFormatting>
  <conditionalFormatting sqref="AH82">
    <cfRule type="containsText" dxfId="7086" priority="8698" operator="containsText" text="VL">
      <formula>NOT(ISERROR(SEARCH("VL",AH82)))</formula>
    </cfRule>
    <cfRule type="containsText" dxfId="7085" priority="8702" operator="containsText" text="LWOP UA">
      <formula>NOT(ISERROR(SEARCH("LWOP UA",AH82)))</formula>
    </cfRule>
  </conditionalFormatting>
  <conditionalFormatting sqref="K94:N100 Q94:Q100">
    <cfRule type="containsText" dxfId="7084" priority="7673" operator="containsText" text="P">
      <formula>NOT(ISERROR(SEARCH("P",K94)))</formula>
    </cfRule>
    <cfRule type="containsText" dxfId="7083" priority="7674" operator="containsText" text="TFO">
      <formula>NOT(ISERROR(SEARCH("TFO",K94)))</formula>
    </cfRule>
    <cfRule type="containsText" dxfId="7082" priority="7675" operator="containsText" text="AA">
      <formula>NOT(ISERROR(SEARCH("AA",K94)))</formula>
    </cfRule>
    <cfRule type="containsText" dxfId="7081" priority="7676" operator="containsText" text="RESIGNED">
      <formula>NOT(ISERROR(SEARCH("RESIGNED",K94)))</formula>
    </cfRule>
    <cfRule type="containsText" dxfId="7080" priority="7677" operator="containsText" text="P">
      <formula>NOT(ISERROR(SEARCH("P",K94)))</formula>
    </cfRule>
    <cfRule type="containsText" dxfId="7079" priority="7678" operator="containsText" text="TARDY">
      <formula>NOT(ISERROR(SEARCH("TARDY",K94)))</formula>
    </cfRule>
    <cfRule type="containsText" dxfId="7078" priority="7679" operator="containsText" text="REST DAY">
      <formula>NOT(ISERROR(SEARCH("REST DAY",K94)))</formula>
    </cfRule>
    <cfRule type="containsText" dxfId="7077" priority="7680" operator="containsText" text="UA">
      <formula>NOT(ISERROR(SEARCH("UA",K94)))</formula>
    </cfRule>
    <cfRule type="containsText" dxfId="7076" priority="7681" operator="containsText" text="LWOP UA">
      <formula>NOT(ISERROR(SEARCH("LWOP UA",K94)))</formula>
    </cfRule>
  </conditionalFormatting>
  <conditionalFormatting sqref="Q94:Q100">
    <cfRule type="containsText" dxfId="7075" priority="7683" operator="containsText" text="TFO">
      <formula>NOT(ISERROR(SEARCH("TFO",Q94)))</formula>
    </cfRule>
    <cfRule type="containsText" dxfId="7074" priority="7684" operator="containsText" text="AA">
      <formula>NOT(ISERROR(SEARCH("AA",Q94)))</formula>
    </cfRule>
    <cfRule type="containsText" dxfId="7073" priority="7685" operator="containsText" text="RESIGNED">
      <formula>NOT(ISERROR(SEARCH("RESIGNED",Q94)))</formula>
    </cfRule>
    <cfRule type="containsText" dxfId="7072" priority="7686" operator="containsText" text="P">
      <formula>NOT(ISERROR(SEARCH("P",Q94)))</formula>
    </cfRule>
    <cfRule type="containsText" dxfId="7071" priority="7687" operator="containsText" text="TARDY">
      <formula>NOT(ISERROR(SEARCH("TARDY",Q94)))</formula>
    </cfRule>
    <cfRule type="containsText" dxfId="7070" priority="7688" operator="containsText" text="REST DAY">
      <formula>NOT(ISERROR(SEARCH("REST DAY",Q94)))</formula>
    </cfRule>
    <cfRule type="containsText" dxfId="7069" priority="7689" operator="containsText" text="UA">
      <formula>NOT(ISERROR(SEARCH("UA",Q94)))</formula>
    </cfRule>
    <cfRule type="containsText" dxfId="7068" priority="7690" operator="containsText" text="LWOP UA">
      <formula>NOT(ISERROR(SEARCH("LWOP UA",Q94)))</formula>
    </cfRule>
  </conditionalFormatting>
  <conditionalFormatting sqref="K94:N100 Q94:Q100">
    <cfRule type="containsText" dxfId="7067" priority="7668" operator="containsText" text="VL">
      <formula>NOT(ISERROR(SEARCH("VL",K94)))</formula>
    </cfRule>
    <cfRule type="containsText" dxfId="7066" priority="7669" operator="containsText" text="RD">
      <formula>NOT(ISERROR(SEARCH("RD",K94)))</formula>
    </cfRule>
    <cfRule type="containsText" dxfId="7065" priority="7670" operator="containsText" text="540">
      <formula>NOT(ISERROR(SEARCH("540",K94)))</formula>
    </cfRule>
    <cfRule type="cellIs" dxfId="7064" priority="7671" operator="between">
      <formula>1</formula>
      <formula>400</formula>
    </cfRule>
    <cfRule type="containsText" dxfId="7063" priority="7672" operator="containsText" text="LWOP UA">
      <formula>NOT(ISERROR(SEARCH("LWOP UA",K94)))</formula>
    </cfRule>
  </conditionalFormatting>
  <conditionalFormatting sqref="Q94:Q100">
    <cfRule type="containsText" dxfId="7062" priority="7682" operator="containsText" text="P">
      <formula>NOT(ISERROR(SEARCH("P",Q94)))</formula>
    </cfRule>
  </conditionalFormatting>
  <conditionalFormatting sqref="AH37">
    <cfRule type="containsText" dxfId="7061" priority="7631" operator="containsText" text="P">
      <formula>NOT(ISERROR(SEARCH("P",AH37)))</formula>
    </cfRule>
  </conditionalFormatting>
  <conditionalFormatting sqref="AH37">
    <cfRule type="containsText" dxfId="7060" priority="7639" operator="containsText" text="LWOP UA">
      <formula>NOT(ISERROR(SEARCH("LWOP UA",AH37)))</formula>
    </cfRule>
  </conditionalFormatting>
  <conditionalFormatting sqref="AH37">
    <cfRule type="containsText" dxfId="7059" priority="7632" operator="containsText" text="TFO">
      <formula>NOT(ISERROR(SEARCH("TFO",AH37)))</formula>
    </cfRule>
    <cfRule type="containsText" dxfId="7058" priority="7633" operator="containsText" text="AA">
      <formula>NOT(ISERROR(SEARCH("AA",AH37)))</formula>
    </cfRule>
    <cfRule type="containsText" dxfId="7057" priority="7634" operator="containsText" text="RESIGNED">
      <formula>NOT(ISERROR(SEARCH("RESIGNED",AH37)))</formula>
    </cfRule>
    <cfRule type="containsText" dxfId="7056" priority="7635" operator="containsText" text="P">
      <formula>NOT(ISERROR(SEARCH("P",AH37)))</formula>
    </cfRule>
    <cfRule type="containsText" dxfId="7055" priority="7636" operator="containsText" text="TARDY">
      <formula>NOT(ISERROR(SEARCH("TARDY",AH37)))</formula>
    </cfRule>
    <cfRule type="containsText" dxfId="7054" priority="7637" operator="containsText" text="REST DAY">
      <formula>NOT(ISERROR(SEARCH("REST DAY",AH37)))</formula>
    </cfRule>
    <cfRule type="containsText" dxfId="7053" priority="7638" operator="containsText" text="UA">
      <formula>NOT(ISERROR(SEARCH("UA",AH37)))</formula>
    </cfRule>
  </conditionalFormatting>
  <conditionalFormatting sqref="AH37">
    <cfRule type="containsText" dxfId="7052" priority="7626" operator="containsText" text="VL">
      <formula>NOT(ISERROR(SEARCH("VL",AH37)))</formula>
    </cfRule>
    <cfRule type="containsText" dxfId="7051" priority="7627" operator="containsText" text="RD">
      <formula>NOT(ISERROR(SEARCH("RD",AH37)))</formula>
    </cfRule>
    <cfRule type="containsText" dxfId="7050" priority="7628" operator="containsText" text="540">
      <formula>NOT(ISERROR(SEARCH("540",AH37)))</formula>
    </cfRule>
    <cfRule type="cellIs" dxfId="7049" priority="7629" operator="between">
      <formula>1</formula>
      <formula>400</formula>
    </cfRule>
  </conditionalFormatting>
  <conditionalFormatting sqref="AH37">
    <cfRule type="containsText" dxfId="7048" priority="7630" operator="containsText" text="LWOP UA">
      <formula>NOT(ISERROR(SEARCH("LWOP UA",AH37)))</formula>
    </cfRule>
  </conditionalFormatting>
  <conditionalFormatting sqref="AH3">
    <cfRule type="containsText" dxfId="7047" priority="7417" operator="containsText" text="P">
      <formula>NOT(ISERROR(SEARCH("P",AH3)))</formula>
    </cfRule>
  </conditionalFormatting>
  <conditionalFormatting sqref="AH3">
    <cfRule type="containsText" dxfId="7046" priority="7425" operator="containsText" text="LWOP UA">
      <formula>NOT(ISERROR(SEARCH("LWOP UA",AH3)))</formula>
    </cfRule>
  </conditionalFormatting>
  <conditionalFormatting sqref="AH3">
    <cfRule type="containsText" dxfId="7045" priority="7418" operator="containsText" text="TFO">
      <formula>NOT(ISERROR(SEARCH("TFO",AH3)))</formula>
    </cfRule>
    <cfRule type="containsText" dxfId="7044" priority="7419" operator="containsText" text="AA">
      <formula>NOT(ISERROR(SEARCH("AA",AH3)))</formula>
    </cfRule>
    <cfRule type="containsText" dxfId="7043" priority="7420" operator="containsText" text="RESIGNED">
      <formula>NOT(ISERROR(SEARCH("RESIGNED",AH3)))</formula>
    </cfRule>
    <cfRule type="containsText" dxfId="7042" priority="7421" operator="containsText" text="P">
      <formula>NOT(ISERROR(SEARCH("P",AH3)))</formula>
    </cfRule>
    <cfRule type="containsText" dxfId="7041" priority="7422" operator="containsText" text="TARDY">
      <formula>NOT(ISERROR(SEARCH("TARDY",AH3)))</formula>
    </cfRule>
    <cfRule type="containsText" dxfId="7040" priority="7423" operator="containsText" text="REST DAY">
      <formula>NOT(ISERROR(SEARCH("REST DAY",AH3)))</formula>
    </cfRule>
    <cfRule type="containsText" dxfId="7039" priority="7424" operator="containsText" text="UA">
      <formula>NOT(ISERROR(SEARCH("UA",AH3)))</formula>
    </cfRule>
  </conditionalFormatting>
  <conditionalFormatting sqref="AH3">
    <cfRule type="containsText" dxfId="7038" priority="7416" operator="containsText" text="LWOP UA">
      <formula>NOT(ISERROR(SEARCH("LWOP UA",AH3)))</formula>
    </cfRule>
  </conditionalFormatting>
  <conditionalFormatting sqref="AH3">
    <cfRule type="containsText" dxfId="7037" priority="7412" operator="containsText" text="VL">
      <formula>NOT(ISERROR(SEARCH("VL",AH3)))</formula>
    </cfRule>
    <cfRule type="containsText" dxfId="7036" priority="7413" operator="containsText" text="RD">
      <formula>NOT(ISERROR(SEARCH("RD",AH3)))</formula>
    </cfRule>
    <cfRule type="containsText" dxfId="7035" priority="7414" operator="containsText" text="540">
      <formula>NOT(ISERROR(SEARCH("540",AH3)))</formula>
    </cfRule>
    <cfRule type="cellIs" dxfId="7034" priority="7415" operator="between">
      <formula>1</formula>
      <formula>400</formula>
    </cfRule>
  </conditionalFormatting>
  <conditionalFormatting sqref="AH10:AH11">
    <cfRule type="containsText" dxfId="7033" priority="7380" operator="containsText" text="P">
      <formula>NOT(ISERROR(SEARCH("P",AH10)))</formula>
    </cfRule>
  </conditionalFormatting>
  <conditionalFormatting sqref="AH10:AH11">
    <cfRule type="containsText" dxfId="7032" priority="7388" operator="containsText" text="LWOP UA">
      <formula>NOT(ISERROR(SEARCH("LWOP UA",AH10)))</formula>
    </cfRule>
  </conditionalFormatting>
  <conditionalFormatting sqref="AH10:AH11">
    <cfRule type="containsText" dxfId="7031" priority="7381" operator="containsText" text="TFO">
      <formula>NOT(ISERROR(SEARCH("TFO",AH10)))</formula>
    </cfRule>
    <cfRule type="containsText" dxfId="7030" priority="7382" operator="containsText" text="AA">
      <formula>NOT(ISERROR(SEARCH("AA",AH10)))</formula>
    </cfRule>
    <cfRule type="containsText" dxfId="7029" priority="7383" operator="containsText" text="RESIGNED">
      <formula>NOT(ISERROR(SEARCH("RESIGNED",AH10)))</formula>
    </cfRule>
    <cfRule type="containsText" dxfId="7028" priority="7384" operator="containsText" text="P">
      <formula>NOT(ISERROR(SEARCH("P",AH10)))</formula>
    </cfRule>
    <cfRule type="containsText" dxfId="7027" priority="7385" operator="containsText" text="TARDY">
      <formula>NOT(ISERROR(SEARCH("TARDY",AH10)))</formula>
    </cfRule>
    <cfRule type="containsText" dxfId="7026" priority="7386" operator="containsText" text="REST DAY">
      <formula>NOT(ISERROR(SEARCH("REST DAY",AH10)))</formula>
    </cfRule>
    <cfRule type="containsText" dxfId="7025" priority="7387" operator="containsText" text="UA">
      <formula>NOT(ISERROR(SEARCH("UA",AH10)))</formula>
    </cfRule>
  </conditionalFormatting>
  <conditionalFormatting sqref="AH10:AH11">
    <cfRule type="containsText" dxfId="7024" priority="7375" operator="containsText" text="VL">
      <formula>NOT(ISERROR(SEARCH("VL",AH10)))</formula>
    </cfRule>
    <cfRule type="containsText" dxfId="7023" priority="7376" operator="containsText" text="RD">
      <formula>NOT(ISERROR(SEARCH("RD",AH10)))</formula>
    </cfRule>
    <cfRule type="containsText" dxfId="7022" priority="7377" operator="containsText" text="540">
      <formula>NOT(ISERROR(SEARCH("540",AH10)))</formula>
    </cfRule>
    <cfRule type="cellIs" dxfId="7021" priority="7378" operator="between">
      <formula>1</formula>
      <formula>400</formula>
    </cfRule>
  </conditionalFormatting>
  <conditionalFormatting sqref="AH10:AH11">
    <cfRule type="containsText" dxfId="7020" priority="7379" operator="containsText" text="LWOP UA">
      <formula>NOT(ISERROR(SEARCH("LWOP UA",AH10)))</formula>
    </cfRule>
  </conditionalFormatting>
  <conditionalFormatting sqref="AH28">
    <cfRule type="containsText" dxfId="7019" priority="7352" operator="containsText" text="P">
      <formula>NOT(ISERROR(SEARCH("P",AH28)))</formula>
    </cfRule>
  </conditionalFormatting>
  <conditionalFormatting sqref="AH28">
    <cfRule type="containsText" dxfId="7018" priority="7360" operator="containsText" text="LWOP UA">
      <formula>NOT(ISERROR(SEARCH("LWOP UA",AH28)))</formula>
    </cfRule>
  </conditionalFormatting>
  <conditionalFormatting sqref="AH28">
    <cfRule type="containsText" dxfId="7017" priority="7353" operator="containsText" text="TFO">
      <formula>NOT(ISERROR(SEARCH("TFO",AH28)))</formula>
    </cfRule>
    <cfRule type="containsText" dxfId="7016" priority="7354" operator="containsText" text="AA">
      <formula>NOT(ISERROR(SEARCH("AA",AH28)))</formula>
    </cfRule>
    <cfRule type="containsText" dxfId="7015" priority="7355" operator="containsText" text="RESIGNED">
      <formula>NOT(ISERROR(SEARCH("RESIGNED",AH28)))</formula>
    </cfRule>
    <cfRule type="containsText" dxfId="7014" priority="7356" operator="containsText" text="P">
      <formula>NOT(ISERROR(SEARCH("P",AH28)))</formula>
    </cfRule>
    <cfRule type="containsText" dxfId="7013" priority="7357" operator="containsText" text="TARDY">
      <formula>NOT(ISERROR(SEARCH("TARDY",AH28)))</formula>
    </cfRule>
    <cfRule type="containsText" dxfId="7012" priority="7358" operator="containsText" text="REST DAY">
      <formula>NOT(ISERROR(SEARCH("REST DAY",AH28)))</formula>
    </cfRule>
    <cfRule type="containsText" dxfId="7011" priority="7359" operator="containsText" text="UA">
      <formula>NOT(ISERROR(SEARCH("UA",AH28)))</formula>
    </cfRule>
  </conditionalFormatting>
  <conditionalFormatting sqref="AH28">
    <cfRule type="containsText" dxfId="7010" priority="7347" operator="containsText" text="VL">
      <formula>NOT(ISERROR(SEARCH("VL",AH28)))</formula>
    </cfRule>
    <cfRule type="containsText" dxfId="7009" priority="7348" operator="containsText" text="RD">
      <formula>NOT(ISERROR(SEARCH("RD",AH28)))</formula>
    </cfRule>
    <cfRule type="containsText" dxfId="7008" priority="7349" operator="containsText" text="540">
      <formula>NOT(ISERROR(SEARCH("540",AH28)))</formula>
    </cfRule>
    <cfRule type="cellIs" dxfId="7007" priority="7350" operator="between">
      <formula>1</formula>
      <formula>400</formula>
    </cfRule>
  </conditionalFormatting>
  <conditionalFormatting sqref="AH28">
    <cfRule type="containsText" dxfId="7006" priority="7351" operator="containsText" text="LWOP UA">
      <formula>NOT(ISERROR(SEARCH("LWOP UA",AH28)))</formula>
    </cfRule>
  </conditionalFormatting>
  <conditionalFormatting sqref="AH29">
    <cfRule type="containsText" dxfId="7005" priority="7338" operator="containsText" text="P">
      <formula>NOT(ISERROR(SEARCH("P",AH29)))</formula>
    </cfRule>
  </conditionalFormatting>
  <conditionalFormatting sqref="AH29">
    <cfRule type="containsText" dxfId="7004" priority="7346" operator="containsText" text="LWOP UA">
      <formula>NOT(ISERROR(SEARCH("LWOP UA",AH29)))</formula>
    </cfRule>
  </conditionalFormatting>
  <conditionalFormatting sqref="AH29">
    <cfRule type="containsText" dxfId="7003" priority="7339" operator="containsText" text="TFO">
      <formula>NOT(ISERROR(SEARCH("TFO",AH29)))</formula>
    </cfRule>
    <cfRule type="containsText" dxfId="7002" priority="7340" operator="containsText" text="AA">
      <formula>NOT(ISERROR(SEARCH("AA",AH29)))</formula>
    </cfRule>
    <cfRule type="containsText" dxfId="7001" priority="7341" operator="containsText" text="RESIGNED">
      <formula>NOT(ISERROR(SEARCH("RESIGNED",AH29)))</formula>
    </cfRule>
    <cfRule type="containsText" dxfId="7000" priority="7342" operator="containsText" text="P">
      <formula>NOT(ISERROR(SEARCH("P",AH29)))</formula>
    </cfRule>
    <cfRule type="containsText" dxfId="6999" priority="7343" operator="containsText" text="TARDY">
      <formula>NOT(ISERROR(SEARCH("TARDY",AH29)))</formula>
    </cfRule>
    <cfRule type="containsText" dxfId="6998" priority="7344" operator="containsText" text="REST DAY">
      <formula>NOT(ISERROR(SEARCH("REST DAY",AH29)))</formula>
    </cfRule>
    <cfRule type="containsText" dxfId="6997" priority="7345" operator="containsText" text="UA">
      <formula>NOT(ISERROR(SEARCH("UA",AH29)))</formula>
    </cfRule>
  </conditionalFormatting>
  <conditionalFormatting sqref="AH29">
    <cfRule type="containsText" dxfId="6996" priority="7334" operator="containsText" text="RD">
      <formula>NOT(ISERROR(SEARCH("RD",AH29)))</formula>
    </cfRule>
    <cfRule type="containsText" dxfId="6995" priority="7335" operator="containsText" text="540">
      <formula>NOT(ISERROR(SEARCH("540",AH29)))</formula>
    </cfRule>
    <cfRule type="cellIs" dxfId="6994" priority="7336" operator="between">
      <formula>1</formula>
      <formula>400</formula>
    </cfRule>
  </conditionalFormatting>
  <conditionalFormatting sqref="AH29">
    <cfRule type="containsText" dxfId="6993" priority="7333" operator="containsText" text="VL">
      <formula>NOT(ISERROR(SEARCH("VL",AH29)))</formula>
    </cfRule>
    <cfRule type="containsText" dxfId="6992" priority="7337" operator="containsText" text="LWOP UA">
      <formula>NOT(ISERROR(SEARCH("LWOP UA",AH29)))</formula>
    </cfRule>
  </conditionalFormatting>
  <conditionalFormatting sqref="AH31">
    <cfRule type="containsText" dxfId="6991" priority="7324" operator="containsText" text="P">
      <formula>NOT(ISERROR(SEARCH("P",AH31)))</formula>
    </cfRule>
  </conditionalFormatting>
  <conditionalFormatting sqref="AH31">
    <cfRule type="containsText" dxfId="6990" priority="7332" operator="containsText" text="LWOP UA">
      <formula>NOT(ISERROR(SEARCH("LWOP UA",AH31)))</formula>
    </cfRule>
  </conditionalFormatting>
  <conditionalFormatting sqref="AH31">
    <cfRule type="containsText" dxfId="6989" priority="7325" operator="containsText" text="TFO">
      <formula>NOT(ISERROR(SEARCH("TFO",AH31)))</formula>
    </cfRule>
    <cfRule type="containsText" dxfId="6988" priority="7326" operator="containsText" text="AA">
      <formula>NOT(ISERROR(SEARCH("AA",AH31)))</formula>
    </cfRule>
    <cfRule type="containsText" dxfId="6987" priority="7327" operator="containsText" text="RESIGNED">
      <formula>NOT(ISERROR(SEARCH("RESIGNED",AH31)))</formula>
    </cfRule>
    <cfRule type="containsText" dxfId="6986" priority="7328" operator="containsText" text="P">
      <formula>NOT(ISERROR(SEARCH("P",AH31)))</formula>
    </cfRule>
    <cfRule type="containsText" dxfId="6985" priority="7329" operator="containsText" text="TARDY">
      <formula>NOT(ISERROR(SEARCH("TARDY",AH31)))</formula>
    </cfRule>
    <cfRule type="containsText" dxfId="6984" priority="7330" operator="containsText" text="REST DAY">
      <formula>NOT(ISERROR(SEARCH("REST DAY",AH31)))</formula>
    </cfRule>
    <cfRule type="containsText" dxfId="6983" priority="7331" operator="containsText" text="UA">
      <formula>NOT(ISERROR(SEARCH("UA",AH31)))</formula>
    </cfRule>
  </conditionalFormatting>
  <conditionalFormatting sqref="AH31">
    <cfRule type="containsText" dxfId="6982" priority="7320" operator="containsText" text="RD">
      <formula>NOT(ISERROR(SEARCH("RD",AH31)))</formula>
    </cfRule>
    <cfRule type="containsText" dxfId="6981" priority="7321" operator="containsText" text="540">
      <formula>NOT(ISERROR(SEARCH("540",AH31)))</formula>
    </cfRule>
    <cfRule type="cellIs" dxfId="6980" priority="7322" operator="between">
      <formula>1</formula>
      <formula>400</formula>
    </cfRule>
  </conditionalFormatting>
  <conditionalFormatting sqref="AH31">
    <cfRule type="containsText" dxfId="6979" priority="7319" operator="containsText" text="VL">
      <formula>NOT(ISERROR(SEARCH("VL",AH31)))</formula>
    </cfRule>
    <cfRule type="containsText" dxfId="6978" priority="7323" operator="containsText" text="LWOP UA">
      <formula>NOT(ISERROR(SEARCH("LWOP UA",AH31)))</formula>
    </cfRule>
  </conditionalFormatting>
  <conditionalFormatting sqref="AH46">
    <cfRule type="containsText" dxfId="6977" priority="7310" operator="containsText" text="P">
      <formula>NOT(ISERROR(SEARCH("P",AH46)))</formula>
    </cfRule>
  </conditionalFormatting>
  <conditionalFormatting sqref="AH46">
    <cfRule type="containsText" dxfId="6976" priority="7318" operator="containsText" text="LWOP UA">
      <formula>NOT(ISERROR(SEARCH("LWOP UA",AH46)))</formula>
    </cfRule>
  </conditionalFormatting>
  <conditionalFormatting sqref="AH46">
    <cfRule type="containsText" dxfId="6975" priority="7311" operator="containsText" text="TFO">
      <formula>NOT(ISERROR(SEARCH("TFO",AH46)))</formula>
    </cfRule>
    <cfRule type="containsText" dxfId="6974" priority="7312" operator="containsText" text="AA">
      <formula>NOT(ISERROR(SEARCH("AA",AH46)))</formula>
    </cfRule>
    <cfRule type="containsText" dxfId="6973" priority="7313" operator="containsText" text="RESIGNED">
      <formula>NOT(ISERROR(SEARCH("RESIGNED",AH46)))</formula>
    </cfRule>
    <cfRule type="containsText" dxfId="6972" priority="7314" operator="containsText" text="P">
      <formula>NOT(ISERROR(SEARCH("P",AH46)))</formula>
    </cfRule>
    <cfRule type="containsText" dxfId="6971" priority="7315" operator="containsText" text="TARDY">
      <formula>NOT(ISERROR(SEARCH("TARDY",AH46)))</formula>
    </cfRule>
    <cfRule type="containsText" dxfId="6970" priority="7316" operator="containsText" text="REST DAY">
      <formula>NOT(ISERROR(SEARCH("REST DAY",AH46)))</formula>
    </cfRule>
    <cfRule type="containsText" dxfId="6969" priority="7317" operator="containsText" text="UA">
      <formula>NOT(ISERROR(SEARCH("UA",AH46)))</formula>
    </cfRule>
  </conditionalFormatting>
  <conditionalFormatting sqref="AH46">
    <cfRule type="containsText" dxfId="6968" priority="7305" operator="containsText" text="VL">
      <formula>NOT(ISERROR(SEARCH("VL",AH46)))</formula>
    </cfRule>
    <cfRule type="containsText" dxfId="6967" priority="7306" operator="containsText" text="RD">
      <formula>NOT(ISERROR(SEARCH("RD",AH46)))</formula>
    </cfRule>
    <cfRule type="containsText" dxfId="6966" priority="7307" operator="containsText" text="540">
      <formula>NOT(ISERROR(SEARCH("540",AH46)))</formula>
    </cfRule>
    <cfRule type="cellIs" dxfId="6965" priority="7308" operator="between">
      <formula>1</formula>
      <formula>400</formula>
    </cfRule>
  </conditionalFormatting>
  <conditionalFormatting sqref="AH46">
    <cfRule type="containsText" dxfId="6964" priority="7309" operator="containsText" text="LWOP UA">
      <formula>NOT(ISERROR(SEARCH("LWOP UA",AH46)))</formula>
    </cfRule>
  </conditionalFormatting>
  <conditionalFormatting sqref="AH62">
    <cfRule type="containsText" dxfId="6963" priority="7296" operator="containsText" text="P">
      <formula>NOT(ISERROR(SEARCH("P",AH62)))</formula>
    </cfRule>
  </conditionalFormatting>
  <conditionalFormatting sqref="AH62">
    <cfRule type="containsText" dxfId="6962" priority="7304" operator="containsText" text="LWOP UA">
      <formula>NOT(ISERROR(SEARCH("LWOP UA",AH62)))</formula>
    </cfRule>
  </conditionalFormatting>
  <conditionalFormatting sqref="AH62">
    <cfRule type="containsText" dxfId="6961" priority="7297" operator="containsText" text="TFO">
      <formula>NOT(ISERROR(SEARCH("TFO",AH62)))</formula>
    </cfRule>
    <cfRule type="containsText" dxfId="6960" priority="7298" operator="containsText" text="AA">
      <formula>NOT(ISERROR(SEARCH("AA",AH62)))</formula>
    </cfRule>
    <cfRule type="containsText" dxfId="6959" priority="7299" operator="containsText" text="RESIGNED">
      <formula>NOT(ISERROR(SEARCH("RESIGNED",AH62)))</formula>
    </cfRule>
    <cfRule type="containsText" dxfId="6958" priority="7300" operator="containsText" text="P">
      <formula>NOT(ISERROR(SEARCH("P",AH62)))</formula>
    </cfRule>
    <cfRule type="containsText" dxfId="6957" priority="7301" operator="containsText" text="TARDY">
      <formula>NOT(ISERROR(SEARCH("TARDY",AH62)))</formula>
    </cfRule>
    <cfRule type="containsText" dxfId="6956" priority="7302" operator="containsText" text="REST DAY">
      <formula>NOT(ISERROR(SEARCH("REST DAY",AH62)))</formula>
    </cfRule>
    <cfRule type="containsText" dxfId="6955" priority="7303" operator="containsText" text="UA">
      <formula>NOT(ISERROR(SEARCH("UA",AH62)))</formula>
    </cfRule>
  </conditionalFormatting>
  <conditionalFormatting sqref="AH62">
    <cfRule type="containsText" dxfId="6954" priority="7291" operator="containsText" text="VL">
      <formula>NOT(ISERROR(SEARCH("VL",AH62)))</formula>
    </cfRule>
    <cfRule type="containsText" dxfId="6953" priority="7292" operator="containsText" text="RD">
      <formula>NOT(ISERROR(SEARCH("RD",AH62)))</formula>
    </cfRule>
    <cfRule type="containsText" dxfId="6952" priority="7293" operator="containsText" text="540">
      <formula>NOT(ISERROR(SEARCH("540",AH62)))</formula>
    </cfRule>
    <cfRule type="cellIs" dxfId="6951" priority="7294" operator="between">
      <formula>1</formula>
      <formula>400</formula>
    </cfRule>
  </conditionalFormatting>
  <conditionalFormatting sqref="AH62">
    <cfRule type="containsText" dxfId="6950" priority="7295" operator="containsText" text="LWOP UA">
      <formula>NOT(ISERROR(SEARCH("LWOP UA",AH62)))</formula>
    </cfRule>
  </conditionalFormatting>
  <conditionalFormatting sqref="AH72">
    <cfRule type="containsText" dxfId="6949" priority="7282" operator="containsText" text="P">
      <formula>NOT(ISERROR(SEARCH("P",AH72)))</formula>
    </cfRule>
  </conditionalFormatting>
  <conditionalFormatting sqref="AH72">
    <cfRule type="containsText" dxfId="6948" priority="7290" operator="containsText" text="LWOP UA">
      <formula>NOT(ISERROR(SEARCH("LWOP UA",AH72)))</formula>
    </cfRule>
  </conditionalFormatting>
  <conditionalFormatting sqref="AH72">
    <cfRule type="containsText" dxfId="6947" priority="7283" operator="containsText" text="TFO">
      <formula>NOT(ISERROR(SEARCH("TFO",AH72)))</formula>
    </cfRule>
    <cfRule type="containsText" dxfId="6946" priority="7284" operator="containsText" text="AA">
      <formula>NOT(ISERROR(SEARCH("AA",AH72)))</formula>
    </cfRule>
    <cfRule type="containsText" dxfId="6945" priority="7285" operator="containsText" text="RESIGNED">
      <formula>NOT(ISERROR(SEARCH("RESIGNED",AH72)))</formula>
    </cfRule>
    <cfRule type="containsText" dxfId="6944" priority="7286" operator="containsText" text="P">
      <formula>NOT(ISERROR(SEARCH("P",AH72)))</formula>
    </cfRule>
    <cfRule type="containsText" dxfId="6943" priority="7287" operator="containsText" text="TARDY">
      <formula>NOT(ISERROR(SEARCH("TARDY",AH72)))</formula>
    </cfRule>
    <cfRule type="containsText" dxfId="6942" priority="7288" operator="containsText" text="REST DAY">
      <formula>NOT(ISERROR(SEARCH("REST DAY",AH72)))</formula>
    </cfRule>
    <cfRule type="containsText" dxfId="6941" priority="7289" operator="containsText" text="UA">
      <formula>NOT(ISERROR(SEARCH("UA",AH72)))</formula>
    </cfRule>
  </conditionalFormatting>
  <conditionalFormatting sqref="AH72">
    <cfRule type="containsText" dxfId="6940" priority="7278" operator="containsText" text="RD">
      <formula>NOT(ISERROR(SEARCH("RD",AH72)))</formula>
    </cfRule>
    <cfRule type="containsText" dxfId="6939" priority="7279" operator="containsText" text="540">
      <formula>NOT(ISERROR(SEARCH("540",AH72)))</formula>
    </cfRule>
    <cfRule type="cellIs" dxfId="6938" priority="7280" operator="between">
      <formula>1</formula>
      <formula>400</formula>
    </cfRule>
  </conditionalFormatting>
  <conditionalFormatting sqref="AH72">
    <cfRule type="containsText" dxfId="6937" priority="7277" operator="containsText" text="VL">
      <formula>NOT(ISERROR(SEARCH("VL",AH72)))</formula>
    </cfRule>
    <cfRule type="containsText" dxfId="6936" priority="7281" operator="containsText" text="LWOP UA">
      <formula>NOT(ISERROR(SEARCH("LWOP UA",AH72)))</formula>
    </cfRule>
  </conditionalFormatting>
  <conditionalFormatting sqref="AH85">
    <cfRule type="containsText" dxfId="6935" priority="7245" operator="containsText" text="P">
      <formula>NOT(ISERROR(SEARCH("P",AH85)))</formula>
    </cfRule>
  </conditionalFormatting>
  <conditionalFormatting sqref="AH85">
    <cfRule type="containsText" dxfId="6934" priority="7253" operator="containsText" text="LWOP UA">
      <formula>NOT(ISERROR(SEARCH("LWOP UA",AH85)))</formula>
    </cfRule>
  </conditionalFormatting>
  <conditionalFormatting sqref="AH85">
    <cfRule type="containsText" dxfId="6933" priority="7246" operator="containsText" text="TFO">
      <formula>NOT(ISERROR(SEARCH("TFO",AH85)))</formula>
    </cfRule>
    <cfRule type="containsText" dxfId="6932" priority="7247" operator="containsText" text="AA">
      <formula>NOT(ISERROR(SEARCH("AA",AH85)))</formula>
    </cfRule>
    <cfRule type="containsText" dxfId="6931" priority="7248" operator="containsText" text="RESIGNED">
      <formula>NOT(ISERROR(SEARCH("RESIGNED",AH85)))</formula>
    </cfRule>
    <cfRule type="containsText" dxfId="6930" priority="7249" operator="containsText" text="P">
      <formula>NOT(ISERROR(SEARCH("P",AH85)))</formula>
    </cfRule>
    <cfRule type="containsText" dxfId="6929" priority="7250" operator="containsText" text="TARDY">
      <formula>NOT(ISERROR(SEARCH("TARDY",AH85)))</formula>
    </cfRule>
    <cfRule type="containsText" dxfId="6928" priority="7251" operator="containsText" text="REST DAY">
      <formula>NOT(ISERROR(SEARCH("REST DAY",AH85)))</formula>
    </cfRule>
    <cfRule type="containsText" dxfId="6927" priority="7252" operator="containsText" text="UA">
      <formula>NOT(ISERROR(SEARCH("UA",AH85)))</formula>
    </cfRule>
  </conditionalFormatting>
  <conditionalFormatting sqref="AH85">
    <cfRule type="containsText" dxfId="6926" priority="7241" operator="containsText" text="RD">
      <formula>NOT(ISERROR(SEARCH("RD",AH85)))</formula>
    </cfRule>
    <cfRule type="containsText" dxfId="6925" priority="7242" operator="containsText" text="540">
      <formula>NOT(ISERROR(SEARCH("540",AH85)))</formula>
    </cfRule>
    <cfRule type="cellIs" dxfId="6924" priority="7243" operator="between">
      <formula>1</formula>
      <formula>400</formula>
    </cfRule>
  </conditionalFormatting>
  <conditionalFormatting sqref="AH85">
    <cfRule type="containsText" dxfId="6923" priority="7240" operator="containsText" text="VL">
      <formula>NOT(ISERROR(SEARCH("VL",AH85)))</formula>
    </cfRule>
    <cfRule type="containsText" dxfId="6922" priority="7244" operator="containsText" text="LWOP UA">
      <formula>NOT(ISERROR(SEARCH("LWOP UA",AH85)))</formula>
    </cfRule>
  </conditionalFormatting>
  <conditionalFormatting sqref="AH7">
    <cfRule type="containsText" dxfId="6921" priority="7189" operator="containsText" text="P">
      <formula>NOT(ISERROR(SEARCH("P",AH7)))</formula>
    </cfRule>
  </conditionalFormatting>
  <conditionalFormatting sqref="AH7">
    <cfRule type="containsText" dxfId="6920" priority="7197" operator="containsText" text="LWOP UA">
      <formula>NOT(ISERROR(SEARCH("LWOP UA",AH7)))</formula>
    </cfRule>
  </conditionalFormatting>
  <conditionalFormatting sqref="AH7">
    <cfRule type="containsText" dxfId="6919" priority="7190" operator="containsText" text="TFO">
      <formula>NOT(ISERROR(SEARCH("TFO",AH7)))</formula>
    </cfRule>
    <cfRule type="containsText" dxfId="6918" priority="7191" operator="containsText" text="AA">
      <formula>NOT(ISERROR(SEARCH("AA",AH7)))</formula>
    </cfRule>
    <cfRule type="containsText" dxfId="6917" priority="7192" operator="containsText" text="RESIGNED">
      <formula>NOT(ISERROR(SEARCH("RESIGNED",AH7)))</formula>
    </cfRule>
    <cfRule type="containsText" dxfId="6916" priority="7193" operator="containsText" text="P">
      <formula>NOT(ISERROR(SEARCH("P",AH7)))</formula>
    </cfRule>
    <cfRule type="containsText" dxfId="6915" priority="7194" operator="containsText" text="TARDY">
      <formula>NOT(ISERROR(SEARCH("TARDY",AH7)))</formula>
    </cfRule>
    <cfRule type="containsText" dxfId="6914" priority="7195" operator="containsText" text="REST DAY">
      <formula>NOT(ISERROR(SEARCH("REST DAY",AH7)))</formula>
    </cfRule>
    <cfRule type="containsText" dxfId="6913" priority="7196" operator="containsText" text="UA">
      <formula>NOT(ISERROR(SEARCH("UA",AH7)))</formula>
    </cfRule>
  </conditionalFormatting>
  <conditionalFormatting sqref="AH7">
    <cfRule type="containsText" dxfId="6912" priority="7184" operator="containsText" text="VL">
      <formula>NOT(ISERROR(SEARCH("VL",AH7)))</formula>
    </cfRule>
    <cfRule type="containsText" dxfId="6911" priority="7185" operator="containsText" text="RD">
      <formula>NOT(ISERROR(SEARCH("RD",AH7)))</formula>
    </cfRule>
    <cfRule type="containsText" dxfId="6910" priority="7186" operator="containsText" text="540">
      <formula>NOT(ISERROR(SEARCH("540",AH7)))</formula>
    </cfRule>
    <cfRule type="cellIs" dxfId="6909" priority="7187" operator="between">
      <formula>1</formula>
      <formula>400</formula>
    </cfRule>
  </conditionalFormatting>
  <conditionalFormatting sqref="AH7">
    <cfRule type="containsText" dxfId="6908" priority="7188" operator="containsText" text="LWOP UA">
      <formula>NOT(ISERROR(SEARCH("LWOP UA",AH7)))</formula>
    </cfRule>
  </conditionalFormatting>
  <conditionalFormatting sqref="AH84">
    <cfRule type="containsText" dxfId="6907" priority="7175" operator="containsText" text="P">
      <formula>NOT(ISERROR(SEARCH("P",AH84)))</formula>
    </cfRule>
  </conditionalFormatting>
  <conditionalFormatting sqref="AH84">
    <cfRule type="containsText" dxfId="6906" priority="7183" operator="containsText" text="LWOP UA">
      <formula>NOT(ISERROR(SEARCH("LWOP UA",AH84)))</formula>
    </cfRule>
  </conditionalFormatting>
  <conditionalFormatting sqref="AH84">
    <cfRule type="containsText" dxfId="6905" priority="7176" operator="containsText" text="TFO">
      <formula>NOT(ISERROR(SEARCH("TFO",AH84)))</formula>
    </cfRule>
    <cfRule type="containsText" dxfId="6904" priority="7177" operator="containsText" text="AA">
      <formula>NOT(ISERROR(SEARCH("AA",AH84)))</formula>
    </cfRule>
    <cfRule type="containsText" dxfId="6903" priority="7178" operator="containsText" text="RESIGNED">
      <formula>NOT(ISERROR(SEARCH("RESIGNED",AH84)))</formula>
    </cfRule>
    <cfRule type="containsText" dxfId="6902" priority="7179" operator="containsText" text="P">
      <formula>NOT(ISERROR(SEARCH("P",AH84)))</formula>
    </cfRule>
    <cfRule type="containsText" dxfId="6901" priority="7180" operator="containsText" text="TARDY">
      <formula>NOT(ISERROR(SEARCH("TARDY",AH84)))</formula>
    </cfRule>
    <cfRule type="containsText" dxfId="6900" priority="7181" operator="containsText" text="REST DAY">
      <formula>NOT(ISERROR(SEARCH("REST DAY",AH84)))</formula>
    </cfRule>
    <cfRule type="containsText" dxfId="6899" priority="7182" operator="containsText" text="UA">
      <formula>NOT(ISERROR(SEARCH("UA",AH84)))</formula>
    </cfRule>
  </conditionalFormatting>
  <conditionalFormatting sqref="AH84">
    <cfRule type="containsText" dxfId="6898" priority="7171" operator="containsText" text="RD">
      <formula>NOT(ISERROR(SEARCH("RD",AH84)))</formula>
    </cfRule>
    <cfRule type="containsText" dxfId="6897" priority="7172" operator="containsText" text="540">
      <formula>NOT(ISERROR(SEARCH("540",AH84)))</formula>
    </cfRule>
    <cfRule type="cellIs" dxfId="6896" priority="7173" operator="between">
      <formula>1</formula>
      <formula>400</formula>
    </cfRule>
  </conditionalFormatting>
  <conditionalFormatting sqref="AH84">
    <cfRule type="containsText" dxfId="6895" priority="7170" operator="containsText" text="VL">
      <formula>NOT(ISERROR(SEARCH("VL",AH84)))</formula>
    </cfRule>
    <cfRule type="containsText" dxfId="6894" priority="7174" operator="containsText" text="LWOP UA">
      <formula>NOT(ISERROR(SEARCH("LWOP UA",AH84)))</formula>
    </cfRule>
  </conditionalFormatting>
  <conditionalFormatting sqref="AH22">
    <cfRule type="containsText" dxfId="6893" priority="7021" operator="containsText" text="P">
      <formula>NOT(ISERROR(SEARCH("P",AH22)))</formula>
    </cfRule>
  </conditionalFormatting>
  <conditionalFormatting sqref="AH22">
    <cfRule type="containsText" dxfId="6892" priority="7029" operator="containsText" text="LWOP UA">
      <formula>NOT(ISERROR(SEARCH("LWOP UA",AH22)))</formula>
    </cfRule>
  </conditionalFormatting>
  <conditionalFormatting sqref="AH22">
    <cfRule type="containsText" dxfId="6891" priority="7022" operator="containsText" text="TFO">
      <formula>NOT(ISERROR(SEARCH("TFO",AH22)))</formula>
    </cfRule>
    <cfRule type="containsText" dxfId="6890" priority="7023" operator="containsText" text="AA">
      <formula>NOT(ISERROR(SEARCH("AA",AH22)))</formula>
    </cfRule>
    <cfRule type="containsText" dxfId="6889" priority="7024" operator="containsText" text="RESIGNED">
      <formula>NOT(ISERROR(SEARCH("RESIGNED",AH22)))</formula>
    </cfRule>
    <cfRule type="containsText" dxfId="6888" priority="7025" operator="containsText" text="P">
      <formula>NOT(ISERROR(SEARCH("P",AH22)))</formula>
    </cfRule>
    <cfRule type="containsText" dxfId="6887" priority="7026" operator="containsText" text="TARDY">
      <formula>NOT(ISERROR(SEARCH("TARDY",AH22)))</formula>
    </cfRule>
    <cfRule type="containsText" dxfId="6886" priority="7027" operator="containsText" text="REST DAY">
      <formula>NOT(ISERROR(SEARCH("REST DAY",AH22)))</formula>
    </cfRule>
    <cfRule type="containsText" dxfId="6885" priority="7028" operator="containsText" text="UA">
      <formula>NOT(ISERROR(SEARCH("UA",AH22)))</formula>
    </cfRule>
  </conditionalFormatting>
  <conditionalFormatting sqref="AH22">
    <cfRule type="containsText" dxfId="6884" priority="7017" operator="containsText" text="RD">
      <formula>NOT(ISERROR(SEARCH("RD",AH22)))</formula>
    </cfRule>
    <cfRule type="containsText" dxfId="6883" priority="7018" operator="containsText" text="540">
      <formula>NOT(ISERROR(SEARCH("540",AH22)))</formula>
    </cfRule>
    <cfRule type="cellIs" dxfId="6882" priority="7019" operator="between">
      <formula>1</formula>
      <formula>400</formula>
    </cfRule>
  </conditionalFormatting>
  <conditionalFormatting sqref="AH22">
    <cfRule type="containsText" dxfId="6881" priority="7016" operator="containsText" text="VL">
      <formula>NOT(ISERROR(SEARCH("VL",AH22)))</formula>
    </cfRule>
    <cfRule type="containsText" dxfId="6880" priority="7020" operator="containsText" text="LWOP UA">
      <formula>NOT(ISERROR(SEARCH("LWOP UA",AH22)))</formula>
    </cfRule>
  </conditionalFormatting>
  <conditionalFormatting sqref="AH27:AH28">
    <cfRule type="containsText" dxfId="6879" priority="7007" operator="containsText" text="P">
      <formula>NOT(ISERROR(SEARCH("P",AH27)))</formula>
    </cfRule>
  </conditionalFormatting>
  <conditionalFormatting sqref="AH27:AH28">
    <cfRule type="containsText" dxfId="6878" priority="7015" operator="containsText" text="LWOP UA">
      <formula>NOT(ISERROR(SEARCH("LWOP UA",AH27)))</formula>
    </cfRule>
  </conditionalFormatting>
  <conditionalFormatting sqref="AH27:AH28">
    <cfRule type="containsText" dxfId="6877" priority="7008" operator="containsText" text="TFO">
      <formula>NOT(ISERROR(SEARCH("TFO",AH27)))</formula>
    </cfRule>
    <cfRule type="containsText" dxfId="6876" priority="7009" operator="containsText" text="AA">
      <formula>NOT(ISERROR(SEARCH("AA",AH27)))</formula>
    </cfRule>
    <cfRule type="containsText" dxfId="6875" priority="7010" operator="containsText" text="RESIGNED">
      <formula>NOT(ISERROR(SEARCH("RESIGNED",AH27)))</formula>
    </cfRule>
    <cfRule type="containsText" dxfId="6874" priority="7011" operator="containsText" text="P">
      <formula>NOT(ISERROR(SEARCH("P",AH27)))</formula>
    </cfRule>
    <cfRule type="containsText" dxfId="6873" priority="7012" operator="containsText" text="TARDY">
      <formula>NOT(ISERROR(SEARCH("TARDY",AH27)))</formula>
    </cfRule>
    <cfRule type="containsText" dxfId="6872" priority="7013" operator="containsText" text="REST DAY">
      <formula>NOT(ISERROR(SEARCH("REST DAY",AH27)))</formula>
    </cfRule>
    <cfRule type="containsText" dxfId="6871" priority="7014" operator="containsText" text="UA">
      <formula>NOT(ISERROR(SEARCH("UA",AH27)))</formula>
    </cfRule>
  </conditionalFormatting>
  <conditionalFormatting sqref="AH27:AH28">
    <cfRule type="containsText" dxfId="6870" priority="7003" operator="containsText" text="RD">
      <formula>NOT(ISERROR(SEARCH("RD",AH27)))</formula>
    </cfRule>
    <cfRule type="containsText" dxfId="6869" priority="7004" operator="containsText" text="540">
      <formula>NOT(ISERROR(SEARCH("540",AH27)))</formula>
    </cfRule>
    <cfRule type="cellIs" dxfId="6868" priority="7005" operator="between">
      <formula>1</formula>
      <formula>400</formula>
    </cfRule>
  </conditionalFormatting>
  <conditionalFormatting sqref="AH27:AH28">
    <cfRule type="containsText" dxfId="6867" priority="7002" operator="containsText" text="VL">
      <formula>NOT(ISERROR(SEARCH("VL",AH27)))</formula>
    </cfRule>
    <cfRule type="containsText" dxfId="6866" priority="7006" operator="containsText" text="LWOP UA">
      <formula>NOT(ISERROR(SEARCH("LWOP UA",AH27)))</formula>
    </cfRule>
  </conditionalFormatting>
  <conditionalFormatting sqref="AH42">
    <cfRule type="containsText" dxfId="6865" priority="6993" operator="containsText" text="P">
      <formula>NOT(ISERROR(SEARCH("P",AH42)))</formula>
    </cfRule>
  </conditionalFormatting>
  <conditionalFormatting sqref="AH42">
    <cfRule type="containsText" dxfId="6864" priority="7001" operator="containsText" text="LWOP UA">
      <formula>NOT(ISERROR(SEARCH("LWOP UA",AH42)))</formula>
    </cfRule>
  </conditionalFormatting>
  <conditionalFormatting sqref="AH42">
    <cfRule type="containsText" dxfId="6863" priority="6994" operator="containsText" text="TFO">
      <formula>NOT(ISERROR(SEARCH("TFO",AH42)))</formula>
    </cfRule>
    <cfRule type="containsText" dxfId="6862" priority="6995" operator="containsText" text="AA">
      <formula>NOT(ISERROR(SEARCH("AA",AH42)))</formula>
    </cfRule>
    <cfRule type="containsText" dxfId="6861" priority="6996" operator="containsText" text="RESIGNED">
      <formula>NOT(ISERROR(SEARCH("RESIGNED",AH42)))</formula>
    </cfRule>
    <cfRule type="containsText" dxfId="6860" priority="6997" operator="containsText" text="P">
      <formula>NOT(ISERROR(SEARCH("P",AH42)))</formula>
    </cfRule>
    <cfRule type="containsText" dxfId="6859" priority="6998" operator="containsText" text="TARDY">
      <formula>NOT(ISERROR(SEARCH("TARDY",AH42)))</formula>
    </cfRule>
    <cfRule type="containsText" dxfId="6858" priority="6999" operator="containsText" text="REST DAY">
      <formula>NOT(ISERROR(SEARCH("REST DAY",AH42)))</formula>
    </cfRule>
    <cfRule type="containsText" dxfId="6857" priority="7000" operator="containsText" text="UA">
      <formula>NOT(ISERROR(SEARCH("UA",AH42)))</formula>
    </cfRule>
  </conditionalFormatting>
  <conditionalFormatting sqref="AH42">
    <cfRule type="containsText" dxfId="6856" priority="6988" operator="containsText" text="VL">
      <formula>NOT(ISERROR(SEARCH("VL",AH42)))</formula>
    </cfRule>
    <cfRule type="containsText" dxfId="6855" priority="6989" operator="containsText" text="RD">
      <formula>NOT(ISERROR(SEARCH("RD",AH42)))</formula>
    </cfRule>
    <cfRule type="containsText" dxfId="6854" priority="6990" operator="containsText" text="540">
      <formula>NOT(ISERROR(SEARCH("540",AH42)))</formula>
    </cfRule>
    <cfRule type="cellIs" dxfId="6853" priority="6991" operator="between">
      <formula>1</formula>
      <formula>400</formula>
    </cfRule>
  </conditionalFormatting>
  <conditionalFormatting sqref="AH42">
    <cfRule type="containsText" dxfId="6852" priority="6992" operator="containsText" text="LWOP UA">
      <formula>NOT(ISERROR(SEARCH("LWOP UA",AH42)))</formula>
    </cfRule>
  </conditionalFormatting>
  <conditionalFormatting sqref="AH43">
    <cfRule type="containsText" dxfId="6851" priority="6979" operator="containsText" text="P">
      <formula>NOT(ISERROR(SEARCH("P",AH43)))</formula>
    </cfRule>
  </conditionalFormatting>
  <conditionalFormatting sqref="AH43">
    <cfRule type="containsText" dxfId="6850" priority="6987" operator="containsText" text="LWOP UA">
      <formula>NOT(ISERROR(SEARCH("LWOP UA",AH43)))</formula>
    </cfRule>
  </conditionalFormatting>
  <conditionalFormatting sqref="AH43">
    <cfRule type="containsText" dxfId="6849" priority="6980" operator="containsText" text="TFO">
      <formula>NOT(ISERROR(SEARCH("TFO",AH43)))</formula>
    </cfRule>
    <cfRule type="containsText" dxfId="6848" priority="6981" operator="containsText" text="AA">
      <formula>NOT(ISERROR(SEARCH("AA",AH43)))</formula>
    </cfRule>
    <cfRule type="containsText" dxfId="6847" priority="6982" operator="containsText" text="RESIGNED">
      <formula>NOT(ISERROR(SEARCH("RESIGNED",AH43)))</formula>
    </cfRule>
    <cfRule type="containsText" dxfId="6846" priority="6983" operator="containsText" text="P">
      <formula>NOT(ISERROR(SEARCH("P",AH43)))</formula>
    </cfRule>
    <cfRule type="containsText" dxfId="6845" priority="6984" operator="containsText" text="TARDY">
      <formula>NOT(ISERROR(SEARCH("TARDY",AH43)))</formula>
    </cfRule>
    <cfRule type="containsText" dxfId="6844" priority="6985" operator="containsText" text="REST DAY">
      <formula>NOT(ISERROR(SEARCH("REST DAY",AH43)))</formula>
    </cfRule>
    <cfRule type="containsText" dxfId="6843" priority="6986" operator="containsText" text="UA">
      <formula>NOT(ISERROR(SEARCH("UA",AH43)))</formula>
    </cfRule>
  </conditionalFormatting>
  <conditionalFormatting sqref="AH43">
    <cfRule type="containsText" dxfId="6842" priority="6974" operator="containsText" text="VL">
      <formula>NOT(ISERROR(SEARCH("VL",AH43)))</formula>
    </cfRule>
    <cfRule type="containsText" dxfId="6841" priority="6975" operator="containsText" text="RD">
      <formula>NOT(ISERROR(SEARCH("RD",AH43)))</formula>
    </cfRule>
    <cfRule type="containsText" dxfId="6840" priority="6976" operator="containsText" text="540">
      <formula>NOT(ISERROR(SEARCH("540",AH43)))</formula>
    </cfRule>
    <cfRule type="cellIs" dxfId="6839" priority="6977" operator="between">
      <formula>1</formula>
      <formula>400</formula>
    </cfRule>
  </conditionalFormatting>
  <conditionalFormatting sqref="AH43">
    <cfRule type="containsText" dxfId="6838" priority="6978" operator="containsText" text="LWOP UA">
      <formula>NOT(ISERROR(SEARCH("LWOP UA",AH43)))</formula>
    </cfRule>
  </conditionalFormatting>
  <conditionalFormatting sqref="AH51">
    <cfRule type="containsText" dxfId="6837" priority="6965" operator="containsText" text="P">
      <formula>NOT(ISERROR(SEARCH("P",AH51)))</formula>
    </cfRule>
  </conditionalFormatting>
  <conditionalFormatting sqref="AH51">
    <cfRule type="containsText" dxfId="6836" priority="6973" operator="containsText" text="LWOP UA">
      <formula>NOT(ISERROR(SEARCH("LWOP UA",AH51)))</formula>
    </cfRule>
  </conditionalFormatting>
  <conditionalFormatting sqref="AH51">
    <cfRule type="containsText" dxfId="6835" priority="6966" operator="containsText" text="TFO">
      <formula>NOT(ISERROR(SEARCH("TFO",AH51)))</formula>
    </cfRule>
    <cfRule type="containsText" dxfId="6834" priority="6967" operator="containsText" text="AA">
      <formula>NOT(ISERROR(SEARCH("AA",AH51)))</formula>
    </cfRule>
    <cfRule type="containsText" dxfId="6833" priority="6968" operator="containsText" text="RESIGNED">
      <formula>NOT(ISERROR(SEARCH("RESIGNED",AH51)))</formula>
    </cfRule>
    <cfRule type="containsText" dxfId="6832" priority="6969" operator="containsText" text="P">
      <formula>NOT(ISERROR(SEARCH("P",AH51)))</formula>
    </cfRule>
    <cfRule type="containsText" dxfId="6831" priority="6970" operator="containsText" text="TARDY">
      <formula>NOT(ISERROR(SEARCH("TARDY",AH51)))</formula>
    </cfRule>
    <cfRule type="containsText" dxfId="6830" priority="6971" operator="containsText" text="REST DAY">
      <formula>NOT(ISERROR(SEARCH("REST DAY",AH51)))</formula>
    </cfRule>
    <cfRule type="containsText" dxfId="6829" priority="6972" operator="containsText" text="UA">
      <formula>NOT(ISERROR(SEARCH("UA",AH51)))</formula>
    </cfRule>
  </conditionalFormatting>
  <conditionalFormatting sqref="AH51">
    <cfRule type="containsText" dxfId="6828" priority="6951" operator="containsText" text="VL">
      <formula>NOT(ISERROR(SEARCH("VL",AH51)))</formula>
    </cfRule>
    <cfRule type="containsText" dxfId="6827" priority="6952" operator="containsText" text="RD">
      <formula>NOT(ISERROR(SEARCH("RD",AH51)))</formula>
    </cfRule>
    <cfRule type="containsText" dxfId="6826" priority="6953" operator="containsText" text="540">
      <formula>NOT(ISERROR(SEARCH("540",AH51)))</formula>
    </cfRule>
    <cfRule type="cellIs" dxfId="6825" priority="6954" operator="between">
      <formula>1</formula>
      <formula>400</formula>
    </cfRule>
  </conditionalFormatting>
  <conditionalFormatting sqref="AH51">
    <cfRule type="containsText" dxfId="6824" priority="6964" operator="containsText" text="LWOP UA">
      <formula>NOT(ISERROR(SEARCH("LWOP UA",AH51)))</formula>
    </cfRule>
  </conditionalFormatting>
  <conditionalFormatting sqref="AH67:AH68">
    <cfRule type="containsText" dxfId="6823" priority="6942" operator="containsText" text="P">
      <formula>NOT(ISERROR(SEARCH("P",AH67)))</formula>
    </cfRule>
  </conditionalFormatting>
  <conditionalFormatting sqref="AH67:AH68">
    <cfRule type="containsText" dxfId="6822" priority="6950" operator="containsText" text="LWOP UA">
      <formula>NOT(ISERROR(SEARCH("LWOP UA",AH67)))</formula>
    </cfRule>
  </conditionalFormatting>
  <conditionalFormatting sqref="AH67:AH68">
    <cfRule type="containsText" dxfId="6821" priority="6943" operator="containsText" text="TFO">
      <formula>NOT(ISERROR(SEARCH("TFO",AH67)))</formula>
    </cfRule>
    <cfRule type="containsText" dxfId="6820" priority="6944" operator="containsText" text="AA">
      <formula>NOT(ISERROR(SEARCH("AA",AH67)))</formula>
    </cfRule>
    <cfRule type="containsText" dxfId="6819" priority="6945" operator="containsText" text="RESIGNED">
      <formula>NOT(ISERROR(SEARCH("RESIGNED",AH67)))</formula>
    </cfRule>
    <cfRule type="containsText" dxfId="6818" priority="6946" operator="containsText" text="P">
      <formula>NOT(ISERROR(SEARCH("P",AH67)))</formula>
    </cfRule>
    <cfRule type="containsText" dxfId="6817" priority="6947" operator="containsText" text="TARDY">
      <formula>NOT(ISERROR(SEARCH("TARDY",AH67)))</formula>
    </cfRule>
    <cfRule type="containsText" dxfId="6816" priority="6948" operator="containsText" text="REST DAY">
      <formula>NOT(ISERROR(SEARCH("REST DAY",AH67)))</formula>
    </cfRule>
    <cfRule type="containsText" dxfId="6815" priority="6949" operator="containsText" text="UA">
      <formula>NOT(ISERROR(SEARCH("UA",AH67)))</formula>
    </cfRule>
  </conditionalFormatting>
  <conditionalFormatting sqref="AH67:AH68">
    <cfRule type="containsText" dxfId="6814" priority="6937" operator="containsText" text="VL">
      <formula>NOT(ISERROR(SEARCH("VL",AH67)))</formula>
    </cfRule>
    <cfRule type="containsText" dxfId="6813" priority="6938" operator="containsText" text="RD">
      <formula>NOT(ISERROR(SEARCH("RD",AH67)))</formula>
    </cfRule>
    <cfRule type="containsText" dxfId="6812" priority="6939" operator="containsText" text="540">
      <formula>NOT(ISERROR(SEARCH("540",AH67)))</formula>
    </cfRule>
    <cfRule type="cellIs" dxfId="6811" priority="6940" operator="between">
      <formula>1</formula>
      <formula>400</formula>
    </cfRule>
  </conditionalFormatting>
  <conditionalFormatting sqref="AH67:AH68">
    <cfRule type="containsText" dxfId="6810" priority="6941" operator="containsText" text="LWOP UA">
      <formula>NOT(ISERROR(SEARCH("LWOP UA",AH67)))</formula>
    </cfRule>
  </conditionalFormatting>
  <conditionalFormatting sqref="AH76">
    <cfRule type="containsText" dxfId="6809" priority="6914" operator="containsText" text="P">
      <formula>NOT(ISERROR(SEARCH("P",AH76)))</formula>
    </cfRule>
  </conditionalFormatting>
  <conditionalFormatting sqref="AH76">
    <cfRule type="containsText" dxfId="6808" priority="6913" operator="containsText" text="LWOP UA">
      <formula>NOT(ISERROR(SEARCH("LWOP UA",AH76)))</formula>
    </cfRule>
  </conditionalFormatting>
  <conditionalFormatting sqref="AH76">
    <cfRule type="containsText" dxfId="6807" priority="6922" operator="containsText" text="LWOP UA">
      <formula>NOT(ISERROR(SEARCH("LWOP UA",AH76)))</formula>
    </cfRule>
  </conditionalFormatting>
  <conditionalFormatting sqref="AH76">
    <cfRule type="containsText" dxfId="6806" priority="6915" operator="containsText" text="TFO">
      <formula>NOT(ISERROR(SEARCH("TFO",AH76)))</formula>
    </cfRule>
    <cfRule type="containsText" dxfId="6805" priority="6916" operator="containsText" text="AA">
      <formula>NOT(ISERROR(SEARCH("AA",AH76)))</formula>
    </cfRule>
    <cfRule type="containsText" dxfId="6804" priority="6917" operator="containsText" text="RESIGNED">
      <formula>NOT(ISERROR(SEARCH("RESIGNED",AH76)))</formula>
    </cfRule>
    <cfRule type="containsText" dxfId="6803" priority="6918" operator="containsText" text="P">
      <formula>NOT(ISERROR(SEARCH("P",AH76)))</formula>
    </cfRule>
    <cfRule type="containsText" dxfId="6802" priority="6919" operator="containsText" text="TARDY">
      <formula>NOT(ISERROR(SEARCH("TARDY",AH76)))</formula>
    </cfRule>
    <cfRule type="containsText" dxfId="6801" priority="6920" operator="containsText" text="REST DAY">
      <formula>NOT(ISERROR(SEARCH("REST DAY",AH76)))</formula>
    </cfRule>
    <cfRule type="containsText" dxfId="6800" priority="6921" operator="containsText" text="UA">
      <formula>NOT(ISERROR(SEARCH("UA",AH76)))</formula>
    </cfRule>
  </conditionalFormatting>
  <conditionalFormatting sqref="AH76">
    <cfRule type="containsText" dxfId="6799" priority="6900" operator="containsText" text="VL">
      <formula>NOT(ISERROR(SEARCH("VL",AH76)))</formula>
    </cfRule>
    <cfRule type="containsText" dxfId="6798" priority="6901" operator="containsText" text="RD">
      <formula>NOT(ISERROR(SEARCH("RD",AH76)))</formula>
    </cfRule>
    <cfRule type="containsText" dxfId="6797" priority="6902" operator="containsText" text="540">
      <formula>NOT(ISERROR(SEARCH("540",AH76)))</formula>
    </cfRule>
    <cfRule type="cellIs" dxfId="6796" priority="6903" operator="between">
      <formula>1</formula>
      <formula>400</formula>
    </cfRule>
  </conditionalFormatting>
  <conditionalFormatting sqref="AH15">
    <cfRule type="containsText" dxfId="6795" priority="6891" operator="containsText" text="P">
      <formula>NOT(ISERROR(SEARCH("P",AH15)))</formula>
    </cfRule>
  </conditionalFormatting>
  <conditionalFormatting sqref="AH15">
    <cfRule type="containsText" dxfId="6794" priority="6899" operator="containsText" text="LWOP UA">
      <formula>NOT(ISERROR(SEARCH("LWOP UA",AH15)))</formula>
    </cfRule>
  </conditionalFormatting>
  <conditionalFormatting sqref="AH15">
    <cfRule type="containsText" dxfId="6793" priority="6892" operator="containsText" text="TFO">
      <formula>NOT(ISERROR(SEARCH("TFO",AH15)))</formula>
    </cfRule>
    <cfRule type="containsText" dxfId="6792" priority="6893" operator="containsText" text="AA">
      <formula>NOT(ISERROR(SEARCH("AA",AH15)))</formula>
    </cfRule>
    <cfRule type="containsText" dxfId="6791" priority="6894" operator="containsText" text="RESIGNED">
      <formula>NOT(ISERROR(SEARCH("RESIGNED",AH15)))</formula>
    </cfRule>
    <cfRule type="containsText" dxfId="6790" priority="6895" operator="containsText" text="P">
      <formula>NOT(ISERROR(SEARCH("P",AH15)))</formula>
    </cfRule>
    <cfRule type="containsText" dxfId="6789" priority="6896" operator="containsText" text="TARDY">
      <formula>NOT(ISERROR(SEARCH("TARDY",AH15)))</formula>
    </cfRule>
    <cfRule type="containsText" dxfId="6788" priority="6897" operator="containsText" text="REST DAY">
      <formula>NOT(ISERROR(SEARCH("REST DAY",AH15)))</formula>
    </cfRule>
    <cfRule type="containsText" dxfId="6787" priority="6898" operator="containsText" text="UA">
      <formula>NOT(ISERROR(SEARCH("UA",AH15)))</formula>
    </cfRule>
  </conditionalFormatting>
  <conditionalFormatting sqref="AH15">
    <cfRule type="containsText" dxfId="6786" priority="6886" operator="containsText" text="VL">
      <formula>NOT(ISERROR(SEARCH("VL",AH15)))</formula>
    </cfRule>
    <cfRule type="containsText" dxfId="6785" priority="6887" operator="containsText" text="RD">
      <formula>NOT(ISERROR(SEARCH("RD",AH15)))</formula>
    </cfRule>
    <cfRule type="containsText" dxfId="6784" priority="6888" operator="containsText" text="540">
      <formula>NOT(ISERROR(SEARCH("540",AH15)))</formula>
    </cfRule>
    <cfRule type="cellIs" dxfId="6783" priority="6889" operator="between">
      <formula>1</formula>
      <formula>400</formula>
    </cfRule>
  </conditionalFormatting>
  <conditionalFormatting sqref="AH15">
    <cfRule type="containsText" dxfId="6782" priority="6890" operator="containsText" text="LWOP UA">
      <formula>NOT(ISERROR(SEARCH("LWOP UA",AH15)))</formula>
    </cfRule>
  </conditionalFormatting>
  <conditionalFormatting sqref="AH6">
    <cfRule type="containsText" dxfId="6781" priority="6663" operator="containsText" text="P">
      <formula>NOT(ISERROR(SEARCH("P",AH6)))</formula>
    </cfRule>
  </conditionalFormatting>
  <conditionalFormatting sqref="AH6">
    <cfRule type="containsText" dxfId="6780" priority="6671" operator="containsText" text="LWOP UA">
      <formula>NOT(ISERROR(SEARCH("LWOP UA",AH6)))</formula>
    </cfRule>
  </conditionalFormatting>
  <conditionalFormatting sqref="AH6">
    <cfRule type="containsText" dxfId="6779" priority="6664" operator="containsText" text="TFO">
      <formula>NOT(ISERROR(SEARCH("TFO",AH6)))</formula>
    </cfRule>
    <cfRule type="containsText" dxfId="6778" priority="6665" operator="containsText" text="AA">
      <formula>NOT(ISERROR(SEARCH("AA",AH6)))</formula>
    </cfRule>
    <cfRule type="containsText" dxfId="6777" priority="6666" operator="containsText" text="RESIGNED">
      <formula>NOT(ISERROR(SEARCH("RESIGNED",AH6)))</formula>
    </cfRule>
    <cfRule type="containsText" dxfId="6776" priority="6667" operator="containsText" text="P">
      <formula>NOT(ISERROR(SEARCH("P",AH6)))</formula>
    </cfRule>
    <cfRule type="containsText" dxfId="6775" priority="6668" operator="containsText" text="TARDY">
      <formula>NOT(ISERROR(SEARCH("TARDY",AH6)))</formula>
    </cfRule>
    <cfRule type="containsText" dxfId="6774" priority="6669" operator="containsText" text="REST DAY">
      <formula>NOT(ISERROR(SEARCH("REST DAY",AH6)))</formula>
    </cfRule>
    <cfRule type="containsText" dxfId="6773" priority="6670" operator="containsText" text="UA">
      <formula>NOT(ISERROR(SEARCH("UA",AH6)))</formula>
    </cfRule>
  </conditionalFormatting>
  <conditionalFormatting sqref="AH6">
    <cfRule type="containsText" dxfId="6772" priority="6658" operator="containsText" text="VL">
      <formula>NOT(ISERROR(SEARCH("VL",AH6)))</formula>
    </cfRule>
    <cfRule type="containsText" dxfId="6771" priority="6659" operator="containsText" text="RD">
      <formula>NOT(ISERROR(SEARCH("RD",AH6)))</formula>
    </cfRule>
    <cfRule type="containsText" dxfId="6770" priority="6660" operator="containsText" text="540">
      <formula>NOT(ISERROR(SEARCH("540",AH6)))</formula>
    </cfRule>
    <cfRule type="cellIs" dxfId="6769" priority="6661" operator="between">
      <formula>1</formula>
      <formula>400</formula>
    </cfRule>
  </conditionalFormatting>
  <conditionalFormatting sqref="AH6">
    <cfRule type="containsText" dxfId="6768" priority="6662" operator="containsText" text="LWOP UA">
      <formula>NOT(ISERROR(SEARCH("LWOP UA",AH6)))</formula>
    </cfRule>
  </conditionalFormatting>
  <conditionalFormatting sqref="AH9">
    <cfRule type="containsText" dxfId="6767" priority="6649" operator="containsText" text="P">
      <formula>NOT(ISERROR(SEARCH("P",AH9)))</formula>
    </cfRule>
  </conditionalFormatting>
  <conditionalFormatting sqref="AH9">
    <cfRule type="containsText" dxfId="6766" priority="6657" operator="containsText" text="LWOP UA">
      <formula>NOT(ISERROR(SEARCH("LWOP UA",AH9)))</formula>
    </cfRule>
  </conditionalFormatting>
  <conditionalFormatting sqref="AH9">
    <cfRule type="containsText" dxfId="6765" priority="6650" operator="containsText" text="TFO">
      <formula>NOT(ISERROR(SEARCH("TFO",AH9)))</formula>
    </cfRule>
    <cfRule type="containsText" dxfId="6764" priority="6651" operator="containsText" text="AA">
      <formula>NOT(ISERROR(SEARCH("AA",AH9)))</formula>
    </cfRule>
    <cfRule type="containsText" dxfId="6763" priority="6652" operator="containsText" text="RESIGNED">
      <formula>NOT(ISERROR(SEARCH("RESIGNED",AH9)))</formula>
    </cfRule>
    <cfRule type="containsText" dxfId="6762" priority="6653" operator="containsText" text="P">
      <formula>NOT(ISERROR(SEARCH("P",AH9)))</formula>
    </cfRule>
    <cfRule type="containsText" dxfId="6761" priority="6654" operator="containsText" text="TARDY">
      <formula>NOT(ISERROR(SEARCH("TARDY",AH9)))</formula>
    </cfRule>
    <cfRule type="containsText" dxfId="6760" priority="6655" operator="containsText" text="REST DAY">
      <formula>NOT(ISERROR(SEARCH("REST DAY",AH9)))</formula>
    </cfRule>
    <cfRule type="containsText" dxfId="6759" priority="6656" operator="containsText" text="UA">
      <formula>NOT(ISERROR(SEARCH("UA",AH9)))</formula>
    </cfRule>
  </conditionalFormatting>
  <conditionalFormatting sqref="AH9">
    <cfRule type="containsText" dxfId="6758" priority="6644" operator="containsText" text="VL">
      <formula>NOT(ISERROR(SEARCH("VL",AH9)))</formula>
    </cfRule>
    <cfRule type="containsText" dxfId="6757" priority="6645" operator="containsText" text="RD">
      <formula>NOT(ISERROR(SEARCH("RD",AH9)))</formula>
    </cfRule>
    <cfRule type="containsText" dxfId="6756" priority="6646" operator="containsText" text="540">
      <formula>NOT(ISERROR(SEARCH("540",AH9)))</formula>
    </cfRule>
    <cfRule type="cellIs" dxfId="6755" priority="6647" operator="between">
      <formula>1</formula>
      <formula>400</formula>
    </cfRule>
  </conditionalFormatting>
  <conditionalFormatting sqref="AH9">
    <cfRule type="containsText" dxfId="6754" priority="6648" operator="containsText" text="LWOP UA">
      <formula>NOT(ISERROR(SEARCH("LWOP UA",AH9)))</formula>
    </cfRule>
  </conditionalFormatting>
  <conditionalFormatting sqref="AH14">
    <cfRule type="containsText" dxfId="6753" priority="6635" operator="containsText" text="P">
      <formula>NOT(ISERROR(SEARCH("P",AH14)))</formula>
    </cfRule>
  </conditionalFormatting>
  <conditionalFormatting sqref="AH14">
    <cfRule type="containsText" dxfId="6752" priority="6643" operator="containsText" text="LWOP UA">
      <formula>NOT(ISERROR(SEARCH("LWOP UA",AH14)))</formula>
    </cfRule>
  </conditionalFormatting>
  <conditionalFormatting sqref="AH14">
    <cfRule type="containsText" dxfId="6751" priority="6636" operator="containsText" text="TFO">
      <formula>NOT(ISERROR(SEARCH("TFO",AH14)))</formula>
    </cfRule>
    <cfRule type="containsText" dxfId="6750" priority="6637" operator="containsText" text="AA">
      <formula>NOT(ISERROR(SEARCH("AA",AH14)))</formula>
    </cfRule>
    <cfRule type="containsText" dxfId="6749" priority="6638" operator="containsText" text="RESIGNED">
      <formula>NOT(ISERROR(SEARCH("RESIGNED",AH14)))</formula>
    </cfRule>
    <cfRule type="containsText" dxfId="6748" priority="6639" operator="containsText" text="P">
      <formula>NOT(ISERROR(SEARCH("P",AH14)))</formula>
    </cfRule>
    <cfRule type="containsText" dxfId="6747" priority="6640" operator="containsText" text="TARDY">
      <formula>NOT(ISERROR(SEARCH("TARDY",AH14)))</formula>
    </cfRule>
    <cfRule type="containsText" dxfId="6746" priority="6641" operator="containsText" text="REST DAY">
      <formula>NOT(ISERROR(SEARCH("REST DAY",AH14)))</formula>
    </cfRule>
    <cfRule type="containsText" dxfId="6745" priority="6642" operator="containsText" text="UA">
      <formula>NOT(ISERROR(SEARCH("UA",AH14)))</formula>
    </cfRule>
  </conditionalFormatting>
  <conditionalFormatting sqref="AH14">
    <cfRule type="containsText" dxfId="6744" priority="6630" operator="containsText" text="VL">
      <formula>NOT(ISERROR(SEARCH("VL",AH14)))</formula>
    </cfRule>
    <cfRule type="containsText" dxfId="6743" priority="6631" operator="containsText" text="RD">
      <formula>NOT(ISERROR(SEARCH("RD",AH14)))</formula>
    </cfRule>
    <cfRule type="containsText" dxfId="6742" priority="6632" operator="containsText" text="540">
      <formula>NOT(ISERROR(SEARCH("540",AH14)))</formula>
    </cfRule>
    <cfRule type="cellIs" dxfId="6741" priority="6633" operator="between">
      <formula>1</formula>
      <formula>400</formula>
    </cfRule>
  </conditionalFormatting>
  <conditionalFormatting sqref="AH14">
    <cfRule type="containsText" dxfId="6740" priority="6634" operator="containsText" text="LWOP UA">
      <formula>NOT(ISERROR(SEARCH("LWOP UA",AH14)))</formula>
    </cfRule>
  </conditionalFormatting>
  <conditionalFormatting sqref="AH39">
    <cfRule type="containsText" dxfId="6739" priority="6621" operator="containsText" text="P">
      <formula>NOT(ISERROR(SEARCH("P",AH39)))</formula>
    </cfRule>
  </conditionalFormatting>
  <conditionalFormatting sqref="AH39">
    <cfRule type="containsText" dxfId="6738" priority="6629" operator="containsText" text="LWOP UA">
      <formula>NOT(ISERROR(SEARCH("LWOP UA",AH39)))</formula>
    </cfRule>
  </conditionalFormatting>
  <conditionalFormatting sqref="AH39">
    <cfRule type="containsText" dxfId="6737" priority="6622" operator="containsText" text="TFO">
      <formula>NOT(ISERROR(SEARCH("TFO",AH39)))</formula>
    </cfRule>
    <cfRule type="containsText" dxfId="6736" priority="6623" operator="containsText" text="AA">
      <formula>NOT(ISERROR(SEARCH("AA",AH39)))</formula>
    </cfRule>
    <cfRule type="containsText" dxfId="6735" priority="6624" operator="containsText" text="RESIGNED">
      <formula>NOT(ISERROR(SEARCH("RESIGNED",AH39)))</formula>
    </cfRule>
    <cfRule type="containsText" dxfId="6734" priority="6625" operator="containsText" text="P">
      <formula>NOT(ISERROR(SEARCH("P",AH39)))</formula>
    </cfRule>
    <cfRule type="containsText" dxfId="6733" priority="6626" operator="containsText" text="TARDY">
      <formula>NOT(ISERROR(SEARCH("TARDY",AH39)))</formula>
    </cfRule>
    <cfRule type="containsText" dxfId="6732" priority="6627" operator="containsText" text="REST DAY">
      <formula>NOT(ISERROR(SEARCH("REST DAY",AH39)))</formula>
    </cfRule>
    <cfRule type="containsText" dxfId="6731" priority="6628" operator="containsText" text="UA">
      <formula>NOT(ISERROR(SEARCH("UA",AH39)))</formula>
    </cfRule>
  </conditionalFormatting>
  <conditionalFormatting sqref="AH39">
    <cfRule type="containsText" dxfId="6730" priority="6616" operator="containsText" text="VL">
      <formula>NOT(ISERROR(SEARCH("VL",AH39)))</formula>
    </cfRule>
    <cfRule type="containsText" dxfId="6729" priority="6617" operator="containsText" text="RD">
      <formula>NOT(ISERROR(SEARCH("RD",AH39)))</formula>
    </cfRule>
    <cfRule type="containsText" dxfId="6728" priority="6618" operator="containsText" text="540">
      <formula>NOT(ISERROR(SEARCH("540",AH39)))</formula>
    </cfRule>
    <cfRule type="cellIs" dxfId="6727" priority="6619" operator="between">
      <formula>1</formula>
      <formula>400</formula>
    </cfRule>
  </conditionalFormatting>
  <conditionalFormatting sqref="AH39">
    <cfRule type="containsText" dxfId="6726" priority="6620" operator="containsText" text="LWOP UA">
      <formula>NOT(ISERROR(SEARCH("LWOP UA",AH39)))</formula>
    </cfRule>
  </conditionalFormatting>
  <conditionalFormatting sqref="AH40">
    <cfRule type="containsText" dxfId="6725" priority="6607" operator="containsText" text="P">
      <formula>NOT(ISERROR(SEARCH("P",AH40)))</formula>
    </cfRule>
  </conditionalFormatting>
  <conditionalFormatting sqref="AH40">
    <cfRule type="containsText" dxfId="6724" priority="6615" operator="containsText" text="LWOP UA">
      <formula>NOT(ISERROR(SEARCH("LWOP UA",AH40)))</formula>
    </cfRule>
  </conditionalFormatting>
  <conditionalFormatting sqref="AH40">
    <cfRule type="containsText" dxfId="6723" priority="6608" operator="containsText" text="TFO">
      <formula>NOT(ISERROR(SEARCH("TFO",AH40)))</formula>
    </cfRule>
    <cfRule type="containsText" dxfId="6722" priority="6609" operator="containsText" text="AA">
      <formula>NOT(ISERROR(SEARCH("AA",AH40)))</formula>
    </cfRule>
    <cfRule type="containsText" dxfId="6721" priority="6610" operator="containsText" text="RESIGNED">
      <formula>NOT(ISERROR(SEARCH("RESIGNED",AH40)))</formula>
    </cfRule>
    <cfRule type="containsText" dxfId="6720" priority="6611" operator="containsText" text="P">
      <formula>NOT(ISERROR(SEARCH("P",AH40)))</formula>
    </cfRule>
    <cfRule type="containsText" dxfId="6719" priority="6612" operator="containsText" text="TARDY">
      <formula>NOT(ISERROR(SEARCH("TARDY",AH40)))</formula>
    </cfRule>
    <cfRule type="containsText" dxfId="6718" priority="6613" operator="containsText" text="REST DAY">
      <formula>NOT(ISERROR(SEARCH("REST DAY",AH40)))</formula>
    </cfRule>
    <cfRule type="containsText" dxfId="6717" priority="6614" operator="containsText" text="UA">
      <formula>NOT(ISERROR(SEARCH("UA",AH40)))</formula>
    </cfRule>
  </conditionalFormatting>
  <conditionalFormatting sqref="AH40">
    <cfRule type="containsText" dxfId="6716" priority="6602" operator="containsText" text="VL">
      <formula>NOT(ISERROR(SEARCH("VL",AH40)))</formula>
    </cfRule>
    <cfRule type="containsText" dxfId="6715" priority="6603" operator="containsText" text="RD">
      <formula>NOT(ISERROR(SEARCH("RD",AH40)))</formula>
    </cfRule>
    <cfRule type="containsText" dxfId="6714" priority="6604" operator="containsText" text="540">
      <formula>NOT(ISERROR(SEARCH("540",AH40)))</formula>
    </cfRule>
    <cfRule type="cellIs" dxfId="6713" priority="6605" operator="between">
      <formula>1</formula>
      <formula>400</formula>
    </cfRule>
  </conditionalFormatting>
  <conditionalFormatting sqref="AH40">
    <cfRule type="containsText" dxfId="6712" priority="6606" operator="containsText" text="LWOP UA">
      <formula>NOT(ISERROR(SEARCH("LWOP UA",AH40)))</formula>
    </cfRule>
  </conditionalFormatting>
  <conditionalFormatting sqref="AH45">
    <cfRule type="containsText" dxfId="6711" priority="6593" operator="containsText" text="P">
      <formula>NOT(ISERROR(SEARCH("P",AH45)))</formula>
    </cfRule>
  </conditionalFormatting>
  <conditionalFormatting sqref="AH45">
    <cfRule type="containsText" dxfId="6710" priority="6601" operator="containsText" text="LWOP UA">
      <formula>NOT(ISERROR(SEARCH("LWOP UA",AH45)))</formula>
    </cfRule>
  </conditionalFormatting>
  <conditionalFormatting sqref="AH45">
    <cfRule type="containsText" dxfId="6709" priority="6594" operator="containsText" text="TFO">
      <formula>NOT(ISERROR(SEARCH("TFO",AH45)))</formula>
    </cfRule>
    <cfRule type="containsText" dxfId="6708" priority="6595" operator="containsText" text="AA">
      <formula>NOT(ISERROR(SEARCH("AA",AH45)))</formula>
    </cfRule>
    <cfRule type="containsText" dxfId="6707" priority="6596" operator="containsText" text="RESIGNED">
      <formula>NOT(ISERROR(SEARCH("RESIGNED",AH45)))</formula>
    </cfRule>
    <cfRule type="containsText" dxfId="6706" priority="6597" operator="containsText" text="P">
      <formula>NOT(ISERROR(SEARCH("P",AH45)))</formula>
    </cfRule>
    <cfRule type="containsText" dxfId="6705" priority="6598" operator="containsText" text="TARDY">
      <formula>NOT(ISERROR(SEARCH("TARDY",AH45)))</formula>
    </cfRule>
    <cfRule type="containsText" dxfId="6704" priority="6599" operator="containsText" text="REST DAY">
      <formula>NOT(ISERROR(SEARCH("REST DAY",AH45)))</formula>
    </cfRule>
    <cfRule type="containsText" dxfId="6703" priority="6600" operator="containsText" text="UA">
      <formula>NOT(ISERROR(SEARCH("UA",AH45)))</formula>
    </cfRule>
  </conditionalFormatting>
  <conditionalFormatting sqref="AH45">
    <cfRule type="containsText" dxfId="6702" priority="6588" operator="containsText" text="VL">
      <formula>NOT(ISERROR(SEARCH("VL",AH45)))</formula>
    </cfRule>
    <cfRule type="containsText" dxfId="6701" priority="6589" operator="containsText" text="RD">
      <formula>NOT(ISERROR(SEARCH("RD",AH45)))</formula>
    </cfRule>
    <cfRule type="containsText" dxfId="6700" priority="6590" operator="containsText" text="540">
      <formula>NOT(ISERROR(SEARCH("540",AH45)))</formula>
    </cfRule>
    <cfRule type="cellIs" dxfId="6699" priority="6591" operator="between">
      <formula>1</formula>
      <formula>400</formula>
    </cfRule>
  </conditionalFormatting>
  <conditionalFormatting sqref="AH45">
    <cfRule type="containsText" dxfId="6698" priority="6592" operator="containsText" text="LWOP UA">
      <formula>NOT(ISERROR(SEARCH("LWOP UA",AH45)))</formula>
    </cfRule>
  </conditionalFormatting>
  <conditionalFormatting sqref="AH50">
    <cfRule type="containsText" dxfId="6697" priority="6579" operator="containsText" text="P">
      <formula>NOT(ISERROR(SEARCH("P",AH50)))</formula>
    </cfRule>
  </conditionalFormatting>
  <conditionalFormatting sqref="AH50">
    <cfRule type="containsText" dxfId="6696" priority="6587" operator="containsText" text="LWOP UA">
      <formula>NOT(ISERROR(SEARCH("LWOP UA",AH50)))</formula>
    </cfRule>
  </conditionalFormatting>
  <conditionalFormatting sqref="AH50">
    <cfRule type="containsText" dxfId="6695" priority="6580" operator="containsText" text="TFO">
      <formula>NOT(ISERROR(SEARCH("TFO",AH50)))</formula>
    </cfRule>
    <cfRule type="containsText" dxfId="6694" priority="6581" operator="containsText" text="AA">
      <formula>NOT(ISERROR(SEARCH("AA",AH50)))</formula>
    </cfRule>
    <cfRule type="containsText" dxfId="6693" priority="6582" operator="containsText" text="RESIGNED">
      <formula>NOT(ISERROR(SEARCH("RESIGNED",AH50)))</formula>
    </cfRule>
    <cfRule type="containsText" dxfId="6692" priority="6583" operator="containsText" text="P">
      <formula>NOT(ISERROR(SEARCH("P",AH50)))</formula>
    </cfRule>
    <cfRule type="containsText" dxfId="6691" priority="6584" operator="containsText" text="TARDY">
      <formula>NOT(ISERROR(SEARCH("TARDY",AH50)))</formula>
    </cfRule>
    <cfRule type="containsText" dxfId="6690" priority="6585" operator="containsText" text="REST DAY">
      <formula>NOT(ISERROR(SEARCH("REST DAY",AH50)))</formula>
    </cfRule>
    <cfRule type="containsText" dxfId="6689" priority="6586" operator="containsText" text="UA">
      <formula>NOT(ISERROR(SEARCH("UA",AH50)))</formula>
    </cfRule>
  </conditionalFormatting>
  <conditionalFormatting sqref="AH50">
    <cfRule type="containsText" dxfId="6688" priority="6565" operator="containsText" text="VL">
      <formula>NOT(ISERROR(SEARCH("VL",AH50)))</formula>
    </cfRule>
    <cfRule type="containsText" dxfId="6687" priority="6566" operator="containsText" text="RD">
      <formula>NOT(ISERROR(SEARCH("RD",AH50)))</formula>
    </cfRule>
    <cfRule type="containsText" dxfId="6686" priority="6567" operator="containsText" text="540">
      <formula>NOT(ISERROR(SEARCH("540",AH50)))</formula>
    </cfRule>
    <cfRule type="cellIs" dxfId="6685" priority="6568" operator="between">
      <formula>1</formula>
      <formula>400</formula>
    </cfRule>
  </conditionalFormatting>
  <conditionalFormatting sqref="AH50">
    <cfRule type="containsText" dxfId="6684" priority="6578" operator="containsText" text="LWOP UA">
      <formula>NOT(ISERROR(SEARCH("LWOP UA",AH50)))</formula>
    </cfRule>
  </conditionalFormatting>
  <conditionalFormatting sqref="AH71">
    <cfRule type="containsText" dxfId="6683" priority="6533" operator="containsText" text="P">
      <formula>NOT(ISERROR(SEARCH("P",AH71)))</formula>
    </cfRule>
  </conditionalFormatting>
  <conditionalFormatting sqref="AH71">
    <cfRule type="containsText" dxfId="6682" priority="6541" operator="containsText" text="LWOP UA">
      <formula>NOT(ISERROR(SEARCH("LWOP UA",AH71)))</formula>
    </cfRule>
  </conditionalFormatting>
  <conditionalFormatting sqref="AH71">
    <cfRule type="containsText" dxfId="6681" priority="6534" operator="containsText" text="TFO">
      <formula>NOT(ISERROR(SEARCH("TFO",AH71)))</formula>
    </cfRule>
    <cfRule type="containsText" dxfId="6680" priority="6535" operator="containsText" text="AA">
      <formula>NOT(ISERROR(SEARCH("AA",AH71)))</formula>
    </cfRule>
    <cfRule type="containsText" dxfId="6679" priority="6536" operator="containsText" text="RESIGNED">
      <formula>NOT(ISERROR(SEARCH("RESIGNED",AH71)))</formula>
    </cfRule>
    <cfRule type="containsText" dxfId="6678" priority="6537" operator="containsText" text="P">
      <formula>NOT(ISERROR(SEARCH("P",AH71)))</formula>
    </cfRule>
    <cfRule type="containsText" dxfId="6677" priority="6538" operator="containsText" text="TARDY">
      <formula>NOT(ISERROR(SEARCH("TARDY",AH71)))</formula>
    </cfRule>
    <cfRule type="containsText" dxfId="6676" priority="6539" operator="containsText" text="REST DAY">
      <formula>NOT(ISERROR(SEARCH("REST DAY",AH71)))</formula>
    </cfRule>
    <cfRule type="containsText" dxfId="6675" priority="6540" operator="containsText" text="UA">
      <formula>NOT(ISERROR(SEARCH("UA",AH71)))</formula>
    </cfRule>
  </conditionalFormatting>
  <conditionalFormatting sqref="AH71">
    <cfRule type="containsText" dxfId="6674" priority="6519" operator="containsText" text="VL">
      <formula>NOT(ISERROR(SEARCH("VL",AH71)))</formula>
    </cfRule>
    <cfRule type="containsText" dxfId="6673" priority="6520" operator="containsText" text="RD">
      <formula>NOT(ISERROR(SEARCH("RD",AH71)))</formula>
    </cfRule>
    <cfRule type="containsText" dxfId="6672" priority="6521" operator="containsText" text="540">
      <formula>NOT(ISERROR(SEARCH("540",AH71)))</formula>
    </cfRule>
    <cfRule type="cellIs" dxfId="6671" priority="6522" operator="between">
      <formula>1</formula>
      <formula>400</formula>
    </cfRule>
  </conditionalFormatting>
  <conditionalFormatting sqref="AH71">
    <cfRule type="containsText" dxfId="6670" priority="6532" operator="containsText" text="LWOP UA">
      <formula>NOT(ISERROR(SEARCH("LWOP UA",AH71)))</formula>
    </cfRule>
  </conditionalFormatting>
  <conditionalFormatting sqref="AH75">
    <cfRule type="containsText" dxfId="6669" priority="6510" operator="containsText" text="P">
      <formula>NOT(ISERROR(SEARCH("P",AH75)))</formula>
    </cfRule>
  </conditionalFormatting>
  <conditionalFormatting sqref="AH75">
    <cfRule type="containsText" dxfId="6668" priority="6509" operator="containsText" text="LWOP UA">
      <formula>NOT(ISERROR(SEARCH("LWOP UA",AH75)))</formula>
    </cfRule>
  </conditionalFormatting>
  <conditionalFormatting sqref="AH75">
    <cfRule type="containsText" dxfId="6667" priority="6518" operator="containsText" text="LWOP UA">
      <formula>NOT(ISERROR(SEARCH("LWOP UA",AH75)))</formula>
    </cfRule>
  </conditionalFormatting>
  <conditionalFormatting sqref="AH75">
    <cfRule type="containsText" dxfId="6666" priority="6511" operator="containsText" text="TFO">
      <formula>NOT(ISERROR(SEARCH("TFO",AH75)))</formula>
    </cfRule>
    <cfRule type="containsText" dxfId="6665" priority="6512" operator="containsText" text="AA">
      <formula>NOT(ISERROR(SEARCH("AA",AH75)))</formula>
    </cfRule>
    <cfRule type="containsText" dxfId="6664" priority="6513" operator="containsText" text="RESIGNED">
      <formula>NOT(ISERROR(SEARCH("RESIGNED",AH75)))</formula>
    </cfRule>
    <cfRule type="containsText" dxfId="6663" priority="6514" operator="containsText" text="P">
      <formula>NOT(ISERROR(SEARCH("P",AH75)))</formula>
    </cfRule>
    <cfRule type="containsText" dxfId="6662" priority="6515" operator="containsText" text="TARDY">
      <formula>NOT(ISERROR(SEARCH("TARDY",AH75)))</formula>
    </cfRule>
    <cfRule type="containsText" dxfId="6661" priority="6516" operator="containsText" text="REST DAY">
      <formula>NOT(ISERROR(SEARCH("REST DAY",AH75)))</formula>
    </cfRule>
    <cfRule type="containsText" dxfId="6660" priority="6517" operator="containsText" text="UA">
      <formula>NOT(ISERROR(SEARCH("UA",AH75)))</formula>
    </cfRule>
  </conditionalFormatting>
  <conditionalFormatting sqref="AH75">
    <cfRule type="containsText" dxfId="6659" priority="6496" operator="containsText" text="VL">
      <formula>NOT(ISERROR(SEARCH("VL",AH75)))</formula>
    </cfRule>
    <cfRule type="containsText" dxfId="6658" priority="6497" operator="containsText" text="RD">
      <formula>NOT(ISERROR(SEARCH("RD",AH75)))</formula>
    </cfRule>
    <cfRule type="containsText" dxfId="6657" priority="6498" operator="containsText" text="540">
      <formula>NOT(ISERROR(SEARCH("540",AH75)))</formula>
    </cfRule>
    <cfRule type="cellIs" dxfId="6656" priority="6499" operator="between">
      <formula>1</formula>
      <formula>400</formula>
    </cfRule>
  </conditionalFormatting>
  <conditionalFormatting sqref="AH87">
    <cfRule type="containsText" dxfId="6655" priority="6487" operator="containsText" text="P">
      <formula>NOT(ISERROR(SEARCH("P",AH87)))</formula>
    </cfRule>
  </conditionalFormatting>
  <conditionalFormatting sqref="AH87">
    <cfRule type="containsText" dxfId="6654" priority="6495" operator="containsText" text="LWOP UA">
      <formula>NOT(ISERROR(SEARCH("LWOP UA",AH87)))</formula>
    </cfRule>
  </conditionalFormatting>
  <conditionalFormatting sqref="AH87">
    <cfRule type="containsText" dxfId="6653" priority="6488" operator="containsText" text="TFO">
      <formula>NOT(ISERROR(SEARCH("TFO",AH87)))</formula>
    </cfRule>
    <cfRule type="containsText" dxfId="6652" priority="6489" operator="containsText" text="AA">
      <formula>NOT(ISERROR(SEARCH("AA",AH87)))</formula>
    </cfRule>
    <cfRule type="containsText" dxfId="6651" priority="6490" operator="containsText" text="RESIGNED">
      <formula>NOT(ISERROR(SEARCH("RESIGNED",AH87)))</formula>
    </cfRule>
    <cfRule type="containsText" dxfId="6650" priority="6491" operator="containsText" text="P">
      <formula>NOT(ISERROR(SEARCH("P",AH87)))</formula>
    </cfRule>
    <cfRule type="containsText" dxfId="6649" priority="6492" operator="containsText" text="TARDY">
      <formula>NOT(ISERROR(SEARCH("TARDY",AH87)))</formula>
    </cfRule>
    <cfRule type="containsText" dxfId="6648" priority="6493" operator="containsText" text="REST DAY">
      <formula>NOT(ISERROR(SEARCH("REST DAY",AH87)))</formula>
    </cfRule>
    <cfRule type="containsText" dxfId="6647" priority="6494" operator="containsText" text="UA">
      <formula>NOT(ISERROR(SEARCH("UA",AH87)))</formula>
    </cfRule>
  </conditionalFormatting>
  <conditionalFormatting sqref="AH87">
    <cfRule type="containsText" dxfId="6646" priority="6483" operator="containsText" text="RD">
      <formula>NOT(ISERROR(SEARCH("RD",AH87)))</formula>
    </cfRule>
    <cfRule type="containsText" dxfId="6645" priority="6484" operator="containsText" text="540">
      <formula>NOT(ISERROR(SEARCH("540",AH87)))</formula>
    </cfRule>
    <cfRule type="cellIs" dxfId="6644" priority="6485" operator="between">
      <formula>1</formula>
      <formula>400</formula>
    </cfRule>
  </conditionalFormatting>
  <conditionalFormatting sqref="AH87">
    <cfRule type="containsText" dxfId="6643" priority="6482" operator="containsText" text="VL">
      <formula>NOT(ISERROR(SEARCH("VL",AH87)))</formula>
    </cfRule>
    <cfRule type="containsText" dxfId="6642" priority="6486" operator="containsText" text="LWOP UA">
      <formula>NOT(ISERROR(SEARCH("LWOP UA",AH87)))</formula>
    </cfRule>
  </conditionalFormatting>
  <conditionalFormatting sqref="AH88">
    <cfRule type="containsText" dxfId="6641" priority="6473" operator="containsText" text="P">
      <formula>NOT(ISERROR(SEARCH("P",AH88)))</formula>
    </cfRule>
  </conditionalFormatting>
  <conditionalFormatting sqref="AH88">
    <cfRule type="containsText" dxfId="6640" priority="6481" operator="containsText" text="LWOP UA">
      <formula>NOT(ISERROR(SEARCH("LWOP UA",AH88)))</formula>
    </cfRule>
  </conditionalFormatting>
  <conditionalFormatting sqref="AH88">
    <cfRule type="containsText" dxfId="6639" priority="6474" operator="containsText" text="TFO">
      <formula>NOT(ISERROR(SEARCH("TFO",AH88)))</formula>
    </cfRule>
    <cfRule type="containsText" dxfId="6638" priority="6475" operator="containsText" text="AA">
      <formula>NOT(ISERROR(SEARCH("AA",AH88)))</formula>
    </cfRule>
    <cfRule type="containsText" dxfId="6637" priority="6476" operator="containsText" text="RESIGNED">
      <formula>NOT(ISERROR(SEARCH("RESIGNED",AH88)))</formula>
    </cfRule>
    <cfRule type="containsText" dxfId="6636" priority="6477" operator="containsText" text="P">
      <formula>NOT(ISERROR(SEARCH("P",AH88)))</formula>
    </cfRule>
    <cfRule type="containsText" dxfId="6635" priority="6478" operator="containsText" text="TARDY">
      <formula>NOT(ISERROR(SEARCH("TARDY",AH88)))</formula>
    </cfRule>
    <cfRule type="containsText" dxfId="6634" priority="6479" operator="containsText" text="REST DAY">
      <formula>NOT(ISERROR(SEARCH("REST DAY",AH88)))</formula>
    </cfRule>
    <cfRule type="containsText" dxfId="6633" priority="6480" operator="containsText" text="UA">
      <formula>NOT(ISERROR(SEARCH("UA",AH88)))</formula>
    </cfRule>
  </conditionalFormatting>
  <conditionalFormatting sqref="AH88">
    <cfRule type="containsText" dxfId="6632" priority="6469" operator="containsText" text="RD">
      <formula>NOT(ISERROR(SEARCH("RD",AH88)))</formula>
    </cfRule>
    <cfRule type="containsText" dxfId="6631" priority="6470" operator="containsText" text="540">
      <formula>NOT(ISERROR(SEARCH("540",AH88)))</formula>
    </cfRule>
    <cfRule type="cellIs" dxfId="6630" priority="6471" operator="between">
      <formula>1</formula>
      <formula>400</formula>
    </cfRule>
  </conditionalFormatting>
  <conditionalFormatting sqref="AH88">
    <cfRule type="containsText" dxfId="6629" priority="6468" operator="containsText" text="VL">
      <formula>NOT(ISERROR(SEARCH("VL",AH88)))</formula>
    </cfRule>
    <cfRule type="containsText" dxfId="6628" priority="6472" operator="containsText" text="LWOP UA">
      <formula>NOT(ISERROR(SEARCH("LWOP UA",AH88)))</formula>
    </cfRule>
  </conditionalFormatting>
  <conditionalFormatting sqref="AH90">
    <cfRule type="containsText" dxfId="6627" priority="6459" operator="containsText" text="P">
      <formula>NOT(ISERROR(SEARCH("P",AH90)))</formula>
    </cfRule>
  </conditionalFormatting>
  <conditionalFormatting sqref="AH90">
    <cfRule type="containsText" dxfId="6626" priority="6467" operator="containsText" text="LWOP UA">
      <formula>NOT(ISERROR(SEARCH("LWOP UA",AH90)))</formula>
    </cfRule>
  </conditionalFormatting>
  <conditionalFormatting sqref="AH90">
    <cfRule type="containsText" dxfId="6625" priority="6460" operator="containsText" text="TFO">
      <formula>NOT(ISERROR(SEARCH("TFO",AH90)))</formula>
    </cfRule>
    <cfRule type="containsText" dxfId="6624" priority="6461" operator="containsText" text="AA">
      <formula>NOT(ISERROR(SEARCH("AA",AH90)))</formula>
    </cfRule>
    <cfRule type="containsText" dxfId="6623" priority="6462" operator="containsText" text="RESIGNED">
      <formula>NOT(ISERROR(SEARCH("RESIGNED",AH90)))</formula>
    </cfRule>
    <cfRule type="containsText" dxfId="6622" priority="6463" operator="containsText" text="P">
      <formula>NOT(ISERROR(SEARCH("P",AH90)))</formula>
    </cfRule>
    <cfRule type="containsText" dxfId="6621" priority="6464" operator="containsText" text="TARDY">
      <formula>NOT(ISERROR(SEARCH("TARDY",AH90)))</formula>
    </cfRule>
    <cfRule type="containsText" dxfId="6620" priority="6465" operator="containsText" text="REST DAY">
      <formula>NOT(ISERROR(SEARCH("REST DAY",AH90)))</formula>
    </cfRule>
    <cfRule type="containsText" dxfId="6619" priority="6466" operator="containsText" text="UA">
      <formula>NOT(ISERROR(SEARCH("UA",AH90)))</formula>
    </cfRule>
  </conditionalFormatting>
  <conditionalFormatting sqref="AH90">
    <cfRule type="containsText" dxfId="6618" priority="6455" operator="containsText" text="RD">
      <formula>NOT(ISERROR(SEARCH("RD",AH90)))</formula>
    </cfRule>
    <cfRule type="containsText" dxfId="6617" priority="6456" operator="containsText" text="540">
      <formula>NOT(ISERROR(SEARCH("540",AH90)))</formula>
    </cfRule>
    <cfRule type="cellIs" dxfId="6616" priority="6457" operator="between">
      <formula>1</formula>
      <formula>400</formula>
    </cfRule>
  </conditionalFormatting>
  <conditionalFormatting sqref="AH90">
    <cfRule type="containsText" dxfId="6615" priority="6454" operator="containsText" text="VL">
      <formula>NOT(ISERROR(SEARCH("VL",AH90)))</formula>
    </cfRule>
    <cfRule type="containsText" dxfId="6614" priority="6458" operator="containsText" text="LWOP UA">
      <formula>NOT(ISERROR(SEARCH("LWOP UA",AH90)))</formula>
    </cfRule>
  </conditionalFormatting>
  <conditionalFormatting sqref="R94:R100">
    <cfRule type="containsText" dxfId="6613" priority="6301" operator="containsText" text="P">
      <formula>NOT(ISERROR(SEARCH("P",R94)))</formula>
    </cfRule>
  </conditionalFormatting>
  <conditionalFormatting sqref="R94:U100">
    <cfRule type="containsText" dxfId="6612" priority="6292" operator="containsText" text="P">
      <formula>NOT(ISERROR(SEARCH("P",R94)))</formula>
    </cfRule>
    <cfRule type="containsText" dxfId="6611" priority="6293" operator="containsText" text="TFO">
      <formula>NOT(ISERROR(SEARCH("TFO",R94)))</formula>
    </cfRule>
    <cfRule type="containsText" dxfId="6610" priority="6294" operator="containsText" text="AA">
      <formula>NOT(ISERROR(SEARCH("AA",R94)))</formula>
    </cfRule>
    <cfRule type="containsText" dxfId="6609" priority="6295" operator="containsText" text="RESIGNED">
      <formula>NOT(ISERROR(SEARCH("RESIGNED",R94)))</formula>
    </cfRule>
    <cfRule type="containsText" dxfId="6608" priority="6296" operator="containsText" text="P">
      <formula>NOT(ISERROR(SEARCH("P",R94)))</formula>
    </cfRule>
    <cfRule type="containsText" dxfId="6607" priority="6297" operator="containsText" text="TARDY">
      <formula>NOT(ISERROR(SEARCH("TARDY",R94)))</formula>
    </cfRule>
    <cfRule type="containsText" dxfId="6606" priority="6298" operator="containsText" text="REST DAY">
      <formula>NOT(ISERROR(SEARCH("REST DAY",R94)))</formula>
    </cfRule>
    <cfRule type="containsText" dxfId="6605" priority="6299" operator="containsText" text="UA">
      <formula>NOT(ISERROR(SEARCH("UA",R94)))</formula>
    </cfRule>
    <cfRule type="containsText" dxfId="6604" priority="6300" operator="containsText" text="LWOP UA">
      <formula>NOT(ISERROR(SEARCH("LWOP UA",R94)))</formula>
    </cfRule>
  </conditionalFormatting>
  <conditionalFormatting sqref="R94:R100">
    <cfRule type="containsText" dxfId="6603" priority="6309" operator="containsText" text="LWOP UA">
      <formula>NOT(ISERROR(SEARCH("LWOP UA",R94)))</formula>
    </cfRule>
  </conditionalFormatting>
  <conditionalFormatting sqref="R94:R100">
    <cfRule type="containsText" dxfId="6602" priority="6302" operator="containsText" text="TFO">
      <formula>NOT(ISERROR(SEARCH("TFO",R94)))</formula>
    </cfRule>
    <cfRule type="containsText" dxfId="6601" priority="6303" operator="containsText" text="AA">
      <formula>NOT(ISERROR(SEARCH("AA",R94)))</formula>
    </cfRule>
    <cfRule type="containsText" dxfId="6600" priority="6304" operator="containsText" text="RESIGNED">
      <formula>NOT(ISERROR(SEARCH("RESIGNED",R94)))</formula>
    </cfRule>
    <cfRule type="containsText" dxfId="6599" priority="6305" operator="containsText" text="P">
      <formula>NOT(ISERROR(SEARCH("P",R94)))</formula>
    </cfRule>
    <cfRule type="containsText" dxfId="6598" priority="6306" operator="containsText" text="TARDY">
      <formula>NOT(ISERROR(SEARCH("TARDY",R94)))</formula>
    </cfRule>
    <cfRule type="containsText" dxfId="6597" priority="6307" operator="containsText" text="REST DAY">
      <formula>NOT(ISERROR(SEARCH("REST DAY",R94)))</formula>
    </cfRule>
    <cfRule type="containsText" dxfId="6596" priority="6308" operator="containsText" text="UA">
      <formula>NOT(ISERROR(SEARCH("UA",R94)))</formula>
    </cfRule>
  </conditionalFormatting>
  <conditionalFormatting sqref="R94:U100">
    <cfRule type="containsText" dxfId="6595" priority="6288" operator="containsText" text="RD">
      <formula>NOT(ISERROR(SEARCH("RD",R94)))</formula>
    </cfRule>
    <cfRule type="containsText" dxfId="6594" priority="6289" operator="containsText" text="540">
      <formula>NOT(ISERROR(SEARCH("540",R94)))</formula>
    </cfRule>
    <cfRule type="cellIs" dxfId="6593" priority="6290" operator="between">
      <formula>1</formula>
      <formula>400</formula>
    </cfRule>
  </conditionalFormatting>
  <conditionalFormatting sqref="R94:U100">
    <cfRule type="containsText" dxfId="6592" priority="6291" operator="containsText" text="LWOP UA">
      <formula>NOT(ISERROR(SEARCH("LWOP UA",R94)))</formula>
    </cfRule>
  </conditionalFormatting>
  <conditionalFormatting sqref="R94:U100">
    <cfRule type="containsText" dxfId="6591" priority="6287" operator="containsText" text="VL">
      <formula>NOT(ISERROR(SEARCH("VL",R94)))</formula>
    </cfRule>
  </conditionalFormatting>
  <conditionalFormatting sqref="AH19">
    <cfRule type="containsText" dxfId="6590" priority="6278" operator="containsText" text="P">
      <formula>NOT(ISERROR(SEARCH("P",AH19)))</formula>
    </cfRule>
  </conditionalFormatting>
  <conditionalFormatting sqref="AH19">
    <cfRule type="containsText" dxfId="6589" priority="6286" operator="containsText" text="LWOP UA">
      <formula>NOT(ISERROR(SEARCH("LWOP UA",AH19)))</formula>
    </cfRule>
  </conditionalFormatting>
  <conditionalFormatting sqref="AH19">
    <cfRule type="containsText" dxfId="6588" priority="6279" operator="containsText" text="TFO">
      <formula>NOT(ISERROR(SEARCH("TFO",AH19)))</formula>
    </cfRule>
    <cfRule type="containsText" dxfId="6587" priority="6280" operator="containsText" text="AA">
      <formula>NOT(ISERROR(SEARCH("AA",AH19)))</formula>
    </cfRule>
    <cfRule type="containsText" dxfId="6586" priority="6281" operator="containsText" text="RESIGNED">
      <formula>NOT(ISERROR(SEARCH("RESIGNED",AH19)))</formula>
    </cfRule>
    <cfRule type="containsText" dxfId="6585" priority="6282" operator="containsText" text="P">
      <formula>NOT(ISERROR(SEARCH("P",AH19)))</formula>
    </cfRule>
    <cfRule type="containsText" dxfId="6584" priority="6283" operator="containsText" text="TARDY">
      <formula>NOT(ISERROR(SEARCH("TARDY",AH19)))</formula>
    </cfRule>
    <cfRule type="containsText" dxfId="6583" priority="6284" operator="containsText" text="REST DAY">
      <formula>NOT(ISERROR(SEARCH("REST DAY",AH19)))</formula>
    </cfRule>
    <cfRule type="containsText" dxfId="6582" priority="6285" operator="containsText" text="UA">
      <formula>NOT(ISERROR(SEARCH("UA",AH19)))</formula>
    </cfRule>
  </conditionalFormatting>
  <conditionalFormatting sqref="AH19">
    <cfRule type="containsText" dxfId="6581" priority="6274" operator="containsText" text="RD">
      <formula>NOT(ISERROR(SEARCH("RD",AH19)))</formula>
    </cfRule>
    <cfRule type="containsText" dxfId="6580" priority="6275" operator="containsText" text="540">
      <formula>NOT(ISERROR(SEARCH("540",AH19)))</formula>
    </cfRule>
    <cfRule type="cellIs" dxfId="6579" priority="6276" operator="between">
      <formula>1</formula>
      <formula>400</formula>
    </cfRule>
  </conditionalFormatting>
  <conditionalFormatting sqref="AH19">
    <cfRule type="containsText" dxfId="6578" priority="6273" operator="containsText" text="VL">
      <formula>NOT(ISERROR(SEARCH("VL",AH19)))</formula>
    </cfRule>
    <cfRule type="containsText" dxfId="6577" priority="6277" operator="containsText" text="LWOP UA">
      <formula>NOT(ISERROR(SEARCH("LWOP UA",AH19)))</formula>
    </cfRule>
  </conditionalFormatting>
  <conditionalFormatting sqref="AH52">
    <cfRule type="containsText" dxfId="6576" priority="6227" operator="containsText" text="P">
      <formula>NOT(ISERROR(SEARCH("P",AH52)))</formula>
    </cfRule>
  </conditionalFormatting>
  <conditionalFormatting sqref="AH52">
    <cfRule type="containsText" dxfId="6575" priority="6235" operator="containsText" text="LWOP UA">
      <formula>NOT(ISERROR(SEARCH("LWOP UA",AH52)))</formula>
    </cfRule>
  </conditionalFormatting>
  <conditionalFormatting sqref="AH52">
    <cfRule type="containsText" dxfId="6574" priority="6228" operator="containsText" text="TFO">
      <formula>NOT(ISERROR(SEARCH("TFO",AH52)))</formula>
    </cfRule>
    <cfRule type="containsText" dxfId="6573" priority="6229" operator="containsText" text="AA">
      <formula>NOT(ISERROR(SEARCH("AA",AH52)))</formula>
    </cfRule>
    <cfRule type="containsText" dxfId="6572" priority="6230" operator="containsText" text="RESIGNED">
      <formula>NOT(ISERROR(SEARCH("RESIGNED",AH52)))</formula>
    </cfRule>
    <cfRule type="containsText" dxfId="6571" priority="6231" operator="containsText" text="P">
      <formula>NOT(ISERROR(SEARCH("P",AH52)))</formula>
    </cfRule>
    <cfRule type="containsText" dxfId="6570" priority="6232" operator="containsText" text="TARDY">
      <formula>NOT(ISERROR(SEARCH("TARDY",AH52)))</formula>
    </cfRule>
    <cfRule type="containsText" dxfId="6569" priority="6233" operator="containsText" text="REST DAY">
      <formula>NOT(ISERROR(SEARCH("REST DAY",AH52)))</formula>
    </cfRule>
    <cfRule type="containsText" dxfId="6568" priority="6234" operator="containsText" text="UA">
      <formula>NOT(ISERROR(SEARCH("UA",AH52)))</formula>
    </cfRule>
  </conditionalFormatting>
  <conditionalFormatting sqref="AH52">
    <cfRule type="containsText" dxfId="6567" priority="6222" operator="containsText" text="VL">
      <formula>NOT(ISERROR(SEARCH("VL",AH52)))</formula>
    </cfRule>
    <cfRule type="containsText" dxfId="6566" priority="6223" operator="containsText" text="RD">
      <formula>NOT(ISERROR(SEARCH("RD",AH52)))</formula>
    </cfRule>
    <cfRule type="containsText" dxfId="6565" priority="6224" operator="containsText" text="540">
      <formula>NOT(ISERROR(SEARCH("540",AH52)))</formula>
    </cfRule>
    <cfRule type="cellIs" dxfId="6564" priority="6225" operator="between">
      <formula>1</formula>
      <formula>400</formula>
    </cfRule>
  </conditionalFormatting>
  <conditionalFormatting sqref="AH52">
    <cfRule type="containsText" dxfId="6563" priority="6226" operator="containsText" text="LWOP UA">
      <formula>NOT(ISERROR(SEARCH("LWOP UA",AH52)))</formula>
    </cfRule>
  </conditionalFormatting>
  <conditionalFormatting sqref="AH65">
    <cfRule type="containsText" dxfId="6562" priority="6181" operator="containsText" text="P">
      <formula>NOT(ISERROR(SEARCH("P",AH65)))</formula>
    </cfRule>
  </conditionalFormatting>
  <conditionalFormatting sqref="AH65">
    <cfRule type="containsText" dxfId="6561" priority="6189" operator="containsText" text="LWOP UA">
      <formula>NOT(ISERROR(SEARCH("LWOP UA",AH65)))</formula>
    </cfRule>
  </conditionalFormatting>
  <conditionalFormatting sqref="AH65">
    <cfRule type="containsText" dxfId="6560" priority="6182" operator="containsText" text="TFO">
      <formula>NOT(ISERROR(SEARCH("TFO",AH65)))</formula>
    </cfRule>
    <cfRule type="containsText" dxfId="6559" priority="6183" operator="containsText" text="AA">
      <formula>NOT(ISERROR(SEARCH("AA",AH65)))</formula>
    </cfRule>
    <cfRule type="containsText" dxfId="6558" priority="6184" operator="containsText" text="RESIGNED">
      <formula>NOT(ISERROR(SEARCH("RESIGNED",AH65)))</formula>
    </cfRule>
    <cfRule type="containsText" dxfId="6557" priority="6185" operator="containsText" text="P">
      <formula>NOT(ISERROR(SEARCH("P",AH65)))</formula>
    </cfRule>
    <cfRule type="containsText" dxfId="6556" priority="6186" operator="containsText" text="TARDY">
      <formula>NOT(ISERROR(SEARCH("TARDY",AH65)))</formula>
    </cfRule>
    <cfRule type="containsText" dxfId="6555" priority="6187" operator="containsText" text="REST DAY">
      <formula>NOT(ISERROR(SEARCH("REST DAY",AH65)))</formula>
    </cfRule>
    <cfRule type="containsText" dxfId="6554" priority="6188" operator="containsText" text="UA">
      <formula>NOT(ISERROR(SEARCH("UA",AH65)))</formula>
    </cfRule>
  </conditionalFormatting>
  <conditionalFormatting sqref="AH65">
    <cfRule type="containsText" dxfId="6553" priority="6177" operator="containsText" text="RD">
      <formula>NOT(ISERROR(SEARCH("RD",AH65)))</formula>
    </cfRule>
    <cfRule type="containsText" dxfId="6552" priority="6178" operator="containsText" text="540">
      <formula>NOT(ISERROR(SEARCH("540",AH65)))</formula>
    </cfRule>
    <cfRule type="cellIs" dxfId="6551" priority="6179" operator="between">
      <formula>1</formula>
      <formula>400</formula>
    </cfRule>
  </conditionalFormatting>
  <conditionalFormatting sqref="AH65">
    <cfRule type="containsText" dxfId="6550" priority="6176" operator="containsText" text="VL">
      <formula>NOT(ISERROR(SEARCH("VL",AH65)))</formula>
    </cfRule>
    <cfRule type="containsText" dxfId="6549" priority="6180" operator="containsText" text="LWOP UA">
      <formula>NOT(ISERROR(SEARCH("LWOP UA",AH65)))</formula>
    </cfRule>
  </conditionalFormatting>
  <conditionalFormatting sqref="AH89">
    <cfRule type="containsText" dxfId="6548" priority="6158" operator="containsText" text="P">
      <formula>NOT(ISERROR(SEARCH("P",AH89)))</formula>
    </cfRule>
  </conditionalFormatting>
  <conditionalFormatting sqref="AH89">
    <cfRule type="containsText" dxfId="6547" priority="6166" operator="containsText" text="LWOP UA">
      <formula>NOT(ISERROR(SEARCH("LWOP UA",AH89)))</formula>
    </cfRule>
  </conditionalFormatting>
  <conditionalFormatting sqref="AH89">
    <cfRule type="containsText" dxfId="6546" priority="6159" operator="containsText" text="TFO">
      <formula>NOT(ISERROR(SEARCH("TFO",AH89)))</formula>
    </cfRule>
    <cfRule type="containsText" dxfId="6545" priority="6160" operator="containsText" text="AA">
      <formula>NOT(ISERROR(SEARCH("AA",AH89)))</formula>
    </cfRule>
    <cfRule type="containsText" dxfId="6544" priority="6161" operator="containsText" text="RESIGNED">
      <formula>NOT(ISERROR(SEARCH("RESIGNED",AH89)))</formula>
    </cfRule>
    <cfRule type="containsText" dxfId="6543" priority="6162" operator="containsText" text="P">
      <formula>NOT(ISERROR(SEARCH("P",AH89)))</formula>
    </cfRule>
    <cfRule type="containsText" dxfId="6542" priority="6163" operator="containsText" text="TARDY">
      <formula>NOT(ISERROR(SEARCH("TARDY",AH89)))</formula>
    </cfRule>
    <cfRule type="containsText" dxfId="6541" priority="6164" operator="containsText" text="REST DAY">
      <formula>NOT(ISERROR(SEARCH("REST DAY",AH89)))</formula>
    </cfRule>
    <cfRule type="containsText" dxfId="6540" priority="6165" operator="containsText" text="UA">
      <formula>NOT(ISERROR(SEARCH("UA",AH89)))</formula>
    </cfRule>
  </conditionalFormatting>
  <conditionalFormatting sqref="AH89">
    <cfRule type="containsText" dxfId="6539" priority="6154" operator="containsText" text="RD">
      <formula>NOT(ISERROR(SEARCH("RD",AH89)))</formula>
    </cfRule>
    <cfRule type="containsText" dxfId="6538" priority="6155" operator="containsText" text="540">
      <formula>NOT(ISERROR(SEARCH("540",AH89)))</formula>
    </cfRule>
    <cfRule type="cellIs" dxfId="6537" priority="6156" operator="between">
      <formula>1</formula>
      <formula>400</formula>
    </cfRule>
  </conditionalFormatting>
  <conditionalFormatting sqref="AH89">
    <cfRule type="containsText" dxfId="6536" priority="6153" operator="containsText" text="VL">
      <formula>NOT(ISERROR(SEARCH("VL",AH89)))</formula>
    </cfRule>
    <cfRule type="containsText" dxfId="6535" priority="6157" operator="containsText" text="LWOP UA">
      <formula>NOT(ISERROR(SEARCH("LWOP UA",AH89)))</formula>
    </cfRule>
  </conditionalFormatting>
  <conditionalFormatting sqref="AE94:AH100 AH93">
    <cfRule type="containsText" dxfId="6534" priority="6135" operator="containsText" text="P">
      <formula>NOT(ISERROR(SEARCH("P",AE93)))</formula>
    </cfRule>
  </conditionalFormatting>
  <conditionalFormatting sqref="Z94:AB100 AE94:AH100 AH93">
    <cfRule type="containsText" dxfId="6533" priority="6126" operator="containsText" text="P">
      <formula>NOT(ISERROR(SEARCH("P",Z93)))</formula>
    </cfRule>
    <cfRule type="containsText" dxfId="6532" priority="6127" operator="containsText" text="TFO">
      <formula>NOT(ISERROR(SEARCH("TFO",Z93)))</formula>
    </cfRule>
    <cfRule type="containsText" dxfId="6531" priority="6128" operator="containsText" text="AA">
      <formula>NOT(ISERROR(SEARCH("AA",Z93)))</formula>
    </cfRule>
    <cfRule type="containsText" dxfId="6530" priority="6129" operator="containsText" text="RESIGNED">
      <formula>NOT(ISERROR(SEARCH("RESIGNED",Z93)))</formula>
    </cfRule>
    <cfRule type="containsText" dxfId="6529" priority="6130" operator="containsText" text="P">
      <formula>NOT(ISERROR(SEARCH("P",Z93)))</formula>
    </cfRule>
    <cfRule type="containsText" dxfId="6528" priority="6131" operator="containsText" text="TARDY">
      <formula>NOT(ISERROR(SEARCH("TARDY",Z93)))</formula>
    </cfRule>
    <cfRule type="containsText" dxfId="6527" priority="6132" operator="containsText" text="REST DAY">
      <formula>NOT(ISERROR(SEARCH("REST DAY",Z93)))</formula>
    </cfRule>
    <cfRule type="containsText" dxfId="6526" priority="6133" operator="containsText" text="UA">
      <formula>NOT(ISERROR(SEARCH("UA",Z93)))</formula>
    </cfRule>
    <cfRule type="containsText" dxfId="6525" priority="6134" operator="containsText" text="LWOP UA">
      <formula>NOT(ISERROR(SEARCH("LWOP UA",Z93)))</formula>
    </cfRule>
  </conditionalFormatting>
  <conditionalFormatting sqref="AE94:AH100 AH93">
    <cfRule type="containsText" dxfId="6524" priority="6143" operator="containsText" text="LWOP UA">
      <formula>NOT(ISERROR(SEARCH("LWOP UA",AE93)))</formula>
    </cfRule>
  </conditionalFormatting>
  <conditionalFormatting sqref="AE94:AH100 AH93">
    <cfRule type="containsText" dxfId="6523" priority="6136" operator="containsText" text="TFO">
      <formula>NOT(ISERROR(SEARCH("TFO",AE93)))</formula>
    </cfRule>
    <cfRule type="containsText" dxfId="6522" priority="6137" operator="containsText" text="AA">
      <formula>NOT(ISERROR(SEARCH("AA",AE93)))</formula>
    </cfRule>
    <cfRule type="containsText" dxfId="6521" priority="6138" operator="containsText" text="RESIGNED">
      <formula>NOT(ISERROR(SEARCH("RESIGNED",AE93)))</formula>
    </cfRule>
    <cfRule type="containsText" dxfId="6520" priority="6139" operator="containsText" text="P">
      <formula>NOT(ISERROR(SEARCH("P",AE93)))</formula>
    </cfRule>
    <cfRule type="containsText" dxfId="6519" priority="6140" operator="containsText" text="TARDY">
      <formula>NOT(ISERROR(SEARCH("TARDY",AE93)))</formula>
    </cfRule>
    <cfRule type="containsText" dxfId="6518" priority="6141" operator="containsText" text="REST DAY">
      <formula>NOT(ISERROR(SEARCH("REST DAY",AE93)))</formula>
    </cfRule>
    <cfRule type="containsText" dxfId="6517" priority="6142" operator="containsText" text="UA">
      <formula>NOT(ISERROR(SEARCH("UA",AE93)))</formula>
    </cfRule>
  </conditionalFormatting>
  <conditionalFormatting sqref="Z94:AB100 AE94:AH100 AH93">
    <cfRule type="containsText" dxfId="6516" priority="6122" operator="containsText" text="RD">
      <formula>NOT(ISERROR(SEARCH("RD",Z93)))</formula>
    </cfRule>
    <cfRule type="containsText" dxfId="6515" priority="6123" operator="containsText" text="540">
      <formula>NOT(ISERROR(SEARCH("540",Z93)))</formula>
    </cfRule>
    <cfRule type="cellIs" dxfId="6514" priority="6124" operator="between">
      <formula>1</formula>
      <formula>400</formula>
    </cfRule>
  </conditionalFormatting>
  <conditionalFormatting sqref="Z94:AB100 AE94:AH100 AH93">
    <cfRule type="containsText" dxfId="6513" priority="6121" operator="containsText" text="VL">
      <formula>NOT(ISERROR(SEARCH("VL",Z93)))</formula>
    </cfRule>
    <cfRule type="containsText" dxfId="6512" priority="6125" operator="containsText" text="LWOP UA">
      <formula>NOT(ISERROR(SEARCH("LWOP UA",Z93)))</formula>
    </cfRule>
  </conditionalFormatting>
  <conditionalFormatting sqref="AH70">
    <cfRule type="containsText" dxfId="6511" priority="6112" operator="containsText" text="P">
      <formula>NOT(ISERROR(SEARCH("P",AH70)))</formula>
    </cfRule>
  </conditionalFormatting>
  <conditionalFormatting sqref="AH70">
    <cfRule type="containsText" dxfId="6510" priority="6120" operator="containsText" text="LWOP UA">
      <formula>NOT(ISERROR(SEARCH("LWOP UA",AH70)))</formula>
    </cfRule>
  </conditionalFormatting>
  <conditionalFormatting sqref="AH70">
    <cfRule type="containsText" dxfId="6509" priority="6113" operator="containsText" text="TFO">
      <formula>NOT(ISERROR(SEARCH("TFO",AH70)))</formula>
    </cfRule>
    <cfRule type="containsText" dxfId="6508" priority="6114" operator="containsText" text="AA">
      <formula>NOT(ISERROR(SEARCH("AA",AH70)))</formula>
    </cfRule>
    <cfRule type="containsText" dxfId="6507" priority="6115" operator="containsText" text="RESIGNED">
      <formula>NOT(ISERROR(SEARCH("RESIGNED",AH70)))</formula>
    </cfRule>
    <cfRule type="containsText" dxfId="6506" priority="6116" operator="containsText" text="P">
      <formula>NOT(ISERROR(SEARCH("P",AH70)))</formula>
    </cfRule>
    <cfRule type="containsText" dxfId="6505" priority="6117" operator="containsText" text="TARDY">
      <formula>NOT(ISERROR(SEARCH("TARDY",AH70)))</formula>
    </cfRule>
    <cfRule type="containsText" dxfId="6504" priority="6118" operator="containsText" text="REST DAY">
      <formula>NOT(ISERROR(SEARCH("REST DAY",AH70)))</formula>
    </cfRule>
    <cfRule type="containsText" dxfId="6503" priority="6119" operator="containsText" text="UA">
      <formula>NOT(ISERROR(SEARCH("UA",AH70)))</formula>
    </cfRule>
  </conditionalFormatting>
  <conditionalFormatting sqref="AH70">
    <cfRule type="containsText" dxfId="6502" priority="6108" operator="containsText" text="RD">
      <formula>NOT(ISERROR(SEARCH("RD",AH70)))</formula>
    </cfRule>
    <cfRule type="containsText" dxfId="6501" priority="6109" operator="containsText" text="540">
      <formula>NOT(ISERROR(SEARCH("540",AH70)))</formula>
    </cfRule>
    <cfRule type="cellIs" dxfId="6500" priority="6110" operator="between">
      <formula>1</formula>
      <formula>400</formula>
    </cfRule>
  </conditionalFormatting>
  <conditionalFormatting sqref="AH70">
    <cfRule type="containsText" dxfId="6499" priority="6107" operator="containsText" text="VL">
      <formula>NOT(ISERROR(SEARCH("VL",AH70)))</formula>
    </cfRule>
    <cfRule type="containsText" dxfId="6498" priority="6111" operator="containsText" text="LWOP UA">
      <formula>NOT(ISERROR(SEARCH("LWOP UA",AH70)))</formula>
    </cfRule>
  </conditionalFormatting>
  <conditionalFormatting sqref="AH12">
    <cfRule type="containsText" dxfId="6497" priority="5555" operator="containsText" text="P">
      <formula>NOT(ISERROR(SEARCH("P",AH12)))</formula>
    </cfRule>
  </conditionalFormatting>
  <conditionalFormatting sqref="AH12">
    <cfRule type="containsText" dxfId="6496" priority="5563" operator="containsText" text="LWOP UA">
      <formula>NOT(ISERROR(SEARCH("LWOP UA",AH12)))</formula>
    </cfRule>
  </conditionalFormatting>
  <conditionalFormatting sqref="AH12">
    <cfRule type="containsText" dxfId="6495" priority="5556" operator="containsText" text="TFO">
      <formula>NOT(ISERROR(SEARCH("TFO",AH12)))</formula>
    </cfRule>
    <cfRule type="containsText" dxfId="6494" priority="5557" operator="containsText" text="AA">
      <formula>NOT(ISERROR(SEARCH("AA",AH12)))</formula>
    </cfRule>
    <cfRule type="containsText" dxfId="6493" priority="5558" operator="containsText" text="RESIGNED">
      <formula>NOT(ISERROR(SEARCH("RESIGNED",AH12)))</formula>
    </cfRule>
    <cfRule type="containsText" dxfId="6492" priority="5559" operator="containsText" text="P">
      <formula>NOT(ISERROR(SEARCH("P",AH12)))</formula>
    </cfRule>
    <cfRule type="containsText" dxfId="6491" priority="5560" operator="containsText" text="TARDY">
      <formula>NOT(ISERROR(SEARCH("TARDY",AH12)))</formula>
    </cfRule>
    <cfRule type="containsText" dxfId="6490" priority="5561" operator="containsText" text="REST DAY">
      <formula>NOT(ISERROR(SEARCH("REST DAY",AH12)))</formula>
    </cfRule>
    <cfRule type="containsText" dxfId="6489" priority="5562" operator="containsText" text="UA">
      <formula>NOT(ISERROR(SEARCH("UA",AH12)))</formula>
    </cfRule>
  </conditionalFormatting>
  <conditionalFormatting sqref="AH12">
    <cfRule type="containsText" dxfId="6488" priority="5541" operator="containsText" text="VL">
      <formula>NOT(ISERROR(SEARCH("VL",AH12)))</formula>
    </cfRule>
    <cfRule type="containsText" dxfId="6487" priority="5542" operator="containsText" text="RD">
      <formula>NOT(ISERROR(SEARCH("RD",AH12)))</formula>
    </cfRule>
    <cfRule type="containsText" dxfId="6486" priority="5543" operator="containsText" text="540">
      <formula>NOT(ISERROR(SEARCH("540",AH12)))</formula>
    </cfRule>
    <cfRule type="cellIs" dxfId="6485" priority="5544" operator="between">
      <formula>1</formula>
      <formula>400</formula>
    </cfRule>
  </conditionalFormatting>
  <conditionalFormatting sqref="AH12">
    <cfRule type="containsText" dxfId="6484" priority="5554" operator="containsText" text="LWOP UA">
      <formula>NOT(ISERROR(SEARCH("LWOP UA",AH12)))</formula>
    </cfRule>
  </conditionalFormatting>
  <conditionalFormatting sqref="AH20">
    <cfRule type="containsText" dxfId="6483" priority="5486" operator="containsText" text="P">
      <formula>NOT(ISERROR(SEARCH("P",AH20)))</formula>
    </cfRule>
  </conditionalFormatting>
  <conditionalFormatting sqref="AH20">
    <cfRule type="containsText" dxfId="6482" priority="5494" operator="containsText" text="LWOP UA">
      <formula>NOT(ISERROR(SEARCH("LWOP UA",AH20)))</formula>
    </cfRule>
  </conditionalFormatting>
  <conditionalFormatting sqref="AH20">
    <cfRule type="containsText" dxfId="6481" priority="5487" operator="containsText" text="TFO">
      <formula>NOT(ISERROR(SEARCH("TFO",AH20)))</formula>
    </cfRule>
    <cfRule type="containsText" dxfId="6480" priority="5488" operator="containsText" text="AA">
      <formula>NOT(ISERROR(SEARCH("AA",AH20)))</formula>
    </cfRule>
    <cfRule type="containsText" dxfId="6479" priority="5489" operator="containsText" text="RESIGNED">
      <formula>NOT(ISERROR(SEARCH("RESIGNED",AH20)))</formula>
    </cfRule>
    <cfRule type="containsText" dxfId="6478" priority="5490" operator="containsText" text="P">
      <formula>NOT(ISERROR(SEARCH("P",AH20)))</formula>
    </cfRule>
    <cfRule type="containsText" dxfId="6477" priority="5491" operator="containsText" text="TARDY">
      <formula>NOT(ISERROR(SEARCH("TARDY",AH20)))</formula>
    </cfRule>
    <cfRule type="containsText" dxfId="6476" priority="5492" operator="containsText" text="REST DAY">
      <formula>NOT(ISERROR(SEARCH("REST DAY",AH20)))</formula>
    </cfRule>
    <cfRule type="containsText" dxfId="6475" priority="5493" operator="containsText" text="UA">
      <formula>NOT(ISERROR(SEARCH("UA",AH20)))</formula>
    </cfRule>
  </conditionalFormatting>
  <conditionalFormatting sqref="AH20">
    <cfRule type="containsText" dxfId="6474" priority="5482" operator="containsText" text="RD">
      <formula>NOT(ISERROR(SEARCH("RD",AH20)))</formula>
    </cfRule>
    <cfRule type="containsText" dxfId="6473" priority="5483" operator="containsText" text="540">
      <formula>NOT(ISERROR(SEARCH("540",AH20)))</formula>
    </cfRule>
    <cfRule type="cellIs" dxfId="6472" priority="5484" operator="between">
      <formula>1</formula>
      <formula>400</formula>
    </cfRule>
  </conditionalFormatting>
  <conditionalFormatting sqref="AH20">
    <cfRule type="containsText" dxfId="6471" priority="5481" operator="containsText" text="VL">
      <formula>NOT(ISERROR(SEARCH("VL",AH20)))</formula>
    </cfRule>
    <cfRule type="containsText" dxfId="6470" priority="5485" operator="containsText" text="LWOP UA">
      <formula>NOT(ISERROR(SEARCH("LWOP UA",AH20)))</formula>
    </cfRule>
  </conditionalFormatting>
  <conditionalFormatting sqref="AH25">
    <cfRule type="containsText" dxfId="6469" priority="5472" operator="containsText" text="P">
      <formula>NOT(ISERROR(SEARCH("P",AH25)))</formula>
    </cfRule>
  </conditionalFormatting>
  <conditionalFormatting sqref="AH25">
    <cfRule type="containsText" dxfId="6468" priority="5480" operator="containsText" text="LWOP UA">
      <formula>NOT(ISERROR(SEARCH("LWOP UA",AH25)))</formula>
    </cfRule>
  </conditionalFormatting>
  <conditionalFormatting sqref="AH25">
    <cfRule type="containsText" dxfId="6467" priority="5473" operator="containsText" text="TFO">
      <formula>NOT(ISERROR(SEARCH("TFO",AH25)))</formula>
    </cfRule>
    <cfRule type="containsText" dxfId="6466" priority="5474" operator="containsText" text="AA">
      <formula>NOT(ISERROR(SEARCH("AA",AH25)))</formula>
    </cfRule>
    <cfRule type="containsText" dxfId="6465" priority="5475" operator="containsText" text="RESIGNED">
      <formula>NOT(ISERROR(SEARCH("RESIGNED",AH25)))</formula>
    </cfRule>
    <cfRule type="containsText" dxfId="6464" priority="5476" operator="containsText" text="P">
      <formula>NOT(ISERROR(SEARCH("P",AH25)))</formula>
    </cfRule>
    <cfRule type="containsText" dxfId="6463" priority="5477" operator="containsText" text="TARDY">
      <formula>NOT(ISERROR(SEARCH("TARDY",AH25)))</formula>
    </cfRule>
    <cfRule type="containsText" dxfId="6462" priority="5478" operator="containsText" text="REST DAY">
      <formula>NOT(ISERROR(SEARCH("REST DAY",AH25)))</formula>
    </cfRule>
    <cfRule type="containsText" dxfId="6461" priority="5479" operator="containsText" text="UA">
      <formula>NOT(ISERROR(SEARCH("UA",AH25)))</formula>
    </cfRule>
  </conditionalFormatting>
  <conditionalFormatting sqref="AH25">
    <cfRule type="containsText" dxfId="6460" priority="5468" operator="containsText" text="RD">
      <formula>NOT(ISERROR(SEARCH("RD",AH25)))</formula>
    </cfRule>
    <cfRule type="containsText" dxfId="6459" priority="5469" operator="containsText" text="540">
      <formula>NOT(ISERROR(SEARCH("540",AH25)))</formula>
    </cfRule>
    <cfRule type="cellIs" dxfId="6458" priority="5470" operator="between">
      <formula>1</formula>
      <formula>400</formula>
    </cfRule>
  </conditionalFormatting>
  <conditionalFormatting sqref="AH25">
    <cfRule type="containsText" dxfId="6457" priority="5467" operator="containsText" text="VL">
      <formula>NOT(ISERROR(SEARCH("VL",AH25)))</formula>
    </cfRule>
    <cfRule type="containsText" dxfId="6456" priority="5471" operator="containsText" text="LWOP UA">
      <formula>NOT(ISERROR(SEARCH("LWOP UA",AH25)))</formula>
    </cfRule>
  </conditionalFormatting>
  <conditionalFormatting sqref="AH32">
    <cfRule type="containsText" dxfId="6455" priority="5458" operator="containsText" text="P">
      <formula>NOT(ISERROR(SEARCH("P",AH32)))</formula>
    </cfRule>
  </conditionalFormatting>
  <conditionalFormatting sqref="AH32">
    <cfRule type="containsText" dxfId="6454" priority="5466" operator="containsText" text="LWOP UA">
      <formula>NOT(ISERROR(SEARCH("LWOP UA",AH32)))</formula>
    </cfRule>
  </conditionalFormatting>
  <conditionalFormatting sqref="AH32">
    <cfRule type="containsText" dxfId="6453" priority="5459" operator="containsText" text="TFO">
      <formula>NOT(ISERROR(SEARCH("TFO",AH32)))</formula>
    </cfRule>
    <cfRule type="containsText" dxfId="6452" priority="5460" operator="containsText" text="AA">
      <formula>NOT(ISERROR(SEARCH("AA",AH32)))</formula>
    </cfRule>
    <cfRule type="containsText" dxfId="6451" priority="5461" operator="containsText" text="RESIGNED">
      <formula>NOT(ISERROR(SEARCH("RESIGNED",AH32)))</formula>
    </cfRule>
    <cfRule type="containsText" dxfId="6450" priority="5462" operator="containsText" text="P">
      <formula>NOT(ISERROR(SEARCH("P",AH32)))</formula>
    </cfRule>
    <cfRule type="containsText" dxfId="6449" priority="5463" operator="containsText" text="TARDY">
      <formula>NOT(ISERROR(SEARCH("TARDY",AH32)))</formula>
    </cfRule>
    <cfRule type="containsText" dxfId="6448" priority="5464" operator="containsText" text="REST DAY">
      <formula>NOT(ISERROR(SEARCH("REST DAY",AH32)))</formula>
    </cfRule>
    <cfRule type="containsText" dxfId="6447" priority="5465" operator="containsText" text="UA">
      <formula>NOT(ISERROR(SEARCH("UA",AH32)))</formula>
    </cfRule>
  </conditionalFormatting>
  <conditionalFormatting sqref="AH32">
    <cfRule type="containsText" dxfId="6446" priority="5454" operator="containsText" text="RD">
      <formula>NOT(ISERROR(SEARCH("RD",AH32)))</formula>
    </cfRule>
    <cfRule type="containsText" dxfId="6445" priority="5455" operator="containsText" text="540">
      <formula>NOT(ISERROR(SEARCH("540",AH32)))</formula>
    </cfRule>
    <cfRule type="cellIs" dxfId="6444" priority="5456" operator="between">
      <formula>1</formula>
      <formula>400</formula>
    </cfRule>
  </conditionalFormatting>
  <conditionalFormatting sqref="AH32">
    <cfRule type="containsText" dxfId="6443" priority="5453" operator="containsText" text="VL">
      <formula>NOT(ISERROR(SEARCH("VL",AH32)))</formula>
    </cfRule>
    <cfRule type="containsText" dxfId="6442" priority="5457" operator="containsText" text="LWOP UA">
      <formula>NOT(ISERROR(SEARCH("LWOP UA",AH32)))</formula>
    </cfRule>
  </conditionalFormatting>
  <conditionalFormatting sqref="AH33">
    <cfRule type="containsText" dxfId="6441" priority="5444" operator="containsText" text="P">
      <formula>NOT(ISERROR(SEARCH("P",AH33)))</formula>
    </cfRule>
  </conditionalFormatting>
  <conditionalFormatting sqref="AH33">
    <cfRule type="containsText" dxfId="6440" priority="5452" operator="containsText" text="LWOP UA">
      <formula>NOT(ISERROR(SEARCH("LWOP UA",AH33)))</formula>
    </cfRule>
  </conditionalFormatting>
  <conditionalFormatting sqref="AH33">
    <cfRule type="containsText" dxfId="6439" priority="5445" operator="containsText" text="TFO">
      <formula>NOT(ISERROR(SEARCH("TFO",AH33)))</formula>
    </cfRule>
    <cfRule type="containsText" dxfId="6438" priority="5446" operator="containsText" text="AA">
      <formula>NOT(ISERROR(SEARCH("AA",AH33)))</formula>
    </cfRule>
    <cfRule type="containsText" dxfId="6437" priority="5447" operator="containsText" text="RESIGNED">
      <formula>NOT(ISERROR(SEARCH("RESIGNED",AH33)))</formula>
    </cfRule>
    <cfRule type="containsText" dxfId="6436" priority="5448" operator="containsText" text="P">
      <formula>NOT(ISERROR(SEARCH("P",AH33)))</formula>
    </cfRule>
    <cfRule type="containsText" dxfId="6435" priority="5449" operator="containsText" text="TARDY">
      <formula>NOT(ISERROR(SEARCH("TARDY",AH33)))</formula>
    </cfRule>
    <cfRule type="containsText" dxfId="6434" priority="5450" operator="containsText" text="REST DAY">
      <formula>NOT(ISERROR(SEARCH("REST DAY",AH33)))</formula>
    </cfRule>
    <cfRule type="containsText" dxfId="6433" priority="5451" operator="containsText" text="UA">
      <formula>NOT(ISERROR(SEARCH("UA",AH33)))</formula>
    </cfRule>
  </conditionalFormatting>
  <conditionalFormatting sqref="AH33">
    <cfRule type="containsText" dxfId="6432" priority="5443" operator="containsText" text="LWOP UA">
      <formula>NOT(ISERROR(SEARCH("LWOP UA",AH33)))</formula>
    </cfRule>
  </conditionalFormatting>
  <conditionalFormatting sqref="AH33">
    <cfRule type="containsText" dxfId="6431" priority="5430" operator="containsText" text="VL">
      <formula>NOT(ISERROR(SEARCH("VL",AH33)))</formula>
    </cfRule>
    <cfRule type="containsText" dxfId="6430" priority="5431" operator="containsText" text="RD">
      <formula>NOT(ISERROR(SEARCH("RD",AH33)))</formula>
    </cfRule>
    <cfRule type="containsText" dxfId="6429" priority="5432" operator="containsText" text="540">
      <formula>NOT(ISERROR(SEARCH("540",AH33)))</formula>
    </cfRule>
    <cfRule type="cellIs" dxfId="6428" priority="5433" operator="between">
      <formula>1</formula>
      <formula>400</formula>
    </cfRule>
  </conditionalFormatting>
  <conditionalFormatting sqref="AH34">
    <cfRule type="containsText" dxfId="6427" priority="5421" operator="containsText" text="P">
      <formula>NOT(ISERROR(SEARCH("P",AH34)))</formula>
    </cfRule>
  </conditionalFormatting>
  <conditionalFormatting sqref="AH34">
    <cfRule type="containsText" dxfId="6426" priority="5429" operator="containsText" text="LWOP UA">
      <formula>NOT(ISERROR(SEARCH("LWOP UA",AH34)))</formula>
    </cfRule>
  </conditionalFormatting>
  <conditionalFormatting sqref="AH34">
    <cfRule type="containsText" dxfId="6425" priority="5422" operator="containsText" text="TFO">
      <formula>NOT(ISERROR(SEARCH("TFO",AH34)))</formula>
    </cfRule>
    <cfRule type="containsText" dxfId="6424" priority="5423" operator="containsText" text="AA">
      <formula>NOT(ISERROR(SEARCH("AA",AH34)))</formula>
    </cfRule>
    <cfRule type="containsText" dxfId="6423" priority="5424" operator="containsText" text="RESIGNED">
      <formula>NOT(ISERROR(SEARCH("RESIGNED",AH34)))</formula>
    </cfRule>
    <cfRule type="containsText" dxfId="6422" priority="5425" operator="containsText" text="P">
      <formula>NOT(ISERROR(SEARCH("P",AH34)))</formula>
    </cfRule>
    <cfRule type="containsText" dxfId="6421" priority="5426" operator="containsText" text="TARDY">
      <formula>NOT(ISERROR(SEARCH("TARDY",AH34)))</formula>
    </cfRule>
    <cfRule type="containsText" dxfId="6420" priority="5427" operator="containsText" text="REST DAY">
      <formula>NOT(ISERROR(SEARCH("REST DAY",AH34)))</formula>
    </cfRule>
    <cfRule type="containsText" dxfId="6419" priority="5428" operator="containsText" text="UA">
      <formula>NOT(ISERROR(SEARCH("UA",AH34)))</formula>
    </cfRule>
  </conditionalFormatting>
  <conditionalFormatting sqref="AH34">
    <cfRule type="containsText" dxfId="6418" priority="5407" operator="containsText" text="VL">
      <formula>NOT(ISERROR(SEARCH("VL",AH34)))</formula>
    </cfRule>
    <cfRule type="containsText" dxfId="6417" priority="5408" operator="containsText" text="RD">
      <formula>NOT(ISERROR(SEARCH("RD",AH34)))</formula>
    </cfRule>
    <cfRule type="containsText" dxfId="6416" priority="5409" operator="containsText" text="540">
      <formula>NOT(ISERROR(SEARCH("540",AH34)))</formula>
    </cfRule>
    <cfRule type="cellIs" dxfId="6415" priority="5410" operator="between">
      <formula>1</formula>
      <formula>400</formula>
    </cfRule>
  </conditionalFormatting>
  <conditionalFormatting sqref="AH34">
    <cfRule type="containsText" dxfId="6414" priority="5420" operator="containsText" text="LWOP UA">
      <formula>NOT(ISERROR(SEARCH("LWOP UA",AH34)))</formula>
    </cfRule>
  </conditionalFormatting>
  <conditionalFormatting sqref="AH41">
    <cfRule type="containsText" dxfId="6413" priority="5343" operator="containsText" text="P">
      <formula>NOT(ISERROR(SEARCH("P",AH41)))</formula>
    </cfRule>
  </conditionalFormatting>
  <conditionalFormatting sqref="AH41">
    <cfRule type="containsText" dxfId="6412" priority="5351" operator="containsText" text="LWOP UA">
      <formula>NOT(ISERROR(SEARCH("LWOP UA",AH41)))</formula>
    </cfRule>
  </conditionalFormatting>
  <conditionalFormatting sqref="AH41">
    <cfRule type="containsText" dxfId="6411" priority="5344" operator="containsText" text="TFO">
      <formula>NOT(ISERROR(SEARCH("TFO",AH41)))</formula>
    </cfRule>
    <cfRule type="containsText" dxfId="6410" priority="5345" operator="containsText" text="AA">
      <formula>NOT(ISERROR(SEARCH("AA",AH41)))</formula>
    </cfRule>
    <cfRule type="containsText" dxfId="6409" priority="5346" operator="containsText" text="RESIGNED">
      <formula>NOT(ISERROR(SEARCH("RESIGNED",AH41)))</formula>
    </cfRule>
    <cfRule type="containsText" dxfId="6408" priority="5347" operator="containsText" text="P">
      <formula>NOT(ISERROR(SEARCH("P",AH41)))</formula>
    </cfRule>
    <cfRule type="containsText" dxfId="6407" priority="5348" operator="containsText" text="TARDY">
      <formula>NOT(ISERROR(SEARCH("TARDY",AH41)))</formula>
    </cfRule>
    <cfRule type="containsText" dxfId="6406" priority="5349" operator="containsText" text="REST DAY">
      <formula>NOT(ISERROR(SEARCH("REST DAY",AH41)))</formula>
    </cfRule>
    <cfRule type="containsText" dxfId="6405" priority="5350" operator="containsText" text="UA">
      <formula>NOT(ISERROR(SEARCH("UA",AH41)))</formula>
    </cfRule>
  </conditionalFormatting>
  <conditionalFormatting sqref="AH41">
    <cfRule type="containsText" dxfId="6404" priority="5338" operator="containsText" text="VL">
      <formula>NOT(ISERROR(SEARCH("VL",AH41)))</formula>
    </cfRule>
    <cfRule type="containsText" dxfId="6403" priority="5339" operator="containsText" text="RD">
      <formula>NOT(ISERROR(SEARCH("RD",AH41)))</formula>
    </cfRule>
    <cfRule type="containsText" dxfId="6402" priority="5340" operator="containsText" text="540">
      <formula>NOT(ISERROR(SEARCH("540",AH41)))</formula>
    </cfRule>
    <cfRule type="cellIs" dxfId="6401" priority="5341" operator="between">
      <formula>1</formula>
      <formula>400</formula>
    </cfRule>
  </conditionalFormatting>
  <conditionalFormatting sqref="AH41">
    <cfRule type="containsText" dxfId="6400" priority="5342" operator="containsText" text="LWOP UA">
      <formula>NOT(ISERROR(SEARCH("LWOP UA",AH41)))</formula>
    </cfRule>
  </conditionalFormatting>
  <conditionalFormatting sqref="AH48">
    <cfRule type="containsText" dxfId="6399" priority="5315" operator="containsText" text="P">
      <formula>NOT(ISERROR(SEARCH("P",AH48)))</formula>
    </cfRule>
  </conditionalFormatting>
  <conditionalFormatting sqref="AH48">
    <cfRule type="containsText" dxfId="6398" priority="5323" operator="containsText" text="LWOP UA">
      <formula>NOT(ISERROR(SEARCH("LWOP UA",AH48)))</formula>
    </cfRule>
  </conditionalFormatting>
  <conditionalFormatting sqref="AH48">
    <cfRule type="containsText" dxfId="6397" priority="5316" operator="containsText" text="TFO">
      <formula>NOT(ISERROR(SEARCH("TFO",AH48)))</formula>
    </cfRule>
    <cfRule type="containsText" dxfId="6396" priority="5317" operator="containsText" text="AA">
      <formula>NOT(ISERROR(SEARCH("AA",AH48)))</formula>
    </cfRule>
    <cfRule type="containsText" dxfId="6395" priority="5318" operator="containsText" text="RESIGNED">
      <formula>NOT(ISERROR(SEARCH("RESIGNED",AH48)))</formula>
    </cfRule>
    <cfRule type="containsText" dxfId="6394" priority="5319" operator="containsText" text="P">
      <formula>NOT(ISERROR(SEARCH("P",AH48)))</formula>
    </cfRule>
    <cfRule type="containsText" dxfId="6393" priority="5320" operator="containsText" text="TARDY">
      <formula>NOT(ISERROR(SEARCH("TARDY",AH48)))</formula>
    </cfRule>
    <cfRule type="containsText" dxfId="6392" priority="5321" operator="containsText" text="REST DAY">
      <formula>NOT(ISERROR(SEARCH("REST DAY",AH48)))</formula>
    </cfRule>
    <cfRule type="containsText" dxfId="6391" priority="5322" operator="containsText" text="UA">
      <formula>NOT(ISERROR(SEARCH("UA",AH48)))</formula>
    </cfRule>
  </conditionalFormatting>
  <conditionalFormatting sqref="AH48">
    <cfRule type="containsText" dxfId="6390" priority="5301" operator="containsText" text="VL">
      <formula>NOT(ISERROR(SEARCH("VL",AH48)))</formula>
    </cfRule>
    <cfRule type="containsText" dxfId="6389" priority="5302" operator="containsText" text="RD">
      <formula>NOT(ISERROR(SEARCH("RD",AH48)))</formula>
    </cfRule>
    <cfRule type="containsText" dxfId="6388" priority="5303" operator="containsText" text="540">
      <formula>NOT(ISERROR(SEARCH("540",AH48)))</formula>
    </cfRule>
    <cfRule type="cellIs" dxfId="6387" priority="5304" operator="between">
      <formula>1</formula>
      <formula>400</formula>
    </cfRule>
  </conditionalFormatting>
  <conditionalFormatting sqref="AH48">
    <cfRule type="containsText" dxfId="6386" priority="5314" operator="containsText" text="LWOP UA">
      <formula>NOT(ISERROR(SEARCH("LWOP UA",AH48)))</formula>
    </cfRule>
  </conditionalFormatting>
  <conditionalFormatting sqref="AH53">
    <cfRule type="containsText" dxfId="6385" priority="5292" operator="containsText" text="P">
      <formula>NOT(ISERROR(SEARCH("P",AH53)))</formula>
    </cfRule>
  </conditionalFormatting>
  <conditionalFormatting sqref="AH53">
    <cfRule type="containsText" dxfId="6384" priority="5300" operator="containsText" text="LWOP UA">
      <formula>NOT(ISERROR(SEARCH("LWOP UA",AH53)))</formula>
    </cfRule>
  </conditionalFormatting>
  <conditionalFormatting sqref="AH53">
    <cfRule type="containsText" dxfId="6383" priority="5293" operator="containsText" text="TFO">
      <formula>NOT(ISERROR(SEARCH("TFO",AH53)))</formula>
    </cfRule>
    <cfRule type="containsText" dxfId="6382" priority="5294" operator="containsText" text="AA">
      <formula>NOT(ISERROR(SEARCH("AA",AH53)))</formula>
    </cfRule>
    <cfRule type="containsText" dxfId="6381" priority="5295" operator="containsText" text="RESIGNED">
      <formula>NOT(ISERROR(SEARCH("RESIGNED",AH53)))</formula>
    </cfRule>
    <cfRule type="containsText" dxfId="6380" priority="5296" operator="containsText" text="P">
      <formula>NOT(ISERROR(SEARCH("P",AH53)))</formula>
    </cfRule>
    <cfRule type="containsText" dxfId="6379" priority="5297" operator="containsText" text="TARDY">
      <formula>NOT(ISERROR(SEARCH("TARDY",AH53)))</formula>
    </cfRule>
    <cfRule type="containsText" dxfId="6378" priority="5298" operator="containsText" text="REST DAY">
      <formula>NOT(ISERROR(SEARCH("REST DAY",AH53)))</formula>
    </cfRule>
    <cfRule type="containsText" dxfId="6377" priority="5299" operator="containsText" text="UA">
      <formula>NOT(ISERROR(SEARCH("UA",AH53)))</formula>
    </cfRule>
  </conditionalFormatting>
  <conditionalFormatting sqref="AH53">
    <cfRule type="containsText" dxfId="6376" priority="5287" operator="containsText" text="VL">
      <formula>NOT(ISERROR(SEARCH("VL",AH53)))</formula>
    </cfRule>
    <cfRule type="containsText" dxfId="6375" priority="5288" operator="containsText" text="RD">
      <formula>NOT(ISERROR(SEARCH("RD",AH53)))</formula>
    </cfRule>
    <cfRule type="containsText" dxfId="6374" priority="5289" operator="containsText" text="540">
      <formula>NOT(ISERROR(SEARCH("540",AH53)))</formula>
    </cfRule>
    <cfRule type="cellIs" dxfId="6373" priority="5290" operator="between">
      <formula>1</formula>
      <formula>400</formula>
    </cfRule>
  </conditionalFormatting>
  <conditionalFormatting sqref="AH53">
    <cfRule type="containsText" dxfId="6372" priority="5291" operator="containsText" text="LWOP UA">
      <formula>NOT(ISERROR(SEARCH("LWOP UA",AH53)))</formula>
    </cfRule>
  </conditionalFormatting>
  <conditionalFormatting sqref="AH55">
    <cfRule type="containsText" dxfId="6371" priority="5278" operator="containsText" text="P">
      <formula>NOT(ISERROR(SEARCH("P",AH55)))</formula>
    </cfRule>
  </conditionalFormatting>
  <conditionalFormatting sqref="AH55">
    <cfRule type="containsText" dxfId="6370" priority="5286" operator="containsText" text="LWOP UA">
      <formula>NOT(ISERROR(SEARCH("LWOP UA",AH55)))</formula>
    </cfRule>
  </conditionalFormatting>
  <conditionalFormatting sqref="AH55">
    <cfRule type="containsText" dxfId="6369" priority="5279" operator="containsText" text="TFO">
      <formula>NOT(ISERROR(SEARCH("TFO",AH55)))</formula>
    </cfRule>
    <cfRule type="containsText" dxfId="6368" priority="5280" operator="containsText" text="AA">
      <formula>NOT(ISERROR(SEARCH("AA",AH55)))</formula>
    </cfRule>
    <cfRule type="containsText" dxfId="6367" priority="5281" operator="containsText" text="RESIGNED">
      <formula>NOT(ISERROR(SEARCH("RESIGNED",AH55)))</formula>
    </cfRule>
    <cfRule type="containsText" dxfId="6366" priority="5282" operator="containsText" text="P">
      <formula>NOT(ISERROR(SEARCH("P",AH55)))</formula>
    </cfRule>
    <cfRule type="containsText" dxfId="6365" priority="5283" operator="containsText" text="TARDY">
      <formula>NOT(ISERROR(SEARCH("TARDY",AH55)))</formula>
    </cfRule>
    <cfRule type="containsText" dxfId="6364" priority="5284" operator="containsText" text="REST DAY">
      <formula>NOT(ISERROR(SEARCH("REST DAY",AH55)))</formula>
    </cfRule>
    <cfRule type="containsText" dxfId="6363" priority="5285" operator="containsText" text="UA">
      <formula>NOT(ISERROR(SEARCH("UA",AH55)))</formula>
    </cfRule>
  </conditionalFormatting>
  <conditionalFormatting sqref="AH55">
    <cfRule type="containsText" dxfId="6362" priority="5264" operator="containsText" text="VL">
      <formula>NOT(ISERROR(SEARCH("VL",AH55)))</formula>
    </cfRule>
    <cfRule type="containsText" dxfId="6361" priority="5265" operator="containsText" text="RD">
      <formula>NOT(ISERROR(SEARCH("RD",AH55)))</formula>
    </cfRule>
    <cfRule type="containsText" dxfId="6360" priority="5266" operator="containsText" text="540">
      <formula>NOT(ISERROR(SEARCH("540",AH55)))</formula>
    </cfRule>
    <cfRule type="cellIs" dxfId="6359" priority="5267" operator="between">
      <formula>1</formula>
      <formula>400</formula>
    </cfRule>
  </conditionalFormatting>
  <conditionalFormatting sqref="AH55">
    <cfRule type="containsText" dxfId="6358" priority="5268" operator="containsText" text="LWOP UA">
      <formula>NOT(ISERROR(SEARCH("LWOP UA",AH55)))</formula>
    </cfRule>
  </conditionalFormatting>
  <conditionalFormatting sqref="AH60">
    <cfRule type="containsText" dxfId="6357" priority="5232" operator="containsText" text="P">
      <formula>NOT(ISERROR(SEARCH("P",AH60)))</formula>
    </cfRule>
  </conditionalFormatting>
  <conditionalFormatting sqref="AH60">
    <cfRule type="containsText" dxfId="6356" priority="5240" operator="containsText" text="LWOP UA">
      <formula>NOT(ISERROR(SEARCH("LWOP UA",AH60)))</formula>
    </cfRule>
  </conditionalFormatting>
  <conditionalFormatting sqref="AH60">
    <cfRule type="containsText" dxfId="6355" priority="5233" operator="containsText" text="TFO">
      <formula>NOT(ISERROR(SEARCH("TFO",AH60)))</formula>
    </cfRule>
    <cfRule type="containsText" dxfId="6354" priority="5234" operator="containsText" text="AA">
      <formula>NOT(ISERROR(SEARCH("AA",AH60)))</formula>
    </cfRule>
    <cfRule type="containsText" dxfId="6353" priority="5235" operator="containsText" text="RESIGNED">
      <formula>NOT(ISERROR(SEARCH("RESIGNED",AH60)))</formula>
    </cfRule>
    <cfRule type="containsText" dxfId="6352" priority="5236" operator="containsText" text="P">
      <formula>NOT(ISERROR(SEARCH("P",AH60)))</formula>
    </cfRule>
    <cfRule type="containsText" dxfId="6351" priority="5237" operator="containsText" text="TARDY">
      <formula>NOT(ISERROR(SEARCH("TARDY",AH60)))</formula>
    </cfRule>
    <cfRule type="containsText" dxfId="6350" priority="5238" operator="containsText" text="REST DAY">
      <formula>NOT(ISERROR(SEARCH("REST DAY",AH60)))</formula>
    </cfRule>
    <cfRule type="containsText" dxfId="6349" priority="5239" operator="containsText" text="UA">
      <formula>NOT(ISERROR(SEARCH("UA",AH60)))</formula>
    </cfRule>
  </conditionalFormatting>
  <conditionalFormatting sqref="AH60">
    <cfRule type="containsText" dxfId="6348" priority="5227" operator="containsText" text="VL">
      <formula>NOT(ISERROR(SEARCH("VL",AH60)))</formula>
    </cfRule>
    <cfRule type="containsText" dxfId="6347" priority="5228" operator="containsText" text="RD">
      <formula>NOT(ISERROR(SEARCH("RD",AH60)))</formula>
    </cfRule>
    <cfRule type="containsText" dxfId="6346" priority="5229" operator="containsText" text="540">
      <formula>NOT(ISERROR(SEARCH("540",AH60)))</formula>
    </cfRule>
    <cfRule type="cellIs" dxfId="6345" priority="5230" operator="between">
      <formula>1</formula>
      <formula>400</formula>
    </cfRule>
  </conditionalFormatting>
  <conditionalFormatting sqref="AH60">
    <cfRule type="containsText" dxfId="6344" priority="5231" operator="containsText" text="LWOP UA">
      <formula>NOT(ISERROR(SEARCH("LWOP UA",AH60)))</formula>
    </cfRule>
  </conditionalFormatting>
  <conditionalFormatting sqref="AH79">
    <cfRule type="containsText" dxfId="6343" priority="5195" operator="containsText" text="P">
      <formula>NOT(ISERROR(SEARCH("P",AH79)))</formula>
    </cfRule>
  </conditionalFormatting>
  <conditionalFormatting sqref="AH79">
    <cfRule type="containsText" dxfId="6342" priority="5203" operator="containsText" text="LWOP UA">
      <formula>NOT(ISERROR(SEARCH("LWOP UA",AH79)))</formula>
    </cfRule>
  </conditionalFormatting>
  <conditionalFormatting sqref="AH79">
    <cfRule type="containsText" dxfId="6341" priority="5196" operator="containsText" text="TFO">
      <formula>NOT(ISERROR(SEARCH("TFO",AH79)))</formula>
    </cfRule>
    <cfRule type="containsText" dxfId="6340" priority="5197" operator="containsText" text="AA">
      <formula>NOT(ISERROR(SEARCH("AA",AH79)))</formula>
    </cfRule>
    <cfRule type="containsText" dxfId="6339" priority="5198" operator="containsText" text="RESIGNED">
      <formula>NOT(ISERROR(SEARCH("RESIGNED",AH79)))</formula>
    </cfRule>
    <cfRule type="containsText" dxfId="6338" priority="5199" operator="containsText" text="P">
      <formula>NOT(ISERROR(SEARCH("P",AH79)))</formula>
    </cfRule>
    <cfRule type="containsText" dxfId="6337" priority="5200" operator="containsText" text="TARDY">
      <formula>NOT(ISERROR(SEARCH("TARDY",AH79)))</formula>
    </cfRule>
    <cfRule type="containsText" dxfId="6336" priority="5201" operator="containsText" text="REST DAY">
      <formula>NOT(ISERROR(SEARCH("REST DAY",AH79)))</formula>
    </cfRule>
    <cfRule type="containsText" dxfId="6335" priority="5202" operator="containsText" text="UA">
      <formula>NOT(ISERROR(SEARCH("UA",AH79)))</formula>
    </cfRule>
  </conditionalFormatting>
  <conditionalFormatting sqref="AH79">
    <cfRule type="containsText" dxfId="6334" priority="5180" operator="containsText" text="VL">
      <formula>NOT(ISERROR(SEARCH("VL",AH79)))</formula>
    </cfRule>
    <cfRule type="containsText" dxfId="6333" priority="5181" operator="containsText" text="RD">
      <formula>NOT(ISERROR(SEARCH("RD",AH79)))</formula>
    </cfRule>
    <cfRule type="containsText" dxfId="6332" priority="5182" operator="containsText" text="540">
      <formula>NOT(ISERROR(SEARCH("540",AH79)))</formula>
    </cfRule>
    <cfRule type="cellIs" dxfId="6331" priority="5183" operator="between">
      <formula>1</formula>
      <formula>400</formula>
    </cfRule>
  </conditionalFormatting>
  <conditionalFormatting sqref="AH79">
    <cfRule type="containsText" dxfId="6330" priority="5193" operator="containsText" text="LWOP UA">
      <formula>NOT(ISERROR(SEARCH("LWOP UA",AH79)))</formula>
    </cfRule>
  </conditionalFormatting>
  <conditionalFormatting sqref="AH78:AH79">
    <cfRule type="containsText" dxfId="6329" priority="5156" operator="containsText" text="P">
      <formula>NOT(ISERROR(SEARCH("P",AH78)))</formula>
    </cfRule>
  </conditionalFormatting>
  <conditionalFormatting sqref="AH78:AH79">
    <cfRule type="containsText" dxfId="6328" priority="5155" operator="containsText" text="LWOP UA">
      <formula>NOT(ISERROR(SEARCH("LWOP UA",AH78)))</formula>
    </cfRule>
  </conditionalFormatting>
  <conditionalFormatting sqref="AH78:AH79">
    <cfRule type="containsText" dxfId="6327" priority="5164" operator="containsText" text="LWOP UA">
      <formula>NOT(ISERROR(SEARCH("LWOP UA",AH78)))</formula>
    </cfRule>
  </conditionalFormatting>
  <conditionalFormatting sqref="AH78:AH79">
    <cfRule type="containsText" dxfId="6326" priority="5157" operator="containsText" text="TFO">
      <formula>NOT(ISERROR(SEARCH("TFO",AH78)))</formula>
    </cfRule>
    <cfRule type="containsText" dxfId="6325" priority="5158" operator="containsText" text="AA">
      <formula>NOT(ISERROR(SEARCH("AA",AH78)))</formula>
    </cfRule>
    <cfRule type="containsText" dxfId="6324" priority="5159" operator="containsText" text="RESIGNED">
      <formula>NOT(ISERROR(SEARCH("RESIGNED",AH78)))</formula>
    </cfRule>
    <cfRule type="containsText" dxfId="6323" priority="5160" operator="containsText" text="P">
      <formula>NOT(ISERROR(SEARCH("P",AH78)))</formula>
    </cfRule>
    <cfRule type="containsText" dxfId="6322" priority="5161" operator="containsText" text="TARDY">
      <formula>NOT(ISERROR(SEARCH("TARDY",AH78)))</formula>
    </cfRule>
    <cfRule type="containsText" dxfId="6321" priority="5162" operator="containsText" text="REST DAY">
      <formula>NOT(ISERROR(SEARCH("REST DAY",AH78)))</formula>
    </cfRule>
    <cfRule type="containsText" dxfId="6320" priority="5163" operator="containsText" text="UA">
      <formula>NOT(ISERROR(SEARCH("UA",AH78)))</formula>
    </cfRule>
  </conditionalFormatting>
  <conditionalFormatting sqref="AH78:AH79">
    <cfRule type="containsText" dxfId="6319" priority="5151" operator="containsText" text="VL">
      <formula>NOT(ISERROR(SEARCH("VL",AH78)))</formula>
    </cfRule>
    <cfRule type="containsText" dxfId="6318" priority="5152" operator="containsText" text="RD">
      <formula>NOT(ISERROR(SEARCH("RD",AH78)))</formula>
    </cfRule>
    <cfRule type="containsText" dxfId="6317" priority="5153" operator="containsText" text="540">
      <formula>NOT(ISERROR(SEARCH("540",AH78)))</formula>
    </cfRule>
    <cfRule type="cellIs" dxfId="6316" priority="5154" operator="between">
      <formula>1</formula>
      <formula>400</formula>
    </cfRule>
  </conditionalFormatting>
  <conditionalFormatting sqref="AH91">
    <cfRule type="containsText" dxfId="6315" priority="5142" operator="containsText" text="P">
      <formula>NOT(ISERROR(SEARCH("P",AH91)))</formula>
    </cfRule>
  </conditionalFormatting>
  <conditionalFormatting sqref="AH91">
    <cfRule type="containsText" dxfId="6314" priority="5150" operator="containsText" text="LWOP UA">
      <formula>NOT(ISERROR(SEARCH("LWOP UA",AH91)))</formula>
    </cfRule>
  </conditionalFormatting>
  <conditionalFormatting sqref="AH91">
    <cfRule type="containsText" dxfId="6313" priority="5143" operator="containsText" text="TFO">
      <formula>NOT(ISERROR(SEARCH("TFO",AH91)))</formula>
    </cfRule>
    <cfRule type="containsText" dxfId="6312" priority="5144" operator="containsText" text="AA">
      <formula>NOT(ISERROR(SEARCH("AA",AH91)))</formula>
    </cfRule>
    <cfRule type="containsText" dxfId="6311" priority="5145" operator="containsText" text="RESIGNED">
      <formula>NOT(ISERROR(SEARCH("RESIGNED",AH91)))</formula>
    </cfRule>
    <cfRule type="containsText" dxfId="6310" priority="5146" operator="containsText" text="P">
      <formula>NOT(ISERROR(SEARCH("P",AH91)))</formula>
    </cfRule>
    <cfRule type="containsText" dxfId="6309" priority="5147" operator="containsText" text="TARDY">
      <formula>NOT(ISERROR(SEARCH("TARDY",AH91)))</formula>
    </cfRule>
    <cfRule type="containsText" dxfId="6308" priority="5148" operator="containsText" text="REST DAY">
      <formula>NOT(ISERROR(SEARCH("REST DAY",AH91)))</formula>
    </cfRule>
    <cfRule type="containsText" dxfId="6307" priority="5149" operator="containsText" text="UA">
      <formula>NOT(ISERROR(SEARCH("UA",AH91)))</formula>
    </cfRule>
  </conditionalFormatting>
  <conditionalFormatting sqref="AH91">
    <cfRule type="containsText" dxfId="6306" priority="5138" operator="containsText" text="RD">
      <formula>NOT(ISERROR(SEARCH("RD",AH91)))</formula>
    </cfRule>
    <cfRule type="containsText" dxfId="6305" priority="5139" operator="containsText" text="540">
      <formula>NOT(ISERROR(SEARCH("540",AH91)))</formula>
    </cfRule>
    <cfRule type="cellIs" dxfId="6304" priority="5140" operator="between">
      <formula>1</formula>
      <formula>400</formula>
    </cfRule>
  </conditionalFormatting>
  <conditionalFormatting sqref="AH91">
    <cfRule type="containsText" dxfId="6303" priority="5137" operator="containsText" text="VL">
      <formula>NOT(ISERROR(SEARCH("VL",AH91)))</formula>
    </cfRule>
    <cfRule type="containsText" dxfId="6302" priority="5141" operator="containsText" text="LWOP UA">
      <formula>NOT(ISERROR(SEARCH("LWOP UA",AH91)))</formula>
    </cfRule>
  </conditionalFormatting>
  <conditionalFormatting sqref="AH92">
    <cfRule type="containsText" dxfId="6301" priority="5128" operator="containsText" text="P">
      <formula>NOT(ISERROR(SEARCH("P",AH92)))</formula>
    </cfRule>
  </conditionalFormatting>
  <conditionalFormatting sqref="AH92">
    <cfRule type="containsText" dxfId="6300" priority="5119" operator="containsText" text="P">
      <formula>NOT(ISERROR(SEARCH("P",AH92)))</formula>
    </cfRule>
    <cfRule type="containsText" dxfId="6299" priority="5120" operator="containsText" text="TFO">
      <formula>NOT(ISERROR(SEARCH("TFO",AH92)))</formula>
    </cfRule>
    <cfRule type="containsText" dxfId="6298" priority="5121" operator="containsText" text="AA">
      <formula>NOT(ISERROR(SEARCH("AA",AH92)))</formula>
    </cfRule>
    <cfRule type="containsText" dxfId="6297" priority="5122" operator="containsText" text="RESIGNED">
      <formula>NOT(ISERROR(SEARCH("RESIGNED",AH92)))</formula>
    </cfRule>
    <cfRule type="containsText" dxfId="6296" priority="5123" operator="containsText" text="P">
      <formula>NOT(ISERROR(SEARCH("P",AH92)))</formula>
    </cfRule>
    <cfRule type="containsText" dxfId="6295" priority="5124" operator="containsText" text="TARDY">
      <formula>NOT(ISERROR(SEARCH("TARDY",AH92)))</formula>
    </cfRule>
    <cfRule type="containsText" dxfId="6294" priority="5125" operator="containsText" text="REST DAY">
      <formula>NOT(ISERROR(SEARCH("REST DAY",AH92)))</formula>
    </cfRule>
    <cfRule type="containsText" dxfId="6293" priority="5126" operator="containsText" text="UA">
      <formula>NOT(ISERROR(SEARCH("UA",AH92)))</formula>
    </cfRule>
    <cfRule type="containsText" dxfId="6292" priority="5127" operator="containsText" text="LWOP UA">
      <formula>NOT(ISERROR(SEARCH("LWOP UA",AH92)))</formula>
    </cfRule>
  </conditionalFormatting>
  <conditionalFormatting sqref="AH92">
    <cfRule type="containsText" dxfId="6291" priority="5136" operator="containsText" text="LWOP UA">
      <formula>NOT(ISERROR(SEARCH("LWOP UA",AH92)))</formula>
    </cfRule>
  </conditionalFormatting>
  <conditionalFormatting sqref="AH92">
    <cfRule type="containsText" dxfId="6290" priority="5129" operator="containsText" text="TFO">
      <formula>NOT(ISERROR(SEARCH("TFO",AH92)))</formula>
    </cfRule>
    <cfRule type="containsText" dxfId="6289" priority="5130" operator="containsText" text="AA">
      <formula>NOT(ISERROR(SEARCH("AA",AH92)))</formula>
    </cfRule>
    <cfRule type="containsText" dxfId="6288" priority="5131" operator="containsText" text="RESIGNED">
      <formula>NOT(ISERROR(SEARCH("RESIGNED",AH92)))</formula>
    </cfRule>
    <cfRule type="containsText" dxfId="6287" priority="5132" operator="containsText" text="P">
      <formula>NOT(ISERROR(SEARCH("P",AH92)))</formula>
    </cfRule>
    <cfRule type="containsText" dxfId="6286" priority="5133" operator="containsText" text="TARDY">
      <formula>NOT(ISERROR(SEARCH("TARDY",AH92)))</formula>
    </cfRule>
    <cfRule type="containsText" dxfId="6285" priority="5134" operator="containsText" text="REST DAY">
      <formula>NOT(ISERROR(SEARCH("REST DAY",AH92)))</formula>
    </cfRule>
    <cfRule type="containsText" dxfId="6284" priority="5135" operator="containsText" text="UA">
      <formula>NOT(ISERROR(SEARCH("UA",AH92)))</formula>
    </cfRule>
  </conditionalFormatting>
  <conditionalFormatting sqref="AH92">
    <cfRule type="containsText" dxfId="6283" priority="5106" operator="containsText" text="RD">
      <formula>NOT(ISERROR(SEARCH("RD",AH92)))</formula>
    </cfRule>
    <cfRule type="containsText" dxfId="6282" priority="5107" operator="containsText" text="540">
      <formula>NOT(ISERROR(SEARCH("540",AH92)))</formula>
    </cfRule>
    <cfRule type="cellIs" dxfId="6281" priority="5108" operator="between">
      <formula>1</formula>
      <formula>400</formula>
    </cfRule>
  </conditionalFormatting>
  <conditionalFormatting sqref="AH92">
    <cfRule type="containsText" dxfId="6280" priority="5105" operator="containsText" text="VL">
      <formula>NOT(ISERROR(SEARCH("VL",AH92)))</formula>
    </cfRule>
    <cfRule type="containsText" dxfId="6279" priority="5118" operator="containsText" text="LWOP UA">
      <formula>NOT(ISERROR(SEARCH("LWOP UA",AH92)))</formula>
    </cfRule>
  </conditionalFormatting>
  <conditionalFormatting sqref="AH54">
    <cfRule type="containsText" dxfId="6278" priority="5086" operator="containsText" text="P">
      <formula>NOT(ISERROR(SEARCH("P",AH54)))</formula>
    </cfRule>
  </conditionalFormatting>
  <conditionalFormatting sqref="AH54">
    <cfRule type="containsText" dxfId="6277" priority="5094" operator="containsText" text="LWOP UA">
      <formula>NOT(ISERROR(SEARCH("LWOP UA",AH54)))</formula>
    </cfRule>
  </conditionalFormatting>
  <conditionalFormatting sqref="AH54">
    <cfRule type="containsText" dxfId="6276" priority="5087" operator="containsText" text="TFO">
      <formula>NOT(ISERROR(SEARCH("TFO",AH54)))</formula>
    </cfRule>
    <cfRule type="containsText" dxfId="6275" priority="5088" operator="containsText" text="AA">
      <formula>NOT(ISERROR(SEARCH("AA",AH54)))</formula>
    </cfRule>
    <cfRule type="containsText" dxfId="6274" priority="5089" operator="containsText" text="RESIGNED">
      <formula>NOT(ISERROR(SEARCH("RESIGNED",AH54)))</formula>
    </cfRule>
    <cfRule type="containsText" dxfId="6273" priority="5090" operator="containsText" text="P">
      <formula>NOT(ISERROR(SEARCH("P",AH54)))</formula>
    </cfRule>
    <cfRule type="containsText" dxfId="6272" priority="5091" operator="containsText" text="TARDY">
      <formula>NOT(ISERROR(SEARCH("TARDY",AH54)))</formula>
    </cfRule>
    <cfRule type="containsText" dxfId="6271" priority="5092" operator="containsText" text="REST DAY">
      <formula>NOT(ISERROR(SEARCH("REST DAY",AH54)))</formula>
    </cfRule>
    <cfRule type="containsText" dxfId="6270" priority="5093" operator="containsText" text="UA">
      <formula>NOT(ISERROR(SEARCH("UA",AH54)))</formula>
    </cfRule>
  </conditionalFormatting>
  <conditionalFormatting sqref="AH54">
    <cfRule type="containsText" dxfId="6269" priority="5081" operator="containsText" text="VL">
      <formula>NOT(ISERROR(SEARCH("VL",AH54)))</formula>
    </cfRule>
    <cfRule type="containsText" dxfId="6268" priority="5082" operator="containsText" text="RD">
      <formula>NOT(ISERROR(SEARCH("RD",AH54)))</formula>
    </cfRule>
    <cfRule type="containsText" dxfId="6267" priority="5083" operator="containsText" text="540">
      <formula>NOT(ISERROR(SEARCH("540",AH54)))</formula>
    </cfRule>
    <cfRule type="cellIs" dxfId="6266" priority="5084" operator="between">
      <formula>1</formula>
      <formula>400</formula>
    </cfRule>
  </conditionalFormatting>
  <conditionalFormatting sqref="AH54">
    <cfRule type="containsText" dxfId="6265" priority="5085" operator="containsText" text="LWOP UA">
      <formula>NOT(ISERROR(SEARCH("LWOP UA",AH54)))</formula>
    </cfRule>
  </conditionalFormatting>
  <conditionalFormatting sqref="AH64">
    <cfRule type="containsText" dxfId="6264" priority="5072" operator="containsText" text="P">
      <formula>NOT(ISERROR(SEARCH("P",AH64)))</formula>
    </cfRule>
  </conditionalFormatting>
  <conditionalFormatting sqref="AH64">
    <cfRule type="containsText" dxfId="6263" priority="5080" operator="containsText" text="LWOP UA">
      <formula>NOT(ISERROR(SEARCH("LWOP UA",AH64)))</formula>
    </cfRule>
  </conditionalFormatting>
  <conditionalFormatting sqref="AH64">
    <cfRule type="containsText" dxfId="6262" priority="5073" operator="containsText" text="TFO">
      <formula>NOT(ISERROR(SEARCH("TFO",AH64)))</formula>
    </cfRule>
    <cfRule type="containsText" dxfId="6261" priority="5074" operator="containsText" text="AA">
      <formula>NOT(ISERROR(SEARCH("AA",AH64)))</formula>
    </cfRule>
    <cfRule type="containsText" dxfId="6260" priority="5075" operator="containsText" text="RESIGNED">
      <formula>NOT(ISERROR(SEARCH("RESIGNED",AH64)))</formula>
    </cfRule>
    <cfRule type="containsText" dxfId="6259" priority="5076" operator="containsText" text="P">
      <formula>NOT(ISERROR(SEARCH("P",AH64)))</formula>
    </cfRule>
    <cfRule type="containsText" dxfId="6258" priority="5077" operator="containsText" text="TARDY">
      <formula>NOT(ISERROR(SEARCH("TARDY",AH64)))</formula>
    </cfRule>
    <cfRule type="containsText" dxfId="6257" priority="5078" operator="containsText" text="REST DAY">
      <formula>NOT(ISERROR(SEARCH("REST DAY",AH64)))</formula>
    </cfRule>
    <cfRule type="containsText" dxfId="6256" priority="5079" operator="containsText" text="UA">
      <formula>NOT(ISERROR(SEARCH("UA",AH64)))</formula>
    </cfRule>
  </conditionalFormatting>
  <conditionalFormatting sqref="AH64">
    <cfRule type="containsText" dxfId="6255" priority="5068" operator="containsText" text="RD">
      <formula>NOT(ISERROR(SEARCH("RD",AH64)))</formula>
    </cfRule>
    <cfRule type="containsText" dxfId="6254" priority="5069" operator="containsText" text="540">
      <formula>NOT(ISERROR(SEARCH("540",AH64)))</formula>
    </cfRule>
    <cfRule type="cellIs" dxfId="6253" priority="5070" operator="between">
      <formula>1</formula>
      <formula>400</formula>
    </cfRule>
  </conditionalFormatting>
  <conditionalFormatting sqref="AH64">
    <cfRule type="containsText" dxfId="6252" priority="5067" operator="containsText" text="VL">
      <formula>NOT(ISERROR(SEARCH("VL",AH64)))</formula>
    </cfRule>
    <cfRule type="containsText" dxfId="6251" priority="5071" operator="containsText" text="LWOP UA">
      <formula>NOT(ISERROR(SEARCH("LWOP UA",AH64)))</formula>
    </cfRule>
  </conditionalFormatting>
  <conditionalFormatting sqref="AH58">
    <cfRule type="containsText" dxfId="6250" priority="5026" operator="containsText" text="P">
      <formula>NOT(ISERROR(SEARCH("P",AH58)))</formula>
    </cfRule>
  </conditionalFormatting>
  <conditionalFormatting sqref="AH58">
    <cfRule type="containsText" dxfId="6249" priority="5034" operator="containsText" text="LWOP UA">
      <formula>NOT(ISERROR(SEARCH("LWOP UA",AH58)))</formula>
    </cfRule>
  </conditionalFormatting>
  <conditionalFormatting sqref="AH58">
    <cfRule type="containsText" dxfId="6248" priority="5027" operator="containsText" text="TFO">
      <formula>NOT(ISERROR(SEARCH("TFO",AH58)))</formula>
    </cfRule>
    <cfRule type="containsText" dxfId="6247" priority="5028" operator="containsText" text="AA">
      <formula>NOT(ISERROR(SEARCH("AA",AH58)))</formula>
    </cfRule>
    <cfRule type="containsText" dxfId="6246" priority="5029" operator="containsText" text="RESIGNED">
      <formula>NOT(ISERROR(SEARCH("RESIGNED",AH58)))</formula>
    </cfRule>
    <cfRule type="containsText" dxfId="6245" priority="5030" operator="containsText" text="P">
      <formula>NOT(ISERROR(SEARCH("P",AH58)))</formula>
    </cfRule>
    <cfRule type="containsText" dxfId="6244" priority="5031" operator="containsText" text="TARDY">
      <formula>NOT(ISERROR(SEARCH("TARDY",AH58)))</formula>
    </cfRule>
    <cfRule type="containsText" dxfId="6243" priority="5032" operator="containsText" text="REST DAY">
      <formula>NOT(ISERROR(SEARCH("REST DAY",AH58)))</formula>
    </cfRule>
    <cfRule type="containsText" dxfId="6242" priority="5033" operator="containsText" text="UA">
      <formula>NOT(ISERROR(SEARCH("UA",AH58)))</formula>
    </cfRule>
  </conditionalFormatting>
  <conditionalFormatting sqref="AH58">
    <cfRule type="containsText" dxfId="6241" priority="5021" operator="containsText" text="VL">
      <formula>NOT(ISERROR(SEARCH("VL",AH58)))</formula>
    </cfRule>
    <cfRule type="containsText" dxfId="6240" priority="5022" operator="containsText" text="RD">
      <formula>NOT(ISERROR(SEARCH("RD",AH58)))</formula>
    </cfRule>
    <cfRule type="containsText" dxfId="6239" priority="5023" operator="containsText" text="540">
      <formula>NOT(ISERROR(SEARCH("540",AH58)))</formula>
    </cfRule>
    <cfRule type="cellIs" dxfId="6238" priority="5024" operator="between">
      <formula>1</formula>
      <formula>400</formula>
    </cfRule>
  </conditionalFormatting>
  <conditionalFormatting sqref="AH58">
    <cfRule type="containsText" dxfId="6237" priority="5025" operator="containsText" text="LWOP UA">
      <formula>NOT(ISERROR(SEARCH("LWOP UA",AH58)))</formula>
    </cfRule>
  </conditionalFormatting>
  <conditionalFormatting sqref="AH59">
    <cfRule type="containsText" dxfId="6236" priority="5012" operator="containsText" text="P">
      <formula>NOT(ISERROR(SEARCH("P",AH59)))</formula>
    </cfRule>
  </conditionalFormatting>
  <conditionalFormatting sqref="AH59">
    <cfRule type="containsText" dxfId="6235" priority="5020" operator="containsText" text="LWOP UA">
      <formula>NOT(ISERROR(SEARCH("LWOP UA",AH59)))</formula>
    </cfRule>
  </conditionalFormatting>
  <conditionalFormatting sqref="AH59">
    <cfRule type="containsText" dxfId="6234" priority="5013" operator="containsText" text="TFO">
      <formula>NOT(ISERROR(SEARCH("TFO",AH59)))</formula>
    </cfRule>
    <cfRule type="containsText" dxfId="6233" priority="5014" operator="containsText" text="AA">
      <formula>NOT(ISERROR(SEARCH("AA",AH59)))</formula>
    </cfRule>
    <cfRule type="containsText" dxfId="6232" priority="5015" operator="containsText" text="RESIGNED">
      <formula>NOT(ISERROR(SEARCH("RESIGNED",AH59)))</formula>
    </cfRule>
    <cfRule type="containsText" dxfId="6231" priority="5016" operator="containsText" text="P">
      <formula>NOT(ISERROR(SEARCH("P",AH59)))</formula>
    </cfRule>
    <cfRule type="containsText" dxfId="6230" priority="5017" operator="containsText" text="TARDY">
      <formula>NOT(ISERROR(SEARCH("TARDY",AH59)))</formula>
    </cfRule>
    <cfRule type="containsText" dxfId="6229" priority="5018" operator="containsText" text="REST DAY">
      <formula>NOT(ISERROR(SEARCH("REST DAY",AH59)))</formula>
    </cfRule>
    <cfRule type="containsText" dxfId="6228" priority="5019" operator="containsText" text="UA">
      <formula>NOT(ISERROR(SEARCH("UA",AH59)))</formula>
    </cfRule>
  </conditionalFormatting>
  <conditionalFormatting sqref="AH59">
    <cfRule type="containsText" dxfId="6227" priority="5007" operator="containsText" text="VL">
      <formula>NOT(ISERROR(SEARCH("VL",AH59)))</formula>
    </cfRule>
    <cfRule type="containsText" dxfId="6226" priority="5008" operator="containsText" text="RD">
      <formula>NOT(ISERROR(SEARCH("RD",AH59)))</formula>
    </cfRule>
    <cfRule type="containsText" dxfId="6225" priority="5009" operator="containsText" text="540">
      <formula>NOT(ISERROR(SEARCH("540",AH59)))</formula>
    </cfRule>
    <cfRule type="cellIs" dxfId="6224" priority="5010" operator="between">
      <formula>1</formula>
      <formula>400</formula>
    </cfRule>
  </conditionalFormatting>
  <conditionalFormatting sqref="AH59">
    <cfRule type="containsText" dxfId="6223" priority="5011" operator="containsText" text="LWOP UA">
      <formula>NOT(ISERROR(SEARCH("LWOP UA",AH59)))</formula>
    </cfRule>
  </conditionalFormatting>
  <conditionalFormatting sqref="D94:F100">
    <cfRule type="containsText" dxfId="6222" priority="4677" operator="containsText" text="TFO">
      <formula>NOT(ISERROR(SEARCH("TFO",D94)))</formula>
    </cfRule>
    <cfRule type="containsText" dxfId="6221" priority="4678" operator="containsText" text="AA">
      <formula>NOT(ISERROR(SEARCH("AA",D94)))</formula>
    </cfRule>
    <cfRule type="containsText" dxfId="6220" priority="4679" operator="containsText" text="RESIGNED">
      <formula>NOT(ISERROR(SEARCH("RESIGNED",D94)))</formula>
    </cfRule>
    <cfRule type="containsText" dxfId="6219" priority="4680" operator="containsText" text="P">
      <formula>NOT(ISERROR(SEARCH("P",D94)))</formula>
    </cfRule>
    <cfRule type="containsText" dxfId="6218" priority="4681" operator="containsText" text="TARDY">
      <formula>NOT(ISERROR(SEARCH("TARDY",D94)))</formula>
    </cfRule>
    <cfRule type="containsText" dxfId="6217" priority="4682" operator="containsText" text="REST DAY">
      <formula>NOT(ISERROR(SEARCH("REST DAY",D94)))</formula>
    </cfRule>
    <cfRule type="containsText" dxfId="6216" priority="4683" operator="containsText" text="UA">
      <formula>NOT(ISERROR(SEARCH("UA",D94)))</formula>
    </cfRule>
    <cfRule type="containsText" dxfId="6215" priority="4684" operator="containsText" text="LWOP UA">
      <formula>NOT(ISERROR(SEARCH("LWOP UA",D94)))</formula>
    </cfRule>
  </conditionalFormatting>
  <conditionalFormatting sqref="D94:F100">
    <cfRule type="containsText" dxfId="6214" priority="4676" operator="containsText" text="P">
      <formula>NOT(ISERROR(SEARCH("P",D94)))</formula>
    </cfRule>
  </conditionalFormatting>
  <conditionalFormatting sqref="O94:P100">
    <cfRule type="containsText" dxfId="6213" priority="3660" operator="containsText" text="TFO">
      <formula>NOT(ISERROR(SEARCH("TFO",O94)))</formula>
    </cfRule>
    <cfRule type="containsText" dxfId="6212" priority="3661" operator="containsText" text="AA">
      <formula>NOT(ISERROR(SEARCH("AA",O94)))</formula>
    </cfRule>
    <cfRule type="containsText" dxfId="6211" priority="3662" operator="containsText" text="RESIGNED">
      <formula>NOT(ISERROR(SEARCH("RESIGNED",O94)))</formula>
    </cfRule>
    <cfRule type="containsText" dxfId="6210" priority="3663" operator="containsText" text="P">
      <formula>NOT(ISERROR(SEARCH("P",O94)))</formula>
    </cfRule>
    <cfRule type="containsText" dxfId="6209" priority="3664" operator="containsText" text="TARDY">
      <formula>NOT(ISERROR(SEARCH("TARDY",O94)))</formula>
    </cfRule>
    <cfRule type="containsText" dxfId="6208" priority="3665" operator="containsText" text="REST DAY">
      <formula>NOT(ISERROR(SEARCH("REST DAY",O94)))</formula>
    </cfRule>
    <cfRule type="containsText" dxfId="6207" priority="3666" operator="containsText" text="UA">
      <formula>NOT(ISERROR(SEARCH("UA",O94)))</formula>
    </cfRule>
    <cfRule type="containsText" dxfId="6206" priority="3667" operator="containsText" text="LWOP UA">
      <formula>NOT(ISERROR(SEARCH("LWOP UA",O94)))</formula>
    </cfRule>
  </conditionalFormatting>
  <conditionalFormatting sqref="O94:P100">
    <cfRule type="containsText" dxfId="6205" priority="3654" operator="containsText" text="VL">
      <formula>NOT(ISERROR(SEARCH("VL",O94)))</formula>
    </cfRule>
    <cfRule type="containsText" dxfId="6204" priority="3655" operator="containsText" text="RD">
      <formula>NOT(ISERROR(SEARCH("RD",O94)))</formula>
    </cfRule>
    <cfRule type="containsText" dxfId="6203" priority="3656" operator="containsText" text="540">
      <formula>NOT(ISERROR(SEARCH("540",O94)))</formula>
    </cfRule>
    <cfRule type="cellIs" dxfId="6202" priority="3657" operator="between">
      <formula>1</formula>
      <formula>400</formula>
    </cfRule>
    <cfRule type="containsText" dxfId="6201" priority="3658" operator="containsText" text="LWOP UA">
      <formula>NOT(ISERROR(SEARCH("LWOP UA",O94)))</formula>
    </cfRule>
  </conditionalFormatting>
  <conditionalFormatting sqref="O94:P100">
    <cfRule type="containsText" dxfId="6200" priority="3659" operator="containsText" text="P">
      <formula>NOT(ISERROR(SEARCH("P",O94)))</formula>
    </cfRule>
  </conditionalFormatting>
  <conditionalFormatting sqref="V94:W100">
    <cfRule type="containsText" dxfId="6199" priority="3632" operator="containsText" text="TFO">
      <formula>NOT(ISERROR(SEARCH("TFO",V94)))</formula>
    </cfRule>
    <cfRule type="containsText" dxfId="6198" priority="3633" operator="containsText" text="AA">
      <formula>NOT(ISERROR(SEARCH("AA",V94)))</formula>
    </cfRule>
    <cfRule type="containsText" dxfId="6197" priority="3634" operator="containsText" text="RESIGNED">
      <formula>NOT(ISERROR(SEARCH("RESIGNED",V94)))</formula>
    </cfRule>
    <cfRule type="containsText" dxfId="6196" priority="3635" operator="containsText" text="P">
      <formula>NOT(ISERROR(SEARCH("P",V94)))</formula>
    </cfRule>
    <cfRule type="containsText" dxfId="6195" priority="3636" operator="containsText" text="TARDY">
      <formula>NOT(ISERROR(SEARCH("TARDY",V94)))</formula>
    </cfRule>
    <cfRule type="containsText" dxfId="6194" priority="3637" operator="containsText" text="REST DAY">
      <formula>NOT(ISERROR(SEARCH("REST DAY",V94)))</formula>
    </cfRule>
    <cfRule type="containsText" dxfId="6193" priority="3638" operator="containsText" text="UA">
      <formula>NOT(ISERROR(SEARCH("UA",V94)))</formula>
    </cfRule>
    <cfRule type="containsText" dxfId="6192" priority="3639" operator="containsText" text="LWOP UA">
      <formula>NOT(ISERROR(SEARCH("LWOP UA",V94)))</formula>
    </cfRule>
  </conditionalFormatting>
  <conditionalFormatting sqref="V94:W100">
    <cfRule type="containsText" dxfId="6191" priority="3626" operator="containsText" text="VL">
      <formula>NOT(ISERROR(SEARCH("VL",V94)))</formula>
    </cfRule>
    <cfRule type="containsText" dxfId="6190" priority="3627" operator="containsText" text="RD">
      <formula>NOT(ISERROR(SEARCH("RD",V94)))</formula>
    </cfRule>
    <cfRule type="containsText" dxfId="6189" priority="3628" operator="containsText" text="540">
      <formula>NOT(ISERROR(SEARCH("540",V94)))</formula>
    </cfRule>
    <cfRule type="cellIs" dxfId="6188" priority="3629" operator="between">
      <formula>1</formula>
      <formula>400</formula>
    </cfRule>
    <cfRule type="containsText" dxfId="6187" priority="3630" operator="containsText" text="LWOP UA">
      <formula>NOT(ISERROR(SEARCH("LWOP UA",V94)))</formula>
    </cfRule>
  </conditionalFormatting>
  <conditionalFormatting sqref="V94:W100">
    <cfRule type="containsText" dxfId="6186" priority="3631" operator="containsText" text="P">
      <formula>NOT(ISERROR(SEARCH("P",V94)))</formula>
    </cfRule>
  </conditionalFormatting>
  <conditionalFormatting sqref="AC94:AD100">
    <cfRule type="containsText" dxfId="6185" priority="3618" operator="containsText" text="TFO">
      <formula>NOT(ISERROR(SEARCH("TFO",AC94)))</formula>
    </cfRule>
    <cfRule type="containsText" dxfId="6184" priority="3619" operator="containsText" text="AA">
      <formula>NOT(ISERROR(SEARCH("AA",AC94)))</formula>
    </cfRule>
    <cfRule type="containsText" dxfId="6183" priority="3620" operator="containsText" text="RESIGNED">
      <formula>NOT(ISERROR(SEARCH("RESIGNED",AC94)))</formula>
    </cfRule>
    <cfRule type="containsText" dxfId="6182" priority="3621" operator="containsText" text="P">
      <formula>NOT(ISERROR(SEARCH("P",AC94)))</formula>
    </cfRule>
    <cfRule type="containsText" dxfId="6181" priority="3622" operator="containsText" text="TARDY">
      <formula>NOT(ISERROR(SEARCH("TARDY",AC94)))</formula>
    </cfRule>
    <cfRule type="containsText" dxfId="6180" priority="3623" operator="containsText" text="REST DAY">
      <formula>NOT(ISERROR(SEARCH("REST DAY",AC94)))</formula>
    </cfRule>
    <cfRule type="containsText" dxfId="6179" priority="3624" operator="containsText" text="UA">
      <formula>NOT(ISERROR(SEARCH("UA",AC94)))</formula>
    </cfRule>
    <cfRule type="containsText" dxfId="6178" priority="3625" operator="containsText" text="LWOP UA">
      <formula>NOT(ISERROR(SEARCH("LWOP UA",AC94)))</formula>
    </cfRule>
  </conditionalFormatting>
  <conditionalFormatting sqref="AC94:AD100">
    <cfRule type="containsText" dxfId="6177" priority="3612" operator="containsText" text="VL">
      <formula>NOT(ISERROR(SEARCH("VL",AC94)))</formula>
    </cfRule>
    <cfRule type="containsText" dxfId="6176" priority="3613" operator="containsText" text="RD">
      <formula>NOT(ISERROR(SEARCH("RD",AC94)))</formula>
    </cfRule>
    <cfRule type="containsText" dxfId="6175" priority="3614" operator="containsText" text="540">
      <formula>NOT(ISERROR(SEARCH("540",AC94)))</formula>
    </cfRule>
    <cfRule type="cellIs" dxfId="6174" priority="3615" operator="between">
      <formula>1</formula>
      <formula>400</formula>
    </cfRule>
    <cfRule type="containsText" dxfId="6173" priority="3616" operator="containsText" text="LWOP UA">
      <formula>NOT(ISERROR(SEARCH("LWOP UA",AC94)))</formula>
    </cfRule>
  </conditionalFormatting>
  <conditionalFormatting sqref="AC94:AD100">
    <cfRule type="containsText" dxfId="6172" priority="3617" operator="containsText" text="P">
      <formula>NOT(ISERROR(SEARCH("P",AC94)))</formula>
    </cfRule>
  </conditionalFormatting>
  <conditionalFormatting sqref="Y94:Y100">
    <cfRule type="containsText" dxfId="6171" priority="1685" operator="containsText" text="P">
      <formula>NOT(ISERROR(SEARCH("P",Y94)))</formula>
    </cfRule>
  </conditionalFormatting>
  <conditionalFormatting sqref="Y94:Y100">
    <cfRule type="containsText" dxfId="6170" priority="1693" operator="containsText" text="LWOP UA">
      <formula>NOT(ISERROR(SEARCH("LWOP UA",Y94)))</formula>
    </cfRule>
  </conditionalFormatting>
  <conditionalFormatting sqref="Y94:Y100">
    <cfRule type="containsText" dxfId="6169" priority="1686" operator="containsText" text="TFO">
      <formula>NOT(ISERROR(SEARCH("TFO",Y94)))</formula>
    </cfRule>
    <cfRule type="containsText" dxfId="6168" priority="1687" operator="containsText" text="AA">
      <formula>NOT(ISERROR(SEARCH("AA",Y94)))</formula>
    </cfRule>
    <cfRule type="containsText" dxfId="6167" priority="1688" operator="containsText" text="RESIGNED">
      <formula>NOT(ISERROR(SEARCH("RESIGNED",Y94)))</formula>
    </cfRule>
    <cfRule type="containsText" dxfId="6166" priority="1689" operator="containsText" text="P">
      <formula>NOT(ISERROR(SEARCH("P",Y94)))</formula>
    </cfRule>
    <cfRule type="containsText" dxfId="6165" priority="1690" operator="containsText" text="TARDY">
      <formula>NOT(ISERROR(SEARCH("TARDY",Y94)))</formula>
    </cfRule>
    <cfRule type="containsText" dxfId="6164" priority="1691" operator="containsText" text="REST DAY">
      <formula>NOT(ISERROR(SEARCH("REST DAY",Y94)))</formula>
    </cfRule>
    <cfRule type="containsText" dxfId="6163" priority="1692" operator="containsText" text="UA">
      <formula>NOT(ISERROR(SEARCH("UA",Y94)))</formula>
    </cfRule>
  </conditionalFormatting>
  <conditionalFormatting sqref="Y94:Y100">
    <cfRule type="containsText" dxfId="6162" priority="1680" operator="containsText" text="VL">
      <formula>NOT(ISERROR(SEARCH("VL",Y94)))</formula>
    </cfRule>
    <cfRule type="containsText" dxfId="6161" priority="1681" operator="containsText" text="RD">
      <formula>NOT(ISERROR(SEARCH("RD",Y94)))</formula>
    </cfRule>
    <cfRule type="containsText" dxfId="6160" priority="1682" operator="containsText" text="540">
      <formula>NOT(ISERROR(SEARCH("540",Y94)))</formula>
    </cfRule>
    <cfRule type="cellIs" dxfId="6159" priority="1683" operator="between">
      <formula>1</formula>
      <formula>400</formula>
    </cfRule>
  </conditionalFormatting>
  <conditionalFormatting sqref="Y94:Y100">
    <cfRule type="containsText" dxfId="6158" priority="1684" operator="containsText" text="LWOP UA">
      <formula>NOT(ISERROR(SEARCH("LWOP UA",Y94)))</formula>
    </cfRule>
  </conditionalFormatting>
  <conditionalFormatting sqref="X94:X101">
    <cfRule type="containsText" dxfId="6157" priority="1391" operator="containsText" text="P">
      <formula>NOT(ISERROR(SEARCH("P",X94)))</formula>
    </cfRule>
  </conditionalFormatting>
  <conditionalFormatting sqref="X94:X101">
    <cfRule type="containsText" dxfId="6156" priority="1399" operator="containsText" text="LWOP UA">
      <formula>NOT(ISERROR(SEARCH("LWOP UA",X94)))</formula>
    </cfRule>
  </conditionalFormatting>
  <conditionalFormatting sqref="X94:X101">
    <cfRule type="containsText" dxfId="6155" priority="1392" operator="containsText" text="TFO">
      <formula>NOT(ISERROR(SEARCH("TFO",X94)))</formula>
    </cfRule>
    <cfRule type="containsText" dxfId="6154" priority="1393" operator="containsText" text="AA">
      <formula>NOT(ISERROR(SEARCH("AA",X94)))</formula>
    </cfRule>
    <cfRule type="containsText" dxfId="6153" priority="1394" operator="containsText" text="RESIGNED">
      <formula>NOT(ISERROR(SEARCH("RESIGNED",X94)))</formula>
    </cfRule>
    <cfRule type="containsText" dxfId="6152" priority="1395" operator="containsText" text="P">
      <formula>NOT(ISERROR(SEARCH("P",X94)))</formula>
    </cfRule>
    <cfRule type="containsText" dxfId="6151" priority="1396" operator="containsText" text="TARDY">
      <formula>NOT(ISERROR(SEARCH("TARDY",X94)))</formula>
    </cfRule>
    <cfRule type="containsText" dxfId="6150" priority="1397" operator="containsText" text="REST DAY">
      <formula>NOT(ISERROR(SEARCH("REST DAY",X94)))</formula>
    </cfRule>
    <cfRule type="containsText" dxfId="6149" priority="1398" operator="containsText" text="UA">
      <formula>NOT(ISERROR(SEARCH("UA",X94)))</formula>
    </cfRule>
  </conditionalFormatting>
  <conditionalFormatting sqref="X94:X101">
    <cfRule type="containsText" dxfId="6148" priority="1386" operator="containsText" text="VL">
      <formula>NOT(ISERROR(SEARCH("VL",X94)))</formula>
    </cfRule>
    <cfRule type="containsText" dxfId="6147" priority="1387" operator="containsText" text="RD">
      <formula>NOT(ISERROR(SEARCH("RD",X94)))</formula>
    </cfRule>
    <cfRule type="containsText" dxfId="6146" priority="1388" operator="containsText" text="540">
      <formula>NOT(ISERROR(SEARCH("540",X94)))</formula>
    </cfRule>
    <cfRule type="cellIs" dxfId="6145" priority="1389" operator="between">
      <formula>1</formula>
      <formula>400</formula>
    </cfRule>
  </conditionalFormatting>
  <conditionalFormatting sqref="X94:X101">
    <cfRule type="containsText" dxfId="6144" priority="1390" operator="containsText" text="LWOP UA">
      <formula>NOT(ISERROR(SEARCH("LWOP UA",X94)))</formula>
    </cfRule>
  </conditionalFormatting>
  <conditionalFormatting sqref="AI94:AI101">
    <cfRule type="containsText" dxfId="6143" priority="1237" operator="containsText" text="P">
      <formula>NOT(ISERROR(SEARCH("P",AI94)))</formula>
    </cfRule>
  </conditionalFormatting>
  <conditionalFormatting sqref="AI94:AI101">
    <cfRule type="containsText" dxfId="6142" priority="1228" operator="containsText" text="P">
      <formula>NOT(ISERROR(SEARCH("P",AI94)))</formula>
    </cfRule>
    <cfRule type="containsText" dxfId="6141" priority="1229" operator="containsText" text="TFO">
      <formula>NOT(ISERROR(SEARCH("TFO",AI94)))</formula>
    </cfRule>
    <cfRule type="containsText" dxfId="6140" priority="1230" operator="containsText" text="AA">
      <formula>NOT(ISERROR(SEARCH("AA",AI94)))</formula>
    </cfRule>
    <cfRule type="containsText" dxfId="6139" priority="1231" operator="containsText" text="RESIGNED">
      <formula>NOT(ISERROR(SEARCH("RESIGNED",AI94)))</formula>
    </cfRule>
    <cfRule type="containsText" dxfId="6138" priority="1232" operator="containsText" text="P">
      <formula>NOT(ISERROR(SEARCH("P",AI94)))</formula>
    </cfRule>
    <cfRule type="containsText" dxfId="6137" priority="1233" operator="containsText" text="TARDY">
      <formula>NOT(ISERROR(SEARCH("TARDY",AI94)))</formula>
    </cfRule>
    <cfRule type="containsText" dxfId="6136" priority="1234" operator="containsText" text="REST DAY">
      <formula>NOT(ISERROR(SEARCH("REST DAY",AI94)))</formula>
    </cfRule>
    <cfRule type="containsText" dxfId="6135" priority="1235" operator="containsText" text="UA">
      <formula>NOT(ISERROR(SEARCH("UA",AI94)))</formula>
    </cfRule>
    <cfRule type="containsText" dxfId="6134" priority="1236" operator="containsText" text="LWOP UA">
      <formula>NOT(ISERROR(SEARCH("LWOP UA",AI94)))</formula>
    </cfRule>
  </conditionalFormatting>
  <conditionalFormatting sqref="AI94:AI101">
    <cfRule type="containsText" dxfId="6133" priority="1245" operator="containsText" text="LWOP UA">
      <formula>NOT(ISERROR(SEARCH("LWOP UA",AI94)))</formula>
    </cfRule>
  </conditionalFormatting>
  <conditionalFormatting sqref="AI94:AI101">
    <cfRule type="containsText" dxfId="6132" priority="1238" operator="containsText" text="TFO">
      <formula>NOT(ISERROR(SEARCH("TFO",AI94)))</formula>
    </cfRule>
    <cfRule type="containsText" dxfId="6131" priority="1239" operator="containsText" text="AA">
      <formula>NOT(ISERROR(SEARCH("AA",AI94)))</formula>
    </cfRule>
    <cfRule type="containsText" dxfId="6130" priority="1240" operator="containsText" text="RESIGNED">
      <formula>NOT(ISERROR(SEARCH("RESIGNED",AI94)))</formula>
    </cfRule>
    <cfRule type="containsText" dxfId="6129" priority="1241" operator="containsText" text="P">
      <formula>NOT(ISERROR(SEARCH("P",AI94)))</formula>
    </cfRule>
    <cfRule type="containsText" dxfId="6128" priority="1242" operator="containsText" text="TARDY">
      <formula>NOT(ISERROR(SEARCH("TARDY",AI94)))</formula>
    </cfRule>
    <cfRule type="containsText" dxfId="6127" priority="1243" operator="containsText" text="REST DAY">
      <formula>NOT(ISERROR(SEARCH("REST DAY",AI94)))</formula>
    </cfRule>
    <cfRule type="containsText" dxfId="6126" priority="1244" operator="containsText" text="UA">
      <formula>NOT(ISERROR(SEARCH("UA",AI94)))</formula>
    </cfRule>
  </conditionalFormatting>
  <conditionalFormatting sqref="AI94:AI101">
    <cfRule type="containsText" dxfId="6125" priority="1224" operator="containsText" text="RD">
      <formula>NOT(ISERROR(SEARCH("RD",AI94)))</formula>
    </cfRule>
    <cfRule type="containsText" dxfId="6124" priority="1225" operator="containsText" text="540">
      <formula>NOT(ISERROR(SEARCH("540",AI94)))</formula>
    </cfRule>
    <cfRule type="cellIs" dxfId="6123" priority="1226" operator="between">
      <formula>1</formula>
      <formula>400</formula>
    </cfRule>
  </conditionalFormatting>
  <conditionalFormatting sqref="AI94:AI101">
    <cfRule type="containsText" dxfId="6122" priority="1223" operator="containsText" text="VL">
      <formula>NOT(ISERROR(SEARCH("VL",AI94)))</formula>
    </cfRule>
    <cfRule type="containsText" dxfId="6121" priority="1227" operator="containsText" text="LWOP UA">
      <formula>NOT(ISERROR(SEARCH("LWOP UA",AI94)))</formula>
    </cfRule>
  </conditionalFormatting>
  <conditionalFormatting sqref="AH18">
    <cfRule type="containsText" dxfId="6120" priority="865" operator="containsText" text="TFO">
      <formula>NOT(ISERROR(SEARCH("TFO",AH18)))</formula>
    </cfRule>
    <cfRule type="containsText" dxfId="6119" priority="866" operator="containsText" text="AA">
      <formula>NOT(ISERROR(SEARCH("AA",AH18)))</formula>
    </cfRule>
    <cfRule type="containsText" dxfId="6118" priority="867" operator="containsText" text="RESIGNED">
      <formula>NOT(ISERROR(SEARCH("RESIGNED",AH18)))</formula>
    </cfRule>
    <cfRule type="containsText" dxfId="6117" priority="868" operator="containsText" text="P">
      <formula>NOT(ISERROR(SEARCH("P",AH18)))</formula>
    </cfRule>
    <cfRule type="containsText" dxfId="6116" priority="869" operator="containsText" text="TARDY">
      <formula>NOT(ISERROR(SEARCH("TARDY",AH18)))</formula>
    </cfRule>
    <cfRule type="containsText" dxfId="6115" priority="870" operator="containsText" text="REST DAY">
      <formula>NOT(ISERROR(SEARCH("REST DAY",AH18)))</formula>
    </cfRule>
    <cfRule type="containsText" dxfId="6114" priority="871" operator="containsText" text="UA">
      <formula>NOT(ISERROR(SEARCH("UA",AH18)))</formula>
    </cfRule>
    <cfRule type="containsText" dxfId="6113" priority="872" operator="containsText" text="LWOP UA">
      <formula>NOT(ISERROR(SEARCH("LWOP UA",AH18)))</formula>
    </cfRule>
  </conditionalFormatting>
  <conditionalFormatting sqref="AH18">
    <cfRule type="containsText" dxfId="6112" priority="859" operator="containsText" text="VL">
      <formula>NOT(ISERROR(SEARCH("VL",AH18)))</formula>
    </cfRule>
    <cfRule type="containsText" dxfId="6111" priority="860" operator="containsText" text="RD">
      <formula>NOT(ISERROR(SEARCH("RD",AH18)))</formula>
    </cfRule>
    <cfRule type="containsText" dxfId="6110" priority="861" operator="containsText" text="540">
      <formula>NOT(ISERROR(SEARCH("540",AH18)))</formula>
    </cfRule>
    <cfRule type="cellIs" dxfId="6109" priority="862" operator="between">
      <formula>1</formula>
      <formula>400</formula>
    </cfRule>
    <cfRule type="containsText" dxfId="6108" priority="863" operator="containsText" text="LWOP UA">
      <formula>NOT(ISERROR(SEARCH("LWOP UA",AH18)))</formula>
    </cfRule>
  </conditionalFormatting>
  <conditionalFormatting sqref="AH18">
    <cfRule type="containsText" dxfId="6107" priority="864" operator="containsText" text="P">
      <formula>NOT(ISERROR(SEARCH("P",AH18)))</formula>
    </cfRule>
  </conditionalFormatting>
  <conditionalFormatting sqref="AH38">
    <cfRule type="containsText" dxfId="6106" priority="104" operator="containsText" text="P">
      <formula>NOT(ISERROR(SEARCH("P",AH38)))</formula>
    </cfRule>
  </conditionalFormatting>
  <conditionalFormatting sqref="AH38">
    <cfRule type="containsText" dxfId="6105" priority="112" operator="containsText" text="LWOP UA">
      <formula>NOT(ISERROR(SEARCH("LWOP UA",AH38)))</formula>
    </cfRule>
  </conditionalFormatting>
  <conditionalFormatting sqref="AH38">
    <cfRule type="containsText" dxfId="6104" priority="105" operator="containsText" text="TFO">
      <formula>NOT(ISERROR(SEARCH("TFO",AH38)))</formula>
    </cfRule>
    <cfRule type="containsText" dxfId="6103" priority="106" operator="containsText" text="AA">
      <formula>NOT(ISERROR(SEARCH("AA",AH38)))</formula>
    </cfRule>
    <cfRule type="containsText" dxfId="6102" priority="107" operator="containsText" text="RESIGNED">
      <formula>NOT(ISERROR(SEARCH("RESIGNED",AH38)))</formula>
    </cfRule>
    <cfRule type="containsText" dxfId="6101" priority="108" operator="containsText" text="P">
      <formula>NOT(ISERROR(SEARCH("P",AH38)))</formula>
    </cfRule>
    <cfRule type="containsText" dxfId="6100" priority="109" operator="containsText" text="TARDY">
      <formula>NOT(ISERROR(SEARCH("TARDY",AH38)))</formula>
    </cfRule>
    <cfRule type="containsText" dxfId="6099" priority="110" operator="containsText" text="REST DAY">
      <formula>NOT(ISERROR(SEARCH("REST DAY",AH38)))</formula>
    </cfRule>
    <cfRule type="containsText" dxfId="6098" priority="111" operator="containsText" text="UA">
      <formula>NOT(ISERROR(SEARCH("UA",AH38)))</formula>
    </cfRule>
  </conditionalFormatting>
  <conditionalFormatting sqref="AH38">
    <cfRule type="containsText" dxfId="6097" priority="99" operator="containsText" text="VL">
      <formula>NOT(ISERROR(SEARCH("VL",AH38)))</formula>
    </cfRule>
    <cfRule type="containsText" dxfId="6096" priority="100" operator="containsText" text="RD">
      <formula>NOT(ISERROR(SEARCH("RD",AH38)))</formula>
    </cfRule>
    <cfRule type="containsText" dxfId="6095" priority="101" operator="containsText" text="540">
      <formula>NOT(ISERROR(SEARCH("540",AH38)))</formula>
    </cfRule>
    <cfRule type="cellIs" dxfId="6094" priority="102" operator="between">
      <formula>1</formula>
      <formula>400</formula>
    </cfRule>
  </conditionalFormatting>
  <conditionalFormatting sqref="AH38">
    <cfRule type="containsText" dxfId="6093" priority="103" operator="containsText" text="LWOP UA">
      <formula>NOT(ISERROR(SEARCH("LWOP UA",AH38)))</formula>
    </cfRule>
  </conditionalFormatting>
  <conditionalFormatting sqref="AH44">
    <cfRule type="containsText" dxfId="6092" priority="35" operator="containsText" text="TFO">
      <formula>NOT(ISERROR(SEARCH("TFO",AH44)))</formula>
    </cfRule>
    <cfRule type="containsText" dxfId="6091" priority="36" operator="containsText" text="AA">
      <formula>NOT(ISERROR(SEARCH("AA",AH44)))</formula>
    </cfRule>
    <cfRule type="containsText" dxfId="6090" priority="37" operator="containsText" text="RESIGNED">
      <formula>NOT(ISERROR(SEARCH("RESIGNED",AH44)))</formula>
    </cfRule>
    <cfRule type="containsText" dxfId="6089" priority="38" operator="containsText" text="P">
      <formula>NOT(ISERROR(SEARCH("P",AH44)))</formula>
    </cfRule>
    <cfRule type="containsText" dxfId="6088" priority="39" operator="containsText" text="TARDY">
      <formula>NOT(ISERROR(SEARCH("TARDY",AH44)))</formula>
    </cfRule>
    <cfRule type="containsText" dxfId="6087" priority="40" operator="containsText" text="REST DAY">
      <formula>NOT(ISERROR(SEARCH("REST DAY",AH44)))</formula>
    </cfRule>
    <cfRule type="containsText" dxfId="6086" priority="41" operator="containsText" text="UA">
      <formula>NOT(ISERROR(SEARCH("UA",AH44)))</formula>
    </cfRule>
    <cfRule type="containsText" dxfId="6085" priority="42" operator="containsText" text="LWOP UA">
      <formula>NOT(ISERROR(SEARCH("LWOP UA",AH44)))</formula>
    </cfRule>
  </conditionalFormatting>
  <conditionalFormatting sqref="AH44">
    <cfRule type="containsText" dxfId="6084" priority="29" operator="containsText" text="VL">
      <formula>NOT(ISERROR(SEARCH("VL",AH44)))</formula>
    </cfRule>
    <cfRule type="containsText" dxfId="6083" priority="30" operator="containsText" text="RD">
      <formula>NOT(ISERROR(SEARCH("RD",AH44)))</formula>
    </cfRule>
    <cfRule type="containsText" dxfId="6082" priority="31" operator="containsText" text="540">
      <formula>NOT(ISERROR(SEARCH("540",AH44)))</formula>
    </cfRule>
    <cfRule type="cellIs" dxfId="6081" priority="32" operator="between">
      <formula>1</formula>
      <formula>400</formula>
    </cfRule>
    <cfRule type="containsText" dxfId="6080" priority="33" operator="containsText" text="LWOP UA">
      <formula>NOT(ISERROR(SEARCH("LWOP UA",AH44)))</formula>
    </cfRule>
  </conditionalFormatting>
  <conditionalFormatting sqref="AH44">
    <cfRule type="containsText" dxfId="6079" priority="34" operator="containsText" text="P">
      <formula>NOT(ISERROR(SEARCH("P",AH44)))</formula>
    </cfRule>
  </conditionalFormatting>
  <conditionalFormatting sqref="AH35">
    <cfRule type="containsText" dxfId="6078" priority="20" operator="containsText" text="P">
      <formula>NOT(ISERROR(SEARCH("P",AH35)))</formula>
    </cfRule>
  </conditionalFormatting>
  <conditionalFormatting sqref="AH35">
    <cfRule type="containsText" dxfId="6077" priority="28" operator="containsText" text="LWOP UA">
      <formula>NOT(ISERROR(SEARCH("LWOP UA",AH35)))</formula>
    </cfRule>
  </conditionalFormatting>
  <conditionalFormatting sqref="AH35">
    <cfRule type="containsText" dxfId="6076" priority="21" operator="containsText" text="TFO">
      <formula>NOT(ISERROR(SEARCH("TFO",AH35)))</formula>
    </cfRule>
    <cfRule type="containsText" dxfId="6075" priority="22" operator="containsText" text="AA">
      <formula>NOT(ISERROR(SEARCH("AA",AH35)))</formula>
    </cfRule>
    <cfRule type="containsText" dxfId="6074" priority="23" operator="containsText" text="RESIGNED">
      <formula>NOT(ISERROR(SEARCH("RESIGNED",AH35)))</formula>
    </cfRule>
    <cfRule type="containsText" dxfId="6073" priority="24" operator="containsText" text="P">
      <formula>NOT(ISERROR(SEARCH("P",AH35)))</formula>
    </cfRule>
    <cfRule type="containsText" dxfId="6072" priority="25" operator="containsText" text="TARDY">
      <formula>NOT(ISERROR(SEARCH("TARDY",AH35)))</formula>
    </cfRule>
    <cfRule type="containsText" dxfId="6071" priority="26" operator="containsText" text="REST DAY">
      <formula>NOT(ISERROR(SEARCH("REST DAY",AH35)))</formula>
    </cfRule>
    <cfRule type="containsText" dxfId="6070" priority="27" operator="containsText" text="UA">
      <formula>NOT(ISERROR(SEARCH("UA",AH35)))</formula>
    </cfRule>
  </conditionalFormatting>
  <conditionalFormatting sqref="AH35">
    <cfRule type="containsText" dxfId="6069" priority="15" operator="containsText" text="VL">
      <formula>NOT(ISERROR(SEARCH("VL",AH35)))</formula>
    </cfRule>
    <cfRule type="containsText" dxfId="6068" priority="16" operator="containsText" text="RD">
      <formula>NOT(ISERROR(SEARCH("RD",AH35)))</formula>
    </cfRule>
    <cfRule type="containsText" dxfId="6067" priority="17" operator="containsText" text="540">
      <formula>NOT(ISERROR(SEARCH("540",AH35)))</formula>
    </cfRule>
    <cfRule type="cellIs" dxfId="6066" priority="18" operator="between">
      <formula>1</formula>
      <formula>400</formula>
    </cfRule>
  </conditionalFormatting>
  <conditionalFormatting sqref="AH35">
    <cfRule type="containsText" dxfId="6065" priority="19" operator="containsText" text="LWOP UA">
      <formula>NOT(ISERROR(SEARCH("LWOP UA",AH35)))</formula>
    </cfRule>
  </conditionalFormatting>
  <conditionalFormatting sqref="AH21">
    <cfRule type="containsText" dxfId="6064" priority="7" operator="containsText" text="TFO">
      <formula>NOT(ISERROR(SEARCH("TFO",AH21)))</formula>
    </cfRule>
    <cfRule type="containsText" dxfId="6063" priority="8" operator="containsText" text="AA">
      <formula>NOT(ISERROR(SEARCH("AA",AH21)))</formula>
    </cfRule>
    <cfRule type="containsText" dxfId="6062" priority="9" operator="containsText" text="RESIGNED">
      <formula>NOT(ISERROR(SEARCH("RESIGNED",AH21)))</formula>
    </cfRule>
    <cfRule type="containsText" dxfId="6061" priority="10" operator="containsText" text="P">
      <formula>NOT(ISERROR(SEARCH("P",AH21)))</formula>
    </cfRule>
    <cfRule type="containsText" dxfId="6060" priority="11" operator="containsText" text="TARDY">
      <formula>NOT(ISERROR(SEARCH("TARDY",AH21)))</formula>
    </cfRule>
    <cfRule type="containsText" dxfId="6059" priority="12" operator="containsText" text="REST DAY">
      <formula>NOT(ISERROR(SEARCH("REST DAY",AH21)))</formula>
    </cfRule>
    <cfRule type="containsText" dxfId="6058" priority="13" operator="containsText" text="UA">
      <formula>NOT(ISERROR(SEARCH("UA",AH21)))</formula>
    </cfRule>
    <cfRule type="containsText" dxfId="6057" priority="14" operator="containsText" text="LWOP UA">
      <formula>NOT(ISERROR(SEARCH("LWOP UA",AH21)))</formula>
    </cfRule>
  </conditionalFormatting>
  <conditionalFormatting sqref="AH21">
    <cfRule type="containsText" dxfId="6056" priority="1" operator="containsText" text="VL">
      <formula>NOT(ISERROR(SEARCH("VL",AH21)))</formula>
    </cfRule>
    <cfRule type="containsText" dxfId="6055" priority="2" operator="containsText" text="RD">
      <formula>NOT(ISERROR(SEARCH("RD",AH21)))</formula>
    </cfRule>
    <cfRule type="containsText" dxfId="6054" priority="3" operator="containsText" text="540">
      <formula>NOT(ISERROR(SEARCH("540",AH21)))</formula>
    </cfRule>
    <cfRule type="cellIs" dxfId="6053" priority="4" operator="between">
      <formula>1</formula>
      <formula>400</formula>
    </cfRule>
    <cfRule type="containsText" dxfId="6052" priority="5" operator="containsText" text="LWOP UA">
      <formula>NOT(ISERROR(SEARCH("LWOP UA",AH21)))</formula>
    </cfRule>
  </conditionalFormatting>
  <conditionalFormatting sqref="AH21">
    <cfRule type="containsText" dxfId="6051" priority="6" operator="containsText" text="P">
      <formula>NOT(ISERROR(SEARCH("P",AH21)))</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48827-3693-43DD-ADD7-585E4494AB15}">
  <dimension ref="A1:O757"/>
  <sheetViews>
    <sheetView workbookViewId="0">
      <selection activeCell="I5" sqref="I5:J5"/>
    </sheetView>
  </sheetViews>
  <sheetFormatPr defaultRowHeight="15"/>
  <cols>
    <col min="1" max="2" width="21.140625" style="130" customWidth="1"/>
    <col min="3" max="3" width="21.140625" style="136" customWidth="1"/>
    <col min="4" max="4" width="21.140625" style="130" customWidth="1"/>
    <col min="6" max="6" width="22.7109375" style="125" bestFit="1" customWidth="1"/>
    <col min="7" max="7" width="16.7109375" customWidth="1"/>
    <col min="8" max="8" width="13.28515625" style="95" customWidth="1"/>
    <col min="9" max="9" width="19.28515625" style="15" customWidth="1"/>
    <col min="10" max="10" width="15.85546875" style="126" customWidth="1"/>
    <col min="11" max="13" width="10.140625" customWidth="1"/>
  </cols>
  <sheetData>
    <row r="1" spans="1:10">
      <c r="A1" s="127" t="s">
        <v>198</v>
      </c>
      <c r="B1" s="127" t="s">
        <v>199</v>
      </c>
      <c r="C1" s="128" t="s">
        <v>200</v>
      </c>
      <c r="D1" s="127" t="s">
        <v>201</v>
      </c>
      <c r="F1" s="13" t="s">
        <v>198</v>
      </c>
      <c r="G1" s="13" t="s">
        <v>199</v>
      </c>
      <c r="H1" s="13" t="s">
        <v>200</v>
      </c>
      <c r="I1" s="13" t="s">
        <v>201</v>
      </c>
      <c r="J1" t="s">
        <v>202</v>
      </c>
    </row>
    <row r="2" spans="1:10">
      <c r="A2" s="130" t="s">
        <v>24</v>
      </c>
      <c r="B2" s="130" t="s">
        <v>11</v>
      </c>
      <c r="C2" s="131">
        <v>45854</v>
      </c>
      <c r="D2" s="129" t="s">
        <v>203</v>
      </c>
      <c r="F2" t="s">
        <v>24</v>
      </c>
      <c r="G2" t="s">
        <v>11</v>
      </c>
      <c r="H2" s="95">
        <v>45854</v>
      </c>
      <c r="I2" t="s">
        <v>203</v>
      </c>
      <c r="J2">
        <v>1</v>
      </c>
    </row>
    <row r="3" spans="1:10">
      <c r="A3" s="130" t="s">
        <v>24</v>
      </c>
      <c r="B3" s="130" t="s">
        <v>11</v>
      </c>
      <c r="C3" s="131">
        <v>45859</v>
      </c>
      <c r="D3" s="129" t="s">
        <v>203</v>
      </c>
      <c r="F3"/>
      <c r="H3" s="95">
        <v>45859</v>
      </c>
      <c r="I3" t="s">
        <v>203</v>
      </c>
      <c r="J3">
        <v>1</v>
      </c>
    </row>
    <row r="4" spans="1:10">
      <c r="A4" s="130" t="s">
        <v>24</v>
      </c>
      <c r="B4" s="130" t="s">
        <v>11</v>
      </c>
      <c r="C4" s="131">
        <v>45860</v>
      </c>
      <c r="D4" s="129" t="s">
        <v>203</v>
      </c>
      <c r="F4"/>
      <c r="H4" s="95">
        <v>45860</v>
      </c>
      <c r="I4" t="s">
        <v>203</v>
      </c>
      <c r="J4">
        <v>1</v>
      </c>
    </row>
    <row r="5" spans="1:10">
      <c r="A5" s="132" t="s">
        <v>28</v>
      </c>
      <c r="B5" s="130" t="s">
        <v>11</v>
      </c>
      <c r="C5" s="131">
        <v>45849</v>
      </c>
      <c r="D5" s="129" t="s">
        <v>204</v>
      </c>
      <c r="F5" t="s">
        <v>28</v>
      </c>
      <c r="G5" t="s">
        <v>11</v>
      </c>
      <c r="H5" s="95">
        <v>45849</v>
      </c>
      <c r="I5" t="s">
        <v>204</v>
      </c>
      <c r="J5">
        <v>1</v>
      </c>
    </row>
    <row r="6" spans="1:10">
      <c r="A6" s="132" t="s">
        <v>28</v>
      </c>
      <c r="B6" s="129" t="s">
        <v>205</v>
      </c>
      <c r="C6" s="131">
        <v>45850</v>
      </c>
      <c r="D6" s="129" t="s">
        <v>204</v>
      </c>
      <c r="F6"/>
      <c r="G6" t="s">
        <v>205</v>
      </c>
      <c r="H6" s="95">
        <v>45850</v>
      </c>
      <c r="I6" t="s">
        <v>204</v>
      </c>
      <c r="J6">
        <v>1</v>
      </c>
    </row>
    <row r="7" spans="1:10">
      <c r="A7" s="132" t="s">
        <v>28</v>
      </c>
      <c r="B7" s="129" t="s">
        <v>205</v>
      </c>
      <c r="C7" s="131">
        <v>45851</v>
      </c>
      <c r="D7" s="129" t="s">
        <v>204</v>
      </c>
      <c r="F7"/>
      <c r="H7" s="95">
        <v>45851</v>
      </c>
      <c r="I7" t="s">
        <v>204</v>
      </c>
      <c r="J7">
        <v>1</v>
      </c>
    </row>
    <row r="8" spans="1:10">
      <c r="A8" s="132" t="s">
        <v>28</v>
      </c>
      <c r="B8" s="129" t="s">
        <v>205</v>
      </c>
      <c r="C8" s="131">
        <v>45855</v>
      </c>
      <c r="D8" s="129" t="s">
        <v>206</v>
      </c>
      <c r="F8"/>
      <c r="H8" s="95">
        <v>45855</v>
      </c>
      <c r="I8" t="s">
        <v>206</v>
      </c>
      <c r="J8">
        <v>1</v>
      </c>
    </row>
    <row r="9" spans="1:10">
      <c r="A9" s="132" t="s">
        <v>29</v>
      </c>
      <c r="B9" s="129" t="s">
        <v>205</v>
      </c>
      <c r="C9" s="131">
        <v>45849</v>
      </c>
      <c r="D9" s="129" t="s">
        <v>206</v>
      </c>
      <c r="F9" t="s">
        <v>29</v>
      </c>
      <c r="G9" t="s">
        <v>205</v>
      </c>
      <c r="H9" s="95">
        <v>45849</v>
      </c>
      <c r="I9" t="s">
        <v>206</v>
      </c>
      <c r="J9">
        <v>1</v>
      </c>
    </row>
    <row r="10" spans="1:10">
      <c r="A10" s="132" t="s">
        <v>29</v>
      </c>
      <c r="B10" s="129" t="s">
        <v>205</v>
      </c>
      <c r="C10" s="131">
        <v>45854</v>
      </c>
      <c r="D10" s="129" t="s">
        <v>206</v>
      </c>
      <c r="F10"/>
      <c r="H10" s="95">
        <v>45854</v>
      </c>
      <c r="I10" t="s">
        <v>206</v>
      </c>
      <c r="J10">
        <v>1</v>
      </c>
    </row>
    <row r="11" spans="1:10">
      <c r="A11" s="132" t="s">
        <v>29</v>
      </c>
      <c r="B11" s="129" t="s">
        <v>205</v>
      </c>
      <c r="C11" s="131">
        <v>45855</v>
      </c>
      <c r="D11" s="129" t="s">
        <v>206</v>
      </c>
      <c r="F11"/>
      <c r="H11" s="95">
        <v>45855</v>
      </c>
      <c r="I11" t="s">
        <v>206</v>
      </c>
      <c r="J11">
        <v>1</v>
      </c>
    </row>
    <row r="12" spans="1:10">
      <c r="A12" s="130" t="s">
        <v>32</v>
      </c>
      <c r="B12" s="129" t="s">
        <v>205</v>
      </c>
      <c r="C12" s="131">
        <v>45841</v>
      </c>
      <c r="D12" s="129" t="s">
        <v>206</v>
      </c>
      <c r="F12" t="s">
        <v>32</v>
      </c>
      <c r="G12" t="s">
        <v>205</v>
      </c>
      <c r="H12" s="95">
        <v>45841</v>
      </c>
      <c r="I12" t="s">
        <v>206</v>
      </c>
      <c r="J12">
        <v>1</v>
      </c>
    </row>
    <row r="13" spans="1:10">
      <c r="A13" s="130" t="s">
        <v>32</v>
      </c>
      <c r="B13" s="129" t="s">
        <v>205</v>
      </c>
      <c r="C13" s="131">
        <v>45846</v>
      </c>
      <c r="D13" s="129" t="s">
        <v>206</v>
      </c>
      <c r="F13"/>
      <c r="H13" s="95">
        <v>45846</v>
      </c>
      <c r="I13" t="s">
        <v>206</v>
      </c>
      <c r="J13">
        <v>1</v>
      </c>
    </row>
    <row r="14" spans="1:10">
      <c r="A14" s="130" t="s">
        <v>32</v>
      </c>
      <c r="B14" s="129" t="s">
        <v>205</v>
      </c>
      <c r="C14" s="131">
        <v>45852</v>
      </c>
      <c r="D14" s="129" t="s">
        <v>206</v>
      </c>
      <c r="F14"/>
      <c r="H14" s="95">
        <v>45852</v>
      </c>
      <c r="I14" t="s">
        <v>206</v>
      </c>
      <c r="J14">
        <v>1</v>
      </c>
    </row>
    <row r="15" spans="1:10">
      <c r="A15" s="130" t="s">
        <v>32</v>
      </c>
      <c r="B15" s="129" t="s">
        <v>205</v>
      </c>
      <c r="C15" s="131">
        <v>45855</v>
      </c>
      <c r="D15" s="129" t="s">
        <v>207</v>
      </c>
      <c r="F15"/>
      <c r="H15" s="95">
        <v>45855</v>
      </c>
      <c r="I15" t="s">
        <v>207</v>
      </c>
      <c r="J15">
        <v>1</v>
      </c>
    </row>
    <row r="16" spans="1:10">
      <c r="A16" s="132" t="s">
        <v>35</v>
      </c>
      <c r="B16" s="129" t="s">
        <v>205</v>
      </c>
      <c r="C16" s="131">
        <v>45839</v>
      </c>
      <c r="D16" s="129" t="s">
        <v>207</v>
      </c>
      <c r="F16" t="s">
        <v>208</v>
      </c>
      <c r="G16" t="s">
        <v>11</v>
      </c>
      <c r="H16" s="95">
        <v>45840</v>
      </c>
      <c r="I16" t="s">
        <v>209</v>
      </c>
      <c r="J16">
        <v>1</v>
      </c>
    </row>
    <row r="17" spans="1:10">
      <c r="A17" s="132" t="s">
        <v>35</v>
      </c>
      <c r="B17" s="129" t="s">
        <v>205</v>
      </c>
      <c r="C17" s="131">
        <v>45848</v>
      </c>
      <c r="D17" s="129" t="s">
        <v>206</v>
      </c>
      <c r="F17"/>
      <c r="H17" s="95">
        <v>45848</v>
      </c>
      <c r="I17" t="s">
        <v>206</v>
      </c>
      <c r="J17">
        <v>1</v>
      </c>
    </row>
    <row r="18" spans="1:10">
      <c r="A18" s="130" t="s">
        <v>39</v>
      </c>
      <c r="B18" s="129" t="s">
        <v>205</v>
      </c>
      <c r="C18" s="131">
        <v>45839</v>
      </c>
      <c r="D18" s="129" t="s">
        <v>206</v>
      </c>
      <c r="F18"/>
      <c r="H18" s="95">
        <v>45849</v>
      </c>
      <c r="I18" t="s">
        <v>210</v>
      </c>
      <c r="J18">
        <v>1</v>
      </c>
    </row>
    <row r="19" spans="1:10">
      <c r="A19" s="130" t="s">
        <v>41</v>
      </c>
      <c r="B19" s="129" t="s">
        <v>205</v>
      </c>
      <c r="C19" s="131">
        <v>45842</v>
      </c>
      <c r="D19" s="129" t="s">
        <v>206</v>
      </c>
      <c r="F19"/>
      <c r="H19" s="95">
        <v>45850</v>
      </c>
      <c r="I19" t="s">
        <v>209</v>
      </c>
      <c r="J19">
        <v>1</v>
      </c>
    </row>
    <row r="20" spans="1:10">
      <c r="A20" s="130" t="s">
        <v>42</v>
      </c>
      <c r="B20" s="129" t="s">
        <v>205</v>
      </c>
      <c r="C20" s="131">
        <v>45841</v>
      </c>
      <c r="D20" s="129" t="s">
        <v>206</v>
      </c>
      <c r="F20"/>
      <c r="H20" s="95">
        <v>45851</v>
      </c>
      <c r="I20" t="s">
        <v>211</v>
      </c>
      <c r="J20">
        <v>1</v>
      </c>
    </row>
    <row r="21" spans="1:10">
      <c r="A21" s="132" t="s">
        <v>45</v>
      </c>
      <c r="B21" s="130" t="s">
        <v>212</v>
      </c>
      <c r="C21" s="131">
        <v>45849</v>
      </c>
      <c r="D21" s="129" t="s">
        <v>213</v>
      </c>
      <c r="F21"/>
      <c r="H21" s="95">
        <v>45855</v>
      </c>
      <c r="I21" t="s">
        <v>209</v>
      </c>
      <c r="J21">
        <v>1</v>
      </c>
    </row>
    <row r="22" spans="1:10">
      <c r="A22" s="132" t="s">
        <v>45</v>
      </c>
      <c r="B22" s="129" t="s">
        <v>205</v>
      </c>
      <c r="C22" s="131">
        <v>45850</v>
      </c>
      <c r="D22" s="129" t="s">
        <v>206</v>
      </c>
      <c r="F22"/>
      <c r="G22" t="s">
        <v>205</v>
      </c>
      <c r="H22" s="95">
        <v>45841</v>
      </c>
      <c r="I22" t="s">
        <v>214</v>
      </c>
      <c r="J22">
        <v>1</v>
      </c>
    </row>
    <row r="23" spans="1:10">
      <c r="A23" s="132" t="s">
        <v>45</v>
      </c>
      <c r="B23" s="129" t="s">
        <v>205</v>
      </c>
      <c r="C23" s="131">
        <v>45850</v>
      </c>
      <c r="D23" s="129" t="s">
        <v>206</v>
      </c>
      <c r="F23" t="s">
        <v>35</v>
      </c>
      <c r="G23" t="s">
        <v>205</v>
      </c>
      <c r="H23" s="95">
        <v>45839</v>
      </c>
      <c r="I23" t="s">
        <v>207</v>
      </c>
      <c r="J23">
        <v>1</v>
      </c>
    </row>
    <row r="24" spans="1:10">
      <c r="A24" s="132" t="s">
        <v>45</v>
      </c>
      <c r="B24" s="129" t="s">
        <v>205</v>
      </c>
      <c r="C24" s="131">
        <v>45847</v>
      </c>
      <c r="D24" s="129" t="s">
        <v>206</v>
      </c>
      <c r="F24"/>
      <c r="H24" s="95">
        <v>45848</v>
      </c>
      <c r="I24" t="s">
        <v>206</v>
      </c>
      <c r="J24">
        <v>1</v>
      </c>
    </row>
    <row r="25" spans="1:10">
      <c r="A25" s="132" t="s">
        <v>45</v>
      </c>
      <c r="B25" s="129" t="s">
        <v>205</v>
      </c>
      <c r="C25" s="131">
        <v>45848</v>
      </c>
      <c r="D25" s="129" t="s">
        <v>206</v>
      </c>
      <c r="F25" t="s">
        <v>39</v>
      </c>
      <c r="G25" t="s">
        <v>205</v>
      </c>
      <c r="H25" s="95">
        <v>45839</v>
      </c>
      <c r="I25" t="s">
        <v>206</v>
      </c>
      <c r="J25">
        <v>1</v>
      </c>
    </row>
    <row r="26" spans="1:10">
      <c r="A26" s="132" t="s">
        <v>45</v>
      </c>
      <c r="B26" s="129" t="s">
        <v>205</v>
      </c>
      <c r="C26" s="131">
        <v>45855</v>
      </c>
      <c r="D26" s="129" t="s">
        <v>206</v>
      </c>
      <c r="F26" t="s">
        <v>215</v>
      </c>
      <c r="G26" t="s">
        <v>11</v>
      </c>
      <c r="H26" s="95">
        <v>45849</v>
      </c>
      <c r="I26" t="s">
        <v>210</v>
      </c>
      <c r="J26">
        <v>1</v>
      </c>
    </row>
    <row r="27" spans="1:10">
      <c r="A27" s="132" t="s">
        <v>45</v>
      </c>
      <c r="B27" s="130" t="s">
        <v>11</v>
      </c>
      <c r="C27" s="131">
        <v>45849</v>
      </c>
      <c r="D27" s="129" t="s">
        <v>213</v>
      </c>
      <c r="F27"/>
      <c r="H27" s="95">
        <v>45864</v>
      </c>
      <c r="I27" t="s">
        <v>11</v>
      </c>
      <c r="J27">
        <v>1</v>
      </c>
    </row>
    <row r="28" spans="1:10">
      <c r="A28" s="132" t="s">
        <v>45</v>
      </c>
      <c r="B28" s="130" t="s">
        <v>11</v>
      </c>
      <c r="C28" s="131">
        <v>45853</v>
      </c>
      <c r="D28" s="129" t="s">
        <v>213</v>
      </c>
      <c r="F28"/>
      <c r="G28" t="s">
        <v>205</v>
      </c>
      <c r="H28" s="95">
        <v>45848</v>
      </c>
      <c r="I28" t="s">
        <v>206</v>
      </c>
      <c r="J28">
        <v>1</v>
      </c>
    </row>
    <row r="29" spans="1:10">
      <c r="A29" s="132" t="s">
        <v>45</v>
      </c>
      <c r="B29" s="130" t="s">
        <v>11</v>
      </c>
      <c r="C29" s="131">
        <v>45857</v>
      </c>
      <c r="D29" s="129" t="s">
        <v>203</v>
      </c>
      <c r="F29"/>
      <c r="H29" s="95">
        <v>45854</v>
      </c>
      <c r="I29" t="s">
        <v>206</v>
      </c>
      <c r="J29">
        <v>1</v>
      </c>
    </row>
    <row r="30" spans="1:10">
      <c r="A30" s="132" t="s">
        <v>45</v>
      </c>
      <c r="B30" s="130" t="s">
        <v>11</v>
      </c>
      <c r="C30" s="131">
        <v>45858</v>
      </c>
      <c r="D30" s="129" t="s">
        <v>203</v>
      </c>
      <c r="F30"/>
      <c r="H30" s="95">
        <v>45855</v>
      </c>
      <c r="I30" t="s">
        <v>206</v>
      </c>
      <c r="J30">
        <v>1</v>
      </c>
    </row>
    <row r="31" spans="1:10">
      <c r="A31" s="132" t="s">
        <v>45</v>
      </c>
      <c r="B31" s="130" t="s">
        <v>11</v>
      </c>
      <c r="C31" s="131">
        <v>45859</v>
      </c>
      <c r="D31" s="129" t="s">
        <v>203</v>
      </c>
      <c r="F31" t="s">
        <v>41</v>
      </c>
      <c r="G31" t="s">
        <v>205</v>
      </c>
      <c r="H31" s="95">
        <v>45842</v>
      </c>
      <c r="I31" t="s">
        <v>206</v>
      </c>
      <c r="J31">
        <v>1</v>
      </c>
    </row>
    <row r="32" spans="1:10">
      <c r="A32" s="132" t="s">
        <v>45</v>
      </c>
      <c r="B32" s="130" t="s">
        <v>11</v>
      </c>
      <c r="C32" s="131">
        <v>45858</v>
      </c>
      <c r="D32" s="129" t="s">
        <v>203</v>
      </c>
      <c r="F32" t="s">
        <v>42</v>
      </c>
      <c r="G32" t="s">
        <v>205</v>
      </c>
      <c r="H32" s="95">
        <v>45841</v>
      </c>
      <c r="I32" t="s">
        <v>206</v>
      </c>
      <c r="J32">
        <v>1</v>
      </c>
    </row>
    <row r="33" spans="1:10">
      <c r="A33" s="132" t="s">
        <v>45</v>
      </c>
      <c r="B33" s="130" t="s">
        <v>11</v>
      </c>
      <c r="C33" s="131">
        <v>45860</v>
      </c>
      <c r="D33" s="129" t="s">
        <v>203</v>
      </c>
      <c r="F33" t="s">
        <v>45</v>
      </c>
      <c r="G33" t="s">
        <v>11</v>
      </c>
      <c r="H33" s="95">
        <v>45849</v>
      </c>
      <c r="I33" t="s">
        <v>213</v>
      </c>
      <c r="J33">
        <v>1</v>
      </c>
    </row>
    <row r="34" spans="1:10">
      <c r="A34" s="132" t="s">
        <v>47</v>
      </c>
      <c r="B34" s="130" t="s">
        <v>11</v>
      </c>
      <c r="C34" s="131">
        <v>45845</v>
      </c>
      <c r="D34" s="129" t="s">
        <v>203</v>
      </c>
      <c r="F34"/>
      <c r="H34" s="95">
        <v>45853</v>
      </c>
      <c r="I34" t="s">
        <v>213</v>
      </c>
      <c r="J34">
        <v>1</v>
      </c>
    </row>
    <row r="35" spans="1:10">
      <c r="A35" s="132" t="s">
        <v>47</v>
      </c>
      <c r="B35" s="130" t="s">
        <v>11</v>
      </c>
      <c r="C35" s="131">
        <v>45849</v>
      </c>
      <c r="D35" s="129" t="s">
        <v>203</v>
      </c>
      <c r="F35"/>
      <c r="H35" s="95">
        <v>45857</v>
      </c>
      <c r="I35" t="s">
        <v>203</v>
      </c>
      <c r="J35">
        <v>1</v>
      </c>
    </row>
    <row r="36" spans="1:10">
      <c r="A36" s="132" t="s">
        <v>47</v>
      </c>
      <c r="B36" s="130" t="s">
        <v>11</v>
      </c>
      <c r="C36" s="131">
        <v>45860</v>
      </c>
      <c r="D36" s="129" t="s">
        <v>203</v>
      </c>
      <c r="F36"/>
      <c r="H36" s="95">
        <v>45858</v>
      </c>
      <c r="I36" t="s">
        <v>203</v>
      </c>
      <c r="J36">
        <v>2</v>
      </c>
    </row>
    <row r="37" spans="1:10">
      <c r="A37" s="132" t="s">
        <v>49</v>
      </c>
      <c r="B37" s="129" t="s">
        <v>205</v>
      </c>
      <c r="C37" s="131">
        <v>45841</v>
      </c>
      <c r="D37" s="129" t="s">
        <v>203</v>
      </c>
      <c r="F37"/>
      <c r="H37" s="95">
        <v>45859</v>
      </c>
      <c r="I37" t="s">
        <v>203</v>
      </c>
      <c r="J37">
        <v>1</v>
      </c>
    </row>
    <row r="38" spans="1:10">
      <c r="A38" s="132" t="s">
        <v>49</v>
      </c>
      <c r="B38" s="129" t="s">
        <v>205</v>
      </c>
      <c r="C38" s="131">
        <v>45845</v>
      </c>
      <c r="D38" s="129" t="s">
        <v>203</v>
      </c>
      <c r="F38"/>
      <c r="H38" s="95">
        <v>45860</v>
      </c>
      <c r="I38" t="s">
        <v>203</v>
      </c>
      <c r="J38">
        <v>1</v>
      </c>
    </row>
    <row r="39" spans="1:10">
      <c r="A39" s="132" t="s">
        <v>49</v>
      </c>
      <c r="B39" s="129" t="s">
        <v>205</v>
      </c>
      <c r="C39" s="131">
        <v>45855</v>
      </c>
      <c r="D39" s="129" t="s">
        <v>203</v>
      </c>
      <c r="F39"/>
      <c r="G39" t="s">
        <v>205</v>
      </c>
      <c r="H39" s="95">
        <v>45847</v>
      </c>
      <c r="I39" t="s">
        <v>206</v>
      </c>
      <c r="J39">
        <v>1</v>
      </c>
    </row>
    <row r="40" spans="1:10">
      <c r="A40" s="132" t="s">
        <v>49</v>
      </c>
      <c r="B40" s="130" t="s">
        <v>11</v>
      </c>
      <c r="C40" s="131">
        <v>45860</v>
      </c>
      <c r="D40" s="129" t="s">
        <v>203</v>
      </c>
      <c r="F40"/>
      <c r="H40" s="95">
        <v>45848</v>
      </c>
      <c r="I40" t="s">
        <v>206</v>
      </c>
      <c r="J40">
        <v>1</v>
      </c>
    </row>
    <row r="41" spans="1:10">
      <c r="A41" s="130" t="s">
        <v>52</v>
      </c>
      <c r="B41" s="130" t="s">
        <v>11</v>
      </c>
      <c r="C41" s="131">
        <v>45860</v>
      </c>
      <c r="D41" s="129" t="s">
        <v>203</v>
      </c>
      <c r="F41"/>
      <c r="H41" s="95">
        <v>45850</v>
      </c>
      <c r="I41" t="s">
        <v>206</v>
      </c>
      <c r="J41">
        <v>2</v>
      </c>
    </row>
    <row r="42" spans="1:10">
      <c r="A42" s="130" t="s">
        <v>52</v>
      </c>
      <c r="B42" s="130" t="s">
        <v>11</v>
      </c>
      <c r="C42" s="131">
        <v>45848</v>
      </c>
      <c r="D42" s="129" t="s">
        <v>203</v>
      </c>
      <c r="F42"/>
      <c r="H42" s="95">
        <v>45855</v>
      </c>
      <c r="I42" t="s">
        <v>206</v>
      </c>
      <c r="J42">
        <v>1</v>
      </c>
    </row>
    <row r="43" spans="1:10">
      <c r="A43" s="132" t="s">
        <v>53</v>
      </c>
      <c r="B43" s="130" t="s">
        <v>11</v>
      </c>
      <c r="C43" s="131">
        <v>45839</v>
      </c>
      <c r="D43" s="129" t="s">
        <v>211</v>
      </c>
      <c r="F43"/>
      <c r="G43" t="s">
        <v>212</v>
      </c>
      <c r="H43" s="95">
        <v>45849</v>
      </c>
      <c r="I43" t="s">
        <v>213</v>
      </c>
      <c r="J43">
        <v>1</v>
      </c>
    </row>
    <row r="44" spans="1:10">
      <c r="A44" s="132" t="s">
        <v>53</v>
      </c>
      <c r="B44" s="130" t="s">
        <v>11</v>
      </c>
      <c r="C44" s="131">
        <v>45842</v>
      </c>
      <c r="D44" s="129" t="s">
        <v>211</v>
      </c>
      <c r="F44" t="s">
        <v>47</v>
      </c>
      <c r="G44" t="s">
        <v>11</v>
      </c>
      <c r="H44" s="95">
        <v>45845</v>
      </c>
      <c r="I44" t="s">
        <v>203</v>
      </c>
      <c r="J44">
        <v>1</v>
      </c>
    </row>
    <row r="45" spans="1:10">
      <c r="A45" s="132" t="s">
        <v>53</v>
      </c>
      <c r="B45" s="130" t="s">
        <v>11</v>
      </c>
      <c r="C45" s="131">
        <v>45854</v>
      </c>
      <c r="D45" s="129" t="s">
        <v>203</v>
      </c>
      <c r="F45"/>
      <c r="H45" s="95">
        <v>45849</v>
      </c>
      <c r="I45" t="s">
        <v>203</v>
      </c>
      <c r="J45">
        <v>1</v>
      </c>
    </row>
    <row r="46" spans="1:10">
      <c r="A46" s="132" t="s">
        <v>53</v>
      </c>
      <c r="B46" s="130" t="s">
        <v>11</v>
      </c>
      <c r="C46" s="131">
        <v>45847</v>
      </c>
      <c r="D46" s="129" t="s">
        <v>211</v>
      </c>
      <c r="F46"/>
      <c r="H46" s="95">
        <v>45860</v>
      </c>
      <c r="I46" t="s">
        <v>203</v>
      </c>
      <c r="J46">
        <v>1</v>
      </c>
    </row>
    <row r="47" spans="1:10">
      <c r="A47" s="132" t="s">
        <v>53</v>
      </c>
      <c r="B47" s="130" t="s">
        <v>11</v>
      </c>
      <c r="C47" s="131">
        <v>45848</v>
      </c>
      <c r="D47" s="129" t="s">
        <v>211</v>
      </c>
      <c r="F47" t="s">
        <v>49</v>
      </c>
      <c r="G47" t="s">
        <v>11</v>
      </c>
      <c r="H47" s="95">
        <v>45860</v>
      </c>
      <c r="I47" t="s">
        <v>203</v>
      </c>
      <c r="J47">
        <v>1</v>
      </c>
    </row>
    <row r="48" spans="1:10">
      <c r="A48" s="129" t="s">
        <v>34</v>
      </c>
      <c r="B48" s="130" t="s">
        <v>11</v>
      </c>
      <c r="C48" s="133">
        <v>45839</v>
      </c>
      <c r="D48" s="129" t="s">
        <v>216</v>
      </c>
      <c r="F48"/>
      <c r="G48" t="s">
        <v>205</v>
      </c>
      <c r="H48" s="95">
        <v>45841</v>
      </c>
      <c r="I48" t="s">
        <v>203</v>
      </c>
      <c r="J48">
        <v>1</v>
      </c>
    </row>
    <row r="49" spans="1:10">
      <c r="A49" s="129" t="s">
        <v>34</v>
      </c>
      <c r="B49" s="130" t="s">
        <v>11</v>
      </c>
      <c r="C49" s="133">
        <v>45840</v>
      </c>
      <c r="D49" s="129" t="s">
        <v>216</v>
      </c>
      <c r="F49"/>
      <c r="H49" s="95">
        <v>45845</v>
      </c>
      <c r="I49" t="s">
        <v>203</v>
      </c>
      <c r="J49">
        <v>1</v>
      </c>
    </row>
    <row r="50" spans="1:10">
      <c r="A50" s="129" t="s">
        <v>34</v>
      </c>
      <c r="B50" s="130" t="s">
        <v>11</v>
      </c>
      <c r="C50" s="133">
        <v>45841</v>
      </c>
      <c r="D50" s="129" t="s">
        <v>216</v>
      </c>
      <c r="F50"/>
      <c r="H50" s="95">
        <v>45855</v>
      </c>
      <c r="I50" t="s">
        <v>203</v>
      </c>
      <c r="J50">
        <v>1</v>
      </c>
    </row>
    <row r="51" spans="1:10">
      <c r="A51" s="129" t="s">
        <v>34</v>
      </c>
      <c r="B51" s="130" t="s">
        <v>11</v>
      </c>
      <c r="C51" s="133">
        <v>45842</v>
      </c>
      <c r="D51" s="129" t="s">
        <v>216</v>
      </c>
      <c r="F51" t="s">
        <v>52</v>
      </c>
      <c r="G51" t="s">
        <v>11</v>
      </c>
      <c r="H51" s="95">
        <v>45848</v>
      </c>
      <c r="I51" t="s">
        <v>203</v>
      </c>
      <c r="J51">
        <v>1</v>
      </c>
    </row>
    <row r="52" spans="1:10">
      <c r="A52" s="129" t="s">
        <v>34</v>
      </c>
      <c r="B52" s="130" t="s">
        <v>11</v>
      </c>
      <c r="C52" s="133">
        <v>45843</v>
      </c>
      <c r="D52" s="129" t="s">
        <v>216</v>
      </c>
      <c r="F52"/>
      <c r="H52" s="95">
        <v>45860</v>
      </c>
      <c r="I52" t="s">
        <v>203</v>
      </c>
      <c r="J52">
        <v>1</v>
      </c>
    </row>
    <row r="53" spans="1:10">
      <c r="A53" s="129" t="s">
        <v>34</v>
      </c>
      <c r="B53" s="130" t="s">
        <v>11</v>
      </c>
      <c r="C53" s="133">
        <v>45844</v>
      </c>
      <c r="D53" s="129" t="s">
        <v>216</v>
      </c>
      <c r="F53" t="s">
        <v>217</v>
      </c>
      <c r="G53" t="s">
        <v>205</v>
      </c>
      <c r="H53" s="95">
        <v>45846</v>
      </c>
      <c r="I53" t="s">
        <v>214</v>
      </c>
      <c r="J53">
        <v>1</v>
      </c>
    </row>
    <row r="54" spans="1:10">
      <c r="A54" s="129" t="s">
        <v>34</v>
      </c>
      <c r="B54" s="130" t="s">
        <v>11</v>
      </c>
      <c r="C54" s="133">
        <v>45845</v>
      </c>
      <c r="D54" s="129" t="s">
        <v>216</v>
      </c>
      <c r="F54" t="s">
        <v>53</v>
      </c>
      <c r="G54" t="s">
        <v>11</v>
      </c>
      <c r="H54" s="95">
        <v>45839</v>
      </c>
      <c r="I54" t="s">
        <v>211</v>
      </c>
      <c r="J54">
        <v>1</v>
      </c>
    </row>
    <row r="55" spans="1:10">
      <c r="A55" s="129" t="s">
        <v>34</v>
      </c>
      <c r="B55" s="130" t="s">
        <v>11</v>
      </c>
      <c r="C55" s="133">
        <v>45846</v>
      </c>
      <c r="D55" s="129" t="s">
        <v>216</v>
      </c>
      <c r="F55"/>
      <c r="H55" s="95">
        <v>45842</v>
      </c>
      <c r="I55" t="s">
        <v>211</v>
      </c>
      <c r="J55">
        <v>1</v>
      </c>
    </row>
    <row r="56" spans="1:10">
      <c r="A56" s="129" t="s">
        <v>34</v>
      </c>
      <c r="B56" s="130" t="s">
        <v>11</v>
      </c>
      <c r="C56" s="133">
        <v>45847</v>
      </c>
      <c r="D56" s="129" t="s">
        <v>216</v>
      </c>
      <c r="F56"/>
      <c r="H56" s="95">
        <v>45847</v>
      </c>
      <c r="I56" t="s">
        <v>211</v>
      </c>
      <c r="J56">
        <v>1</v>
      </c>
    </row>
    <row r="57" spans="1:10">
      <c r="A57" s="129" t="s">
        <v>34</v>
      </c>
      <c r="B57" s="130" t="s">
        <v>11</v>
      </c>
      <c r="C57" s="133">
        <v>45848</v>
      </c>
      <c r="D57" s="129" t="s">
        <v>216</v>
      </c>
      <c r="F57"/>
      <c r="H57" s="95">
        <v>45848</v>
      </c>
      <c r="I57" t="s">
        <v>211</v>
      </c>
      <c r="J57">
        <v>1</v>
      </c>
    </row>
    <row r="58" spans="1:10">
      <c r="A58" s="129" t="s">
        <v>34</v>
      </c>
      <c r="B58" s="130" t="s">
        <v>11</v>
      </c>
      <c r="C58" s="133">
        <v>45849</v>
      </c>
      <c r="D58" s="129" t="s">
        <v>216</v>
      </c>
      <c r="F58"/>
      <c r="H58" s="95">
        <v>45854</v>
      </c>
      <c r="I58" t="s">
        <v>203</v>
      </c>
      <c r="J58">
        <v>1</v>
      </c>
    </row>
    <row r="59" spans="1:10">
      <c r="A59" s="129" t="s">
        <v>34</v>
      </c>
      <c r="B59" s="130" t="s">
        <v>11</v>
      </c>
      <c r="C59" s="133">
        <v>45850</v>
      </c>
      <c r="D59" s="129" t="s">
        <v>216</v>
      </c>
      <c r="F59" t="s">
        <v>218</v>
      </c>
      <c r="G59" t="s">
        <v>205</v>
      </c>
      <c r="H59" s="95">
        <v>45848</v>
      </c>
      <c r="I59" t="s">
        <v>206</v>
      </c>
      <c r="J59">
        <v>1</v>
      </c>
    </row>
    <row r="60" spans="1:10">
      <c r="A60" s="129" t="s">
        <v>34</v>
      </c>
      <c r="B60" s="130" t="s">
        <v>11</v>
      </c>
      <c r="C60" s="133">
        <v>45851</v>
      </c>
      <c r="D60" s="129" t="s">
        <v>216</v>
      </c>
      <c r="F60"/>
      <c r="H60" s="95">
        <v>45867</v>
      </c>
      <c r="I60" t="s">
        <v>203</v>
      </c>
      <c r="J60">
        <v>1</v>
      </c>
    </row>
    <row r="61" spans="1:10">
      <c r="A61" s="129" t="s">
        <v>34</v>
      </c>
      <c r="B61" s="130" t="s">
        <v>11</v>
      </c>
      <c r="C61" s="133">
        <v>45852</v>
      </c>
      <c r="D61" s="129" t="s">
        <v>216</v>
      </c>
      <c r="F61" t="s">
        <v>34</v>
      </c>
      <c r="G61" t="s">
        <v>11</v>
      </c>
      <c r="H61" s="95">
        <v>45839</v>
      </c>
      <c r="I61" t="s">
        <v>216</v>
      </c>
      <c r="J61">
        <v>1</v>
      </c>
    </row>
    <row r="62" spans="1:10">
      <c r="A62" s="129" t="s">
        <v>34</v>
      </c>
      <c r="B62" s="130" t="s">
        <v>11</v>
      </c>
      <c r="C62" s="133">
        <v>45853</v>
      </c>
      <c r="D62" s="129" t="s">
        <v>216</v>
      </c>
      <c r="F62"/>
      <c r="H62" s="95">
        <v>45840</v>
      </c>
      <c r="I62" t="s">
        <v>216</v>
      </c>
      <c r="J62">
        <v>1</v>
      </c>
    </row>
    <row r="63" spans="1:10">
      <c r="A63" s="129" t="s">
        <v>34</v>
      </c>
      <c r="B63" s="130" t="s">
        <v>11</v>
      </c>
      <c r="C63" s="133">
        <v>45854</v>
      </c>
      <c r="D63" s="129" t="s">
        <v>216</v>
      </c>
      <c r="F63"/>
      <c r="H63" s="95">
        <v>45841</v>
      </c>
      <c r="I63" t="s">
        <v>216</v>
      </c>
      <c r="J63">
        <v>1</v>
      </c>
    </row>
    <row r="64" spans="1:10">
      <c r="A64" s="119" t="s">
        <v>55</v>
      </c>
      <c r="B64" s="130" t="s">
        <v>11</v>
      </c>
      <c r="C64" s="134">
        <v>45852</v>
      </c>
      <c r="D64" s="130" t="s">
        <v>13</v>
      </c>
      <c r="F64"/>
      <c r="H64" s="95">
        <v>45842</v>
      </c>
      <c r="I64" t="s">
        <v>216</v>
      </c>
      <c r="J64">
        <v>1</v>
      </c>
    </row>
    <row r="65" spans="1:10">
      <c r="A65" s="119" t="s">
        <v>55</v>
      </c>
      <c r="B65" s="130" t="s">
        <v>11</v>
      </c>
      <c r="C65" s="134">
        <v>45859</v>
      </c>
      <c r="D65" s="130" t="s">
        <v>13</v>
      </c>
      <c r="F65"/>
      <c r="H65" s="95">
        <v>45843</v>
      </c>
      <c r="I65" t="s">
        <v>216</v>
      </c>
      <c r="J65">
        <v>1</v>
      </c>
    </row>
    <row r="66" spans="1:10">
      <c r="A66" s="119" t="s">
        <v>55</v>
      </c>
      <c r="B66" s="130" t="s">
        <v>11</v>
      </c>
      <c r="C66" s="134">
        <v>45862</v>
      </c>
      <c r="D66" s="130" t="s">
        <v>13</v>
      </c>
      <c r="F66"/>
      <c r="H66" s="95">
        <v>45844</v>
      </c>
      <c r="I66" t="s">
        <v>216</v>
      </c>
      <c r="J66">
        <v>1</v>
      </c>
    </row>
    <row r="67" spans="1:10">
      <c r="A67" s="119" t="s">
        <v>59</v>
      </c>
      <c r="B67" s="129" t="s">
        <v>205</v>
      </c>
      <c r="C67" s="134">
        <v>45867</v>
      </c>
      <c r="D67" s="129" t="s">
        <v>203</v>
      </c>
      <c r="F67"/>
      <c r="H67" s="95">
        <v>45845</v>
      </c>
      <c r="I67" t="s">
        <v>216</v>
      </c>
      <c r="J67">
        <v>1</v>
      </c>
    </row>
    <row r="68" spans="1:10">
      <c r="A68" s="119" t="s">
        <v>64</v>
      </c>
      <c r="B68" s="129" t="s">
        <v>205</v>
      </c>
      <c r="C68" s="134">
        <v>45852</v>
      </c>
      <c r="D68" s="130" t="s">
        <v>206</v>
      </c>
      <c r="F68"/>
      <c r="H68" s="95">
        <v>45846</v>
      </c>
      <c r="I68" t="s">
        <v>216</v>
      </c>
      <c r="J68">
        <v>1</v>
      </c>
    </row>
    <row r="69" spans="1:10">
      <c r="A69" s="119" t="s">
        <v>64</v>
      </c>
      <c r="B69" s="129" t="s">
        <v>205</v>
      </c>
      <c r="C69" s="134">
        <v>45855</v>
      </c>
      <c r="D69" s="130" t="s">
        <v>206</v>
      </c>
      <c r="F69"/>
      <c r="H69" s="95">
        <v>45847</v>
      </c>
      <c r="I69" t="s">
        <v>216</v>
      </c>
      <c r="J69">
        <v>1</v>
      </c>
    </row>
    <row r="70" spans="1:10">
      <c r="A70" s="119" t="s">
        <v>64</v>
      </c>
      <c r="B70" s="129" t="s">
        <v>205</v>
      </c>
      <c r="C70" s="134">
        <v>45859</v>
      </c>
      <c r="D70" s="130" t="s">
        <v>206</v>
      </c>
      <c r="F70"/>
      <c r="H70" s="95">
        <v>45848</v>
      </c>
      <c r="I70" t="s">
        <v>216</v>
      </c>
      <c r="J70">
        <v>1</v>
      </c>
    </row>
    <row r="71" spans="1:10">
      <c r="A71" s="119" t="s">
        <v>64</v>
      </c>
      <c r="B71" s="130" t="s">
        <v>11</v>
      </c>
      <c r="C71" s="134">
        <v>45840</v>
      </c>
      <c r="D71" s="130" t="s">
        <v>206</v>
      </c>
      <c r="F71"/>
      <c r="H71" s="95">
        <v>45849</v>
      </c>
      <c r="I71" t="s">
        <v>216</v>
      </c>
      <c r="J71">
        <v>1</v>
      </c>
    </row>
    <row r="72" spans="1:10">
      <c r="A72" s="119" t="s">
        <v>67</v>
      </c>
      <c r="B72" s="130" t="s">
        <v>11</v>
      </c>
      <c r="C72" s="134">
        <v>45841</v>
      </c>
      <c r="D72" s="129" t="s">
        <v>216</v>
      </c>
      <c r="F72"/>
      <c r="H72" s="95">
        <v>45850</v>
      </c>
      <c r="I72" t="s">
        <v>216</v>
      </c>
      <c r="J72">
        <v>1</v>
      </c>
    </row>
    <row r="73" spans="1:10">
      <c r="A73" s="119" t="s">
        <v>67</v>
      </c>
      <c r="B73" s="130" t="s">
        <v>219</v>
      </c>
      <c r="C73" s="134">
        <v>45840</v>
      </c>
      <c r="D73" s="130" t="s">
        <v>219</v>
      </c>
      <c r="F73"/>
      <c r="H73" s="95">
        <v>45851</v>
      </c>
      <c r="I73" t="s">
        <v>216</v>
      </c>
      <c r="J73">
        <v>1</v>
      </c>
    </row>
    <row r="74" spans="1:10">
      <c r="A74" s="120" t="s">
        <v>68</v>
      </c>
      <c r="B74" s="130" t="s">
        <v>11</v>
      </c>
      <c r="C74" s="134">
        <v>45841</v>
      </c>
      <c r="D74" s="130" t="s">
        <v>211</v>
      </c>
      <c r="F74"/>
      <c r="H74" s="95">
        <v>45852</v>
      </c>
      <c r="I74" t="s">
        <v>216</v>
      </c>
      <c r="J74">
        <v>1</v>
      </c>
    </row>
    <row r="75" spans="1:10">
      <c r="A75" s="119" t="s">
        <v>69</v>
      </c>
      <c r="B75" s="130" t="s">
        <v>11</v>
      </c>
      <c r="C75" s="134">
        <v>45854</v>
      </c>
      <c r="D75" s="130" t="s">
        <v>211</v>
      </c>
      <c r="F75"/>
      <c r="H75" s="95">
        <v>45853</v>
      </c>
      <c r="I75" t="s">
        <v>216</v>
      </c>
      <c r="J75">
        <v>1</v>
      </c>
    </row>
    <row r="76" spans="1:10">
      <c r="A76" s="119" t="s">
        <v>69</v>
      </c>
      <c r="B76" s="130" t="s">
        <v>11</v>
      </c>
      <c r="C76" s="134">
        <v>45859</v>
      </c>
      <c r="D76" s="129" t="s">
        <v>203</v>
      </c>
      <c r="F76"/>
      <c r="H76" s="95">
        <v>45854</v>
      </c>
      <c r="I76" t="s">
        <v>216</v>
      </c>
      <c r="J76">
        <v>1</v>
      </c>
    </row>
    <row r="77" spans="1:10">
      <c r="A77" s="119" t="s">
        <v>69</v>
      </c>
      <c r="B77" s="130" t="s">
        <v>11</v>
      </c>
      <c r="C77" s="134">
        <v>45860</v>
      </c>
      <c r="D77" s="129" t="s">
        <v>203</v>
      </c>
      <c r="F77" t="s">
        <v>55</v>
      </c>
      <c r="G77" t="s">
        <v>11</v>
      </c>
      <c r="H77" s="95">
        <v>45852</v>
      </c>
      <c r="I77" t="s">
        <v>13</v>
      </c>
      <c r="J77">
        <v>1</v>
      </c>
    </row>
    <row r="78" spans="1:10">
      <c r="A78" s="119" t="s">
        <v>69</v>
      </c>
      <c r="B78" s="130" t="s">
        <v>11</v>
      </c>
      <c r="C78" s="134">
        <v>45862</v>
      </c>
      <c r="D78" s="129" t="s">
        <v>203</v>
      </c>
      <c r="F78"/>
      <c r="H78" s="95">
        <v>45859</v>
      </c>
      <c r="I78" t="s">
        <v>13</v>
      </c>
      <c r="J78">
        <v>1</v>
      </c>
    </row>
    <row r="79" spans="1:10">
      <c r="A79" s="119" t="s">
        <v>69</v>
      </c>
      <c r="B79" s="129" t="s">
        <v>205</v>
      </c>
      <c r="C79" s="134">
        <v>45845</v>
      </c>
      <c r="D79" s="129" t="s">
        <v>206</v>
      </c>
      <c r="F79"/>
      <c r="H79" s="95">
        <v>45862</v>
      </c>
      <c r="I79" t="s">
        <v>13</v>
      </c>
      <c r="J79">
        <v>1</v>
      </c>
    </row>
    <row r="80" spans="1:10">
      <c r="A80" s="119" t="s">
        <v>69</v>
      </c>
      <c r="B80" s="129" t="s">
        <v>205</v>
      </c>
      <c r="C80" s="134">
        <v>45846</v>
      </c>
      <c r="D80" s="129" t="s">
        <v>203</v>
      </c>
      <c r="E80" s="121"/>
      <c r="F80" t="s">
        <v>220</v>
      </c>
      <c r="G80" t="s">
        <v>11</v>
      </c>
      <c r="H80" s="95">
        <v>45863</v>
      </c>
      <c r="I80" t="s">
        <v>206</v>
      </c>
      <c r="J80">
        <v>1</v>
      </c>
    </row>
    <row r="81" spans="1:10">
      <c r="A81" s="119" t="s">
        <v>69</v>
      </c>
      <c r="B81" s="129" t="s">
        <v>205</v>
      </c>
      <c r="C81" s="134">
        <v>45849</v>
      </c>
      <c r="D81" s="135" t="s">
        <v>221</v>
      </c>
      <c r="E81" s="121"/>
      <c r="F81"/>
      <c r="H81" s="95">
        <v>45866</v>
      </c>
      <c r="I81" t="s">
        <v>222</v>
      </c>
      <c r="J81">
        <v>1</v>
      </c>
    </row>
    <row r="82" spans="1:10">
      <c r="A82" s="119" t="s">
        <v>70</v>
      </c>
      <c r="B82" s="129" t="s">
        <v>205</v>
      </c>
      <c r="C82" s="134">
        <v>45859</v>
      </c>
      <c r="D82" s="130" t="s">
        <v>211</v>
      </c>
      <c r="E82" s="121"/>
      <c r="F82"/>
      <c r="H82" s="95">
        <v>45867</v>
      </c>
      <c r="I82" t="s">
        <v>203</v>
      </c>
      <c r="J82">
        <v>1</v>
      </c>
    </row>
    <row r="83" spans="1:10">
      <c r="A83" s="119" t="s">
        <v>72</v>
      </c>
      <c r="B83" s="129" t="s">
        <v>205</v>
      </c>
      <c r="C83" s="134">
        <v>45846</v>
      </c>
      <c r="D83" s="130" t="s">
        <v>206</v>
      </c>
      <c r="E83" s="121"/>
      <c r="F83"/>
      <c r="G83" t="s">
        <v>205</v>
      </c>
      <c r="H83" s="95">
        <v>45846</v>
      </c>
      <c r="I83" t="s">
        <v>214</v>
      </c>
      <c r="J83">
        <v>1</v>
      </c>
    </row>
    <row r="84" spans="1:10">
      <c r="A84" s="120" t="s">
        <v>73</v>
      </c>
      <c r="B84" s="129" t="s">
        <v>205</v>
      </c>
      <c r="C84" s="134">
        <v>45849</v>
      </c>
      <c r="D84" s="130" t="s">
        <v>206</v>
      </c>
      <c r="E84" s="121"/>
      <c r="F84"/>
      <c r="H84" s="95">
        <v>45854</v>
      </c>
      <c r="I84" t="s">
        <v>206</v>
      </c>
      <c r="J84">
        <v>1</v>
      </c>
    </row>
    <row r="85" spans="1:10">
      <c r="A85" s="119" t="s">
        <v>58</v>
      </c>
      <c r="B85" s="129" t="s">
        <v>205</v>
      </c>
      <c r="C85" s="134">
        <v>45859</v>
      </c>
      <c r="D85" s="130" t="s">
        <v>211</v>
      </c>
      <c r="E85" s="121"/>
      <c r="F85" t="s">
        <v>59</v>
      </c>
      <c r="G85" t="s">
        <v>205</v>
      </c>
      <c r="H85" s="95">
        <v>45867</v>
      </c>
      <c r="I85" t="s">
        <v>203</v>
      </c>
      <c r="J85">
        <v>1</v>
      </c>
    </row>
    <row r="86" spans="1:10">
      <c r="A86" s="119" t="s">
        <v>74</v>
      </c>
      <c r="B86" s="129" t="s">
        <v>205</v>
      </c>
      <c r="C86" s="134">
        <v>45841</v>
      </c>
      <c r="D86" s="130" t="s">
        <v>206</v>
      </c>
      <c r="E86" s="121"/>
      <c r="F86" t="s">
        <v>64</v>
      </c>
      <c r="G86" t="s">
        <v>11</v>
      </c>
      <c r="H86" s="95">
        <v>45840</v>
      </c>
      <c r="I86" t="s">
        <v>206</v>
      </c>
      <c r="J86">
        <v>1</v>
      </c>
    </row>
    <row r="87" spans="1:10">
      <c r="A87" s="119" t="s">
        <v>74</v>
      </c>
      <c r="B87" s="129" t="s">
        <v>205</v>
      </c>
      <c r="C87" s="134">
        <v>45842</v>
      </c>
      <c r="D87" s="130" t="s">
        <v>206</v>
      </c>
      <c r="E87" s="121"/>
      <c r="F87"/>
      <c r="G87" t="s">
        <v>205</v>
      </c>
      <c r="H87" s="95">
        <v>45852</v>
      </c>
      <c r="I87" t="s">
        <v>206</v>
      </c>
      <c r="J87">
        <v>1</v>
      </c>
    </row>
    <row r="88" spans="1:10">
      <c r="A88" s="119" t="s">
        <v>74</v>
      </c>
      <c r="B88" s="129" t="s">
        <v>205</v>
      </c>
      <c r="C88" s="134">
        <v>45849</v>
      </c>
      <c r="D88" s="130" t="s">
        <v>206</v>
      </c>
      <c r="E88" s="121"/>
      <c r="F88"/>
      <c r="H88" s="95">
        <v>45855</v>
      </c>
      <c r="I88" t="s">
        <v>206</v>
      </c>
      <c r="J88">
        <v>1</v>
      </c>
    </row>
    <row r="89" spans="1:10">
      <c r="A89" s="119" t="s">
        <v>74</v>
      </c>
      <c r="B89" s="129" t="s">
        <v>205</v>
      </c>
      <c r="C89" s="134">
        <v>45849</v>
      </c>
      <c r="D89" s="130" t="s">
        <v>206</v>
      </c>
      <c r="E89" s="121"/>
      <c r="F89"/>
      <c r="H89" s="95">
        <v>45859</v>
      </c>
      <c r="I89" t="s">
        <v>206</v>
      </c>
      <c r="J89">
        <v>1</v>
      </c>
    </row>
    <row r="90" spans="1:10">
      <c r="A90" s="119" t="s">
        <v>76</v>
      </c>
      <c r="B90" s="129" t="s">
        <v>205</v>
      </c>
      <c r="C90" s="134">
        <v>45855</v>
      </c>
      <c r="D90" s="130" t="s">
        <v>206</v>
      </c>
      <c r="E90" s="121"/>
      <c r="F90" t="s">
        <v>67</v>
      </c>
      <c r="G90" t="s">
        <v>11</v>
      </c>
      <c r="H90" s="95">
        <v>45841</v>
      </c>
      <c r="I90" t="s">
        <v>216</v>
      </c>
      <c r="J90">
        <v>1</v>
      </c>
    </row>
    <row r="91" spans="1:10">
      <c r="A91" s="119" t="s">
        <v>76</v>
      </c>
      <c r="B91" s="129" t="s">
        <v>205</v>
      </c>
      <c r="C91" s="134">
        <v>45839</v>
      </c>
      <c r="D91" s="130" t="s">
        <v>206</v>
      </c>
      <c r="E91" s="121"/>
      <c r="F91"/>
      <c r="G91" t="s">
        <v>219</v>
      </c>
      <c r="H91" s="95">
        <v>45840</v>
      </c>
      <c r="I91" t="s">
        <v>219</v>
      </c>
      <c r="J91">
        <v>1</v>
      </c>
    </row>
    <row r="92" spans="1:10">
      <c r="A92" s="119" t="s">
        <v>76</v>
      </c>
      <c r="B92" s="130" t="s">
        <v>11</v>
      </c>
      <c r="C92" s="134">
        <v>45855</v>
      </c>
      <c r="D92" s="130" t="s">
        <v>13</v>
      </c>
      <c r="E92" s="121"/>
      <c r="F92" t="s">
        <v>68</v>
      </c>
      <c r="G92" t="s">
        <v>11</v>
      </c>
      <c r="H92" s="95">
        <v>45841</v>
      </c>
      <c r="I92" t="s">
        <v>211</v>
      </c>
      <c r="J92">
        <v>1</v>
      </c>
    </row>
    <row r="93" spans="1:10">
      <c r="A93" s="119" t="s">
        <v>76</v>
      </c>
      <c r="B93" s="130" t="s">
        <v>11</v>
      </c>
      <c r="C93" s="134">
        <v>45859</v>
      </c>
      <c r="D93" s="129" t="s">
        <v>203</v>
      </c>
      <c r="E93" s="121"/>
      <c r="F93" t="s">
        <v>69</v>
      </c>
      <c r="G93" t="s">
        <v>11</v>
      </c>
      <c r="H93" s="95">
        <v>45854</v>
      </c>
      <c r="I93" t="s">
        <v>211</v>
      </c>
      <c r="J93">
        <v>1</v>
      </c>
    </row>
    <row r="94" spans="1:10">
      <c r="A94" s="119" t="s">
        <v>76</v>
      </c>
      <c r="B94" s="130" t="s">
        <v>11</v>
      </c>
      <c r="C94" s="134">
        <v>45860</v>
      </c>
      <c r="D94" s="130" t="s">
        <v>13</v>
      </c>
      <c r="E94" s="121"/>
      <c r="F94"/>
      <c r="H94" s="95">
        <v>45859</v>
      </c>
      <c r="I94" t="s">
        <v>203</v>
      </c>
      <c r="J94">
        <v>1</v>
      </c>
    </row>
    <row r="95" spans="1:10">
      <c r="A95" s="119" t="s">
        <v>77</v>
      </c>
      <c r="B95" s="129" t="s">
        <v>205</v>
      </c>
      <c r="C95" s="134">
        <v>45859</v>
      </c>
      <c r="D95" s="130" t="s">
        <v>206</v>
      </c>
      <c r="E95" s="121"/>
      <c r="F95"/>
      <c r="H95" s="95">
        <v>45860</v>
      </c>
      <c r="I95" t="s">
        <v>203</v>
      </c>
      <c r="J95">
        <v>1</v>
      </c>
    </row>
    <row r="96" spans="1:10">
      <c r="A96" s="119" t="s">
        <v>77</v>
      </c>
      <c r="B96" s="129" t="s">
        <v>205</v>
      </c>
      <c r="C96" s="134">
        <v>45855</v>
      </c>
      <c r="D96" s="130" t="s">
        <v>223</v>
      </c>
      <c r="E96" s="121"/>
      <c r="F96"/>
      <c r="H96" s="95">
        <v>45862</v>
      </c>
      <c r="I96" t="s">
        <v>203</v>
      </c>
      <c r="J96">
        <v>1</v>
      </c>
    </row>
    <row r="97" spans="1:10">
      <c r="A97" s="119" t="s">
        <v>77</v>
      </c>
      <c r="B97" s="129" t="s">
        <v>205</v>
      </c>
      <c r="C97" s="134">
        <v>45866</v>
      </c>
      <c r="D97" s="130" t="s">
        <v>223</v>
      </c>
      <c r="E97" s="121"/>
      <c r="F97"/>
      <c r="G97" t="s">
        <v>205</v>
      </c>
      <c r="H97" s="95">
        <v>45845</v>
      </c>
      <c r="I97" t="s">
        <v>206</v>
      </c>
      <c r="J97">
        <v>1</v>
      </c>
    </row>
    <row r="98" spans="1:10">
      <c r="A98" s="119" t="s">
        <v>77</v>
      </c>
      <c r="B98" s="130" t="s">
        <v>11</v>
      </c>
      <c r="C98" s="134">
        <v>45847</v>
      </c>
      <c r="D98" s="130" t="s">
        <v>13</v>
      </c>
      <c r="E98" s="121"/>
      <c r="F98"/>
      <c r="H98" s="95">
        <v>45846</v>
      </c>
      <c r="I98" t="s">
        <v>203</v>
      </c>
      <c r="J98">
        <v>1</v>
      </c>
    </row>
    <row r="99" spans="1:10">
      <c r="A99" s="119" t="s">
        <v>77</v>
      </c>
      <c r="B99" s="130" t="s">
        <v>11</v>
      </c>
      <c r="C99" s="134">
        <v>45861</v>
      </c>
      <c r="D99" s="129" t="s">
        <v>203</v>
      </c>
      <c r="E99" s="121"/>
      <c r="F99"/>
      <c r="H99" s="95">
        <v>45849</v>
      </c>
      <c r="I99" t="s">
        <v>221</v>
      </c>
      <c r="J99">
        <v>1</v>
      </c>
    </row>
    <row r="100" spans="1:10">
      <c r="A100" s="119" t="s">
        <v>61</v>
      </c>
      <c r="B100" s="130" t="s">
        <v>11</v>
      </c>
      <c r="C100" s="134">
        <v>45859</v>
      </c>
      <c r="D100" s="130" t="s">
        <v>13</v>
      </c>
      <c r="E100" s="121"/>
      <c r="F100" t="s">
        <v>70</v>
      </c>
      <c r="G100" t="s">
        <v>205</v>
      </c>
      <c r="H100" s="95">
        <v>45859</v>
      </c>
      <c r="I100" t="s">
        <v>211</v>
      </c>
      <c r="J100">
        <v>1</v>
      </c>
    </row>
    <row r="101" spans="1:10">
      <c r="A101" s="120" t="s">
        <v>78</v>
      </c>
      <c r="B101" s="130" t="s">
        <v>11</v>
      </c>
      <c r="C101" s="134">
        <v>45855</v>
      </c>
      <c r="D101" s="130" t="s">
        <v>223</v>
      </c>
      <c r="E101" s="121"/>
      <c r="F101" t="s">
        <v>72</v>
      </c>
      <c r="G101" t="s">
        <v>205</v>
      </c>
      <c r="H101" s="95">
        <v>45846</v>
      </c>
      <c r="I101" t="s">
        <v>206</v>
      </c>
      <c r="J101">
        <v>1</v>
      </c>
    </row>
    <row r="102" spans="1:10">
      <c r="A102" s="120" t="s">
        <v>78</v>
      </c>
      <c r="B102" s="130" t="s">
        <v>11</v>
      </c>
      <c r="C102" s="134">
        <v>45847</v>
      </c>
      <c r="D102" s="130" t="s">
        <v>211</v>
      </c>
      <c r="E102" s="121"/>
      <c r="F102" t="s">
        <v>73</v>
      </c>
      <c r="G102" t="s">
        <v>205</v>
      </c>
      <c r="H102" s="95">
        <v>45849</v>
      </c>
      <c r="I102" t="s">
        <v>206</v>
      </c>
      <c r="J102">
        <v>1</v>
      </c>
    </row>
    <row r="103" spans="1:10">
      <c r="A103" s="120" t="s">
        <v>80</v>
      </c>
      <c r="B103" s="130" t="s">
        <v>11</v>
      </c>
      <c r="C103" s="134">
        <v>45856</v>
      </c>
      <c r="D103" s="129" t="s">
        <v>203</v>
      </c>
      <c r="E103" s="121"/>
      <c r="F103" t="s">
        <v>58</v>
      </c>
      <c r="G103" t="s">
        <v>205</v>
      </c>
      <c r="H103" s="95">
        <v>45859</v>
      </c>
      <c r="I103" t="s">
        <v>211</v>
      </c>
      <c r="J103">
        <v>1</v>
      </c>
    </row>
    <row r="104" spans="1:10">
      <c r="A104" s="119" t="s">
        <v>82</v>
      </c>
      <c r="B104" s="130" t="s">
        <v>11</v>
      </c>
      <c r="C104" s="134">
        <v>45859</v>
      </c>
      <c r="D104" s="129" t="s">
        <v>203</v>
      </c>
      <c r="E104" s="121"/>
      <c r="F104" t="s">
        <v>74</v>
      </c>
      <c r="G104" t="s">
        <v>205</v>
      </c>
      <c r="H104" s="95">
        <v>45841</v>
      </c>
      <c r="I104" t="s">
        <v>206</v>
      </c>
      <c r="J104">
        <v>1</v>
      </c>
    </row>
    <row r="105" spans="1:10">
      <c r="A105" s="119" t="s">
        <v>82</v>
      </c>
      <c r="B105" s="130" t="s">
        <v>11</v>
      </c>
      <c r="C105" s="134">
        <v>45860</v>
      </c>
      <c r="D105" s="129" t="s">
        <v>203</v>
      </c>
      <c r="E105" s="121"/>
      <c r="F105"/>
      <c r="H105" s="95">
        <v>45842</v>
      </c>
      <c r="I105" t="s">
        <v>206</v>
      </c>
      <c r="J105">
        <v>1</v>
      </c>
    </row>
    <row r="106" spans="1:10">
      <c r="A106" s="119" t="s">
        <v>82</v>
      </c>
      <c r="B106" s="130" t="s">
        <v>11</v>
      </c>
      <c r="C106" s="134">
        <v>45861</v>
      </c>
      <c r="D106" s="129" t="s">
        <v>203</v>
      </c>
      <c r="E106" s="121"/>
      <c r="F106"/>
      <c r="H106" s="95">
        <v>45849</v>
      </c>
      <c r="I106" t="s">
        <v>206</v>
      </c>
      <c r="J106">
        <v>2</v>
      </c>
    </row>
    <row r="107" spans="1:10">
      <c r="A107" s="119" t="s">
        <v>82</v>
      </c>
      <c r="B107" s="129" t="s">
        <v>205</v>
      </c>
      <c r="C107" s="134">
        <v>45855</v>
      </c>
      <c r="D107" s="130" t="s">
        <v>206</v>
      </c>
      <c r="E107" s="121"/>
      <c r="F107" t="s">
        <v>224</v>
      </c>
      <c r="G107" t="s">
        <v>205</v>
      </c>
      <c r="H107" s="95">
        <v>45842</v>
      </c>
      <c r="I107" t="s">
        <v>214</v>
      </c>
      <c r="J107">
        <v>1</v>
      </c>
    </row>
    <row r="108" spans="1:10">
      <c r="A108" s="119" t="s">
        <v>82</v>
      </c>
      <c r="B108" s="129" t="s">
        <v>205</v>
      </c>
      <c r="C108" s="134">
        <v>45866</v>
      </c>
      <c r="D108" s="130" t="s">
        <v>206</v>
      </c>
      <c r="E108" s="121"/>
      <c r="F108"/>
      <c r="H108" s="95">
        <v>45848</v>
      </c>
      <c r="I108" t="s">
        <v>206</v>
      </c>
      <c r="J108">
        <v>1</v>
      </c>
    </row>
    <row r="109" spans="1:10">
      <c r="A109" s="119" t="s">
        <v>82</v>
      </c>
      <c r="B109" s="130" t="s">
        <v>11</v>
      </c>
      <c r="C109" s="134">
        <v>45867</v>
      </c>
      <c r="D109" s="129" t="s">
        <v>203</v>
      </c>
      <c r="E109" s="121"/>
      <c r="F109"/>
      <c r="H109" s="95">
        <v>45850</v>
      </c>
      <c r="I109" t="s">
        <v>206</v>
      </c>
      <c r="J109">
        <v>1</v>
      </c>
    </row>
    <row r="110" spans="1:10">
      <c r="A110" s="119" t="s">
        <v>84</v>
      </c>
      <c r="B110" s="130" t="s">
        <v>11</v>
      </c>
      <c r="C110" s="134">
        <v>45840</v>
      </c>
      <c r="D110" s="130" t="s">
        <v>211</v>
      </c>
      <c r="E110" s="121"/>
      <c r="F110" t="s">
        <v>225</v>
      </c>
      <c r="G110" t="s">
        <v>205</v>
      </c>
      <c r="H110" s="95">
        <v>45848</v>
      </c>
      <c r="I110" t="s">
        <v>206</v>
      </c>
      <c r="J110">
        <v>1</v>
      </c>
    </row>
    <row r="111" spans="1:10">
      <c r="A111" s="119" t="s">
        <v>84</v>
      </c>
      <c r="B111" s="130" t="s">
        <v>11</v>
      </c>
      <c r="C111" s="134">
        <v>45859</v>
      </c>
      <c r="D111" s="129" t="s">
        <v>203</v>
      </c>
      <c r="E111" s="121"/>
      <c r="F111"/>
      <c r="H111" s="95">
        <v>45849</v>
      </c>
      <c r="I111" t="s">
        <v>206</v>
      </c>
      <c r="J111">
        <v>1</v>
      </c>
    </row>
    <row r="112" spans="1:10">
      <c r="A112" s="119" t="s">
        <v>84</v>
      </c>
      <c r="B112" s="129" t="s">
        <v>205</v>
      </c>
      <c r="C112" s="134">
        <v>45859</v>
      </c>
      <c r="D112" s="130" t="s">
        <v>206</v>
      </c>
      <c r="E112" s="121"/>
      <c r="F112"/>
      <c r="H112" s="95">
        <v>45855</v>
      </c>
      <c r="I112" t="s">
        <v>206</v>
      </c>
      <c r="J112">
        <v>1</v>
      </c>
    </row>
    <row r="113" spans="1:10">
      <c r="A113" s="119" t="s">
        <v>85</v>
      </c>
      <c r="B113" s="130" t="s">
        <v>11</v>
      </c>
      <c r="C113" s="134">
        <v>45859</v>
      </c>
      <c r="D113" s="129" t="s">
        <v>203</v>
      </c>
      <c r="E113" s="121"/>
      <c r="F113" t="s">
        <v>76</v>
      </c>
      <c r="G113" t="s">
        <v>11</v>
      </c>
      <c r="H113" s="95">
        <v>45855</v>
      </c>
      <c r="I113" t="s">
        <v>13</v>
      </c>
      <c r="J113">
        <v>1</v>
      </c>
    </row>
    <row r="114" spans="1:10">
      <c r="A114" s="119" t="s">
        <v>85</v>
      </c>
      <c r="B114" s="130" t="s">
        <v>11</v>
      </c>
      <c r="C114" s="134">
        <v>45839</v>
      </c>
      <c r="D114" s="130" t="s">
        <v>223</v>
      </c>
      <c r="E114" s="121"/>
      <c r="F114"/>
      <c r="H114" s="95">
        <v>45859</v>
      </c>
      <c r="I114" t="s">
        <v>203</v>
      </c>
      <c r="J114">
        <v>1</v>
      </c>
    </row>
    <row r="115" spans="1:10">
      <c r="A115" s="119" t="s">
        <v>85</v>
      </c>
      <c r="B115" s="130" t="s">
        <v>11</v>
      </c>
      <c r="C115" s="134">
        <v>45855</v>
      </c>
      <c r="D115" s="130" t="s">
        <v>223</v>
      </c>
      <c r="E115" s="121"/>
      <c r="F115"/>
      <c r="H115" s="95">
        <v>45860</v>
      </c>
      <c r="I115" t="s">
        <v>13</v>
      </c>
      <c r="J115">
        <v>1</v>
      </c>
    </row>
    <row r="116" spans="1:10">
      <c r="A116" s="119" t="s">
        <v>85</v>
      </c>
      <c r="B116" s="130" t="s">
        <v>11</v>
      </c>
      <c r="C116" s="134">
        <v>45867</v>
      </c>
      <c r="D116" s="130" t="s">
        <v>223</v>
      </c>
      <c r="E116" s="121"/>
      <c r="F116"/>
      <c r="G116" t="s">
        <v>205</v>
      </c>
      <c r="H116" s="95">
        <v>45839</v>
      </c>
      <c r="I116" t="s">
        <v>206</v>
      </c>
      <c r="J116">
        <v>1</v>
      </c>
    </row>
    <row r="117" spans="1:10">
      <c r="A117" s="119" t="s">
        <v>85</v>
      </c>
      <c r="B117" s="130" t="s">
        <v>11</v>
      </c>
      <c r="C117" s="134">
        <v>45868</v>
      </c>
      <c r="D117" s="130" t="s">
        <v>223</v>
      </c>
      <c r="E117" s="121"/>
      <c r="F117"/>
      <c r="H117" s="95">
        <v>45855</v>
      </c>
      <c r="I117" t="s">
        <v>206</v>
      </c>
      <c r="J117">
        <v>1</v>
      </c>
    </row>
    <row r="118" spans="1:10">
      <c r="A118" s="120" t="s">
        <v>87</v>
      </c>
      <c r="B118" s="130" t="s">
        <v>11</v>
      </c>
      <c r="C118" s="134">
        <v>45841</v>
      </c>
      <c r="D118" s="130" t="s">
        <v>226</v>
      </c>
      <c r="E118" s="121"/>
      <c r="F118" t="s">
        <v>77</v>
      </c>
      <c r="G118" t="s">
        <v>11</v>
      </c>
      <c r="H118" s="95">
        <v>45847</v>
      </c>
      <c r="I118" t="s">
        <v>13</v>
      </c>
      <c r="J118">
        <v>1</v>
      </c>
    </row>
    <row r="119" spans="1:10">
      <c r="A119" s="120" t="s">
        <v>87</v>
      </c>
      <c r="B119" s="130" t="s">
        <v>11</v>
      </c>
      <c r="C119" s="134">
        <v>45842</v>
      </c>
      <c r="D119" s="130" t="s">
        <v>226</v>
      </c>
      <c r="E119" s="121"/>
      <c r="F119"/>
      <c r="H119" s="95">
        <v>45861</v>
      </c>
      <c r="I119" t="s">
        <v>203</v>
      </c>
      <c r="J119">
        <v>1</v>
      </c>
    </row>
    <row r="120" spans="1:10">
      <c r="A120" s="120" t="s">
        <v>87</v>
      </c>
      <c r="B120" s="130" t="s">
        <v>11</v>
      </c>
      <c r="C120" s="134">
        <v>45855</v>
      </c>
      <c r="D120" s="130" t="s">
        <v>226</v>
      </c>
      <c r="E120" s="121"/>
      <c r="F120"/>
      <c r="G120" t="s">
        <v>205</v>
      </c>
      <c r="H120" s="95">
        <v>45855</v>
      </c>
      <c r="I120" t="s">
        <v>203</v>
      </c>
      <c r="J120">
        <v>1</v>
      </c>
    </row>
    <row r="121" spans="1:10">
      <c r="A121" s="119" t="s">
        <v>190</v>
      </c>
      <c r="B121" s="130" t="s">
        <v>11</v>
      </c>
      <c r="C121" s="134">
        <v>45840</v>
      </c>
      <c r="D121" s="130" t="s">
        <v>226</v>
      </c>
      <c r="E121" s="121"/>
      <c r="F121"/>
      <c r="H121" s="95">
        <v>45859</v>
      </c>
      <c r="I121" t="s">
        <v>206</v>
      </c>
      <c r="J121">
        <v>1</v>
      </c>
    </row>
    <row r="122" spans="1:10">
      <c r="A122" s="119" t="s">
        <v>190</v>
      </c>
      <c r="B122" s="130" t="s">
        <v>11</v>
      </c>
      <c r="C122" s="134">
        <v>45847</v>
      </c>
      <c r="D122" s="130" t="s">
        <v>223</v>
      </c>
      <c r="E122" s="121"/>
      <c r="F122"/>
      <c r="H122" s="95">
        <v>45866</v>
      </c>
      <c r="I122" t="s">
        <v>203</v>
      </c>
      <c r="J122">
        <v>1</v>
      </c>
    </row>
    <row r="123" spans="1:10">
      <c r="A123" s="119" t="s">
        <v>190</v>
      </c>
      <c r="B123" s="130" t="s">
        <v>11</v>
      </c>
      <c r="C123" s="134">
        <v>45849</v>
      </c>
      <c r="D123" s="130" t="s">
        <v>223</v>
      </c>
      <c r="E123" s="121"/>
      <c r="F123" t="s">
        <v>61</v>
      </c>
      <c r="G123" t="s">
        <v>11</v>
      </c>
      <c r="H123" s="95">
        <v>45859</v>
      </c>
      <c r="I123" t="s">
        <v>13</v>
      </c>
      <c r="J123">
        <v>1</v>
      </c>
    </row>
    <row r="124" spans="1:10">
      <c r="A124" s="119" t="s">
        <v>190</v>
      </c>
      <c r="B124" s="130" t="s">
        <v>11</v>
      </c>
      <c r="C124" s="134">
        <v>45849</v>
      </c>
      <c r="D124" s="130" t="s">
        <v>223</v>
      </c>
      <c r="E124" s="121"/>
      <c r="F124" t="s">
        <v>78</v>
      </c>
      <c r="G124" t="s">
        <v>11</v>
      </c>
      <c r="H124" s="95">
        <v>45847</v>
      </c>
      <c r="I124" t="s">
        <v>211</v>
      </c>
      <c r="J124">
        <v>1</v>
      </c>
    </row>
    <row r="125" spans="1:10">
      <c r="A125" s="119" t="s">
        <v>190</v>
      </c>
      <c r="B125" s="130" t="s">
        <v>11</v>
      </c>
      <c r="C125" s="134">
        <v>45853</v>
      </c>
      <c r="D125" s="130" t="s">
        <v>223</v>
      </c>
      <c r="E125" s="121"/>
      <c r="F125"/>
      <c r="H125" s="95">
        <v>45855</v>
      </c>
      <c r="I125" t="s">
        <v>203</v>
      </c>
      <c r="J125">
        <v>1</v>
      </c>
    </row>
    <row r="126" spans="1:10">
      <c r="A126" s="119" t="s">
        <v>88</v>
      </c>
      <c r="B126" s="130" t="s">
        <v>11</v>
      </c>
      <c r="C126" s="134">
        <v>45855</v>
      </c>
      <c r="D126" s="129" t="s">
        <v>203</v>
      </c>
      <c r="E126" s="121"/>
      <c r="F126" t="s">
        <v>80</v>
      </c>
      <c r="G126" t="s">
        <v>11</v>
      </c>
      <c r="H126" s="95">
        <v>45856</v>
      </c>
      <c r="I126" t="s">
        <v>203</v>
      </c>
      <c r="J126">
        <v>1</v>
      </c>
    </row>
    <row r="127" spans="1:10">
      <c r="A127" s="119" t="s">
        <v>88</v>
      </c>
      <c r="B127" s="130" t="s">
        <v>11</v>
      </c>
      <c r="C127" s="134">
        <v>45840</v>
      </c>
      <c r="D127" s="130" t="s">
        <v>203</v>
      </c>
      <c r="E127" s="121"/>
      <c r="F127" t="s">
        <v>227</v>
      </c>
      <c r="G127" t="s">
        <v>205</v>
      </c>
      <c r="H127" s="95">
        <v>45848</v>
      </c>
      <c r="I127" t="s">
        <v>206</v>
      </c>
      <c r="J127">
        <v>1</v>
      </c>
    </row>
    <row r="128" spans="1:10">
      <c r="A128" s="119" t="s">
        <v>88</v>
      </c>
      <c r="B128" s="130" t="s">
        <v>11</v>
      </c>
      <c r="C128" s="134">
        <v>45848</v>
      </c>
      <c r="D128" s="130" t="s">
        <v>203</v>
      </c>
      <c r="E128" s="121"/>
      <c r="F128" t="s">
        <v>82</v>
      </c>
      <c r="G128" t="s">
        <v>11</v>
      </c>
      <c r="H128" s="95">
        <v>45859</v>
      </c>
      <c r="I128" t="s">
        <v>203</v>
      </c>
      <c r="J128">
        <v>1</v>
      </c>
    </row>
    <row r="129" spans="1:10">
      <c r="A129" s="119" t="s">
        <v>88</v>
      </c>
      <c r="B129" s="130" t="s">
        <v>11</v>
      </c>
      <c r="C129" s="134">
        <v>45863</v>
      </c>
      <c r="D129" s="129" t="s">
        <v>203</v>
      </c>
      <c r="E129" s="121"/>
      <c r="F129"/>
      <c r="H129" s="95">
        <v>45860</v>
      </c>
      <c r="I129" t="s">
        <v>203</v>
      </c>
      <c r="J129">
        <v>1</v>
      </c>
    </row>
    <row r="130" spans="1:10">
      <c r="A130" s="119" t="s">
        <v>88</v>
      </c>
      <c r="B130" s="130" t="s">
        <v>11</v>
      </c>
      <c r="C130" s="134">
        <v>45868</v>
      </c>
      <c r="D130" s="129" t="s">
        <v>203</v>
      </c>
      <c r="E130" s="121"/>
      <c r="F130"/>
      <c r="H130" s="95">
        <v>45861</v>
      </c>
      <c r="I130" t="s">
        <v>203</v>
      </c>
      <c r="J130">
        <v>1</v>
      </c>
    </row>
    <row r="131" spans="1:10">
      <c r="A131" s="119" t="s">
        <v>88</v>
      </c>
      <c r="B131" s="129" t="s">
        <v>205</v>
      </c>
      <c r="C131" s="134">
        <v>45842</v>
      </c>
      <c r="D131" s="130" t="s">
        <v>228</v>
      </c>
      <c r="E131" s="121"/>
      <c r="F131"/>
      <c r="H131" s="95">
        <v>45867</v>
      </c>
      <c r="I131" t="s">
        <v>203</v>
      </c>
      <c r="J131">
        <v>1</v>
      </c>
    </row>
    <row r="132" spans="1:10">
      <c r="A132" s="119" t="s">
        <v>88</v>
      </c>
      <c r="B132" s="129" t="s">
        <v>205</v>
      </c>
      <c r="C132" s="134">
        <v>45845</v>
      </c>
      <c r="D132" s="130" t="s">
        <v>228</v>
      </c>
      <c r="E132" s="121"/>
      <c r="F132"/>
      <c r="G132" t="s">
        <v>205</v>
      </c>
      <c r="H132" s="95">
        <v>45855</v>
      </c>
      <c r="I132" t="s">
        <v>206</v>
      </c>
      <c r="J132">
        <v>1</v>
      </c>
    </row>
    <row r="133" spans="1:10">
      <c r="A133" s="119" t="s">
        <v>88</v>
      </c>
      <c r="B133" s="129" t="s">
        <v>205</v>
      </c>
      <c r="C133" s="134">
        <v>45852</v>
      </c>
      <c r="D133" s="130" t="s">
        <v>228</v>
      </c>
      <c r="E133" s="121"/>
      <c r="F133"/>
      <c r="H133" s="95">
        <v>45866</v>
      </c>
      <c r="I133" t="s">
        <v>206</v>
      </c>
      <c r="J133">
        <v>1</v>
      </c>
    </row>
    <row r="134" spans="1:10">
      <c r="A134" s="119" t="s">
        <v>88</v>
      </c>
      <c r="B134" s="129" t="s">
        <v>205</v>
      </c>
      <c r="C134" s="134">
        <v>45866</v>
      </c>
      <c r="D134" s="130" t="s">
        <v>228</v>
      </c>
      <c r="E134" s="121"/>
      <c r="F134" t="s">
        <v>84</v>
      </c>
      <c r="G134" t="s">
        <v>11</v>
      </c>
      <c r="H134" s="95">
        <v>45840</v>
      </c>
      <c r="I134" t="s">
        <v>211</v>
      </c>
      <c r="J134">
        <v>1</v>
      </c>
    </row>
    <row r="135" spans="1:10">
      <c r="A135" s="119" t="s">
        <v>88</v>
      </c>
      <c r="B135" s="130" t="s">
        <v>11</v>
      </c>
      <c r="C135" s="134">
        <v>45859</v>
      </c>
      <c r="D135" s="129" t="s">
        <v>203</v>
      </c>
      <c r="E135" s="121"/>
      <c r="F135"/>
      <c r="H135" s="95">
        <v>45859</v>
      </c>
      <c r="I135" t="s">
        <v>203</v>
      </c>
      <c r="J135">
        <v>1</v>
      </c>
    </row>
    <row r="136" spans="1:10">
      <c r="A136" s="119" t="s">
        <v>88</v>
      </c>
      <c r="B136" s="130" t="s">
        <v>11</v>
      </c>
      <c r="C136" s="134">
        <v>45860</v>
      </c>
      <c r="D136" s="129" t="s">
        <v>203</v>
      </c>
      <c r="E136" s="121"/>
      <c r="F136"/>
      <c r="G136" t="s">
        <v>205</v>
      </c>
      <c r="H136" s="95">
        <v>45859</v>
      </c>
      <c r="I136" t="s">
        <v>206</v>
      </c>
      <c r="J136">
        <v>1</v>
      </c>
    </row>
    <row r="137" spans="1:10">
      <c r="A137" s="119" t="s">
        <v>88</v>
      </c>
      <c r="B137" s="130" t="s">
        <v>11</v>
      </c>
      <c r="C137" s="134">
        <v>45854</v>
      </c>
      <c r="D137" s="129" t="s">
        <v>203</v>
      </c>
      <c r="F137" t="s">
        <v>85</v>
      </c>
      <c r="G137" t="s">
        <v>11</v>
      </c>
      <c r="H137" s="95">
        <v>45839</v>
      </c>
      <c r="I137" t="s">
        <v>203</v>
      </c>
      <c r="J137">
        <v>1</v>
      </c>
    </row>
    <row r="138" spans="1:10">
      <c r="A138" s="119" t="s">
        <v>88</v>
      </c>
      <c r="B138" s="130" t="s">
        <v>11</v>
      </c>
      <c r="C138" s="134">
        <v>45856</v>
      </c>
      <c r="D138" s="129" t="s">
        <v>203</v>
      </c>
      <c r="E138" s="121"/>
      <c r="F138"/>
      <c r="H138" s="95">
        <v>45855</v>
      </c>
      <c r="I138" t="s">
        <v>203</v>
      </c>
      <c r="J138">
        <v>1</v>
      </c>
    </row>
    <row r="139" spans="1:10">
      <c r="A139" s="119" t="s">
        <v>88</v>
      </c>
      <c r="B139" s="129" t="s">
        <v>205</v>
      </c>
      <c r="C139" s="134">
        <v>45839</v>
      </c>
      <c r="D139" s="130" t="s">
        <v>206</v>
      </c>
      <c r="E139" s="121"/>
      <c r="F139"/>
      <c r="H139" s="95">
        <v>45859</v>
      </c>
      <c r="I139" t="s">
        <v>203</v>
      </c>
      <c r="J139">
        <v>1</v>
      </c>
    </row>
    <row r="140" spans="1:10">
      <c r="A140" s="119" t="s">
        <v>88</v>
      </c>
      <c r="B140" s="129" t="s">
        <v>205</v>
      </c>
      <c r="C140" s="134">
        <v>45853</v>
      </c>
      <c r="D140" s="130" t="s">
        <v>206</v>
      </c>
      <c r="E140" s="121"/>
      <c r="F140"/>
      <c r="H140" s="95">
        <v>45867</v>
      </c>
      <c r="I140" t="s">
        <v>203</v>
      </c>
      <c r="J140">
        <v>1</v>
      </c>
    </row>
    <row r="141" spans="1:10">
      <c r="A141" s="119" t="s">
        <v>88</v>
      </c>
      <c r="B141" s="130" t="s">
        <v>11</v>
      </c>
      <c r="C141" s="134">
        <v>45861</v>
      </c>
      <c r="D141" s="129" t="s">
        <v>203</v>
      </c>
      <c r="E141" s="121"/>
      <c r="F141"/>
      <c r="H141" s="95">
        <v>45868</v>
      </c>
      <c r="I141" t="s">
        <v>203</v>
      </c>
      <c r="J141">
        <v>1</v>
      </c>
    </row>
    <row r="142" spans="1:10">
      <c r="A142" s="119" t="s">
        <v>88</v>
      </c>
      <c r="B142" s="129" t="s">
        <v>205</v>
      </c>
      <c r="C142" s="134">
        <v>45867</v>
      </c>
      <c r="D142" s="130" t="s">
        <v>206</v>
      </c>
      <c r="E142" s="121"/>
      <c r="F142" t="s">
        <v>87</v>
      </c>
      <c r="G142" t="s">
        <v>11</v>
      </c>
      <c r="H142" s="95">
        <v>45841</v>
      </c>
      <c r="I142" t="s">
        <v>211</v>
      </c>
      <c r="J142">
        <v>1</v>
      </c>
    </row>
    <row r="143" spans="1:10">
      <c r="A143" s="119" t="s">
        <v>88</v>
      </c>
      <c r="B143" s="129" t="s">
        <v>205</v>
      </c>
      <c r="C143" s="134">
        <v>45849</v>
      </c>
      <c r="D143" s="130" t="s">
        <v>206</v>
      </c>
      <c r="E143" s="121"/>
      <c r="F143"/>
      <c r="H143" s="95">
        <v>45842</v>
      </c>
      <c r="I143" t="s">
        <v>211</v>
      </c>
      <c r="J143">
        <v>1</v>
      </c>
    </row>
    <row r="144" spans="1:10">
      <c r="A144" s="119" t="s">
        <v>106</v>
      </c>
      <c r="B144" s="130" t="s">
        <v>11</v>
      </c>
      <c r="C144" s="134">
        <v>45859</v>
      </c>
      <c r="D144" s="129" t="s">
        <v>203</v>
      </c>
      <c r="E144" s="121"/>
      <c r="F144"/>
      <c r="H144" s="95">
        <v>45855</v>
      </c>
      <c r="I144" t="s">
        <v>211</v>
      </c>
      <c r="J144">
        <v>1</v>
      </c>
    </row>
    <row r="145" spans="1:15">
      <c r="A145" s="120" t="s">
        <v>107</v>
      </c>
      <c r="B145" s="130" t="s">
        <v>11</v>
      </c>
      <c r="C145" s="134">
        <v>45859</v>
      </c>
      <c r="D145" s="129" t="s">
        <v>203</v>
      </c>
      <c r="E145" s="121"/>
      <c r="F145" t="s">
        <v>190</v>
      </c>
      <c r="G145" t="s">
        <v>11</v>
      </c>
      <c r="H145" s="95">
        <v>45840</v>
      </c>
      <c r="I145" t="s">
        <v>211</v>
      </c>
      <c r="J145">
        <v>1</v>
      </c>
    </row>
    <row r="146" spans="1:15">
      <c r="A146" s="120" t="s">
        <v>107</v>
      </c>
      <c r="B146" s="130" t="s">
        <v>11</v>
      </c>
      <c r="C146" s="134">
        <v>45860</v>
      </c>
      <c r="D146" s="129" t="s">
        <v>203</v>
      </c>
      <c r="E146" s="121"/>
      <c r="F146"/>
      <c r="H146" s="95">
        <v>45847</v>
      </c>
      <c r="I146" t="s">
        <v>203</v>
      </c>
      <c r="J146">
        <v>1</v>
      </c>
    </row>
    <row r="147" spans="1:15">
      <c r="A147" s="120" t="s">
        <v>107</v>
      </c>
      <c r="B147" s="129" t="s">
        <v>205</v>
      </c>
      <c r="C147" s="134">
        <v>45853</v>
      </c>
      <c r="D147" s="129" t="s">
        <v>203</v>
      </c>
      <c r="E147" s="121"/>
      <c r="F147"/>
      <c r="H147" s="95">
        <v>45849</v>
      </c>
      <c r="I147" t="s">
        <v>203</v>
      </c>
      <c r="J147">
        <v>2</v>
      </c>
    </row>
    <row r="148" spans="1:15">
      <c r="A148" s="120" t="s">
        <v>110</v>
      </c>
      <c r="B148" s="130" t="s">
        <v>11</v>
      </c>
      <c r="C148" s="134">
        <v>45860</v>
      </c>
      <c r="D148" s="129" t="s">
        <v>203</v>
      </c>
      <c r="E148" s="121"/>
      <c r="F148"/>
      <c r="H148" s="95">
        <v>45853</v>
      </c>
      <c r="I148" t="s">
        <v>203</v>
      </c>
      <c r="J148">
        <v>1</v>
      </c>
    </row>
    <row r="149" spans="1:15">
      <c r="A149" s="119" t="s">
        <v>112</v>
      </c>
      <c r="B149" s="130" t="s">
        <v>11</v>
      </c>
      <c r="C149" s="134">
        <v>45859</v>
      </c>
      <c r="D149" s="129" t="s">
        <v>203</v>
      </c>
      <c r="E149" s="121"/>
      <c r="F149" t="s">
        <v>88</v>
      </c>
      <c r="G149" t="s">
        <v>11</v>
      </c>
      <c r="H149" s="95">
        <v>45840</v>
      </c>
      <c r="I149" t="s">
        <v>203</v>
      </c>
      <c r="J149">
        <v>1</v>
      </c>
    </row>
    <row r="150" spans="1:15">
      <c r="A150" s="119" t="s">
        <v>114</v>
      </c>
      <c r="B150" s="129" t="s">
        <v>205</v>
      </c>
      <c r="C150" s="134">
        <v>45853</v>
      </c>
      <c r="D150" s="130" t="s">
        <v>206</v>
      </c>
      <c r="E150" s="121"/>
      <c r="F150"/>
      <c r="H150" s="95">
        <v>45848</v>
      </c>
      <c r="I150" t="s">
        <v>203</v>
      </c>
      <c r="J150">
        <v>1</v>
      </c>
    </row>
    <row r="151" spans="1:15">
      <c r="A151" s="119" t="s">
        <v>114</v>
      </c>
      <c r="B151" s="129" t="s">
        <v>205</v>
      </c>
      <c r="C151" s="134">
        <v>45846</v>
      </c>
      <c r="D151" s="130" t="s">
        <v>206</v>
      </c>
      <c r="F151"/>
      <c r="H151" s="95">
        <v>45854</v>
      </c>
      <c r="I151" t="s">
        <v>203</v>
      </c>
      <c r="J151">
        <v>1</v>
      </c>
    </row>
    <row r="152" spans="1:15">
      <c r="A152" s="119" t="s">
        <v>114</v>
      </c>
      <c r="B152" s="129" t="s">
        <v>205</v>
      </c>
      <c r="C152" s="134">
        <v>45839</v>
      </c>
      <c r="D152" s="130" t="s">
        <v>206</v>
      </c>
      <c r="F152"/>
      <c r="H152" s="95">
        <v>45855</v>
      </c>
      <c r="I152" t="s">
        <v>203</v>
      </c>
      <c r="J152">
        <v>1</v>
      </c>
    </row>
    <row r="153" spans="1:15">
      <c r="A153" s="119" t="s">
        <v>114</v>
      </c>
      <c r="B153" s="129" t="s">
        <v>205</v>
      </c>
      <c r="C153" s="134">
        <v>45840</v>
      </c>
      <c r="D153" s="130" t="s">
        <v>206</v>
      </c>
      <c r="F153"/>
      <c r="H153" s="95">
        <v>45856</v>
      </c>
      <c r="I153" t="s">
        <v>203</v>
      </c>
      <c r="J153">
        <v>1</v>
      </c>
    </row>
    <row r="154" spans="1:15">
      <c r="A154" s="119" t="s">
        <v>114</v>
      </c>
      <c r="B154" s="129" t="s">
        <v>205</v>
      </c>
      <c r="C154" s="134">
        <v>45842</v>
      </c>
      <c r="D154" s="130" t="s">
        <v>206</v>
      </c>
      <c r="F154"/>
      <c r="H154" s="95">
        <v>45859</v>
      </c>
      <c r="I154" t="s">
        <v>203</v>
      </c>
      <c r="J154">
        <v>1</v>
      </c>
    </row>
    <row r="155" spans="1:15">
      <c r="A155" s="119" t="s">
        <v>114</v>
      </c>
      <c r="B155" s="130" t="s">
        <v>11</v>
      </c>
      <c r="C155" s="134">
        <v>45843</v>
      </c>
      <c r="D155" s="130" t="s">
        <v>226</v>
      </c>
      <c r="F155"/>
      <c r="H155" s="95">
        <v>45860</v>
      </c>
      <c r="I155" t="s">
        <v>203</v>
      </c>
      <c r="J155">
        <v>1</v>
      </c>
    </row>
    <row r="156" spans="1:15">
      <c r="A156" s="119" t="s">
        <v>114</v>
      </c>
      <c r="B156" s="130" t="s">
        <v>11</v>
      </c>
      <c r="C156" s="134">
        <v>45846</v>
      </c>
      <c r="D156" s="130" t="s">
        <v>226</v>
      </c>
      <c r="F156"/>
      <c r="H156" s="95">
        <v>45861</v>
      </c>
      <c r="I156" t="s">
        <v>203</v>
      </c>
      <c r="J156">
        <v>1</v>
      </c>
    </row>
    <row r="157" spans="1:15">
      <c r="A157" s="119" t="s">
        <v>114</v>
      </c>
      <c r="B157" s="130" t="s">
        <v>11</v>
      </c>
      <c r="C157" s="134">
        <v>45847</v>
      </c>
      <c r="D157" s="130" t="s">
        <v>226</v>
      </c>
      <c r="F157"/>
      <c r="H157" s="95">
        <v>45863</v>
      </c>
      <c r="I157" t="s">
        <v>203</v>
      </c>
      <c r="J157">
        <v>1</v>
      </c>
    </row>
    <row r="158" spans="1:15">
      <c r="A158" s="119" t="s">
        <v>114</v>
      </c>
      <c r="B158" s="130" t="s">
        <v>11</v>
      </c>
      <c r="C158" s="134">
        <v>45849</v>
      </c>
      <c r="D158" s="130" t="s">
        <v>226</v>
      </c>
      <c r="F158"/>
      <c r="H158" s="95">
        <v>45868</v>
      </c>
      <c r="I158" t="s">
        <v>203</v>
      </c>
      <c r="J158">
        <v>1</v>
      </c>
    </row>
    <row r="159" spans="1:15">
      <c r="A159" s="119" t="s">
        <v>114</v>
      </c>
      <c r="B159" s="130" t="s">
        <v>11</v>
      </c>
      <c r="C159" s="134">
        <v>45850</v>
      </c>
      <c r="D159" s="129" t="s">
        <v>203</v>
      </c>
      <c r="F159"/>
      <c r="G159" t="s">
        <v>205</v>
      </c>
      <c r="H159" s="95">
        <v>45839</v>
      </c>
      <c r="I159" t="s">
        <v>206</v>
      </c>
      <c r="J159">
        <v>1</v>
      </c>
    </row>
    <row r="160" spans="1:15">
      <c r="A160" s="119" t="s">
        <v>114</v>
      </c>
      <c r="B160" s="129" t="s">
        <v>205</v>
      </c>
      <c r="C160" s="134">
        <v>45856</v>
      </c>
      <c r="D160" s="129" t="s">
        <v>203</v>
      </c>
      <c r="E160" s="121"/>
      <c r="F160"/>
      <c r="H160" s="95">
        <v>45842</v>
      </c>
      <c r="I160" t="s">
        <v>203</v>
      </c>
      <c r="J160">
        <v>1</v>
      </c>
      <c r="K160" s="121"/>
      <c r="L160" s="121"/>
      <c r="M160" s="121"/>
      <c r="N160" s="121"/>
      <c r="O160" s="121"/>
    </row>
    <row r="161" spans="1:15">
      <c r="A161" s="119" t="s">
        <v>114</v>
      </c>
      <c r="B161" s="129" t="s">
        <v>205</v>
      </c>
      <c r="C161" s="134">
        <v>45857</v>
      </c>
      <c r="D161" s="129" t="s">
        <v>203</v>
      </c>
      <c r="E161" s="121"/>
      <c r="F161"/>
      <c r="H161" s="95">
        <v>45845</v>
      </c>
      <c r="I161" t="s">
        <v>203</v>
      </c>
      <c r="J161">
        <v>1</v>
      </c>
      <c r="K161" s="121"/>
      <c r="L161" s="121"/>
      <c r="M161" s="121"/>
      <c r="N161" s="121"/>
      <c r="O161" s="121"/>
    </row>
    <row r="162" spans="1:15">
      <c r="A162" s="119" t="s">
        <v>114</v>
      </c>
      <c r="B162" s="130" t="s">
        <v>11</v>
      </c>
      <c r="C162" s="134">
        <v>45863</v>
      </c>
      <c r="D162" s="129" t="s">
        <v>203</v>
      </c>
      <c r="E162" s="121"/>
      <c r="F162"/>
      <c r="H162" s="95">
        <v>45849</v>
      </c>
      <c r="I162" t="s">
        <v>206</v>
      </c>
      <c r="J162">
        <v>1</v>
      </c>
      <c r="K162" s="121"/>
      <c r="L162" s="121"/>
      <c r="M162" s="121"/>
      <c r="N162" s="121"/>
      <c r="O162" s="121"/>
    </row>
    <row r="163" spans="1:15">
      <c r="A163" s="119" t="s">
        <v>114</v>
      </c>
      <c r="B163" s="130" t="s">
        <v>11</v>
      </c>
      <c r="C163" s="134">
        <v>45864</v>
      </c>
      <c r="D163" s="129" t="s">
        <v>203</v>
      </c>
      <c r="E163" s="121"/>
      <c r="F163"/>
      <c r="H163" s="95">
        <v>45852</v>
      </c>
      <c r="I163" t="s">
        <v>203</v>
      </c>
      <c r="J163">
        <v>1</v>
      </c>
      <c r="K163" s="121"/>
      <c r="L163" s="121"/>
      <c r="M163" s="121"/>
      <c r="N163" s="121"/>
      <c r="O163" s="121"/>
    </row>
    <row r="164" spans="1:15">
      <c r="A164" s="119" t="s">
        <v>114</v>
      </c>
      <c r="B164" s="130" t="s">
        <v>11</v>
      </c>
      <c r="C164" s="134">
        <v>45865</v>
      </c>
      <c r="D164" s="129" t="s">
        <v>203</v>
      </c>
      <c r="E164" s="121"/>
      <c r="F164"/>
      <c r="H164" s="95">
        <v>45853</v>
      </c>
      <c r="I164" t="s">
        <v>206</v>
      </c>
      <c r="J164">
        <v>1</v>
      </c>
      <c r="K164" s="121"/>
      <c r="L164" s="121"/>
      <c r="M164" s="121"/>
      <c r="N164" s="121"/>
      <c r="O164" s="121"/>
    </row>
    <row r="165" spans="1:15">
      <c r="A165" s="119" t="s">
        <v>66</v>
      </c>
      <c r="B165" s="130" t="s">
        <v>11</v>
      </c>
      <c r="C165" s="134">
        <v>45859</v>
      </c>
      <c r="D165" s="129" t="s">
        <v>203</v>
      </c>
      <c r="E165" s="121"/>
      <c r="F165"/>
      <c r="H165" s="95">
        <v>45866</v>
      </c>
      <c r="I165" t="s">
        <v>203</v>
      </c>
      <c r="J165">
        <v>1</v>
      </c>
      <c r="K165" s="121"/>
      <c r="L165" s="121"/>
      <c r="M165" s="121"/>
      <c r="N165" s="121"/>
      <c r="O165" s="121"/>
    </row>
    <row r="166" spans="1:15">
      <c r="A166" s="119" t="s">
        <v>115</v>
      </c>
      <c r="B166" s="130" t="s">
        <v>11</v>
      </c>
      <c r="C166" s="134">
        <v>45860</v>
      </c>
      <c r="D166" s="129" t="s">
        <v>203</v>
      </c>
      <c r="E166" s="121"/>
      <c r="F166"/>
      <c r="H166" s="95">
        <v>45867</v>
      </c>
      <c r="I166" t="s">
        <v>206</v>
      </c>
      <c r="J166">
        <v>1</v>
      </c>
      <c r="K166" s="121"/>
      <c r="L166" s="121"/>
      <c r="M166" s="121"/>
      <c r="N166" s="121"/>
      <c r="O166" s="121"/>
    </row>
    <row r="167" spans="1:15">
      <c r="A167" s="119" t="s">
        <v>115</v>
      </c>
      <c r="B167" s="129" t="s">
        <v>205</v>
      </c>
      <c r="C167" s="134">
        <v>45854</v>
      </c>
      <c r="D167" s="130" t="s">
        <v>214</v>
      </c>
      <c r="E167" s="121"/>
      <c r="F167" t="s">
        <v>229</v>
      </c>
      <c r="G167" t="s">
        <v>205</v>
      </c>
      <c r="H167" s="95">
        <v>45855</v>
      </c>
      <c r="I167" t="s">
        <v>206</v>
      </c>
      <c r="J167">
        <v>1</v>
      </c>
      <c r="K167" s="121"/>
      <c r="L167" s="121"/>
      <c r="M167" s="121"/>
      <c r="N167" s="121"/>
      <c r="O167" s="121"/>
    </row>
    <row r="168" spans="1:15">
      <c r="A168" s="119" t="s">
        <v>115</v>
      </c>
      <c r="B168" s="129" t="s">
        <v>205</v>
      </c>
      <c r="C168" s="134">
        <v>45866</v>
      </c>
      <c r="D168" s="129" t="s">
        <v>203</v>
      </c>
      <c r="F168"/>
      <c r="H168" s="95">
        <v>45868</v>
      </c>
      <c r="I168" t="s">
        <v>203</v>
      </c>
      <c r="J168">
        <v>1</v>
      </c>
    </row>
    <row r="169" spans="1:15">
      <c r="A169" s="119" t="s">
        <v>115</v>
      </c>
      <c r="B169" s="130" t="s">
        <v>11</v>
      </c>
      <c r="C169" s="134">
        <v>45860</v>
      </c>
      <c r="D169" s="129" t="s">
        <v>203</v>
      </c>
      <c r="F169" t="s">
        <v>230</v>
      </c>
      <c r="G169" t="s">
        <v>11</v>
      </c>
      <c r="H169" s="95">
        <v>45868</v>
      </c>
      <c r="I169" t="s">
        <v>203</v>
      </c>
      <c r="J169">
        <v>1</v>
      </c>
    </row>
    <row r="170" spans="1:15">
      <c r="A170" s="119" t="s">
        <v>116</v>
      </c>
      <c r="B170" s="129" t="s">
        <v>205</v>
      </c>
      <c r="C170" s="134">
        <v>45842</v>
      </c>
      <c r="D170" s="130" t="s">
        <v>214</v>
      </c>
      <c r="F170"/>
      <c r="G170" t="s">
        <v>205</v>
      </c>
      <c r="H170" s="95">
        <v>45841</v>
      </c>
      <c r="I170" t="s">
        <v>214</v>
      </c>
      <c r="J170">
        <v>1</v>
      </c>
    </row>
    <row r="171" spans="1:15">
      <c r="A171" s="119" t="s">
        <v>116</v>
      </c>
      <c r="B171" s="129" t="s">
        <v>205</v>
      </c>
      <c r="C171" s="134">
        <v>45846</v>
      </c>
      <c r="D171" s="130" t="s">
        <v>214</v>
      </c>
      <c r="F171" t="s">
        <v>106</v>
      </c>
      <c r="G171" t="s">
        <v>11</v>
      </c>
      <c r="H171" s="95">
        <v>45859</v>
      </c>
      <c r="I171" t="s">
        <v>203</v>
      </c>
      <c r="J171">
        <v>1</v>
      </c>
    </row>
    <row r="172" spans="1:15">
      <c r="A172" s="119" t="s">
        <v>116</v>
      </c>
      <c r="B172" s="129" t="s">
        <v>205</v>
      </c>
      <c r="C172" s="134">
        <v>45866</v>
      </c>
      <c r="D172" s="129" t="s">
        <v>203</v>
      </c>
      <c r="F172" t="s">
        <v>107</v>
      </c>
      <c r="G172" t="s">
        <v>11</v>
      </c>
      <c r="H172" s="95">
        <v>45859</v>
      </c>
      <c r="I172" t="s">
        <v>203</v>
      </c>
      <c r="J172">
        <v>1</v>
      </c>
    </row>
    <row r="173" spans="1:15">
      <c r="A173" s="119" t="s">
        <v>116</v>
      </c>
      <c r="B173" s="130" t="s">
        <v>11</v>
      </c>
      <c r="C173" s="134">
        <v>45860</v>
      </c>
      <c r="D173" s="129" t="s">
        <v>203</v>
      </c>
      <c r="F173"/>
      <c r="H173" s="95">
        <v>45860</v>
      </c>
      <c r="I173" t="s">
        <v>203</v>
      </c>
      <c r="J173">
        <v>1</v>
      </c>
    </row>
    <row r="174" spans="1:15">
      <c r="A174" s="119" t="s">
        <v>116</v>
      </c>
      <c r="B174" s="130" t="s">
        <v>11</v>
      </c>
      <c r="C174" s="134">
        <v>45861</v>
      </c>
      <c r="D174" s="129" t="s">
        <v>203</v>
      </c>
      <c r="E174" s="121"/>
      <c r="F174"/>
      <c r="G174" t="s">
        <v>205</v>
      </c>
      <c r="H174" s="95">
        <v>45853</v>
      </c>
      <c r="I174" t="s">
        <v>203</v>
      </c>
      <c r="J174">
        <v>1</v>
      </c>
      <c r="K174" s="121"/>
      <c r="L174" s="121"/>
      <c r="M174" s="121"/>
      <c r="N174" s="121"/>
    </row>
    <row r="175" spans="1:15">
      <c r="A175" s="119" t="s">
        <v>116</v>
      </c>
      <c r="B175" s="130" t="s">
        <v>11</v>
      </c>
      <c r="C175" s="134">
        <v>45862</v>
      </c>
      <c r="D175" s="129" t="s">
        <v>203</v>
      </c>
      <c r="E175" s="121"/>
      <c r="F175" t="s">
        <v>231</v>
      </c>
      <c r="G175" t="s">
        <v>205</v>
      </c>
      <c r="H175" s="95">
        <v>45855</v>
      </c>
      <c r="I175" t="s">
        <v>206</v>
      </c>
      <c r="J175">
        <v>1</v>
      </c>
      <c r="K175" s="121"/>
      <c r="L175" s="121"/>
      <c r="M175" s="121"/>
      <c r="N175" s="121"/>
    </row>
    <row r="176" spans="1:15">
      <c r="A176" s="119" t="s">
        <v>117</v>
      </c>
      <c r="B176" s="130" t="s">
        <v>11</v>
      </c>
      <c r="C176" s="134">
        <v>45859</v>
      </c>
      <c r="D176" s="129" t="s">
        <v>203</v>
      </c>
      <c r="E176" s="121"/>
      <c r="F176"/>
      <c r="H176" s="95">
        <v>45867</v>
      </c>
      <c r="I176" t="s">
        <v>203</v>
      </c>
      <c r="J176">
        <v>1</v>
      </c>
      <c r="K176" s="121"/>
      <c r="L176" s="121"/>
      <c r="M176" s="121"/>
      <c r="N176" s="121"/>
    </row>
    <row r="177" spans="1:14">
      <c r="A177" s="119" t="s">
        <v>118</v>
      </c>
      <c r="B177" s="130" t="s">
        <v>11</v>
      </c>
      <c r="C177" s="134">
        <v>45859</v>
      </c>
      <c r="D177" s="129" t="s">
        <v>203</v>
      </c>
      <c r="E177" s="121"/>
      <c r="F177" t="s">
        <v>110</v>
      </c>
      <c r="G177" t="s">
        <v>11</v>
      </c>
      <c r="H177" s="95">
        <v>45860</v>
      </c>
      <c r="I177" t="s">
        <v>203</v>
      </c>
      <c r="J177">
        <v>1</v>
      </c>
      <c r="K177" s="121"/>
      <c r="L177" s="121"/>
      <c r="M177" s="121"/>
      <c r="N177" s="121"/>
    </row>
    <row r="178" spans="1:14">
      <c r="A178" s="120" t="s">
        <v>119</v>
      </c>
      <c r="B178" s="129" t="s">
        <v>205</v>
      </c>
      <c r="C178" s="134">
        <v>45843</v>
      </c>
      <c r="D178" s="130" t="s">
        <v>214</v>
      </c>
      <c r="E178" s="121"/>
      <c r="F178" t="s">
        <v>112</v>
      </c>
      <c r="G178" t="s">
        <v>11</v>
      </c>
      <c r="H178" s="95">
        <v>45859</v>
      </c>
      <c r="I178" t="s">
        <v>203</v>
      </c>
      <c r="J178">
        <v>1</v>
      </c>
      <c r="K178" s="121"/>
      <c r="L178" s="121"/>
      <c r="M178" s="121"/>
      <c r="N178" s="121"/>
    </row>
    <row r="179" spans="1:14">
      <c r="A179" s="119" t="s">
        <v>120</v>
      </c>
      <c r="B179" s="129" t="s">
        <v>205</v>
      </c>
      <c r="C179" s="134">
        <v>45847</v>
      </c>
      <c r="D179" s="130" t="s">
        <v>214</v>
      </c>
      <c r="E179" s="121"/>
      <c r="F179" t="s">
        <v>232</v>
      </c>
      <c r="G179" t="s">
        <v>11</v>
      </c>
      <c r="H179" s="95">
        <v>45855</v>
      </c>
      <c r="I179" t="s">
        <v>233</v>
      </c>
      <c r="J179">
        <v>1</v>
      </c>
      <c r="K179" s="121"/>
      <c r="L179" s="121"/>
      <c r="M179" s="121"/>
      <c r="N179" s="121"/>
    </row>
    <row r="180" spans="1:14">
      <c r="A180" s="119" t="s">
        <v>120</v>
      </c>
      <c r="B180" s="129" t="s">
        <v>205</v>
      </c>
      <c r="C180" s="134">
        <v>45853</v>
      </c>
      <c r="D180" s="130" t="s">
        <v>214</v>
      </c>
      <c r="E180" s="121"/>
      <c r="F180" t="s">
        <v>114</v>
      </c>
      <c r="G180" t="s">
        <v>11</v>
      </c>
      <c r="H180" s="95">
        <v>45843</v>
      </c>
      <c r="I180" t="s">
        <v>211</v>
      </c>
      <c r="J180">
        <v>1</v>
      </c>
      <c r="K180" s="121"/>
      <c r="L180" s="121"/>
      <c r="M180" s="121"/>
      <c r="N180" s="121"/>
    </row>
    <row r="181" spans="1:14">
      <c r="A181" s="119" t="s">
        <v>120</v>
      </c>
      <c r="B181" s="129" t="s">
        <v>205</v>
      </c>
      <c r="C181" s="134">
        <v>45855</v>
      </c>
      <c r="D181" s="129" t="s">
        <v>203</v>
      </c>
      <c r="E181" s="121"/>
      <c r="F181"/>
      <c r="H181" s="95">
        <v>45846</v>
      </c>
      <c r="I181" t="s">
        <v>211</v>
      </c>
      <c r="J181">
        <v>1</v>
      </c>
      <c r="K181" s="121"/>
      <c r="L181" s="121"/>
      <c r="M181" s="121"/>
      <c r="N181" s="121"/>
    </row>
    <row r="182" spans="1:14">
      <c r="A182" s="119" t="s">
        <v>120</v>
      </c>
      <c r="B182" s="130" t="s">
        <v>11</v>
      </c>
      <c r="C182" s="134">
        <v>45854</v>
      </c>
      <c r="D182" s="130" t="s">
        <v>226</v>
      </c>
      <c r="E182" s="121"/>
      <c r="F182"/>
      <c r="H182" s="95">
        <v>45847</v>
      </c>
      <c r="I182" t="s">
        <v>211</v>
      </c>
      <c r="J182">
        <v>1</v>
      </c>
      <c r="K182" s="121"/>
      <c r="L182" s="121"/>
      <c r="M182" s="121"/>
      <c r="N182" s="121"/>
    </row>
    <row r="183" spans="1:14">
      <c r="A183" s="119" t="s">
        <v>120</v>
      </c>
      <c r="B183" s="130" t="s">
        <v>11</v>
      </c>
      <c r="C183" s="134">
        <v>45860</v>
      </c>
      <c r="D183" s="129" t="s">
        <v>203</v>
      </c>
      <c r="E183" s="121"/>
      <c r="F183"/>
      <c r="H183" s="95">
        <v>45849</v>
      </c>
      <c r="I183" t="s">
        <v>211</v>
      </c>
      <c r="J183">
        <v>1</v>
      </c>
      <c r="K183" s="121"/>
      <c r="L183" s="121"/>
      <c r="M183" s="121"/>
      <c r="N183" s="121"/>
    </row>
    <row r="184" spans="1:14">
      <c r="A184" s="119" t="s">
        <v>120</v>
      </c>
      <c r="B184" s="130" t="s">
        <v>11</v>
      </c>
      <c r="C184" s="134">
        <v>45861</v>
      </c>
      <c r="D184" s="129" t="s">
        <v>203</v>
      </c>
      <c r="E184" s="121"/>
      <c r="F184"/>
      <c r="H184" s="95">
        <v>45850</v>
      </c>
      <c r="I184" t="s">
        <v>203</v>
      </c>
      <c r="J184">
        <v>1</v>
      </c>
      <c r="K184" s="121"/>
      <c r="L184" s="121"/>
      <c r="M184" s="121"/>
      <c r="N184" s="121"/>
    </row>
    <row r="185" spans="1:14">
      <c r="A185" s="120" t="s">
        <v>124</v>
      </c>
      <c r="B185" s="129" t="s">
        <v>205</v>
      </c>
      <c r="C185" s="134">
        <v>45839</v>
      </c>
      <c r="D185" s="130" t="s">
        <v>214</v>
      </c>
      <c r="E185" s="121"/>
      <c r="F185"/>
      <c r="H185" s="95">
        <v>45863</v>
      </c>
      <c r="I185" t="s">
        <v>203</v>
      </c>
      <c r="J185">
        <v>1</v>
      </c>
    </row>
    <row r="186" spans="1:14">
      <c r="A186" s="119" t="s">
        <v>125</v>
      </c>
      <c r="B186" s="129" t="s">
        <v>205</v>
      </c>
      <c r="C186" s="134">
        <v>45846</v>
      </c>
      <c r="D186" s="130" t="s">
        <v>214</v>
      </c>
      <c r="E186" s="121"/>
      <c r="F186"/>
      <c r="H186" s="95">
        <v>45864</v>
      </c>
      <c r="I186" t="s">
        <v>203</v>
      </c>
      <c r="J186">
        <v>1</v>
      </c>
    </row>
    <row r="187" spans="1:14">
      <c r="A187" s="119" t="s">
        <v>125</v>
      </c>
      <c r="B187" s="129" t="s">
        <v>205</v>
      </c>
      <c r="C187" s="134">
        <v>45847</v>
      </c>
      <c r="D187" s="130" t="s">
        <v>214</v>
      </c>
      <c r="E187" s="121"/>
      <c r="F187"/>
      <c r="H187" s="95">
        <v>45865</v>
      </c>
      <c r="I187" t="s">
        <v>203</v>
      </c>
      <c r="J187">
        <v>1</v>
      </c>
    </row>
    <row r="188" spans="1:14">
      <c r="A188" s="119" t="s">
        <v>125</v>
      </c>
      <c r="B188" s="129" t="s">
        <v>205</v>
      </c>
      <c r="C188" s="134">
        <v>45849</v>
      </c>
      <c r="D188" s="130" t="s">
        <v>214</v>
      </c>
      <c r="E188" s="121"/>
      <c r="F188"/>
      <c r="G188" t="s">
        <v>205</v>
      </c>
      <c r="H188" s="95">
        <v>45839</v>
      </c>
      <c r="I188" t="s">
        <v>206</v>
      </c>
      <c r="J188">
        <v>1</v>
      </c>
    </row>
    <row r="189" spans="1:14">
      <c r="A189" s="119" t="s">
        <v>125</v>
      </c>
      <c r="B189" s="129" t="s">
        <v>205</v>
      </c>
      <c r="C189" s="134">
        <v>45853</v>
      </c>
      <c r="D189" s="130" t="s">
        <v>214</v>
      </c>
      <c r="E189" s="121"/>
      <c r="F189"/>
      <c r="H189" s="95">
        <v>45840</v>
      </c>
      <c r="I189" t="s">
        <v>206</v>
      </c>
      <c r="J189">
        <v>1</v>
      </c>
    </row>
    <row r="190" spans="1:14">
      <c r="A190" s="119" t="s">
        <v>125</v>
      </c>
      <c r="B190" s="129" t="s">
        <v>205</v>
      </c>
      <c r="C190" s="134">
        <v>45854</v>
      </c>
      <c r="D190" s="130" t="s">
        <v>214</v>
      </c>
      <c r="E190" s="121"/>
      <c r="F190"/>
      <c r="H190" s="95">
        <v>45842</v>
      </c>
      <c r="I190" t="s">
        <v>206</v>
      </c>
      <c r="J190">
        <v>1</v>
      </c>
    </row>
    <row r="191" spans="1:14">
      <c r="A191" s="119" t="s">
        <v>125</v>
      </c>
      <c r="B191" s="129" t="s">
        <v>205</v>
      </c>
      <c r="C191" s="134">
        <v>45855</v>
      </c>
      <c r="D191" s="129" t="s">
        <v>203</v>
      </c>
      <c r="E191" s="121"/>
      <c r="F191"/>
      <c r="H191" s="95">
        <v>45846</v>
      </c>
      <c r="I191" t="s">
        <v>206</v>
      </c>
      <c r="J191">
        <v>1</v>
      </c>
    </row>
    <row r="192" spans="1:14">
      <c r="A192" s="119" t="s">
        <v>125</v>
      </c>
      <c r="B192" s="130" t="s">
        <v>11</v>
      </c>
      <c r="C192" s="134">
        <v>45852</v>
      </c>
      <c r="D192" s="130" t="s">
        <v>234</v>
      </c>
      <c r="E192" s="121"/>
      <c r="F192"/>
      <c r="H192" s="95">
        <v>45853</v>
      </c>
      <c r="I192" t="s">
        <v>206</v>
      </c>
      <c r="J192">
        <v>1</v>
      </c>
    </row>
    <row r="193" spans="1:10">
      <c r="A193" s="120" t="s">
        <v>126</v>
      </c>
      <c r="B193" s="130" t="s">
        <v>11</v>
      </c>
      <c r="C193" s="134">
        <v>45844</v>
      </c>
      <c r="D193" s="130" t="s">
        <v>226</v>
      </c>
      <c r="E193" s="121"/>
      <c r="F193"/>
      <c r="H193" s="95">
        <v>45856</v>
      </c>
      <c r="I193" t="s">
        <v>203</v>
      </c>
      <c r="J193">
        <v>1</v>
      </c>
    </row>
    <row r="194" spans="1:10">
      <c r="A194" s="120" t="s">
        <v>126</v>
      </c>
      <c r="B194" s="130" t="s">
        <v>11</v>
      </c>
      <c r="C194" s="134">
        <v>45857</v>
      </c>
      <c r="D194" s="129" t="s">
        <v>203</v>
      </c>
      <c r="E194" s="121"/>
      <c r="F194"/>
      <c r="H194" s="95">
        <v>45857</v>
      </c>
      <c r="I194" t="s">
        <v>203</v>
      </c>
      <c r="J194">
        <v>1</v>
      </c>
    </row>
    <row r="195" spans="1:10">
      <c r="A195" s="120" t="s">
        <v>126</v>
      </c>
      <c r="B195" s="130" t="s">
        <v>11</v>
      </c>
      <c r="C195" s="134">
        <v>45859</v>
      </c>
      <c r="D195" s="129" t="s">
        <v>203</v>
      </c>
      <c r="E195" s="121"/>
      <c r="F195" t="s">
        <v>235</v>
      </c>
      <c r="G195" t="s">
        <v>11</v>
      </c>
      <c r="H195" s="95">
        <v>45866</v>
      </c>
      <c r="I195" t="s">
        <v>210</v>
      </c>
      <c r="J195">
        <v>1</v>
      </c>
    </row>
    <row r="196" spans="1:10">
      <c r="A196" s="119" t="s">
        <v>127</v>
      </c>
      <c r="B196" s="129" t="s">
        <v>205</v>
      </c>
      <c r="C196" s="134">
        <v>45849</v>
      </c>
      <c r="D196" s="130" t="s">
        <v>214</v>
      </c>
      <c r="E196" s="121"/>
      <c r="F196" t="s">
        <v>66</v>
      </c>
      <c r="G196" t="s">
        <v>11</v>
      </c>
      <c r="H196" s="95">
        <v>45859</v>
      </c>
      <c r="I196" t="s">
        <v>203</v>
      </c>
      <c r="J196">
        <v>1</v>
      </c>
    </row>
    <row r="197" spans="1:10">
      <c r="A197" s="119" t="s">
        <v>127</v>
      </c>
      <c r="B197" s="129" t="s">
        <v>205</v>
      </c>
      <c r="C197" s="134">
        <v>45855</v>
      </c>
      <c r="D197" s="129" t="s">
        <v>203</v>
      </c>
      <c r="E197" s="121"/>
      <c r="F197" t="s">
        <v>115</v>
      </c>
      <c r="G197" t="s">
        <v>11</v>
      </c>
      <c r="H197" s="95">
        <v>45860</v>
      </c>
      <c r="I197" t="s">
        <v>203</v>
      </c>
      <c r="J197">
        <v>2</v>
      </c>
    </row>
    <row r="198" spans="1:10">
      <c r="A198" s="119" t="s">
        <v>127</v>
      </c>
      <c r="B198" s="129" t="s">
        <v>205</v>
      </c>
      <c r="C198" s="134">
        <v>45866</v>
      </c>
      <c r="D198" s="129" t="s">
        <v>203</v>
      </c>
      <c r="E198" s="121"/>
      <c r="F198"/>
      <c r="G198" t="s">
        <v>205</v>
      </c>
      <c r="H198" s="95">
        <v>45854</v>
      </c>
      <c r="I198" t="s">
        <v>214</v>
      </c>
      <c r="J198">
        <v>1</v>
      </c>
    </row>
    <row r="199" spans="1:10">
      <c r="A199" s="119" t="s">
        <v>127</v>
      </c>
      <c r="B199" s="130" t="s">
        <v>11</v>
      </c>
      <c r="C199" s="134">
        <v>45859</v>
      </c>
      <c r="D199" s="129" t="s">
        <v>203</v>
      </c>
      <c r="E199" s="121"/>
      <c r="F199"/>
      <c r="H199" s="95">
        <v>45866</v>
      </c>
      <c r="I199" t="s">
        <v>203</v>
      </c>
      <c r="J199">
        <v>1</v>
      </c>
    </row>
    <row r="200" spans="1:10">
      <c r="A200" s="119" t="s">
        <v>128</v>
      </c>
      <c r="B200" s="129" t="s">
        <v>205</v>
      </c>
      <c r="C200" s="134">
        <v>45854</v>
      </c>
      <c r="D200" s="130" t="s">
        <v>214</v>
      </c>
      <c r="E200" s="121"/>
      <c r="F200" t="s">
        <v>116</v>
      </c>
      <c r="G200" t="s">
        <v>11</v>
      </c>
      <c r="H200" s="95">
        <v>45860</v>
      </c>
      <c r="I200" t="s">
        <v>203</v>
      </c>
      <c r="J200">
        <v>1</v>
      </c>
    </row>
    <row r="201" spans="1:10">
      <c r="A201" s="119" t="s">
        <v>128</v>
      </c>
      <c r="B201" s="130" t="s">
        <v>11</v>
      </c>
      <c r="C201" s="134">
        <v>45859</v>
      </c>
      <c r="D201" s="129" t="s">
        <v>203</v>
      </c>
      <c r="E201" s="121"/>
      <c r="F201"/>
      <c r="H201" s="95">
        <v>45861</v>
      </c>
      <c r="I201" t="s">
        <v>203</v>
      </c>
      <c r="J201">
        <v>1</v>
      </c>
    </row>
    <row r="202" spans="1:10">
      <c r="A202" s="119" t="s">
        <v>128</v>
      </c>
      <c r="B202" s="130" t="s">
        <v>11</v>
      </c>
      <c r="C202" s="134">
        <v>45860</v>
      </c>
      <c r="D202" s="129" t="s">
        <v>203</v>
      </c>
      <c r="E202" s="121"/>
      <c r="F202"/>
      <c r="H202" s="95">
        <v>45862</v>
      </c>
      <c r="I202" t="s">
        <v>203</v>
      </c>
      <c r="J202">
        <v>1</v>
      </c>
    </row>
    <row r="203" spans="1:10">
      <c r="A203" s="119" t="s">
        <v>128</v>
      </c>
      <c r="B203" s="130" t="s">
        <v>11</v>
      </c>
      <c r="C203" s="134">
        <v>45861</v>
      </c>
      <c r="D203" s="129" t="s">
        <v>203</v>
      </c>
      <c r="F203"/>
      <c r="G203" t="s">
        <v>205</v>
      </c>
      <c r="H203" s="95">
        <v>45842</v>
      </c>
      <c r="I203" t="s">
        <v>214</v>
      </c>
      <c r="J203">
        <v>1</v>
      </c>
    </row>
    <row r="204" spans="1:10">
      <c r="A204" s="119" t="s">
        <v>128</v>
      </c>
      <c r="B204" s="130" t="s">
        <v>11</v>
      </c>
      <c r="C204" s="134">
        <v>45862</v>
      </c>
      <c r="D204" s="129" t="s">
        <v>203</v>
      </c>
      <c r="F204"/>
      <c r="H204" s="95">
        <v>45846</v>
      </c>
      <c r="I204" t="s">
        <v>214</v>
      </c>
      <c r="J204">
        <v>1</v>
      </c>
    </row>
    <row r="205" spans="1:10">
      <c r="A205" s="119" t="s">
        <v>129</v>
      </c>
      <c r="B205" s="129" t="s">
        <v>205</v>
      </c>
      <c r="C205" s="134">
        <v>45853</v>
      </c>
      <c r="D205" s="130" t="s">
        <v>214</v>
      </c>
      <c r="F205"/>
      <c r="H205" s="95">
        <v>45866</v>
      </c>
      <c r="I205" t="s">
        <v>203</v>
      </c>
      <c r="J205">
        <v>1</v>
      </c>
    </row>
    <row r="206" spans="1:10">
      <c r="A206" s="119" t="s">
        <v>129</v>
      </c>
      <c r="B206" s="129" t="s">
        <v>205</v>
      </c>
      <c r="C206" s="134">
        <v>45854</v>
      </c>
      <c r="D206" s="130" t="s">
        <v>214</v>
      </c>
      <c r="F206" t="s">
        <v>117</v>
      </c>
      <c r="G206" t="s">
        <v>11</v>
      </c>
      <c r="H206" s="95">
        <v>45859</v>
      </c>
      <c r="I206" t="s">
        <v>203</v>
      </c>
      <c r="J206">
        <v>1</v>
      </c>
    </row>
    <row r="207" spans="1:10">
      <c r="A207" s="119" t="s">
        <v>129</v>
      </c>
      <c r="B207" s="129" t="s">
        <v>205</v>
      </c>
      <c r="C207" s="134">
        <v>45867</v>
      </c>
      <c r="D207" s="129" t="s">
        <v>203</v>
      </c>
      <c r="F207" t="s">
        <v>236</v>
      </c>
      <c r="G207" t="s">
        <v>11</v>
      </c>
      <c r="H207" s="95">
        <v>45850</v>
      </c>
      <c r="I207" t="s">
        <v>211</v>
      </c>
      <c r="J207">
        <v>1</v>
      </c>
    </row>
    <row r="208" spans="1:10">
      <c r="A208" s="119" t="s">
        <v>129</v>
      </c>
      <c r="B208" s="129" t="s">
        <v>205</v>
      </c>
      <c r="C208" s="134">
        <v>45868</v>
      </c>
      <c r="D208" s="129" t="s">
        <v>203</v>
      </c>
      <c r="F208"/>
      <c r="H208" s="95">
        <v>45851</v>
      </c>
      <c r="I208" t="s">
        <v>211</v>
      </c>
      <c r="J208">
        <v>1</v>
      </c>
    </row>
    <row r="209" spans="1:10">
      <c r="A209" s="119" t="s">
        <v>129</v>
      </c>
      <c r="B209" s="130" t="s">
        <v>11</v>
      </c>
      <c r="C209" s="134">
        <v>45856</v>
      </c>
      <c r="D209" s="129" t="s">
        <v>203</v>
      </c>
      <c r="F209"/>
      <c r="H209" s="95">
        <v>45865</v>
      </c>
      <c r="I209" t="s">
        <v>211</v>
      </c>
      <c r="J209">
        <v>1</v>
      </c>
    </row>
    <row r="210" spans="1:10">
      <c r="A210" s="120" t="s">
        <v>131</v>
      </c>
      <c r="B210" s="130" t="s">
        <v>11</v>
      </c>
      <c r="C210" s="134">
        <v>45859</v>
      </c>
      <c r="D210" s="129" t="s">
        <v>203</v>
      </c>
      <c r="F210"/>
      <c r="G210" t="s">
        <v>205</v>
      </c>
      <c r="H210" s="95">
        <v>45848</v>
      </c>
      <c r="I210" t="s">
        <v>206</v>
      </c>
      <c r="J210">
        <v>1</v>
      </c>
    </row>
    <row r="211" spans="1:10">
      <c r="A211" s="120" t="s">
        <v>131</v>
      </c>
      <c r="B211" s="130" t="s">
        <v>11</v>
      </c>
      <c r="C211" s="134">
        <v>45863</v>
      </c>
      <c r="D211" s="129" t="s">
        <v>203</v>
      </c>
      <c r="F211"/>
      <c r="H211" s="95">
        <v>45864</v>
      </c>
      <c r="I211" t="s">
        <v>206</v>
      </c>
      <c r="J211">
        <v>1</v>
      </c>
    </row>
    <row r="212" spans="1:10">
      <c r="A212" s="120" t="s">
        <v>131</v>
      </c>
      <c r="B212" s="129" t="s">
        <v>205</v>
      </c>
      <c r="C212" s="134">
        <v>45853</v>
      </c>
      <c r="D212" s="130" t="s">
        <v>214</v>
      </c>
      <c r="F212" t="s">
        <v>118</v>
      </c>
      <c r="G212" t="s">
        <v>11</v>
      </c>
      <c r="H212" s="95">
        <v>45859</v>
      </c>
      <c r="I212" t="s">
        <v>203</v>
      </c>
      <c r="J212">
        <v>1</v>
      </c>
    </row>
    <row r="213" spans="1:10">
      <c r="A213" s="120" t="s">
        <v>131</v>
      </c>
      <c r="B213" s="129" t="s">
        <v>205</v>
      </c>
      <c r="C213" s="134">
        <v>45854</v>
      </c>
      <c r="D213" s="130" t="s">
        <v>214</v>
      </c>
      <c r="F213" t="s">
        <v>119</v>
      </c>
      <c r="G213" t="s">
        <v>205</v>
      </c>
      <c r="H213" s="95">
        <v>45843</v>
      </c>
      <c r="I213" t="s">
        <v>214</v>
      </c>
      <c r="J213">
        <v>1</v>
      </c>
    </row>
    <row r="214" spans="1:10">
      <c r="A214" s="120" t="s">
        <v>131</v>
      </c>
      <c r="B214" s="129" t="s">
        <v>205</v>
      </c>
      <c r="C214" s="134">
        <v>45855</v>
      </c>
      <c r="D214" s="129" t="s">
        <v>203</v>
      </c>
      <c r="F214" t="s">
        <v>120</v>
      </c>
      <c r="G214" t="s">
        <v>11</v>
      </c>
      <c r="H214" s="95">
        <v>45854</v>
      </c>
      <c r="I214" t="s">
        <v>211</v>
      </c>
      <c r="J214">
        <v>1</v>
      </c>
    </row>
    <row r="215" spans="1:10">
      <c r="A215" s="120" t="s">
        <v>133</v>
      </c>
      <c r="B215" s="130" t="s">
        <v>11</v>
      </c>
      <c r="C215" s="134">
        <v>45842</v>
      </c>
      <c r="D215" s="130" t="s">
        <v>226</v>
      </c>
      <c r="F215"/>
      <c r="H215" s="95">
        <v>45860</v>
      </c>
      <c r="I215" t="s">
        <v>203</v>
      </c>
      <c r="J215">
        <v>1</v>
      </c>
    </row>
    <row r="216" spans="1:10">
      <c r="A216" s="120" t="s">
        <v>133</v>
      </c>
      <c r="B216" s="130" t="s">
        <v>11</v>
      </c>
      <c r="C216" s="134">
        <v>45859</v>
      </c>
      <c r="D216" s="129" t="s">
        <v>203</v>
      </c>
      <c r="F216"/>
      <c r="H216" s="95">
        <v>45861</v>
      </c>
      <c r="I216" t="s">
        <v>203</v>
      </c>
      <c r="J216">
        <v>1</v>
      </c>
    </row>
    <row r="217" spans="1:10">
      <c r="A217" s="120" t="s">
        <v>133</v>
      </c>
      <c r="B217" s="130" t="s">
        <v>11</v>
      </c>
      <c r="C217" s="134">
        <v>45860</v>
      </c>
      <c r="D217" s="129" t="s">
        <v>203</v>
      </c>
      <c r="F217"/>
      <c r="G217" t="s">
        <v>205</v>
      </c>
      <c r="H217" s="95">
        <v>45847</v>
      </c>
      <c r="I217" t="s">
        <v>214</v>
      </c>
      <c r="J217">
        <v>1</v>
      </c>
    </row>
    <row r="218" spans="1:10">
      <c r="A218" s="120" t="s">
        <v>133</v>
      </c>
      <c r="B218" s="130" t="s">
        <v>11</v>
      </c>
      <c r="C218" s="134">
        <v>45866</v>
      </c>
      <c r="D218" s="129" t="s">
        <v>203</v>
      </c>
      <c r="F218"/>
      <c r="H218" s="95">
        <v>45853</v>
      </c>
      <c r="I218" t="s">
        <v>214</v>
      </c>
      <c r="J218">
        <v>1</v>
      </c>
    </row>
    <row r="219" spans="1:10">
      <c r="A219" s="120" t="s">
        <v>133</v>
      </c>
      <c r="B219" s="129" t="s">
        <v>205</v>
      </c>
      <c r="C219" s="134">
        <v>45855</v>
      </c>
      <c r="D219" s="129" t="s">
        <v>203</v>
      </c>
      <c r="E219" s="121"/>
      <c r="F219"/>
      <c r="H219" s="95">
        <v>45855</v>
      </c>
      <c r="I219" t="s">
        <v>203</v>
      </c>
      <c r="J219">
        <v>1</v>
      </c>
    </row>
    <row r="220" spans="1:10">
      <c r="A220" s="120" t="s">
        <v>133</v>
      </c>
      <c r="B220" s="129" t="s">
        <v>205</v>
      </c>
      <c r="C220" s="134">
        <v>45848</v>
      </c>
      <c r="D220" s="130" t="s">
        <v>214</v>
      </c>
      <c r="E220" s="121"/>
      <c r="F220" t="s">
        <v>237</v>
      </c>
      <c r="G220" t="s">
        <v>205</v>
      </c>
      <c r="H220" s="95">
        <v>45846</v>
      </c>
      <c r="I220" t="s">
        <v>214</v>
      </c>
      <c r="J220">
        <v>1</v>
      </c>
    </row>
    <row r="221" spans="1:10">
      <c r="A221" s="120" t="s">
        <v>133</v>
      </c>
      <c r="B221" s="129" t="s">
        <v>205</v>
      </c>
      <c r="C221" s="134">
        <v>45849</v>
      </c>
      <c r="D221" s="130" t="s">
        <v>214</v>
      </c>
      <c r="E221" s="121"/>
      <c r="F221"/>
      <c r="H221" s="95">
        <v>45849</v>
      </c>
      <c r="I221" t="s">
        <v>206</v>
      </c>
      <c r="J221">
        <v>1</v>
      </c>
    </row>
    <row r="222" spans="1:10">
      <c r="A222" s="119" t="s">
        <v>134</v>
      </c>
      <c r="B222" s="129" t="s">
        <v>205</v>
      </c>
      <c r="C222" s="134">
        <v>45842</v>
      </c>
      <c r="D222" s="130" t="s">
        <v>214</v>
      </c>
      <c r="E222" s="121"/>
      <c r="F222"/>
      <c r="H222" s="95">
        <v>45855</v>
      </c>
      <c r="I222" t="s">
        <v>206</v>
      </c>
      <c r="J222">
        <v>1</v>
      </c>
    </row>
    <row r="223" spans="1:10">
      <c r="A223" s="119" t="s">
        <v>134</v>
      </c>
      <c r="B223" s="129" t="s">
        <v>205</v>
      </c>
      <c r="C223" s="134">
        <v>45847</v>
      </c>
      <c r="D223" s="130" t="s">
        <v>214</v>
      </c>
      <c r="E223" s="121"/>
      <c r="F223" t="s">
        <v>124</v>
      </c>
      <c r="G223" t="s">
        <v>205</v>
      </c>
      <c r="H223" s="95">
        <v>45839</v>
      </c>
      <c r="I223" t="s">
        <v>214</v>
      </c>
      <c r="J223">
        <v>1</v>
      </c>
    </row>
    <row r="224" spans="1:10">
      <c r="A224" s="119" t="s">
        <v>134</v>
      </c>
      <c r="B224" s="129" t="s">
        <v>205</v>
      </c>
      <c r="C224" s="134">
        <v>45847</v>
      </c>
      <c r="D224" s="130" t="s">
        <v>214</v>
      </c>
      <c r="E224" s="121"/>
      <c r="F224" t="s">
        <v>125</v>
      </c>
      <c r="G224" t="s">
        <v>11</v>
      </c>
      <c r="H224" s="95">
        <v>45852</v>
      </c>
      <c r="I224" t="s">
        <v>234</v>
      </c>
      <c r="J224">
        <v>1</v>
      </c>
    </row>
    <row r="225" spans="1:10">
      <c r="A225" s="119" t="s">
        <v>134</v>
      </c>
      <c r="B225" s="130" t="s">
        <v>11</v>
      </c>
      <c r="C225" s="134">
        <v>45849</v>
      </c>
      <c r="D225" s="130" t="s">
        <v>226</v>
      </c>
      <c r="E225" s="121"/>
      <c r="F225"/>
      <c r="G225" t="s">
        <v>205</v>
      </c>
      <c r="H225" s="95">
        <v>45846</v>
      </c>
      <c r="I225" t="s">
        <v>214</v>
      </c>
      <c r="J225">
        <v>1</v>
      </c>
    </row>
    <row r="226" spans="1:10">
      <c r="A226" s="119" t="s">
        <v>134</v>
      </c>
      <c r="B226" s="130" t="s">
        <v>11</v>
      </c>
      <c r="C226" s="134">
        <v>45855</v>
      </c>
      <c r="D226" s="129" t="s">
        <v>203</v>
      </c>
      <c r="E226" s="121"/>
      <c r="F226"/>
      <c r="H226" s="95">
        <v>45847</v>
      </c>
      <c r="I226" t="s">
        <v>214</v>
      </c>
      <c r="J226">
        <v>1</v>
      </c>
    </row>
    <row r="227" spans="1:10">
      <c r="A227" s="119" t="s">
        <v>134</v>
      </c>
      <c r="B227" s="130" t="s">
        <v>11</v>
      </c>
      <c r="C227" s="134">
        <v>45856</v>
      </c>
      <c r="D227" s="129" t="s">
        <v>203</v>
      </c>
      <c r="E227" s="121"/>
      <c r="F227"/>
      <c r="H227" s="95">
        <v>45849</v>
      </c>
      <c r="I227" t="s">
        <v>214</v>
      </c>
      <c r="J227">
        <v>1</v>
      </c>
    </row>
    <row r="228" spans="1:10">
      <c r="A228" s="119" t="s">
        <v>134</v>
      </c>
      <c r="B228" s="130" t="s">
        <v>11</v>
      </c>
      <c r="C228" s="134">
        <v>45861</v>
      </c>
      <c r="D228" s="129" t="s">
        <v>203</v>
      </c>
      <c r="E228" s="121"/>
      <c r="F228"/>
      <c r="H228" s="95">
        <v>45853</v>
      </c>
      <c r="I228" t="s">
        <v>214</v>
      </c>
      <c r="J228">
        <v>1</v>
      </c>
    </row>
    <row r="229" spans="1:10">
      <c r="A229" s="119" t="s">
        <v>134</v>
      </c>
      <c r="B229" s="130" t="s">
        <v>11</v>
      </c>
      <c r="C229" s="134">
        <v>45866</v>
      </c>
      <c r="D229" s="129" t="s">
        <v>203</v>
      </c>
      <c r="E229" s="121"/>
      <c r="F229"/>
      <c r="H229" s="95">
        <v>45854</v>
      </c>
      <c r="I229" t="s">
        <v>214</v>
      </c>
      <c r="J229">
        <v>1</v>
      </c>
    </row>
    <row r="230" spans="1:10">
      <c r="A230" s="119" t="s">
        <v>134</v>
      </c>
      <c r="B230" s="130" t="s">
        <v>11</v>
      </c>
      <c r="C230" s="134">
        <v>45867</v>
      </c>
      <c r="D230" s="129" t="s">
        <v>203</v>
      </c>
      <c r="E230" s="121"/>
      <c r="F230"/>
      <c r="H230" s="95">
        <v>45855</v>
      </c>
      <c r="I230" t="s">
        <v>203</v>
      </c>
      <c r="J230">
        <v>1</v>
      </c>
    </row>
    <row r="231" spans="1:10">
      <c r="A231" s="61" t="s">
        <v>208</v>
      </c>
      <c r="B231" s="130" t="s">
        <v>11</v>
      </c>
      <c r="C231" s="137">
        <v>45840</v>
      </c>
      <c r="D231" s="130" t="s">
        <v>209</v>
      </c>
      <c r="E231" s="121"/>
      <c r="F231" t="s">
        <v>126</v>
      </c>
      <c r="G231" t="s">
        <v>11</v>
      </c>
      <c r="H231" s="95">
        <v>45844</v>
      </c>
      <c r="I231" t="s">
        <v>211</v>
      </c>
      <c r="J231">
        <v>1</v>
      </c>
    </row>
    <row r="232" spans="1:10">
      <c r="A232" s="61" t="s">
        <v>208</v>
      </c>
      <c r="B232" s="129" t="s">
        <v>205</v>
      </c>
      <c r="C232" s="137">
        <v>45841</v>
      </c>
      <c r="D232" s="130" t="s">
        <v>214</v>
      </c>
      <c r="E232" s="121"/>
      <c r="F232"/>
      <c r="H232" s="95">
        <v>45857</v>
      </c>
      <c r="I232" t="s">
        <v>203</v>
      </c>
      <c r="J232">
        <v>1</v>
      </c>
    </row>
    <row r="233" spans="1:10">
      <c r="A233" s="63" t="s">
        <v>230</v>
      </c>
      <c r="B233" s="129" t="s">
        <v>205</v>
      </c>
      <c r="C233" s="137">
        <v>45841</v>
      </c>
      <c r="D233" s="130" t="s">
        <v>214</v>
      </c>
      <c r="E233" s="121"/>
      <c r="F233"/>
      <c r="H233" s="95">
        <v>45859</v>
      </c>
      <c r="I233" t="s">
        <v>203</v>
      </c>
      <c r="J233">
        <v>1</v>
      </c>
    </row>
    <row r="234" spans="1:10">
      <c r="A234" s="61" t="s">
        <v>238</v>
      </c>
      <c r="B234" s="129" t="s">
        <v>205</v>
      </c>
      <c r="C234" s="137">
        <v>45841</v>
      </c>
      <c r="D234" s="130" t="s">
        <v>214</v>
      </c>
      <c r="E234" s="121"/>
      <c r="F234" t="s">
        <v>127</v>
      </c>
      <c r="G234" t="s">
        <v>11</v>
      </c>
      <c r="H234" s="95">
        <v>45859</v>
      </c>
      <c r="I234" t="s">
        <v>203</v>
      </c>
      <c r="J234">
        <v>1</v>
      </c>
    </row>
    <row r="235" spans="1:10">
      <c r="A235" s="61" t="s">
        <v>239</v>
      </c>
      <c r="B235" s="129" t="s">
        <v>205</v>
      </c>
      <c r="C235" s="137">
        <v>45841</v>
      </c>
      <c r="D235" s="130" t="s">
        <v>214</v>
      </c>
      <c r="E235" s="121"/>
      <c r="F235"/>
      <c r="G235" t="s">
        <v>205</v>
      </c>
      <c r="H235" s="95">
        <v>45849</v>
      </c>
      <c r="I235" t="s">
        <v>214</v>
      </c>
      <c r="J235">
        <v>1</v>
      </c>
    </row>
    <row r="236" spans="1:10">
      <c r="A236" s="63" t="s">
        <v>224</v>
      </c>
      <c r="B236" s="129" t="s">
        <v>205</v>
      </c>
      <c r="C236" s="137">
        <v>45842</v>
      </c>
      <c r="D236" s="130" t="s">
        <v>214</v>
      </c>
      <c r="E236" s="121"/>
      <c r="F236"/>
      <c r="H236" s="95">
        <v>45855</v>
      </c>
      <c r="I236" t="s">
        <v>203</v>
      </c>
      <c r="J236">
        <v>1</v>
      </c>
    </row>
    <row r="237" spans="1:10">
      <c r="A237" s="63" t="s">
        <v>240</v>
      </c>
      <c r="B237" s="129" t="s">
        <v>205</v>
      </c>
      <c r="C237" s="137">
        <v>45842</v>
      </c>
      <c r="D237" s="130" t="s">
        <v>214</v>
      </c>
      <c r="E237" s="121"/>
      <c r="F237"/>
      <c r="H237" s="95">
        <v>45866</v>
      </c>
      <c r="I237" t="s">
        <v>203</v>
      </c>
      <c r="J237">
        <v>1</v>
      </c>
    </row>
    <row r="238" spans="1:10">
      <c r="A238" s="61" t="s">
        <v>239</v>
      </c>
      <c r="B238" s="129" t="s">
        <v>205</v>
      </c>
      <c r="C238" s="137">
        <v>45842</v>
      </c>
      <c r="D238" s="130" t="s">
        <v>214</v>
      </c>
      <c r="E238" s="121"/>
      <c r="F238" t="s">
        <v>238</v>
      </c>
      <c r="G238" t="s">
        <v>205</v>
      </c>
      <c r="H238" s="95">
        <v>45841</v>
      </c>
      <c r="I238" t="s">
        <v>214</v>
      </c>
      <c r="J238">
        <v>1</v>
      </c>
    </row>
    <row r="239" spans="1:10">
      <c r="A239" s="61" t="s">
        <v>239</v>
      </c>
      <c r="B239" s="129" t="s">
        <v>205</v>
      </c>
      <c r="C239" s="137">
        <v>45843</v>
      </c>
      <c r="D239" s="130" t="s">
        <v>214</v>
      </c>
      <c r="E239" s="121"/>
      <c r="F239"/>
      <c r="H239" s="95">
        <v>45846</v>
      </c>
      <c r="I239" t="s">
        <v>214</v>
      </c>
      <c r="J239">
        <v>1</v>
      </c>
    </row>
    <row r="240" spans="1:10">
      <c r="A240" s="61" t="s">
        <v>239</v>
      </c>
      <c r="B240" s="129" t="s">
        <v>205</v>
      </c>
      <c r="C240" s="137">
        <v>45844</v>
      </c>
      <c r="D240" s="130" t="s">
        <v>214</v>
      </c>
      <c r="E240" s="121"/>
      <c r="F240"/>
      <c r="H240" s="95">
        <v>45848</v>
      </c>
      <c r="I240" t="s">
        <v>206</v>
      </c>
      <c r="J240">
        <v>1</v>
      </c>
    </row>
    <row r="241" spans="1:10">
      <c r="A241" s="63" t="s">
        <v>217</v>
      </c>
      <c r="B241" s="129" t="s">
        <v>205</v>
      </c>
      <c r="C241" s="137">
        <v>45846</v>
      </c>
      <c r="D241" s="130" t="s">
        <v>214</v>
      </c>
      <c r="E241" s="121"/>
      <c r="F241"/>
      <c r="H241" s="95">
        <v>45849</v>
      </c>
      <c r="I241" t="s">
        <v>206</v>
      </c>
      <c r="J241">
        <v>1</v>
      </c>
    </row>
    <row r="242" spans="1:10">
      <c r="A242" s="63" t="s">
        <v>220</v>
      </c>
      <c r="B242" s="129" t="s">
        <v>205</v>
      </c>
      <c r="C242" s="137">
        <v>45846</v>
      </c>
      <c r="D242" s="130" t="s">
        <v>214</v>
      </c>
      <c r="E242" s="121"/>
      <c r="F242"/>
      <c r="H242" s="95">
        <v>45856</v>
      </c>
      <c r="I242" t="s">
        <v>206</v>
      </c>
      <c r="J242">
        <v>1</v>
      </c>
    </row>
    <row r="243" spans="1:10">
      <c r="A243" s="63" t="s">
        <v>237</v>
      </c>
      <c r="B243" s="129" t="s">
        <v>205</v>
      </c>
      <c r="C243" s="137">
        <v>45846</v>
      </c>
      <c r="D243" s="130" t="s">
        <v>214</v>
      </c>
      <c r="E243" s="121"/>
      <c r="F243" t="s">
        <v>128</v>
      </c>
      <c r="G243" t="s">
        <v>11</v>
      </c>
      <c r="H243" s="95">
        <v>45859</v>
      </c>
      <c r="I243" t="s">
        <v>203</v>
      </c>
      <c r="J243">
        <v>1</v>
      </c>
    </row>
    <row r="244" spans="1:10">
      <c r="A244" s="61" t="s">
        <v>238</v>
      </c>
      <c r="B244" s="129" t="s">
        <v>205</v>
      </c>
      <c r="C244" s="137">
        <v>45846</v>
      </c>
      <c r="D244" s="130" t="s">
        <v>214</v>
      </c>
      <c r="F244"/>
      <c r="H244" s="95">
        <v>45860</v>
      </c>
      <c r="I244" t="s">
        <v>203</v>
      </c>
      <c r="J244">
        <v>1</v>
      </c>
    </row>
    <row r="245" spans="1:10">
      <c r="A245" s="61" t="s">
        <v>208</v>
      </c>
      <c r="B245" s="130" t="s">
        <v>11</v>
      </c>
      <c r="C245" s="137">
        <v>45848</v>
      </c>
      <c r="D245" s="130" t="s">
        <v>241</v>
      </c>
      <c r="F245"/>
      <c r="H245" s="95">
        <v>45861</v>
      </c>
      <c r="I245" t="s">
        <v>203</v>
      </c>
      <c r="J245">
        <v>1</v>
      </c>
    </row>
    <row r="246" spans="1:10">
      <c r="A246" s="63" t="s">
        <v>215</v>
      </c>
      <c r="B246" s="129" t="s">
        <v>205</v>
      </c>
      <c r="C246" s="137">
        <v>45848</v>
      </c>
      <c r="D246" s="130" t="s">
        <v>241</v>
      </c>
      <c r="F246"/>
      <c r="H246" s="95">
        <v>45862</v>
      </c>
      <c r="I246" t="s">
        <v>203</v>
      </c>
      <c r="J246">
        <v>1</v>
      </c>
    </row>
    <row r="247" spans="1:10">
      <c r="A247" s="63" t="s">
        <v>218</v>
      </c>
      <c r="B247" s="129" t="s">
        <v>205</v>
      </c>
      <c r="C247" s="137">
        <v>45848</v>
      </c>
      <c r="D247" s="130" t="s">
        <v>241</v>
      </c>
      <c r="F247"/>
      <c r="G247" t="s">
        <v>205</v>
      </c>
      <c r="H247" s="95">
        <v>45854</v>
      </c>
      <c r="I247" t="s">
        <v>214</v>
      </c>
      <c r="J247">
        <v>1</v>
      </c>
    </row>
    <row r="248" spans="1:10">
      <c r="A248" s="63" t="s">
        <v>224</v>
      </c>
      <c r="B248" s="129" t="s">
        <v>205</v>
      </c>
      <c r="C248" s="137">
        <v>45848</v>
      </c>
      <c r="D248" s="130" t="s">
        <v>241</v>
      </c>
      <c r="F248" t="s">
        <v>129</v>
      </c>
      <c r="G248" t="s">
        <v>11</v>
      </c>
      <c r="H248" s="95">
        <v>45856</v>
      </c>
      <c r="I248" t="s">
        <v>203</v>
      </c>
      <c r="J248">
        <v>1</v>
      </c>
    </row>
    <row r="249" spans="1:10">
      <c r="A249" s="61" t="s">
        <v>225</v>
      </c>
      <c r="B249" s="129" t="s">
        <v>205</v>
      </c>
      <c r="C249" s="137">
        <v>45848</v>
      </c>
      <c r="D249" s="130" t="s">
        <v>241</v>
      </c>
      <c r="F249"/>
      <c r="G249" t="s">
        <v>205</v>
      </c>
      <c r="H249" s="95">
        <v>45853</v>
      </c>
      <c r="I249" t="s">
        <v>214</v>
      </c>
      <c r="J249">
        <v>1</v>
      </c>
    </row>
    <row r="250" spans="1:10">
      <c r="A250" s="63" t="s">
        <v>227</v>
      </c>
      <c r="B250" s="129" t="s">
        <v>205</v>
      </c>
      <c r="C250" s="137">
        <v>45848</v>
      </c>
      <c r="D250" s="130" t="s">
        <v>241</v>
      </c>
      <c r="F250"/>
      <c r="H250" s="95">
        <v>45854</v>
      </c>
      <c r="I250" t="s">
        <v>214</v>
      </c>
      <c r="J250">
        <v>1</v>
      </c>
    </row>
    <row r="251" spans="1:10">
      <c r="A251" s="63" t="s">
        <v>236</v>
      </c>
      <c r="B251" s="129" t="s">
        <v>205</v>
      </c>
      <c r="C251" s="137">
        <v>45848</v>
      </c>
      <c r="D251" s="130" t="s">
        <v>241</v>
      </c>
      <c r="F251"/>
      <c r="H251" s="95">
        <v>45867</v>
      </c>
      <c r="I251" t="s">
        <v>203</v>
      </c>
      <c r="J251">
        <v>1</v>
      </c>
    </row>
    <row r="252" spans="1:10">
      <c r="A252" s="61" t="s">
        <v>238</v>
      </c>
      <c r="B252" s="129" t="s">
        <v>205</v>
      </c>
      <c r="C252" s="137">
        <v>45848</v>
      </c>
      <c r="D252" s="130" t="s">
        <v>241</v>
      </c>
      <c r="F252"/>
      <c r="H252" s="95">
        <v>45868</v>
      </c>
      <c r="I252" t="s">
        <v>203</v>
      </c>
      <c r="J252">
        <v>1</v>
      </c>
    </row>
    <row r="253" spans="1:10">
      <c r="A253" s="61" t="s">
        <v>239</v>
      </c>
      <c r="B253" s="130" t="s">
        <v>11</v>
      </c>
      <c r="C253" s="137">
        <v>45848</v>
      </c>
      <c r="D253" s="130" t="s">
        <v>241</v>
      </c>
      <c r="F253" t="s">
        <v>240</v>
      </c>
      <c r="G253" t="s">
        <v>205</v>
      </c>
      <c r="H253" s="95">
        <v>45842</v>
      </c>
      <c r="I253" t="s">
        <v>214</v>
      </c>
      <c r="J253">
        <v>1</v>
      </c>
    </row>
    <row r="254" spans="1:10">
      <c r="A254" s="61" t="s">
        <v>208</v>
      </c>
      <c r="B254" s="130" t="s">
        <v>11</v>
      </c>
      <c r="C254" s="137">
        <v>45849</v>
      </c>
      <c r="D254" s="130" t="s">
        <v>210</v>
      </c>
      <c r="F254"/>
      <c r="H254" s="95">
        <v>45864</v>
      </c>
      <c r="I254" t="s">
        <v>206</v>
      </c>
      <c r="J254">
        <v>1</v>
      </c>
    </row>
    <row r="255" spans="1:10">
      <c r="A255" s="63" t="s">
        <v>215</v>
      </c>
      <c r="B255" s="130" t="s">
        <v>11</v>
      </c>
      <c r="C255" s="137">
        <v>45849</v>
      </c>
      <c r="D255" s="130" t="s">
        <v>210</v>
      </c>
      <c r="F255"/>
      <c r="H255" s="95">
        <v>45865</v>
      </c>
      <c r="I255" t="s">
        <v>206</v>
      </c>
      <c r="J255">
        <v>1</v>
      </c>
    </row>
    <row r="256" spans="1:10">
      <c r="A256" s="61" t="s">
        <v>225</v>
      </c>
      <c r="B256" s="129" t="s">
        <v>205</v>
      </c>
      <c r="C256" s="137">
        <v>45849</v>
      </c>
      <c r="D256" s="130" t="s">
        <v>241</v>
      </c>
      <c r="F256" t="s">
        <v>131</v>
      </c>
      <c r="G256" t="s">
        <v>11</v>
      </c>
      <c r="H256" s="95">
        <v>45859</v>
      </c>
      <c r="I256" t="s">
        <v>203</v>
      </c>
      <c r="J256">
        <v>1</v>
      </c>
    </row>
    <row r="257" spans="1:10">
      <c r="A257" s="63" t="s">
        <v>237</v>
      </c>
      <c r="B257" s="129" t="s">
        <v>205</v>
      </c>
      <c r="C257" s="137">
        <v>45849</v>
      </c>
      <c r="D257" s="130" t="s">
        <v>241</v>
      </c>
      <c r="F257"/>
      <c r="H257" s="95">
        <v>45863</v>
      </c>
      <c r="I257" t="s">
        <v>203</v>
      </c>
      <c r="J257">
        <v>1</v>
      </c>
    </row>
    <row r="258" spans="1:10">
      <c r="A258" s="61" t="s">
        <v>238</v>
      </c>
      <c r="B258" s="129" t="s">
        <v>205</v>
      </c>
      <c r="C258" s="137">
        <v>45849</v>
      </c>
      <c r="D258" s="130" t="s">
        <v>241</v>
      </c>
      <c r="F258"/>
      <c r="G258" t="s">
        <v>205</v>
      </c>
      <c r="H258" s="95">
        <v>45853</v>
      </c>
      <c r="I258" t="s">
        <v>214</v>
      </c>
      <c r="J258">
        <v>1</v>
      </c>
    </row>
    <row r="259" spans="1:10">
      <c r="A259" s="61" t="s">
        <v>239</v>
      </c>
      <c r="B259" s="130" t="s">
        <v>11</v>
      </c>
      <c r="C259" s="137">
        <v>45849</v>
      </c>
      <c r="D259" s="130" t="s">
        <v>210</v>
      </c>
      <c r="F259"/>
      <c r="H259" s="95">
        <v>45854</v>
      </c>
      <c r="I259" t="s">
        <v>214</v>
      </c>
      <c r="J259">
        <v>1</v>
      </c>
    </row>
    <row r="260" spans="1:10">
      <c r="A260" s="61" t="s">
        <v>208</v>
      </c>
      <c r="B260" s="130" t="s">
        <v>11</v>
      </c>
      <c r="C260" s="137">
        <v>45850</v>
      </c>
      <c r="D260" s="130" t="s">
        <v>209</v>
      </c>
      <c r="F260"/>
      <c r="H260" s="95">
        <v>45855</v>
      </c>
      <c r="I260" t="s">
        <v>203</v>
      </c>
      <c r="J260">
        <v>1</v>
      </c>
    </row>
    <row r="261" spans="1:10">
      <c r="A261" s="63" t="s">
        <v>224</v>
      </c>
      <c r="B261" s="129" t="s">
        <v>205</v>
      </c>
      <c r="C261" s="137">
        <v>45850</v>
      </c>
      <c r="D261" s="130" t="s">
        <v>241</v>
      </c>
      <c r="F261" t="s">
        <v>133</v>
      </c>
      <c r="G261" t="s">
        <v>11</v>
      </c>
      <c r="H261" s="95">
        <v>45842</v>
      </c>
      <c r="I261" t="s">
        <v>211</v>
      </c>
      <c r="J261">
        <v>1</v>
      </c>
    </row>
    <row r="262" spans="1:10">
      <c r="A262" s="63" t="s">
        <v>236</v>
      </c>
      <c r="B262" s="130" t="s">
        <v>11</v>
      </c>
      <c r="C262" s="137">
        <v>45850</v>
      </c>
      <c r="D262" s="130" t="s">
        <v>226</v>
      </c>
      <c r="F262"/>
      <c r="H262" s="95">
        <v>45859</v>
      </c>
      <c r="I262" t="s">
        <v>203</v>
      </c>
      <c r="J262">
        <v>1</v>
      </c>
    </row>
    <row r="263" spans="1:10">
      <c r="A263" s="61" t="s">
        <v>239</v>
      </c>
      <c r="B263" s="130" t="s">
        <v>11</v>
      </c>
      <c r="C263" s="137">
        <v>45850</v>
      </c>
      <c r="D263" s="130" t="s">
        <v>226</v>
      </c>
      <c r="F263"/>
      <c r="H263" s="95">
        <v>45860</v>
      </c>
      <c r="I263" t="s">
        <v>203</v>
      </c>
      <c r="J263">
        <v>1</v>
      </c>
    </row>
    <row r="264" spans="1:10">
      <c r="A264" s="61" t="s">
        <v>208</v>
      </c>
      <c r="B264" s="130" t="s">
        <v>11</v>
      </c>
      <c r="C264" s="137">
        <v>45851</v>
      </c>
      <c r="D264" s="130" t="s">
        <v>226</v>
      </c>
      <c r="F264"/>
      <c r="H264" s="95">
        <v>45866</v>
      </c>
      <c r="I264" t="s">
        <v>203</v>
      </c>
      <c r="J264">
        <v>1</v>
      </c>
    </row>
    <row r="265" spans="1:10">
      <c r="A265" s="63" t="s">
        <v>236</v>
      </c>
      <c r="B265" s="130" t="s">
        <v>11</v>
      </c>
      <c r="C265" s="137">
        <v>45851</v>
      </c>
      <c r="D265" s="130" t="s">
        <v>226</v>
      </c>
      <c r="F265"/>
      <c r="G265" t="s">
        <v>205</v>
      </c>
      <c r="H265" s="95">
        <v>45848</v>
      </c>
      <c r="I265" t="s">
        <v>214</v>
      </c>
      <c r="J265">
        <v>1</v>
      </c>
    </row>
    <row r="266" spans="1:10">
      <c r="A266" s="61" t="s">
        <v>239</v>
      </c>
      <c r="B266" s="129" t="s">
        <v>205</v>
      </c>
      <c r="C266" s="137">
        <v>45851</v>
      </c>
      <c r="D266" s="130" t="s">
        <v>241</v>
      </c>
      <c r="F266"/>
      <c r="H266" s="95">
        <v>45849</v>
      </c>
      <c r="I266" t="s">
        <v>214</v>
      </c>
      <c r="J266">
        <v>1</v>
      </c>
    </row>
    <row r="267" spans="1:10">
      <c r="A267" s="63" t="s">
        <v>215</v>
      </c>
      <c r="B267" s="129" t="s">
        <v>205</v>
      </c>
      <c r="C267" s="137">
        <v>45854</v>
      </c>
      <c r="D267" s="130" t="s">
        <v>241</v>
      </c>
      <c r="F267"/>
      <c r="H267" s="95">
        <v>45855</v>
      </c>
      <c r="I267" t="s">
        <v>203</v>
      </c>
      <c r="J267">
        <v>1</v>
      </c>
    </row>
    <row r="268" spans="1:10">
      <c r="A268" s="63" t="s">
        <v>220</v>
      </c>
      <c r="B268" s="129" t="s">
        <v>205</v>
      </c>
      <c r="C268" s="137">
        <v>45854</v>
      </c>
      <c r="D268" s="130" t="s">
        <v>241</v>
      </c>
      <c r="F268" t="s">
        <v>239</v>
      </c>
      <c r="G268" t="s">
        <v>11</v>
      </c>
      <c r="H268" s="95">
        <v>45848</v>
      </c>
      <c r="I268" t="s">
        <v>206</v>
      </c>
      <c r="J268">
        <v>1</v>
      </c>
    </row>
    <row r="269" spans="1:10">
      <c r="A269" s="61" t="s">
        <v>239</v>
      </c>
      <c r="B269" s="129" t="s">
        <v>205</v>
      </c>
      <c r="C269" s="137">
        <v>45854</v>
      </c>
      <c r="D269" s="130" t="s">
        <v>241</v>
      </c>
      <c r="F269"/>
      <c r="H269" s="95">
        <v>45849</v>
      </c>
      <c r="I269" t="s">
        <v>210</v>
      </c>
      <c r="J269">
        <v>1</v>
      </c>
    </row>
    <row r="270" spans="1:10">
      <c r="A270" s="61" t="s">
        <v>208</v>
      </c>
      <c r="B270" s="130" t="s">
        <v>11</v>
      </c>
      <c r="C270" s="137">
        <v>45855</v>
      </c>
      <c r="D270" s="130" t="s">
        <v>209</v>
      </c>
      <c r="F270"/>
      <c r="H270" s="95">
        <v>45850</v>
      </c>
      <c r="I270" t="s">
        <v>211</v>
      </c>
      <c r="J270">
        <v>1</v>
      </c>
    </row>
    <row r="271" spans="1:10">
      <c r="A271" s="63" t="s">
        <v>215</v>
      </c>
      <c r="B271" s="129" t="s">
        <v>205</v>
      </c>
      <c r="C271" s="137">
        <v>45855</v>
      </c>
      <c r="D271" s="130" t="s">
        <v>241</v>
      </c>
      <c r="F271"/>
      <c r="H271" s="95">
        <v>45865</v>
      </c>
      <c r="I271" t="s">
        <v>211</v>
      </c>
      <c r="J271">
        <v>1</v>
      </c>
    </row>
    <row r="272" spans="1:10">
      <c r="A272" s="61" t="s">
        <v>225</v>
      </c>
      <c r="B272" s="129" t="s">
        <v>205</v>
      </c>
      <c r="C272" s="137">
        <v>45855</v>
      </c>
      <c r="D272" s="130" t="s">
        <v>241</v>
      </c>
      <c r="F272"/>
      <c r="G272" t="s">
        <v>205</v>
      </c>
      <c r="H272" s="95">
        <v>45841</v>
      </c>
      <c r="I272" t="s">
        <v>214</v>
      </c>
      <c r="J272">
        <v>1</v>
      </c>
    </row>
    <row r="273" spans="1:10">
      <c r="A273" s="63" t="s">
        <v>229</v>
      </c>
      <c r="B273" s="129" t="s">
        <v>205</v>
      </c>
      <c r="C273" s="137">
        <v>45855</v>
      </c>
      <c r="D273" s="130" t="s">
        <v>241</v>
      </c>
      <c r="F273"/>
      <c r="H273" s="95">
        <v>45842</v>
      </c>
      <c r="I273" t="s">
        <v>214</v>
      </c>
      <c r="J273">
        <v>1</v>
      </c>
    </row>
    <row r="274" spans="1:10">
      <c r="A274" s="63" t="s">
        <v>231</v>
      </c>
      <c r="B274" s="129" t="s">
        <v>205</v>
      </c>
      <c r="C274" s="137">
        <v>45855</v>
      </c>
      <c r="D274" s="130" t="s">
        <v>241</v>
      </c>
      <c r="F274"/>
      <c r="H274" s="95">
        <v>45843</v>
      </c>
      <c r="I274" t="s">
        <v>214</v>
      </c>
      <c r="J274">
        <v>1</v>
      </c>
    </row>
    <row r="275" spans="1:10">
      <c r="A275" s="61" t="s">
        <v>232</v>
      </c>
      <c r="B275" s="130" t="s">
        <v>11</v>
      </c>
      <c r="C275" s="137">
        <v>45855</v>
      </c>
      <c r="D275" s="130" t="s">
        <v>233</v>
      </c>
      <c r="F275"/>
      <c r="H275" s="95">
        <v>45844</v>
      </c>
      <c r="I275" t="s">
        <v>214</v>
      </c>
      <c r="J275">
        <v>1</v>
      </c>
    </row>
    <row r="276" spans="1:10">
      <c r="A276" s="63" t="s">
        <v>237</v>
      </c>
      <c r="B276" s="129" t="s">
        <v>205</v>
      </c>
      <c r="C276" s="137">
        <v>45855</v>
      </c>
      <c r="D276" s="130" t="s">
        <v>241</v>
      </c>
      <c r="F276"/>
      <c r="H276" s="95">
        <v>45851</v>
      </c>
      <c r="I276" t="s">
        <v>206</v>
      </c>
      <c r="J276">
        <v>1</v>
      </c>
    </row>
    <row r="277" spans="1:10">
      <c r="A277" s="61" t="s">
        <v>238</v>
      </c>
      <c r="B277" s="129" t="s">
        <v>205</v>
      </c>
      <c r="C277" s="137">
        <v>45856</v>
      </c>
      <c r="D277" s="130" t="s">
        <v>241</v>
      </c>
      <c r="F277"/>
      <c r="H277" s="95">
        <v>45854</v>
      </c>
      <c r="I277" t="s">
        <v>206</v>
      </c>
      <c r="J277">
        <v>1</v>
      </c>
    </row>
    <row r="278" spans="1:10">
      <c r="A278" s="63" t="s">
        <v>220</v>
      </c>
      <c r="B278" s="130" t="s">
        <v>11</v>
      </c>
      <c r="C278" s="131">
        <v>45863</v>
      </c>
      <c r="D278" s="130" t="s">
        <v>241</v>
      </c>
      <c r="F278"/>
      <c r="H278" s="95">
        <v>45864</v>
      </c>
      <c r="I278" t="s">
        <v>206</v>
      </c>
      <c r="J278">
        <v>1</v>
      </c>
    </row>
    <row r="279" spans="1:10">
      <c r="A279" s="63" t="s">
        <v>215</v>
      </c>
      <c r="B279" s="130" t="s">
        <v>11</v>
      </c>
      <c r="C279" s="137">
        <v>45864</v>
      </c>
      <c r="D279" s="130" t="s">
        <v>11</v>
      </c>
      <c r="F279" t="s">
        <v>134</v>
      </c>
      <c r="G279" t="s">
        <v>11</v>
      </c>
      <c r="H279" s="95">
        <v>45849</v>
      </c>
      <c r="I279" t="s">
        <v>211</v>
      </c>
      <c r="J279">
        <v>1</v>
      </c>
    </row>
    <row r="280" spans="1:10">
      <c r="A280" s="63" t="s">
        <v>236</v>
      </c>
      <c r="B280" s="129" t="s">
        <v>205</v>
      </c>
      <c r="C280" s="137">
        <v>45864</v>
      </c>
      <c r="D280" s="130" t="s">
        <v>241</v>
      </c>
      <c r="F280"/>
      <c r="H280" s="95">
        <v>45855</v>
      </c>
      <c r="I280" t="s">
        <v>203</v>
      </c>
      <c r="J280">
        <v>1</v>
      </c>
    </row>
    <row r="281" spans="1:10">
      <c r="A281" s="63" t="s">
        <v>240</v>
      </c>
      <c r="B281" s="129" t="s">
        <v>205</v>
      </c>
      <c r="C281" s="137">
        <v>45864</v>
      </c>
      <c r="D281" s="130" t="s">
        <v>241</v>
      </c>
      <c r="F281"/>
      <c r="H281" s="95">
        <v>45856</v>
      </c>
      <c r="I281" t="s">
        <v>203</v>
      </c>
      <c r="J281">
        <v>1</v>
      </c>
    </row>
    <row r="282" spans="1:10">
      <c r="A282" s="61" t="s">
        <v>239</v>
      </c>
      <c r="B282" s="129" t="s">
        <v>205</v>
      </c>
      <c r="C282" s="137">
        <v>45864</v>
      </c>
      <c r="D282" s="130" t="s">
        <v>241</v>
      </c>
      <c r="F282"/>
      <c r="H282" s="95">
        <v>45861</v>
      </c>
      <c r="I282" t="s">
        <v>203</v>
      </c>
      <c r="J282">
        <v>1</v>
      </c>
    </row>
    <row r="283" spans="1:10">
      <c r="A283" s="63" t="s">
        <v>236</v>
      </c>
      <c r="B283" s="130" t="s">
        <v>11</v>
      </c>
      <c r="C283" s="137">
        <v>45865</v>
      </c>
      <c r="D283" s="130" t="s">
        <v>226</v>
      </c>
      <c r="F283"/>
      <c r="H283" s="95">
        <v>45866</v>
      </c>
      <c r="I283" t="s">
        <v>203</v>
      </c>
      <c r="J283">
        <v>1</v>
      </c>
    </row>
    <row r="284" spans="1:10">
      <c r="A284" s="63" t="s">
        <v>240</v>
      </c>
      <c r="B284" s="129" t="s">
        <v>205</v>
      </c>
      <c r="C284" s="137">
        <v>45865</v>
      </c>
      <c r="D284" s="130" t="s">
        <v>241</v>
      </c>
      <c r="F284"/>
      <c r="H284" s="95">
        <v>45867</v>
      </c>
      <c r="I284" t="s">
        <v>203</v>
      </c>
      <c r="J284">
        <v>1</v>
      </c>
    </row>
    <row r="285" spans="1:10">
      <c r="A285" s="61" t="s">
        <v>239</v>
      </c>
      <c r="B285" s="130" t="s">
        <v>11</v>
      </c>
      <c r="C285" s="137">
        <v>45865</v>
      </c>
      <c r="D285" s="130" t="s">
        <v>226</v>
      </c>
      <c r="F285"/>
      <c r="G285" t="s">
        <v>205</v>
      </c>
      <c r="H285" s="95">
        <v>45842</v>
      </c>
      <c r="I285" t="s">
        <v>214</v>
      </c>
      <c r="J285">
        <v>1</v>
      </c>
    </row>
    <row r="286" spans="1:10">
      <c r="A286" s="63" t="s">
        <v>220</v>
      </c>
      <c r="B286" s="130" t="s">
        <v>11</v>
      </c>
      <c r="C286" s="137">
        <v>45866</v>
      </c>
      <c r="D286" s="130" t="s">
        <v>222</v>
      </c>
      <c r="F286"/>
      <c r="H286" s="95">
        <v>45847</v>
      </c>
      <c r="I286" t="s">
        <v>214</v>
      </c>
      <c r="J286">
        <v>2</v>
      </c>
    </row>
    <row r="287" spans="1:10">
      <c r="A287" s="63" t="s">
        <v>235</v>
      </c>
      <c r="B287" s="130" t="s">
        <v>11</v>
      </c>
      <c r="C287" s="137">
        <v>45866</v>
      </c>
      <c r="D287" s="130" t="s">
        <v>242</v>
      </c>
      <c r="F287" t="s">
        <v>153</v>
      </c>
      <c r="G287" t="s">
        <v>153</v>
      </c>
      <c r="H287" t="s">
        <v>153</v>
      </c>
      <c r="I287" t="s">
        <v>153</v>
      </c>
      <c r="J287"/>
    </row>
    <row r="288" spans="1:10">
      <c r="A288" s="63" t="s">
        <v>218</v>
      </c>
      <c r="B288" s="129" t="s">
        <v>205</v>
      </c>
      <c r="C288" s="137">
        <v>45867</v>
      </c>
      <c r="D288" s="129" t="s">
        <v>203</v>
      </c>
      <c r="F288" t="s">
        <v>149</v>
      </c>
      <c r="H288"/>
      <c r="I288"/>
      <c r="J288">
        <v>291</v>
      </c>
    </row>
    <row r="289" spans="1:10">
      <c r="A289" s="63" t="s">
        <v>220</v>
      </c>
      <c r="B289" s="130" t="s">
        <v>11</v>
      </c>
      <c r="C289" s="137">
        <v>45867</v>
      </c>
      <c r="D289" s="129" t="s">
        <v>203</v>
      </c>
      <c r="F289"/>
      <c r="H289"/>
      <c r="I289"/>
      <c r="J289"/>
    </row>
    <row r="290" spans="1:10">
      <c r="A290" s="63" t="s">
        <v>231</v>
      </c>
      <c r="B290" s="129" t="s">
        <v>205</v>
      </c>
      <c r="C290" s="137">
        <v>45867</v>
      </c>
      <c r="D290" s="129" t="s">
        <v>203</v>
      </c>
      <c r="F290"/>
      <c r="H290"/>
      <c r="I290"/>
      <c r="J290"/>
    </row>
    <row r="291" spans="1:10">
      <c r="A291" s="63" t="s">
        <v>229</v>
      </c>
      <c r="B291" s="129" t="s">
        <v>205</v>
      </c>
      <c r="C291" s="137">
        <v>45868</v>
      </c>
      <c r="D291" s="129" t="s">
        <v>203</v>
      </c>
      <c r="F291"/>
      <c r="H291"/>
      <c r="I291"/>
      <c r="J291"/>
    </row>
    <row r="292" spans="1:10">
      <c r="A292" s="63" t="s">
        <v>230</v>
      </c>
      <c r="B292" s="130" t="s">
        <v>11</v>
      </c>
      <c r="C292" s="137">
        <v>45868</v>
      </c>
      <c r="D292" s="129" t="s">
        <v>203</v>
      </c>
      <c r="F292"/>
      <c r="H292"/>
      <c r="I292"/>
      <c r="J292"/>
    </row>
    <row r="293" spans="1:10">
      <c r="F293"/>
      <c r="H293"/>
      <c r="I293"/>
      <c r="J293"/>
    </row>
    <row r="294" spans="1:10">
      <c r="F294"/>
      <c r="H294"/>
      <c r="I294"/>
      <c r="J294"/>
    </row>
    <row r="295" spans="1:10">
      <c r="F295"/>
      <c r="H295"/>
      <c r="I295"/>
      <c r="J295"/>
    </row>
    <row r="296" spans="1:10">
      <c r="F296"/>
      <c r="H296"/>
      <c r="I296"/>
      <c r="J296"/>
    </row>
    <row r="297" spans="1:10">
      <c r="F297"/>
      <c r="H297"/>
      <c r="I297"/>
      <c r="J297"/>
    </row>
    <row r="298" spans="1:10">
      <c r="F298"/>
      <c r="H298"/>
      <c r="I298"/>
      <c r="J298"/>
    </row>
    <row r="299" spans="1:10">
      <c r="F299"/>
      <c r="H299"/>
      <c r="I299"/>
      <c r="J299"/>
    </row>
    <row r="300" spans="1:10">
      <c r="F300"/>
      <c r="H300"/>
      <c r="I300"/>
      <c r="J300"/>
    </row>
    <row r="301" spans="1:10">
      <c r="F301"/>
      <c r="H301"/>
      <c r="I301"/>
      <c r="J301"/>
    </row>
    <row r="302" spans="1:10">
      <c r="F302"/>
      <c r="H302"/>
      <c r="I302"/>
      <c r="J302"/>
    </row>
    <row r="303" spans="1:10">
      <c r="F303"/>
      <c r="H303"/>
      <c r="I303"/>
      <c r="J303"/>
    </row>
    <row r="304" spans="1:10">
      <c r="F304"/>
      <c r="H304"/>
      <c r="I304"/>
      <c r="J304"/>
    </row>
    <row r="305" spans="6:10">
      <c r="F305"/>
      <c r="H305"/>
      <c r="I305"/>
      <c r="J305"/>
    </row>
    <row r="306" spans="6:10">
      <c r="F306"/>
      <c r="H306"/>
      <c r="I306"/>
      <c r="J306"/>
    </row>
    <row r="307" spans="6:10">
      <c r="F307"/>
      <c r="H307"/>
      <c r="I307"/>
      <c r="J307"/>
    </row>
    <row r="308" spans="6:10">
      <c r="F308"/>
      <c r="H308"/>
      <c r="I308"/>
      <c r="J308"/>
    </row>
    <row r="309" spans="6:10">
      <c r="F309"/>
      <c r="H309"/>
      <c r="I309"/>
      <c r="J309"/>
    </row>
    <row r="310" spans="6:10">
      <c r="F310"/>
      <c r="H310"/>
      <c r="I310"/>
      <c r="J310"/>
    </row>
    <row r="311" spans="6:10">
      <c r="F311"/>
      <c r="H311"/>
      <c r="I311"/>
      <c r="J311"/>
    </row>
    <row r="312" spans="6:10">
      <c r="F312"/>
      <c r="H312"/>
      <c r="I312"/>
      <c r="J312"/>
    </row>
    <row r="313" spans="6:10">
      <c r="F313"/>
      <c r="H313"/>
      <c r="I313"/>
      <c r="J313"/>
    </row>
    <row r="314" spans="6:10">
      <c r="F314"/>
      <c r="H314"/>
      <c r="I314"/>
      <c r="J314"/>
    </row>
    <row r="315" spans="6:10">
      <c r="F315"/>
      <c r="H315"/>
      <c r="I315"/>
      <c r="J315"/>
    </row>
    <row r="316" spans="6:10">
      <c r="F316"/>
      <c r="H316"/>
      <c r="I316"/>
      <c r="J316"/>
    </row>
    <row r="317" spans="6:10">
      <c r="F317"/>
      <c r="H317"/>
      <c r="I317"/>
      <c r="J317"/>
    </row>
    <row r="318" spans="6:10">
      <c r="F318"/>
      <c r="H318"/>
      <c r="I318"/>
      <c r="J318"/>
    </row>
    <row r="319" spans="6:10">
      <c r="F319"/>
      <c r="H319"/>
      <c r="I319"/>
      <c r="J319"/>
    </row>
    <row r="320" spans="6:10">
      <c r="F320"/>
      <c r="H320"/>
      <c r="I320"/>
      <c r="J320"/>
    </row>
    <row r="321" spans="6:10">
      <c r="F321"/>
      <c r="H321"/>
      <c r="I321"/>
      <c r="J321"/>
    </row>
    <row r="322" spans="6:10">
      <c r="F322"/>
      <c r="H322"/>
      <c r="I322"/>
      <c r="J322"/>
    </row>
    <row r="323" spans="6:10">
      <c r="F323"/>
      <c r="H323"/>
      <c r="I323"/>
      <c r="J323"/>
    </row>
    <row r="324" spans="6:10">
      <c r="F324"/>
      <c r="H324"/>
      <c r="I324"/>
      <c r="J324"/>
    </row>
    <row r="325" spans="6:10">
      <c r="F325"/>
      <c r="H325"/>
      <c r="I325"/>
      <c r="J325"/>
    </row>
    <row r="326" spans="6:10">
      <c r="F326"/>
      <c r="H326"/>
      <c r="I326"/>
      <c r="J326"/>
    </row>
    <row r="327" spans="6:10">
      <c r="F327"/>
      <c r="H327"/>
      <c r="I327"/>
      <c r="J327"/>
    </row>
    <row r="328" spans="6:10">
      <c r="F328"/>
      <c r="H328"/>
      <c r="I328"/>
      <c r="J328"/>
    </row>
    <row r="329" spans="6:10">
      <c r="F329"/>
      <c r="H329"/>
      <c r="I329"/>
      <c r="J329"/>
    </row>
    <row r="330" spans="6:10">
      <c r="F330"/>
      <c r="H330"/>
      <c r="I330"/>
      <c r="J330"/>
    </row>
    <row r="331" spans="6:10">
      <c r="F331"/>
      <c r="H331"/>
      <c r="I331"/>
      <c r="J331"/>
    </row>
    <row r="332" spans="6:10">
      <c r="F332"/>
      <c r="H332"/>
      <c r="I332"/>
      <c r="J332"/>
    </row>
    <row r="333" spans="6:10">
      <c r="F333"/>
      <c r="H333"/>
      <c r="I333"/>
      <c r="J333"/>
    </row>
    <row r="334" spans="6:10">
      <c r="F334"/>
      <c r="H334"/>
      <c r="I334"/>
      <c r="J334"/>
    </row>
    <row r="335" spans="6:10">
      <c r="F335"/>
      <c r="H335"/>
      <c r="I335"/>
      <c r="J335"/>
    </row>
    <row r="336" spans="6:10">
      <c r="F336"/>
      <c r="H336"/>
      <c r="I336"/>
      <c r="J336"/>
    </row>
    <row r="337" spans="6:10">
      <c r="F337"/>
      <c r="H337"/>
      <c r="I337"/>
      <c r="J337"/>
    </row>
    <row r="338" spans="6:10">
      <c r="F338"/>
      <c r="H338"/>
      <c r="I338"/>
      <c r="J338"/>
    </row>
    <row r="339" spans="6:10">
      <c r="F339"/>
      <c r="H339"/>
      <c r="I339"/>
      <c r="J339"/>
    </row>
    <row r="340" spans="6:10">
      <c r="F340"/>
      <c r="H340"/>
      <c r="I340"/>
      <c r="J340"/>
    </row>
    <row r="341" spans="6:10">
      <c r="F341"/>
      <c r="H341"/>
      <c r="I341"/>
      <c r="J341"/>
    </row>
    <row r="342" spans="6:10">
      <c r="F342"/>
      <c r="H342"/>
      <c r="I342"/>
      <c r="J342"/>
    </row>
    <row r="343" spans="6:10">
      <c r="F343"/>
      <c r="H343"/>
      <c r="I343"/>
      <c r="J343"/>
    </row>
    <row r="344" spans="6:10">
      <c r="F344"/>
      <c r="H344"/>
      <c r="I344"/>
      <c r="J344"/>
    </row>
    <row r="345" spans="6:10">
      <c r="F345"/>
      <c r="H345"/>
      <c r="I345"/>
      <c r="J345"/>
    </row>
    <row r="346" spans="6:10">
      <c r="F346"/>
      <c r="H346"/>
      <c r="I346"/>
      <c r="J346"/>
    </row>
    <row r="347" spans="6:10">
      <c r="F347"/>
      <c r="H347"/>
      <c r="I347"/>
      <c r="J347"/>
    </row>
    <row r="348" spans="6:10">
      <c r="F348"/>
      <c r="H348"/>
      <c r="I348"/>
      <c r="J348"/>
    </row>
    <row r="349" spans="6:10">
      <c r="F349"/>
      <c r="H349"/>
      <c r="I349"/>
      <c r="J349"/>
    </row>
    <row r="350" spans="6:10">
      <c r="F350"/>
      <c r="H350"/>
      <c r="I350"/>
      <c r="J350"/>
    </row>
    <row r="351" spans="6:10">
      <c r="F351"/>
      <c r="H351"/>
      <c r="I351"/>
      <c r="J351"/>
    </row>
    <row r="352" spans="6:10">
      <c r="F352"/>
      <c r="H352"/>
      <c r="I352"/>
      <c r="J352"/>
    </row>
    <row r="353" spans="6:10">
      <c r="F353"/>
      <c r="H353"/>
      <c r="I353"/>
      <c r="J353"/>
    </row>
    <row r="354" spans="6:10">
      <c r="F354"/>
      <c r="H354"/>
      <c r="I354"/>
      <c r="J354"/>
    </row>
    <row r="355" spans="6:10">
      <c r="F355"/>
      <c r="H355"/>
      <c r="I355"/>
      <c r="J355"/>
    </row>
    <row r="356" spans="6:10">
      <c r="F356"/>
      <c r="H356"/>
      <c r="I356"/>
      <c r="J356"/>
    </row>
    <row r="357" spans="6:10">
      <c r="F357"/>
      <c r="H357"/>
      <c r="I357"/>
      <c r="J357"/>
    </row>
    <row r="358" spans="6:10">
      <c r="F358"/>
      <c r="H358"/>
      <c r="I358"/>
      <c r="J358"/>
    </row>
    <row r="359" spans="6:10">
      <c r="F359"/>
      <c r="H359"/>
      <c r="I359"/>
      <c r="J359"/>
    </row>
    <row r="360" spans="6:10">
      <c r="F360"/>
      <c r="H360"/>
      <c r="I360"/>
      <c r="J360"/>
    </row>
    <row r="361" spans="6:10">
      <c r="F361"/>
      <c r="H361"/>
      <c r="I361"/>
      <c r="J361"/>
    </row>
    <row r="362" spans="6:10">
      <c r="F362"/>
      <c r="H362"/>
      <c r="I362"/>
      <c r="J362"/>
    </row>
    <row r="363" spans="6:10">
      <c r="F363"/>
      <c r="H363"/>
      <c r="I363"/>
      <c r="J363"/>
    </row>
    <row r="364" spans="6:10">
      <c r="F364"/>
      <c r="H364"/>
      <c r="I364"/>
      <c r="J364"/>
    </row>
    <row r="365" spans="6:10">
      <c r="F365"/>
      <c r="H365"/>
      <c r="I365"/>
      <c r="J365"/>
    </row>
    <row r="366" spans="6:10">
      <c r="F366"/>
      <c r="H366"/>
      <c r="I366"/>
      <c r="J366"/>
    </row>
    <row r="367" spans="6:10">
      <c r="F367"/>
      <c r="H367"/>
      <c r="I367"/>
      <c r="J367"/>
    </row>
    <row r="368" spans="6:10">
      <c r="F368"/>
      <c r="H368"/>
      <c r="I368"/>
      <c r="J368"/>
    </row>
    <row r="369" spans="6:10">
      <c r="F369"/>
      <c r="H369"/>
      <c r="I369"/>
      <c r="J369"/>
    </row>
    <row r="370" spans="6:10">
      <c r="F370"/>
      <c r="H370"/>
      <c r="I370"/>
      <c r="J370"/>
    </row>
    <row r="371" spans="6:10">
      <c r="F371"/>
      <c r="H371"/>
      <c r="I371"/>
      <c r="J371"/>
    </row>
    <row r="372" spans="6:10">
      <c r="F372"/>
      <c r="H372"/>
      <c r="I372"/>
      <c r="J372"/>
    </row>
    <row r="373" spans="6:10">
      <c r="F373"/>
      <c r="H373"/>
      <c r="I373"/>
      <c r="J373"/>
    </row>
    <row r="374" spans="6:10">
      <c r="F374"/>
      <c r="H374"/>
      <c r="I374"/>
      <c r="J374"/>
    </row>
    <row r="375" spans="6:10">
      <c r="F375"/>
      <c r="H375"/>
      <c r="I375"/>
      <c r="J375"/>
    </row>
    <row r="376" spans="6:10">
      <c r="F376"/>
      <c r="H376"/>
      <c r="I376"/>
      <c r="J376"/>
    </row>
    <row r="377" spans="6:10">
      <c r="F377"/>
      <c r="H377"/>
      <c r="I377"/>
      <c r="J377"/>
    </row>
    <row r="378" spans="6:10">
      <c r="F378"/>
      <c r="H378"/>
      <c r="I378"/>
      <c r="J378"/>
    </row>
    <row r="379" spans="6:10">
      <c r="F379"/>
      <c r="H379"/>
      <c r="I379"/>
      <c r="J379"/>
    </row>
    <row r="380" spans="6:10">
      <c r="F380"/>
      <c r="H380"/>
      <c r="I380"/>
      <c r="J380"/>
    </row>
    <row r="381" spans="6:10">
      <c r="F381"/>
      <c r="H381"/>
      <c r="I381"/>
      <c r="J381"/>
    </row>
    <row r="382" spans="6:10">
      <c r="F382"/>
      <c r="H382"/>
      <c r="I382"/>
      <c r="J382"/>
    </row>
    <row r="383" spans="6:10">
      <c r="F383"/>
      <c r="H383"/>
      <c r="I383"/>
      <c r="J383"/>
    </row>
    <row r="384" spans="6:10">
      <c r="F384"/>
      <c r="H384"/>
      <c r="I384"/>
      <c r="J384"/>
    </row>
    <row r="385" spans="6:10">
      <c r="F385"/>
      <c r="H385"/>
      <c r="I385"/>
      <c r="J385"/>
    </row>
    <row r="386" spans="6:10">
      <c r="F386"/>
      <c r="H386"/>
      <c r="I386"/>
      <c r="J386"/>
    </row>
    <row r="387" spans="6:10">
      <c r="F387"/>
      <c r="H387"/>
      <c r="I387"/>
      <c r="J387"/>
    </row>
    <row r="388" spans="6:10">
      <c r="F388"/>
      <c r="H388"/>
      <c r="I388"/>
      <c r="J388"/>
    </row>
    <row r="389" spans="6:10">
      <c r="F389"/>
      <c r="H389"/>
      <c r="I389"/>
      <c r="J389"/>
    </row>
    <row r="390" spans="6:10">
      <c r="F390"/>
      <c r="H390"/>
      <c r="I390"/>
      <c r="J390"/>
    </row>
    <row r="391" spans="6:10">
      <c r="F391"/>
      <c r="H391"/>
      <c r="I391"/>
      <c r="J391"/>
    </row>
    <row r="392" spans="6:10">
      <c r="F392"/>
      <c r="H392"/>
      <c r="I392"/>
      <c r="J392"/>
    </row>
    <row r="393" spans="6:10">
      <c r="F393"/>
      <c r="H393"/>
      <c r="I393"/>
      <c r="J393"/>
    </row>
    <row r="394" spans="6:10">
      <c r="F394"/>
      <c r="H394"/>
      <c r="I394"/>
      <c r="J394"/>
    </row>
    <row r="395" spans="6:10">
      <c r="F395"/>
      <c r="H395"/>
      <c r="I395"/>
      <c r="J395"/>
    </row>
    <row r="396" spans="6:10">
      <c r="F396"/>
      <c r="H396"/>
      <c r="I396"/>
      <c r="J396"/>
    </row>
    <row r="397" spans="6:10">
      <c r="F397"/>
      <c r="H397"/>
      <c r="I397"/>
      <c r="J397"/>
    </row>
    <row r="398" spans="6:10">
      <c r="F398"/>
      <c r="H398"/>
      <c r="I398"/>
      <c r="J398"/>
    </row>
    <row r="399" spans="6:10">
      <c r="F399"/>
      <c r="H399"/>
      <c r="I399"/>
      <c r="J399"/>
    </row>
    <row r="400" spans="6:10">
      <c r="F400"/>
      <c r="H400"/>
      <c r="I400"/>
      <c r="J400"/>
    </row>
    <row r="401" spans="6:10">
      <c r="F401"/>
      <c r="H401"/>
      <c r="I401"/>
      <c r="J401"/>
    </row>
    <row r="402" spans="6:10">
      <c r="F402"/>
      <c r="H402"/>
      <c r="I402"/>
      <c r="J402"/>
    </row>
    <row r="403" spans="6:10">
      <c r="F403"/>
      <c r="H403"/>
      <c r="I403"/>
      <c r="J403"/>
    </row>
    <row r="404" spans="6:10">
      <c r="F404"/>
      <c r="H404"/>
      <c r="I404"/>
      <c r="J404"/>
    </row>
    <row r="405" spans="6:10">
      <c r="F405"/>
      <c r="H405"/>
      <c r="I405"/>
      <c r="J405"/>
    </row>
    <row r="406" spans="6:10">
      <c r="F406"/>
      <c r="H406"/>
      <c r="I406"/>
      <c r="J406"/>
    </row>
    <row r="407" spans="6:10">
      <c r="F407"/>
      <c r="H407"/>
      <c r="I407"/>
      <c r="J407"/>
    </row>
    <row r="408" spans="6:10">
      <c r="F408"/>
      <c r="H408"/>
      <c r="I408"/>
      <c r="J408"/>
    </row>
    <row r="409" spans="6:10">
      <c r="F409"/>
      <c r="H409"/>
      <c r="I409"/>
      <c r="J409"/>
    </row>
    <row r="410" spans="6:10">
      <c r="F410"/>
      <c r="H410"/>
      <c r="I410"/>
      <c r="J410"/>
    </row>
    <row r="411" spans="6:10">
      <c r="F411"/>
      <c r="H411"/>
      <c r="I411"/>
      <c r="J411"/>
    </row>
    <row r="412" spans="6:10">
      <c r="F412"/>
      <c r="H412"/>
      <c r="I412"/>
      <c r="J412"/>
    </row>
    <row r="413" spans="6:10">
      <c r="F413"/>
      <c r="H413"/>
      <c r="I413"/>
      <c r="J413"/>
    </row>
    <row r="414" spans="6:10">
      <c r="F414"/>
      <c r="H414"/>
      <c r="I414"/>
      <c r="J414"/>
    </row>
    <row r="415" spans="6:10">
      <c r="F415"/>
      <c r="H415"/>
      <c r="I415"/>
      <c r="J415"/>
    </row>
    <row r="416" spans="6:10">
      <c r="F416"/>
      <c r="H416"/>
      <c r="I416"/>
      <c r="J416"/>
    </row>
    <row r="417" spans="6:10">
      <c r="F417"/>
      <c r="H417"/>
      <c r="I417"/>
      <c r="J417"/>
    </row>
    <row r="418" spans="6:10">
      <c r="F418"/>
      <c r="H418"/>
      <c r="I418"/>
      <c r="J418"/>
    </row>
    <row r="419" spans="6:10">
      <c r="F419"/>
      <c r="H419"/>
      <c r="I419"/>
      <c r="J419"/>
    </row>
    <row r="420" spans="6:10">
      <c r="F420"/>
      <c r="H420"/>
      <c r="I420"/>
      <c r="J420"/>
    </row>
    <row r="421" spans="6:10">
      <c r="F421"/>
      <c r="H421"/>
      <c r="I421"/>
      <c r="J421"/>
    </row>
    <row r="422" spans="6:10">
      <c r="F422"/>
      <c r="H422"/>
      <c r="I422"/>
      <c r="J422"/>
    </row>
    <row r="423" spans="6:10">
      <c r="F423"/>
      <c r="H423"/>
      <c r="I423"/>
      <c r="J423"/>
    </row>
    <row r="424" spans="6:10">
      <c r="F424"/>
      <c r="H424"/>
      <c r="I424"/>
      <c r="J424"/>
    </row>
    <row r="425" spans="6:10">
      <c r="F425"/>
      <c r="H425"/>
      <c r="I425"/>
      <c r="J425"/>
    </row>
    <row r="426" spans="6:10">
      <c r="F426"/>
      <c r="H426"/>
      <c r="I426"/>
      <c r="J426"/>
    </row>
    <row r="427" spans="6:10">
      <c r="F427"/>
      <c r="H427"/>
      <c r="I427"/>
      <c r="J427"/>
    </row>
    <row r="428" spans="6:10">
      <c r="F428"/>
      <c r="H428"/>
      <c r="I428"/>
      <c r="J428"/>
    </row>
    <row r="429" spans="6:10">
      <c r="F429"/>
      <c r="H429"/>
      <c r="I429"/>
      <c r="J429"/>
    </row>
    <row r="430" spans="6:10">
      <c r="F430"/>
      <c r="H430"/>
      <c r="I430"/>
      <c r="J430"/>
    </row>
    <row r="431" spans="6:10">
      <c r="F431"/>
      <c r="H431"/>
      <c r="I431"/>
      <c r="J431"/>
    </row>
    <row r="432" spans="6:10">
      <c r="F432"/>
      <c r="H432"/>
      <c r="I432"/>
      <c r="J432"/>
    </row>
    <row r="433" spans="6:10">
      <c r="F433"/>
      <c r="H433"/>
      <c r="I433"/>
      <c r="J433"/>
    </row>
    <row r="434" spans="6:10">
      <c r="F434"/>
      <c r="H434"/>
      <c r="I434"/>
      <c r="J434"/>
    </row>
    <row r="435" spans="6:10">
      <c r="F435"/>
      <c r="H435"/>
      <c r="I435"/>
      <c r="J435"/>
    </row>
    <row r="436" spans="6:10">
      <c r="F436"/>
      <c r="H436"/>
      <c r="I436"/>
      <c r="J436"/>
    </row>
    <row r="437" spans="6:10">
      <c r="F437"/>
      <c r="H437"/>
      <c r="I437"/>
      <c r="J437"/>
    </row>
    <row r="438" spans="6:10">
      <c r="F438"/>
      <c r="H438"/>
      <c r="I438"/>
      <c r="J438"/>
    </row>
    <row r="439" spans="6:10">
      <c r="F439"/>
      <c r="H439"/>
      <c r="I439"/>
      <c r="J439"/>
    </row>
    <row r="440" spans="6:10">
      <c r="F440"/>
      <c r="H440"/>
      <c r="I440"/>
      <c r="J440"/>
    </row>
    <row r="441" spans="6:10">
      <c r="F441"/>
      <c r="H441"/>
      <c r="I441"/>
      <c r="J441"/>
    </row>
    <row r="442" spans="6:10">
      <c r="F442"/>
      <c r="H442"/>
      <c r="I442"/>
      <c r="J442"/>
    </row>
    <row r="443" spans="6:10">
      <c r="F443"/>
      <c r="H443"/>
      <c r="I443"/>
      <c r="J443"/>
    </row>
    <row r="444" spans="6:10">
      <c r="F444"/>
      <c r="H444"/>
      <c r="I444"/>
      <c r="J444"/>
    </row>
    <row r="445" spans="6:10">
      <c r="F445"/>
      <c r="H445"/>
      <c r="I445"/>
      <c r="J445"/>
    </row>
    <row r="446" spans="6:10">
      <c r="F446"/>
      <c r="H446"/>
      <c r="I446"/>
      <c r="J446"/>
    </row>
    <row r="447" spans="6:10">
      <c r="F447"/>
      <c r="H447"/>
      <c r="I447"/>
      <c r="J447"/>
    </row>
    <row r="448" spans="6:10">
      <c r="F448"/>
      <c r="H448"/>
      <c r="I448"/>
      <c r="J448"/>
    </row>
    <row r="449" spans="6:10">
      <c r="F449"/>
      <c r="H449"/>
      <c r="I449"/>
      <c r="J449"/>
    </row>
    <row r="450" spans="6:10">
      <c r="F450"/>
      <c r="H450"/>
      <c r="I450"/>
      <c r="J450"/>
    </row>
    <row r="451" spans="6:10">
      <c r="F451"/>
      <c r="H451"/>
      <c r="I451"/>
      <c r="J451"/>
    </row>
    <row r="452" spans="6:10">
      <c r="F452"/>
      <c r="H452"/>
      <c r="I452"/>
      <c r="J452"/>
    </row>
    <row r="453" spans="6:10">
      <c r="F453"/>
      <c r="H453"/>
      <c r="I453"/>
      <c r="J453"/>
    </row>
    <row r="454" spans="6:10">
      <c r="F454"/>
      <c r="H454"/>
      <c r="I454"/>
      <c r="J454"/>
    </row>
    <row r="455" spans="6:10">
      <c r="F455"/>
      <c r="H455"/>
      <c r="I455"/>
      <c r="J455"/>
    </row>
    <row r="456" spans="6:10">
      <c r="F456"/>
      <c r="H456"/>
      <c r="I456"/>
      <c r="J456"/>
    </row>
    <row r="457" spans="6:10">
      <c r="F457"/>
      <c r="H457"/>
      <c r="I457"/>
      <c r="J457"/>
    </row>
    <row r="458" spans="6:10">
      <c r="F458"/>
      <c r="H458"/>
      <c r="I458"/>
      <c r="J458"/>
    </row>
    <row r="459" spans="6:10">
      <c r="F459"/>
      <c r="H459"/>
      <c r="I459"/>
      <c r="J459"/>
    </row>
    <row r="460" spans="6:10">
      <c r="F460"/>
      <c r="H460"/>
      <c r="I460"/>
      <c r="J460"/>
    </row>
    <row r="461" spans="6:10">
      <c r="F461"/>
      <c r="H461"/>
      <c r="I461"/>
      <c r="J461"/>
    </row>
    <row r="462" spans="6:10">
      <c r="F462"/>
      <c r="H462"/>
      <c r="I462"/>
      <c r="J462"/>
    </row>
    <row r="463" spans="6:10">
      <c r="F463"/>
      <c r="H463"/>
      <c r="I463"/>
      <c r="J463"/>
    </row>
    <row r="464" spans="6:10">
      <c r="F464"/>
      <c r="H464"/>
      <c r="I464"/>
      <c r="J464"/>
    </row>
    <row r="465" spans="6:10">
      <c r="F465"/>
      <c r="H465"/>
      <c r="I465"/>
      <c r="J465"/>
    </row>
    <row r="466" spans="6:10">
      <c r="F466"/>
      <c r="H466"/>
      <c r="I466"/>
      <c r="J466"/>
    </row>
    <row r="467" spans="6:10">
      <c r="F467"/>
      <c r="H467"/>
      <c r="I467"/>
      <c r="J467"/>
    </row>
    <row r="468" spans="6:10">
      <c r="F468"/>
      <c r="H468"/>
      <c r="I468"/>
      <c r="J468"/>
    </row>
    <row r="469" spans="6:10">
      <c r="F469"/>
      <c r="H469"/>
      <c r="I469"/>
      <c r="J469"/>
    </row>
    <row r="470" spans="6:10">
      <c r="F470"/>
      <c r="H470"/>
      <c r="I470"/>
      <c r="J470"/>
    </row>
    <row r="471" spans="6:10">
      <c r="F471"/>
      <c r="H471"/>
      <c r="I471"/>
      <c r="J471"/>
    </row>
    <row r="472" spans="6:10">
      <c r="F472"/>
      <c r="H472"/>
      <c r="I472"/>
      <c r="J472"/>
    </row>
    <row r="473" spans="6:10">
      <c r="F473"/>
      <c r="H473"/>
      <c r="I473"/>
      <c r="J473"/>
    </row>
    <row r="474" spans="6:10">
      <c r="F474"/>
      <c r="H474"/>
      <c r="I474"/>
      <c r="J474"/>
    </row>
    <row r="475" spans="6:10">
      <c r="F475"/>
      <c r="H475"/>
      <c r="I475"/>
      <c r="J475"/>
    </row>
    <row r="476" spans="6:10">
      <c r="F476"/>
      <c r="H476"/>
      <c r="I476"/>
      <c r="J476"/>
    </row>
    <row r="477" spans="6:10">
      <c r="F477"/>
      <c r="H477"/>
      <c r="I477"/>
      <c r="J477"/>
    </row>
    <row r="478" spans="6:10">
      <c r="F478"/>
      <c r="H478"/>
      <c r="I478"/>
      <c r="J478"/>
    </row>
    <row r="479" spans="6:10">
      <c r="F479"/>
      <c r="H479"/>
      <c r="I479"/>
      <c r="J479"/>
    </row>
    <row r="480" spans="6:10">
      <c r="F480"/>
      <c r="H480"/>
      <c r="I480"/>
      <c r="J480"/>
    </row>
    <row r="481" spans="6:10">
      <c r="F481"/>
      <c r="H481"/>
      <c r="I481"/>
      <c r="J481"/>
    </row>
    <row r="482" spans="6:10">
      <c r="F482"/>
      <c r="H482"/>
      <c r="I482"/>
      <c r="J482"/>
    </row>
    <row r="483" spans="6:10">
      <c r="F483"/>
      <c r="H483"/>
      <c r="I483"/>
      <c r="J483"/>
    </row>
    <row r="484" spans="6:10">
      <c r="F484"/>
      <c r="H484"/>
      <c r="I484"/>
      <c r="J484"/>
    </row>
    <row r="485" spans="6:10">
      <c r="F485"/>
      <c r="H485"/>
      <c r="I485"/>
      <c r="J485"/>
    </row>
    <row r="486" spans="6:10">
      <c r="F486"/>
      <c r="H486"/>
      <c r="I486"/>
      <c r="J486"/>
    </row>
    <row r="487" spans="6:10">
      <c r="F487"/>
      <c r="H487"/>
      <c r="I487"/>
      <c r="J487"/>
    </row>
    <row r="488" spans="6:10">
      <c r="F488"/>
      <c r="H488"/>
      <c r="I488"/>
      <c r="J488"/>
    </row>
    <row r="489" spans="6:10">
      <c r="F489"/>
      <c r="H489"/>
      <c r="I489"/>
      <c r="J489"/>
    </row>
    <row r="490" spans="6:10">
      <c r="F490"/>
      <c r="H490"/>
      <c r="I490"/>
      <c r="J490"/>
    </row>
    <row r="491" spans="6:10">
      <c r="F491"/>
      <c r="H491"/>
      <c r="I491"/>
      <c r="J491"/>
    </row>
    <row r="492" spans="6:10">
      <c r="F492"/>
      <c r="H492"/>
      <c r="I492"/>
      <c r="J492"/>
    </row>
    <row r="493" spans="6:10">
      <c r="F493"/>
      <c r="H493"/>
      <c r="I493"/>
      <c r="J493"/>
    </row>
    <row r="494" spans="6:10">
      <c r="F494"/>
      <c r="H494"/>
      <c r="I494"/>
      <c r="J494"/>
    </row>
    <row r="495" spans="6:10">
      <c r="F495"/>
      <c r="H495"/>
      <c r="I495"/>
      <c r="J495"/>
    </row>
    <row r="496" spans="6:10">
      <c r="F496"/>
      <c r="H496"/>
      <c r="I496"/>
      <c r="J496"/>
    </row>
    <row r="497" spans="6:10">
      <c r="F497"/>
      <c r="H497"/>
      <c r="I497"/>
      <c r="J497"/>
    </row>
    <row r="498" spans="6:10">
      <c r="F498"/>
      <c r="H498"/>
      <c r="I498"/>
      <c r="J498"/>
    </row>
    <row r="499" spans="6:10">
      <c r="F499"/>
      <c r="H499"/>
      <c r="I499"/>
      <c r="J499"/>
    </row>
    <row r="500" spans="6:10">
      <c r="F500"/>
      <c r="H500"/>
      <c r="I500"/>
      <c r="J500"/>
    </row>
    <row r="501" spans="6:10">
      <c r="F501"/>
      <c r="H501"/>
      <c r="I501"/>
      <c r="J501"/>
    </row>
    <row r="502" spans="6:10">
      <c r="F502"/>
      <c r="H502"/>
      <c r="I502"/>
      <c r="J502"/>
    </row>
    <row r="503" spans="6:10">
      <c r="F503"/>
      <c r="H503"/>
      <c r="I503"/>
      <c r="J503"/>
    </row>
    <row r="504" spans="6:10">
      <c r="F504"/>
      <c r="H504"/>
      <c r="I504"/>
      <c r="J504"/>
    </row>
    <row r="505" spans="6:10">
      <c r="F505"/>
      <c r="H505"/>
      <c r="I505"/>
      <c r="J505"/>
    </row>
    <row r="506" spans="6:10">
      <c r="F506"/>
      <c r="H506"/>
      <c r="I506"/>
      <c r="J506"/>
    </row>
    <row r="507" spans="6:10">
      <c r="F507"/>
      <c r="H507"/>
      <c r="I507"/>
      <c r="J507"/>
    </row>
    <row r="508" spans="6:10">
      <c r="F508"/>
      <c r="H508"/>
      <c r="I508"/>
      <c r="J508"/>
    </row>
    <row r="509" spans="6:10">
      <c r="F509"/>
      <c r="H509"/>
      <c r="I509"/>
      <c r="J509"/>
    </row>
    <row r="510" spans="6:10">
      <c r="F510"/>
      <c r="H510"/>
      <c r="I510"/>
      <c r="J510"/>
    </row>
    <row r="511" spans="6:10">
      <c r="F511"/>
      <c r="H511"/>
      <c r="I511"/>
      <c r="J511"/>
    </row>
    <row r="512" spans="6:10">
      <c r="F512"/>
      <c r="H512"/>
      <c r="I512"/>
      <c r="J512"/>
    </row>
    <row r="513" spans="6:10">
      <c r="F513"/>
      <c r="H513"/>
      <c r="I513"/>
      <c r="J513"/>
    </row>
    <row r="514" spans="6:10">
      <c r="F514"/>
      <c r="H514"/>
      <c r="I514"/>
      <c r="J514"/>
    </row>
    <row r="515" spans="6:10">
      <c r="F515"/>
      <c r="H515"/>
      <c r="I515"/>
      <c r="J515"/>
    </row>
    <row r="516" spans="6:10">
      <c r="F516"/>
      <c r="H516"/>
      <c r="I516"/>
      <c r="J516"/>
    </row>
    <row r="517" spans="6:10">
      <c r="F517"/>
      <c r="H517"/>
      <c r="I517"/>
      <c r="J517"/>
    </row>
    <row r="518" spans="6:10">
      <c r="F518"/>
      <c r="H518"/>
      <c r="I518"/>
      <c r="J518"/>
    </row>
    <row r="519" spans="6:10">
      <c r="F519"/>
      <c r="H519"/>
      <c r="I519"/>
      <c r="J519"/>
    </row>
    <row r="520" spans="6:10">
      <c r="F520"/>
      <c r="H520"/>
      <c r="I520"/>
      <c r="J520"/>
    </row>
    <row r="521" spans="6:10">
      <c r="F521"/>
      <c r="H521"/>
      <c r="I521"/>
      <c r="J521"/>
    </row>
    <row r="522" spans="6:10">
      <c r="F522"/>
      <c r="H522"/>
      <c r="I522"/>
      <c r="J522"/>
    </row>
    <row r="523" spans="6:10">
      <c r="F523"/>
      <c r="H523"/>
      <c r="I523"/>
      <c r="J523"/>
    </row>
    <row r="524" spans="6:10">
      <c r="F524"/>
      <c r="H524"/>
      <c r="I524"/>
      <c r="J524"/>
    </row>
    <row r="525" spans="6:10">
      <c r="F525"/>
      <c r="H525"/>
      <c r="I525"/>
      <c r="J525"/>
    </row>
    <row r="526" spans="6:10">
      <c r="F526"/>
      <c r="H526"/>
      <c r="I526"/>
      <c r="J526"/>
    </row>
    <row r="527" spans="6:10">
      <c r="F527"/>
      <c r="H527"/>
      <c r="I527"/>
      <c r="J527"/>
    </row>
    <row r="528" spans="6:10">
      <c r="F528"/>
      <c r="H528"/>
      <c r="I528"/>
      <c r="J528"/>
    </row>
    <row r="529" spans="6:10">
      <c r="F529"/>
      <c r="H529"/>
      <c r="I529"/>
      <c r="J529"/>
    </row>
    <row r="530" spans="6:10">
      <c r="F530"/>
      <c r="H530"/>
      <c r="I530"/>
      <c r="J530"/>
    </row>
    <row r="531" spans="6:10">
      <c r="F531"/>
      <c r="H531"/>
      <c r="I531"/>
      <c r="J531"/>
    </row>
    <row r="532" spans="6:10">
      <c r="F532"/>
      <c r="H532"/>
      <c r="I532"/>
      <c r="J532"/>
    </row>
    <row r="533" spans="6:10">
      <c r="F533"/>
      <c r="H533"/>
      <c r="I533"/>
      <c r="J533"/>
    </row>
    <row r="534" spans="6:10">
      <c r="F534"/>
      <c r="H534"/>
      <c r="I534"/>
      <c r="J534"/>
    </row>
    <row r="535" spans="6:10">
      <c r="F535"/>
      <c r="H535"/>
      <c r="I535"/>
      <c r="J535"/>
    </row>
    <row r="536" spans="6:10">
      <c r="F536"/>
      <c r="H536"/>
      <c r="I536"/>
      <c r="J536"/>
    </row>
    <row r="537" spans="6:10">
      <c r="F537"/>
      <c r="H537"/>
      <c r="I537"/>
      <c r="J537"/>
    </row>
    <row r="538" spans="6:10">
      <c r="F538"/>
      <c r="H538"/>
      <c r="I538"/>
      <c r="J538"/>
    </row>
    <row r="539" spans="6:10">
      <c r="F539"/>
      <c r="H539"/>
      <c r="I539"/>
      <c r="J539"/>
    </row>
    <row r="540" spans="6:10">
      <c r="F540"/>
      <c r="H540"/>
      <c r="I540"/>
      <c r="J540"/>
    </row>
    <row r="541" spans="6:10">
      <c r="F541"/>
      <c r="H541"/>
      <c r="I541"/>
      <c r="J541"/>
    </row>
    <row r="542" spans="6:10">
      <c r="F542"/>
      <c r="H542"/>
      <c r="I542"/>
      <c r="J542"/>
    </row>
    <row r="543" spans="6:10">
      <c r="F543"/>
      <c r="H543"/>
      <c r="I543"/>
      <c r="J543"/>
    </row>
    <row r="544" spans="6:10">
      <c r="F544"/>
      <c r="H544"/>
      <c r="I544"/>
      <c r="J544"/>
    </row>
    <row r="545" spans="6:10">
      <c r="F545"/>
      <c r="H545"/>
      <c r="I545"/>
      <c r="J545"/>
    </row>
    <row r="546" spans="6:10">
      <c r="F546"/>
      <c r="H546"/>
      <c r="I546"/>
      <c r="J546"/>
    </row>
    <row r="547" spans="6:10">
      <c r="F547"/>
      <c r="H547"/>
      <c r="I547"/>
      <c r="J547"/>
    </row>
    <row r="548" spans="6:10">
      <c r="F548"/>
      <c r="H548"/>
      <c r="I548"/>
      <c r="J548"/>
    </row>
    <row r="549" spans="6:10">
      <c r="F549"/>
      <c r="H549"/>
      <c r="I549"/>
      <c r="J549"/>
    </row>
    <row r="550" spans="6:10">
      <c r="F550"/>
      <c r="H550"/>
      <c r="I550"/>
      <c r="J550"/>
    </row>
    <row r="551" spans="6:10">
      <c r="F551"/>
      <c r="H551"/>
      <c r="I551"/>
      <c r="J551"/>
    </row>
    <row r="552" spans="6:10">
      <c r="F552"/>
      <c r="H552"/>
      <c r="I552"/>
      <c r="J552"/>
    </row>
    <row r="553" spans="6:10">
      <c r="F553"/>
      <c r="H553"/>
      <c r="I553"/>
      <c r="J553"/>
    </row>
    <row r="554" spans="6:10">
      <c r="F554"/>
      <c r="H554"/>
      <c r="I554"/>
      <c r="J554"/>
    </row>
    <row r="555" spans="6:10">
      <c r="F555"/>
      <c r="H555"/>
      <c r="I555"/>
      <c r="J555"/>
    </row>
    <row r="556" spans="6:10">
      <c r="F556"/>
      <c r="H556"/>
      <c r="I556"/>
      <c r="J556"/>
    </row>
    <row r="557" spans="6:10">
      <c r="F557"/>
      <c r="H557"/>
      <c r="I557"/>
      <c r="J557"/>
    </row>
    <row r="558" spans="6:10">
      <c r="F558"/>
      <c r="H558"/>
      <c r="I558"/>
      <c r="J558"/>
    </row>
    <row r="559" spans="6:10">
      <c r="F559"/>
      <c r="H559"/>
      <c r="I559"/>
      <c r="J559"/>
    </row>
    <row r="560" spans="6:10">
      <c r="F560"/>
      <c r="H560"/>
      <c r="I560"/>
      <c r="J560"/>
    </row>
    <row r="561" spans="6:10">
      <c r="F561"/>
      <c r="H561"/>
      <c r="I561"/>
      <c r="J561"/>
    </row>
    <row r="562" spans="6:10">
      <c r="F562"/>
      <c r="H562"/>
      <c r="I562"/>
      <c r="J562"/>
    </row>
    <row r="563" spans="6:10">
      <c r="F563"/>
      <c r="H563"/>
      <c r="I563"/>
      <c r="J563"/>
    </row>
    <row r="564" spans="6:10">
      <c r="F564"/>
      <c r="H564"/>
      <c r="I564"/>
      <c r="J564"/>
    </row>
    <row r="565" spans="6:10">
      <c r="F565"/>
      <c r="H565"/>
      <c r="I565"/>
      <c r="J565"/>
    </row>
    <row r="566" spans="6:10">
      <c r="F566"/>
      <c r="H566"/>
      <c r="I566"/>
      <c r="J566"/>
    </row>
    <row r="567" spans="6:10">
      <c r="F567"/>
      <c r="H567"/>
      <c r="I567"/>
      <c r="J567"/>
    </row>
    <row r="568" spans="6:10">
      <c r="F568"/>
      <c r="H568"/>
      <c r="I568"/>
      <c r="J568"/>
    </row>
    <row r="569" spans="6:10">
      <c r="F569"/>
      <c r="H569"/>
      <c r="I569"/>
      <c r="J569"/>
    </row>
    <row r="570" spans="6:10">
      <c r="F570"/>
      <c r="H570"/>
      <c r="I570"/>
      <c r="J570"/>
    </row>
    <row r="571" spans="6:10">
      <c r="F571"/>
      <c r="H571"/>
      <c r="I571"/>
      <c r="J571"/>
    </row>
    <row r="572" spans="6:10">
      <c r="F572"/>
      <c r="H572"/>
      <c r="I572"/>
      <c r="J572"/>
    </row>
    <row r="573" spans="6:10">
      <c r="F573"/>
      <c r="H573"/>
      <c r="I573"/>
      <c r="J573"/>
    </row>
    <row r="574" spans="6:10">
      <c r="F574"/>
      <c r="H574"/>
      <c r="I574"/>
      <c r="J574"/>
    </row>
    <row r="575" spans="6:10">
      <c r="F575"/>
      <c r="H575"/>
      <c r="I575"/>
      <c r="J575"/>
    </row>
    <row r="576" spans="6:10">
      <c r="F576"/>
      <c r="H576"/>
      <c r="I576"/>
      <c r="J576"/>
    </row>
    <row r="577" spans="6:10">
      <c r="F577"/>
      <c r="H577"/>
      <c r="I577"/>
      <c r="J577"/>
    </row>
    <row r="578" spans="6:10">
      <c r="F578"/>
      <c r="H578"/>
      <c r="I578"/>
      <c r="J578"/>
    </row>
    <row r="579" spans="6:10">
      <c r="F579"/>
      <c r="H579"/>
      <c r="I579"/>
      <c r="J579"/>
    </row>
    <row r="580" spans="6:10">
      <c r="F580"/>
      <c r="H580"/>
      <c r="I580"/>
      <c r="J580"/>
    </row>
    <row r="581" spans="6:10">
      <c r="F581"/>
      <c r="H581"/>
      <c r="I581"/>
      <c r="J581"/>
    </row>
    <row r="582" spans="6:10">
      <c r="F582"/>
      <c r="H582"/>
      <c r="I582"/>
      <c r="J582"/>
    </row>
    <row r="583" spans="6:10">
      <c r="F583"/>
      <c r="H583"/>
      <c r="I583"/>
      <c r="J583"/>
    </row>
    <row r="584" spans="6:10">
      <c r="F584"/>
      <c r="H584"/>
      <c r="I584"/>
      <c r="J584"/>
    </row>
    <row r="585" spans="6:10">
      <c r="F585"/>
      <c r="H585"/>
      <c r="I585"/>
      <c r="J585"/>
    </row>
    <row r="586" spans="6:10">
      <c r="F586"/>
      <c r="H586"/>
      <c r="I586"/>
      <c r="J586"/>
    </row>
    <row r="587" spans="6:10">
      <c r="F587"/>
      <c r="H587"/>
      <c r="I587"/>
      <c r="J587"/>
    </row>
    <row r="588" spans="6:10">
      <c r="F588"/>
      <c r="H588"/>
      <c r="I588"/>
      <c r="J588"/>
    </row>
    <row r="589" spans="6:10">
      <c r="F589"/>
      <c r="H589"/>
      <c r="I589"/>
      <c r="J589"/>
    </row>
    <row r="590" spans="6:10">
      <c r="F590"/>
      <c r="H590"/>
      <c r="I590"/>
      <c r="J590"/>
    </row>
    <row r="591" spans="6:10">
      <c r="F591"/>
      <c r="H591"/>
      <c r="I591"/>
      <c r="J591"/>
    </row>
    <row r="592" spans="6:10">
      <c r="F592"/>
      <c r="H592"/>
      <c r="I592"/>
      <c r="J592"/>
    </row>
    <row r="593" spans="6:10">
      <c r="F593"/>
      <c r="H593"/>
      <c r="I593"/>
      <c r="J593"/>
    </row>
    <row r="594" spans="6:10">
      <c r="F594"/>
      <c r="H594"/>
      <c r="I594"/>
      <c r="J594"/>
    </row>
    <row r="595" spans="6:10">
      <c r="F595"/>
      <c r="H595"/>
      <c r="I595"/>
      <c r="J595"/>
    </row>
    <row r="596" spans="6:10">
      <c r="F596"/>
      <c r="H596"/>
      <c r="I596"/>
      <c r="J596"/>
    </row>
    <row r="597" spans="6:10">
      <c r="F597"/>
      <c r="H597"/>
      <c r="I597"/>
      <c r="J597"/>
    </row>
    <row r="598" spans="6:10">
      <c r="F598"/>
      <c r="H598"/>
      <c r="I598"/>
      <c r="J598"/>
    </row>
    <row r="599" spans="6:10">
      <c r="F599"/>
      <c r="H599"/>
      <c r="I599"/>
      <c r="J599"/>
    </row>
    <row r="600" spans="6:10">
      <c r="F600"/>
      <c r="H600"/>
      <c r="I600"/>
      <c r="J600"/>
    </row>
    <row r="601" spans="6:10">
      <c r="F601"/>
      <c r="H601"/>
      <c r="I601"/>
      <c r="J601"/>
    </row>
    <row r="602" spans="6:10">
      <c r="F602"/>
      <c r="H602"/>
      <c r="I602"/>
      <c r="J602"/>
    </row>
    <row r="603" spans="6:10">
      <c r="F603"/>
      <c r="H603"/>
      <c r="I603"/>
      <c r="J603"/>
    </row>
    <row r="604" spans="6:10">
      <c r="F604"/>
      <c r="H604"/>
      <c r="I604"/>
      <c r="J604"/>
    </row>
    <row r="605" spans="6:10">
      <c r="F605"/>
      <c r="H605"/>
      <c r="I605"/>
      <c r="J605"/>
    </row>
    <row r="606" spans="6:10">
      <c r="F606"/>
      <c r="H606"/>
      <c r="I606"/>
      <c r="J606"/>
    </row>
    <row r="607" spans="6:10">
      <c r="F607"/>
      <c r="H607"/>
      <c r="I607"/>
      <c r="J607"/>
    </row>
    <row r="608" spans="6:10">
      <c r="F608"/>
      <c r="H608"/>
      <c r="I608"/>
      <c r="J608"/>
    </row>
    <row r="609" spans="6:10">
      <c r="F609"/>
      <c r="H609"/>
      <c r="I609"/>
      <c r="J609"/>
    </row>
    <row r="610" spans="6:10">
      <c r="F610"/>
      <c r="H610"/>
      <c r="I610"/>
      <c r="J610"/>
    </row>
    <row r="611" spans="6:10">
      <c r="F611"/>
      <c r="H611"/>
      <c r="I611"/>
      <c r="J611"/>
    </row>
    <row r="612" spans="6:10">
      <c r="F612"/>
      <c r="H612"/>
      <c r="I612"/>
      <c r="J612"/>
    </row>
    <row r="613" spans="6:10">
      <c r="F613"/>
      <c r="H613"/>
      <c r="I613"/>
      <c r="J613"/>
    </row>
    <row r="614" spans="6:10">
      <c r="F614"/>
      <c r="H614"/>
      <c r="I614"/>
      <c r="J614"/>
    </row>
    <row r="615" spans="6:10">
      <c r="F615"/>
      <c r="H615"/>
      <c r="I615"/>
      <c r="J615"/>
    </row>
    <row r="616" spans="6:10">
      <c r="F616"/>
      <c r="H616"/>
      <c r="I616"/>
      <c r="J616"/>
    </row>
    <row r="617" spans="6:10">
      <c r="F617"/>
      <c r="H617"/>
      <c r="I617"/>
      <c r="J617"/>
    </row>
    <row r="618" spans="6:10">
      <c r="F618"/>
      <c r="H618"/>
      <c r="I618"/>
      <c r="J618"/>
    </row>
    <row r="619" spans="6:10">
      <c r="F619"/>
      <c r="H619"/>
      <c r="I619"/>
      <c r="J619"/>
    </row>
    <row r="620" spans="6:10">
      <c r="F620"/>
      <c r="H620"/>
      <c r="I620"/>
      <c r="J620"/>
    </row>
    <row r="621" spans="6:10">
      <c r="F621"/>
      <c r="H621"/>
      <c r="I621"/>
      <c r="J621"/>
    </row>
    <row r="622" spans="6:10">
      <c r="F622"/>
      <c r="H622"/>
      <c r="I622"/>
      <c r="J622"/>
    </row>
    <row r="623" spans="6:10">
      <c r="F623"/>
      <c r="H623"/>
      <c r="I623"/>
      <c r="J623"/>
    </row>
    <row r="624" spans="6:10">
      <c r="F624"/>
      <c r="H624"/>
      <c r="I624"/>
      <c r="J624"/>
    </row>
    <row r="625" spans="6:10">
      <c r="F625"/>
      <c r="H625"/>
      <c r="I625"/>
      <c r="J625"/>
    </row>
    <row r="626" spans="6:10">
      <c r="F626"/>
      <c r="H626"/>
      <c r="I626"/>
      <c r="J626"/>
    </row>
    <row r="627" spans="6:10">
      <c r="F627"/>
      <c r="H627"/>
      <c r="I627"/>
      <c r="J627"/>
    </row>
    <row r="628" spans="6:10">
      <c r="F628"/>
      <c r="H628"/>
      <c r="I628"/>
      <c r="J628"/>
    </row>
    <row r="629" spans="6:10">
      <c r="F629"/>
      <c r="H629"/>
      <c r="I629"/>
      <c r="J629"/>
    </row>
    <row r="630" spans="6:10">
      <c r="F630"/>
      <c r="H630"/>
      <c r="I630"/>
      <c r="J630"/>
    </row>
    <row r="631" spans="6:10">
      <c r="F631"/>
      <c r="H631"/>
      <c r="I631"/>
      <c r="J631"/>
    </row>
    <row r="632" spans="6:10">
      <c r="F632"/>
      <c r="H632"/>
      <c r="I632"/>
      <c r="J632"/>
    </row>
    <row r="633" spans="6:10">
      <c r="F633"/>
      <c r="H633"/>
      <c r="I633"/>
      <c r="J633"/>
    </row>
    <row r="634" spans="6:10">
      <c r="F634"/>
      <c r="H634"/>
      <c r="I634"/>
      <c r="J634"/>
    </row>
    <row r="635" spans="6:10">
      <c r="F635"/>
      <c r="H635"/>
      <c r="I635"/>
      <c r="J635"/>
    </row>
    <row r="636" spans="6:10">
      <c r="F636"/>
      <c r="H636"/>
      <c r="I636"/>
      <c r="J636"/>
    </row>
    <row r="637" spans="6:10">
      <c r="F637"/>
      <c r="H637"/>
      <c r="I637"/>
      <c r="J637"/>
    </row>
    <row r="638" spans="6:10">
      <c r="F638"/>
      <c r="H638"/>
      <c r="I638"/>
      <c r="J638"/>
    </row>
    <row r="639" spans="6:10">
      <c r="F639"/>
      <c r="H639"/>
      <c r="I639"/>
      <c r="J639"/>
    </row>
    <row r="640" spans="6:10">
      <c r="F640"/>
      <c r="H640"/>
      <c r="I640"/>
      <c r="J640"/>
    </row>
    <row r="641" spans="6:10">
      <c r="F641"/>
      <c r="H641"/>
      <c r="I641"/>
      <c r="J641"/>
    </row>
    <row r="642" spans="6:10">
      <c r="F642"/>
      <c r="H642"/>
      <c r="I642"/>
      <c r="J642"/>
    </row>
    <row r="643" spans="6:10">
      <c r="F643"/>
      <c r="H643"/>
      <c r="I643"/>
      <c r="J643"/>
    </row>
    <row r="644" spans="6:10">
      <c r="F644"/>
      <c r="H644"/>
      <c r="I644"/>
      <c r="J644"/>
    </row>
    <row r="645" spans="6:10">
      <c r="F645"/>
      <c r="H645"/>
      <c r="I645"/>
      <c r="J645"/>
    </row>
    <row r="646" spans="6:10">
      <c r="F646"/>
      <c r="H646"/>
      <c r="I646"/>
      <c r="J646"/>
    </row>
    <row r="647" spans="6:10">
      <c r="F647"/>
      <c r="H647"/>
      <c r="I647"/>
      <c r="J647"/>
    </row>
    <row r="648" spans="6:10">
      <c r="F648"/>
      <c r="H648"/>
      <c r="I648"/>
      <c r="J648"/>
    </row>
    <row r="649" spans="6:10">
      <c r="F649"/>
      <c r="H649"/>
      <c r="I649"/>
      <c r="J649"/>
    </row>
    <row r="650" spans="6:10">
      <c r="F650"/>
      <c r="H650"/>
      <c r="I650"/>
      <c r="J650"/>
    </row>
    <row r="651" spans="6:10">
      <c r="F651"/>
      <c r="H651"/>
      <c r="I651"/>
      <c r="J651"/>
    </row>
    <row r="652" spans="6:10">
      <c r="F652"/>
      <c r="H652"/>
      <c r="I652"/>
      <c r="J652"/>
    </row>
    <row r="653" spans="6:10">
      <c r="F653"/>
      <c r="H653"/>
      <c r="I653"/>
      <c r="J653"/>
    </row>
    <row r="654" spans="6:10">
      <c r="F654"/>
      <c r="H654"/>
      <c r="I654"/>
      <c r="J654"/>
    </row>
    <row r="655" spans="6:10">
      <c r="F655"/>
      <c r="H655"/>
      <c r="I655"/>
      <c r="J655"/>
    </row>
    <row r="656" spans="6:10">
      <c r="F656"/>
      <c r="H656"/>
      <c r="I656"/>
      <c r="J656"/>
    </row>
    <row r="657" spans="6:10">
      <c r="F657"/>
      <c r="H657"/>
      <c r="I657"/>
      <c r="J657"/>
    </row>
    <row r="658" spans="6:10">
      <c r="F658"/>
      <c r="H658"/>
      <c r="I658"/>
      <c r="J658"/>
    </row>
    <row r="659" spans="6:10">
      <c r="F659"/>
      <c r="H659"/>
      <c r="I659"/>
      <c r="J659"/>
    </row>
    <row r="660" spans="6:10">
      <c r="F660"/>
      <c r="H660"/>
      <c r="I660"/>
      <c r="J660"/>
    </row>
    <row r="661" spans="6:10">
      <c r="F661"/>
      <c r="H661"/>
      <c r="I661"/>
      <c r="J661"/>
    </row>
    <row r="662" spans="6:10">
      <c r="F662"/>
      <c r="H662"/>
      <c r="I662"/>
      <c r="J662"/>
    </row>
    <row r="663" spans="6:10">
      <c r="F663"/>
      <c r="H663"/>
      <c r="I663"/>
      <c r="J663"/>
    </row>
    <row r="664" spans="6:10">
      <c r="F664"/>
      <c r="H664"/>
      <c r="I664"/>
      <c r="J664"/>
    </row>
    <row r="665" spans="6:10">
      <c r="F665"/>
      <c r="H665"/>
      <c r="I665"/>
      <c r="J665"/>
    </row>
    <row r="666" spans="6:10">
      <c r="F666"/>
      <c r="H666"/>
      <c r="I666"/>
      <c r="J666"/>
    </row>
    <row r="667" spans="6:10">
      <c r="F667"/>
      <c r="H667"/>
      <c r="I667"/>
      <c r="J667"/>
    </row>
    <row r="668" spans="6:10">
      <c r="F668"/>
      <c r="H668"/>
      <c r="I668"/>
      <c r="J668"/>
    </row>
    <row r="669" spans="6:10">
      <c r="F669"/>
      <c r="H669"/>
      <c r="I669"/>
      <c r="J669"/>
    </row>
    <row r="670" spans="6:10">
      <c r="F670"/>
      <c r="H670"/>
      <c r="I670"/>
      <c r="J670"/>
    </row>
    <row r="671" spans="6:10">
      <c r="F671"/>
      <c r="H671"/>
      <c r="I671"/>
      <c r="J671"/>
    </row>
    <row r="672" spans="6:10">
      <c r="F672"/>
      <c r="H672"/>
      <c r="I672"/>
      <c r="J672"/>
    </row>
    <row r="673" spans="6:10">
      <c r="F673"/>
      <c r="H673"/>
      <c r="I673"/>
      <c r="J673"/>
    </row>
    <row r="674" spans="6:10">
      <c r="F674"/>
      <c r="H674"/>
      <c r="I674"/>
      <c r="J674"/>
    </row>
    <row r="675" spans="6:10">
      <c r="F675"/>
      <c r="H675"/>
      <c r="I675"/>
      <c r="J675"/>
    </row>
    <row r="676" spans="6:10">
      <c r="F676"/>
      <c r="H676"/>
      <c r="I676"/>
      <c r="J676"/>
    </row>
    <row r="677" spans="6:10">
      <c r="F677"/>
      <c r="H677"/>
      <c r="I677"/>
      <c r="J677"/>
    </row>
    <row r="678" spans="6:10">
      <c r="F678"/>
      <c r="H678"/>
      <c r="I678"/>
      <c r="J678"/>
    </row>
    <row r="679" spans="6:10">
      <c r="F679"/>
      <c r="H679"/>
      <c r="I679"/>
      <c r="J679"/>
    </row>
    <row r="680" spans="6:10">
      <c r="F680"/>
      <c r="H680"/>
      <c r="I680"/>
      <c r="J680"/>
    </row>
    <row r="681" spans="6:10">
      <c r="F681"/>
      <c r="H681"/>
      <c r="I681"/>
      <c r="J681"/>
    </row>
    <row r="682" spans="6:10">
      <c r="F682"/>
      <c r="H682"/>
      <c r="I682"/>
      <c r="J682"/>
    </row>
    <row r="683" spans="6:10">
      <c r="F683"/>
      <c r="H683"/>
      <c r="I683"/>
      <c r="J683"/>
    </row>
    <row r="684" spans="6:10">
      <c r="F684"/>
      <c r="H684"/>
      <c r="I684"/>
      <c r="J684"/>
    </row>
    <row r="685" spans="6:10">
      <c r="F685"/>
      <c r="H685"/>
      <c r="I685"/>
      <c r="J685"/>
    </row>
    <row r="686" spans="6:10">
      <c r="F686"/>
      <c r="H686"/>
      <c r="I686"/>
      <c r="J686"/>
    </row>
    <row r="687" spans="6:10">
      <c r="F687"/>
      <c r="H687"/>
      <c r="I687"/>
      <c r="J687"/>
    </row>
    <row r="688" spans="6:10">
      <c r="F688"/>
      <c r="H688"/>
      <c r="I688"/>
      <c r="J688"/>
    </row>
    <row r="689" spans="6:10">
      <c r="F689"/>
      <c r="H689"/>
      <c r="I689"/>
      <c r="J689"/>
    </row>
    <row r="690" spans="6:10">
      <c r="F690"/>
      <c r="H690"/>
      <c r="I690"/>
      <c r="J690"/>
    </row>
    <row r="691" spans="6:10">
      <c r="F691"/>
      <c r="H691"/>
      <c r="I691"/>
      <c r="J691"/>
    </row>
    <row r="692" spans="6:10">
      <c r="F692"/>
      <c r="H692"/>
      <c r="I692"/>
      <c r="J692"/>
    </row>
    <row r="693" spans="6:10">
      <c r="F693"/>
      <c r="H693"/>
      <c r="I693"/>
      <c r="J693"/>
    </row>
    <row r="694" spans="6:10">
      <c r="F694"/>
      <c r="H694"/>
      <c r="I694"/>
      <c r="J694"/>
    </row>
    <row r="695" spans="6:10">
      <c r="F695"/>
      <c r="H695"/>
      <c r="I695"/>
      <c r="J695"/>
    </row>
    <row r="696" spans="6:10">
      <c r="F696"/>
      <c r="H696"/>
      <c r="I696"/>
      <c r="J696"/>
    </row>
    <row r="697" spans="6:10">
      <c r="F697"/>
      <c r="H697"/>
      <c r="I697"/>
      <c r="J697"/>
    </row>
    <row r="698" spans="6:10">
      <c r="F698"/>
      <c r="H698"/>
      <c r="I698"/>
      <c r="J698"/>
    </row>
    <row r="699" spans="6:10">
      <c r="F699"/>
      <c r="H699"/>
      <c r="I699"/>
      <c r="J699"/>
    </row>
    <row r="700" spans="6:10">
      <c r="F700"/>
      <c r="H700"/>
      <c r="I700"/>
      <c r="J700"/>
    </row>
    <row r="701" spans="6:10">
      <c r="F701"/>
      <c r="H701"/>
      <c r="I701"/>
      <c r="J701"/>
    </row>
    <row r="702" spans="6:10">
      <c r="F702"/>
      <c r="H702"/>
      <c r="I702"/>
      <c r="J702"/>
    </row>
    <row r="703" spans="6:10">
      <c r="F703"/>
      <c r="H703"/>
      <c r="I703"/>
      <c r="J703"/>
    </row>
    <row r="704" spans="6:10">
      <c r="F704"/>
      <c r="H704"/>
      <c r="I704"/>
      <c r="J704"/>
    </row>
    <row r="705" spans="6:10">
      <c r="F705"/>
      <c r="H705"/>
      <c r="I705"/>
      <c r="J705"/>
    </row>
    <row r="706" spans="6:10">
      <c r="F706"/>
      <c r="H706"/>
      <c r="I706"/>
      <c r="J706"/>
    </row>
    <row r="707" spans="6:10">
      <c r="F707"/>
      <c r="H707"/>
      <c r="I707"/>
      <c r="J707"/>
    </row>
    <row r="708" spans="6:10">
      <c r="F708"/>
      <c r="H708"/>
      <c r="I708"/>
      <c r="J708"/>
    </row>
    <row r="709" spans="6:10">
      <c r="F709"/>
      <c r="H709"/>
      <c r="I709"/>
      <c r="J709"/>
    </row>
    <row r="710" spans="6:10">
      <c r="F710"/>
      <c r="H710"/>
      <c r="I710"/>
      <c r="J710"/>
    </row>
    <row r="711" spans="6:10">
      <c r="F711"/>
      <c r="H711"/>
      <c r="I711"/>
      <c r="J711"/>
    </row>
    <row r="712" spans="6:10">
      <c r="F712"/>
      <c r="H712"/>
      <c r="I712"/>
      <c r="J712"/>
    </row>
    <row r="713" spans="6:10">
      <c r="F713"/>
      <c r="H713"/>
      <c r="I713"/>
      <c r="J713"/>
    </row>
    <row r="714" spans="6:10">
      <c r="F714"/>
      <c r="H714"/>
      <c r="I714"/>
      <c r="J714"/>
    </row>
    <row r="715" spans="6:10">
      <c r="F715"/>
      <c r="H715"/>
      <c r="I715"/>
      <c r="J715"/>
    </row>
    <row r="716" spans="6:10">
      <c r="F716"/>
      <c r="H716"/>
      <c r="I716"/>
      <c r="J716"/>
    </row>
    <row r="717" spans="6:10">
      <c r="F717"/>
      <c r="H717"/>
      <c r="I717"/>
      <c r="J717"/>
    </row>
    <row r="718" spans="6:10">
      <c r="F718"/>
      <c r="H718"/>
      <c r="I718"/>
      <c r="J718"/>
    </row>
    <row r="719" spans="6:10">
      <c r="F719"/>
      <c r="H719"/>
      <c r="I719"/>
      <c r="J719"/>
    </row>
    <row r="720" spans="6:10">
      <c r="F720"/>
      <c r="H720"/>
      <c r="I720"/>
      <c r="J720"/>
    </row>
    <row r="721" spans="6:10">
      <c r="F721"/>
      <c r="H721"/>
      <c r="I721"/>
      <c r="J721"/>
    </row>
    <row r="722" spans="6:10">
      <c r="F722"/>
      <c r="H722"/>
      <c r="I722"/>
      <c r="J722"/>
    </row>
    <row r="723" spans="6:10">
      <c r="F723"/>
      <c r="H723"/>
      <c r="I723"/>
      <c r="J723"/>
    </row>
    <row r="724" spans="6:10">
      <c r="F724"/>
      <c r="H724"/>
      <c r="I724"/>
      <c r="J724"/>
    </row>
    <row r="725" spans="6:10">
      <c r="F725"/>
      <c r="H725"/>
      <c r="I725"/>
      <c r="J725"/>
    </row>
    <row r="726" spans="6:10">
      <c r="F726"/>
      <c r="H726"/>
      <c r="I726"/>
      <c r="J726"/>
    </row>
    <row r="727" spans="6:10">
      <c r="F727"/>
      <c r="H727"/>
      <c r="I727"/>
      <c r="J727"/>
    </row>
    <row r="728" spans="6:10">
      <c r="F728"/>
      <c r="H728"/>
      <c r="I728"/>
      <c r="J728"/>
    </row>
    <row r="729" spans="6:10">
      <c r="F729"/>
      <c r="H729"/>
      <c r="I729"/>
      <c r="J729"/>
    </row>
    <row r="730" spans="6:10">
      <c r="F730"/>
      <c r="H730"/>
      <c r="I730"/>
      <c r="J730"/>
    </row>
    <row r="731" spans="6:10">
      <c r="F731"/>
      <c r="H731"/>
      <c r="I731"/>
      <c r="J731"/>
    </row>
    <row r="732" spans="6:10">
      <c r="F732"/>
      <c r="H732"/>
      <c r="I732"/>
      <c r="J732"/>
    </row>
    <row r="733" spans="6:10">
      <c r="F733"/>
      <c r="H733"/>
      <c r="I733"/>
      <c r="J733"/>
    </row>
    <row r="734" spans="6:10">
      <c r="F734"/>
      <c r="H734"/>
      <c r="I734"/>
      <c r="J734"/>
    </row>
    <row r="735" spans="6:10">
      <c r="F735"/>
      <c r="H735"/>
      <c r="I735"/>
      <c r="J735"/>
    </row>
    <row r="736" spans="6:10">
      <c r="F736"/>
      <c r="H736"/>
      <c r="I736"/>
      <c r="J736"/>
    </row>
    <row r="737" spans="6:10">
      <c r="F737"/>
      <c r="H737"/>
      <c r="I737"/>
      <c r="J737"/>
    </row>
    <row r="738" spans="6:10">
      <c r="F738"/>
      <c r="H738"/>
      <c r="I738"/>
      <c r="J738"/>
    </row>
    <row r="739" spans="6:10">
      <c r="F739"/>
      <c r="H739"/>
      <c r="I739"/>
      <c r="J739"/>
    </row>
    <row r="740" spans="6:10">
      <c r="F740"/>
      <c r="H740"/>
      <c r="I740"/>
      <c r="J740"/>
    </row>
    <row r="741" spans="6:10">
      <c r="F741"/>
      <c r="H741"/>
      <c r="I741"/>
      <c r="J741"/>
    </row>
    <row r="742" spans="6:10">
      <c r="F742"/>
      <c r="H742"/>
      <c r="I742"/>
      <c r="J742"/>
    </row>
    <row r="743" spans="6:10">
      <c r="F743"/>
      <c r="H743"/>
      <c r="I743"/>
      <c r="J743"/>
    </row>
    <row r="744" spans="6:10">
      <c r="F744"/>
      <c r="H744"/>
      <c r="I744"/>
      <c r="J744"/>
    </row>
    <row r="745" spans="6:10">
      <c r="F745"/>
      <c r="H745"/>
      <c r="I745"/>
      <c r="J745"/>
    </row>
    <row r="746" spans="6:10">
      <c r="F746"/>
      <c r="H746"/>
      <c r="I746"/>
      <c r="J746"/>
    </row>
    <row r="747" spans="6:10">
      <c r="F747"/>
      <c r="H747"/>
      <c r="I747"/>
      <c r="J747"/>
    </row>
    <row r="748" spans="6:10">
      <c r="F748"/>
      <c r="H748"/>
      <c r="I748"/>
      <c r="J748"/>
    </row>
    <row r="749" spans="6:10">
      <c r="F749"/>
      <c r="H749"/>
      <c r="I749"/>
      <c r="J749"/>
    </row>
    <row r="750" spans="6:10">
      <c r="F750"/>
      <c r="H750"/>
      <c r="I750"/>
      <c r="J750"/>
    </row>
    <row r="751" spans="6:10">
      <c r="F751"/>
      <c r="H751"/>
      <c r="I751"/>
      <c r="J751"/>
    </row>
    <row r="752" spans="6:10">
      <c r="F752"/>
      <c r="H752"/>
      <c r="I752"/>
      <c r="J752"/>
    </row>
    <row r="753" spans="6:10">
      <c r="F753"/>
      <c r="H753"/>
      <c r="I753"/>
      <c r="J753"/>
    </row>
    <row r="754" spans="6:10">
      <c r="F754"/>
      <c r="H754"/>
      <c r="I754"/>
      <c r="J754"/>
    </row>
    <row r="755" spans="6:10">
      <c r="F755"/>
      <c r="H755"/>
      <c r="I755"/>
      <c r="J755"/>
    </row>
    <row r="756" spans="6:10">
      <c r="F756"/>
      <c r="H756"/>
      <c r="I756"/>
      <c r="J756"/>
    </row>
    <row r="757" spans="6:10">
      <c r="F757"/>
    </row>
  </sheetData>
  <autoFilter ref="A1:D292" xr:uid="{49F48827-3693-43DD-ADD7-585E4494AB15}"/>
  <conditionalFormatting sqref="D49">
    <cfRule type="containsText" dxfId="6050" priority="161" operator="containsText" text="TFO">
      <formula>NOT(ISERROR(SEARCH("TFO",D49)))</formula>
    </cfRule>
    <cfRule type="containsText" dxfId="6049" priority="162" operator="containsText" text="AA">
      <formula>NOT(ISERROR(SEARCH("AA",D49)))</formula>
    </cfRule>
    <cfRule type="containsText" dxfId="6048" priority="163" operator="containsText" text="RESIGNED">
      <formula>NOT(ISERROR(SEARCH("RESIGNED",D49)))</formula>
    </cfRule>
    <cfRule type="containsText" dxfId="6047" priority="164" operator="containsText" text="P">
      <formula>NOT(ISERROR(SEARCH("P",D49)))</formula>
    </cfRule>
    <cfRule type="containsText" dxfId="6046" priority="165" operator="containsText" text="TARDY">
      <formula>NOT(ISERROR(SEARCH("TARDY",D49)))</formula>
    </cfRule>
    <cfRule type="containsText" dxfId="6045" priority="166" operator="containsText" text="REST DAY">
      <formula>NOT(ISERROR(SEARCH("REST DAY",D49)))</formula>
    </cfRule>
    <cfRule type="containsText" dxfId="6044" priority="167" operator="containsText" text="UA">
      <formula>NOT(ISERROR(SEARCH("UA",D49)))</formula>
    </cfRule>
    <cfRule type="containsText" dxfId="6043" priority="168" operator="containsText" text="LWOP UA">
      <formula>NOT(ISERROR(SEARCH("LWOP UA",D49)))</formula>
    </cfRule>
  </conditionalFormatting>
  <conditionalFormatting sqref="D49">
    <cfRule type="containsText" dxfId="6042" priority="155" operator="containsText" text="VL">
      <formula>NOT(ISERROR(SEARCH("VL",D49)))</formula>
    </cfRule>
    <cfRule type="containsText" dxfId="6041" priority="156" operator="containsText" text="RD">
      <formula>NOT(ISERROR(SEARCH("RD",D49)))</formula>
    </cfRule>
    <cfRule type="containsText" dxfId="6040" priority="157" operator="containsText" text="540">
      <formula>NOT(ISERROR(SEARCH("540",D49)))</formula>
    </cfRule>
    <cfRule type="cellIs" dxfId="6039" priority="158" operator="between">
      <formula>1</formula>
      <formula>400</formula>
    </cfRule>
    <cfRule type="containsText" dxfId="6038" priority="159" operator="containsText" text="LWOP UA">
      <formula>NOT(ISERROR(SEARCH("LWOP UA",D49)))</formula>
    </cfRule>
  </conditionalFormatting>
  <conditionalFormatting sqref="D49">
    <cfRule type="containsText" dxfId="6037" priority="160" operator="containsText" text="P">
      <formula>NOT(ISERROR(SEARCH("P",D49)))</formula>
    </cfRule>
  </conditionalFormatting>
  <conditionalFormatting sqref="D51">
    <cfRule type="containsText" dxfId="6036" priority="147" operator="containsText" text="TFO">
      <formula>NOT(ISERROR(SEARCH("TFO",D51)))</formula>
    </cfRule>
    <cfRule type="containsText" dxfId="6035" priority="148" operator="containsText" text="AA">
      <formula>NOT(ISERROR(SEARCH("AA",D51)))</formula>
    </cfRule>
    <cfRule type="containsText" dxfId="6034" priority="149" operator="containsText" text="RESIGNED">
      <formula>NOT(ISERROR(SEARCH("RESIGNED",D51)))</formula>
    </cfRule>
    <cfRule type="containsText" dxfId="6033" priority="150" operator="containsText" text="P">
      <formula>NOT(ISERROR(SEARCH("P",D51)))</formula>
    </cfRule>
    <cfRule type="containsText" dxfId="6032" priority="151" operator="containsText" text="TARDY">
      <formula>NOT(ISERROR(SEARCH("TARDY",D51)))</formula>
    </cfRule>
    <cfRule type="containsText" dxfId="6031" priority="152" operator="containsText" text="REST DAY">
      <formula>NOT(ISERROR(SEARCH("REST DAY",D51)))</formula>
    </cfRule>
    <cfRule type="containsText" dxfId="6030" priority="153" operator="containsText" text="UA">
      <formula>NOT(ISERROR(SEARCH("UA",D51)))</formula>
    </cfRule>
    <cfRule type="containsText" dxfId="6029" priority="154" operator="containsText" text="LWOP UA">
      <formula>NOT(ISERROR(SEARCH("LWOP UA",D51)))</formula>
    </cfRule>
  </conditionalFormatting>
  <conditionalFormatting sqref="D51">
    <cfRule type="containsText" dxfId="6028" priority="141" operator="containsText" text="VL">
      <formula>NOT(ISERROR(SEARCH("VL",D51)))</formula>
    </cfRule>
    <cfRule type="containsText" dxfId="6027" priority="142" operator="containsText" text="RD">
      <formula>NOT(ISERROR(SEARCH("RD",D51)))</formula>
    </cfRule>
    <cfRule type="containsText" dxfId="6026" priority="143" operator="containsText" text="540">
      <formula>NOT(ISERROR(SEARCH("540",D51)))</formula>
    </cfRule>
    <cfRule type="cellIs" dxfId="6025" priority="144" operator="between">
      <formula>1</formula>
      <formula>400</formula>
    </cfRule>
    <cfRule type="containsText" dxfId="6024" priority="145" operator="containsText" text="LWOP UA">
      <formula>NOT(ISERROR(SEARCH("LWOP UA",D51)))</formula>
    </cfRule>
  </conditionalFormatting>
  <conditionalFormatting sqref="D51">
    <cfRule type="containsText" dxfId="6023" priority="146" operator="containsText" text="P">
      <formula>NOT(ISERROR(SEARCH("P",D51)))</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189E0-1EA9-4E9F-8566-F593C3BB5FAE}">
  <dimension ref="A1:BS153"/>
  <sheetViews>
    <sheetView showGridLines="0" topLeftCell="A110" workbookViewId="0">
      <selection activeCell="V132" sqref="V132"/>
    </sheetView>
  </sheetViews>
  <sheetFormatPr defaultColWidth="9.140625" defaultRowHeight="15"/>
  <cols>
    <col min="1" max="1" width="19" bestFit="1" customWidth="1"/>
    <col min="2" max="2" width="11.42578125" customWidth="1"/>
    <col min="3" max="3" width="11.28515625" style="58" customWidth="1"/>
    <col min="4" max="5" width="10.42578125" customWidth="1"/>
    <col min="6" max="23" width="10.42578125" style="15" customWidth="1"/>
    <col min="24" max="24" width="9.7109375" style="15" customWidth="1"/>
    <col min="25" max="30" width="10.42578125" style="15" customWidth="1"/>
    <col min="31" max="33" width="10.42578125" style="15" bestFit="1" customWidth="1"/>
    <col min="34" max="34" width="10.42578125" style="15" customWidth="1"/>
    <col min="35" max="35" width="12.28515625" style="196" customWidth="1"/>
    <col min="36" max="36" width="12.28515625" style="15" customWidth="1"/>
    <col min="37" max="38" width="11.140625" customWidth="1"/>
    <col min="40" max="40" width="10.5703125" bestFit="1" customWidth="1"/>
    <col min="44" max="44" width="12.28515625" customWidth="1"/>
    <col min="50" max="50" width="25.42578125" bestFit="1" customWidth="1"/>
    <col min="51" max="51" width="15.140625" bestFit="1" customWidth="1"/>
    <col min="52" max="52" width="8.85546875" bestFit="1" customWidth="1"/>
    <col min="53" max="53" width="16" bestFit="1" customWidth="1"/>
    <col min="54" max="54" width="17" bestFit="1" customWidth="1"/>
    <col min="55" max="55" width="18" bestFit="1" customWidth="1"/>
    <col min="56" max="56" width="19.28515625" bestFit="1" customWidth="1"/>
    <col min="57" max="57" width="17.85546875" bestFit="1" customWidth="1"/>
    <col min="58" max="58" width="21.140625" bestFit="1" customWidth="1"/>
    <col min="59" max="64" width="3.28515625" bestFit="1" customWidth="1"/>
    <col min="65" max="67" width="4.42578125" bestFit="1" customWidth="1"/>
    <col min="68" max="68" width="2.28515625" bestFit="1" customWidth="1"/>
    <col min="69" max="69" width="3.7109375" bestFit="1" customWidth="1"/>
    <col min="70" max="70" width="3.28515625" bestFit="1" customWidth="1"/>
    <col min="71" max="71" width="11.7109375" bestFit="1" customWidth="1"/>
  </cols>
  <sheetData>
    <row r="1" spans="1:51">
      <c r="A1" s="146"/>
      <c r="B1" s="146"/>
      <c r="C1" s="146"/>
      <c r="D1" s="146"/>
      <c r="E1" s="147"/>
      <c r="F1" s="187">
        <v>45665</v>
      </c>
      <c r="G1" s="188">
        <v>45696</v>
      </c>
      <c r="H1" s="188">
        <v>45724</v>
      </c>
      <c r="I1" s="188">
        <v>45755</v>
      </c>
      <c r="J1" s="188">
        <v>45785</v>
      </c>
      <c r="K1" s="188">
        <v>45816</v>
      </c>
      <c r="L1" s="188">
        <v>45846</v>
      </c>
      <c r="M1" s="188">
        <v>45877</v>
      </c>
      <c r="N1" s="188">
        <v>45908</v>
      </c>
      <c r="O1" s="188">
        <v>45938</v>
      </c>
      <c r="P1" s="188">
        <v>45969</v>
      </c>
      <c r="Q1" s="188">
        <v>45999</v>
      </c>
      <c r="R1" s="189" t="s">
        <v>243</v>
      </c>
      <c r="S1" s="189" t="s">
        <v>244</v>
      </c>
      <c r="T1" s="189" t="s">
        <v>245</v>
      </c>
      <c r="U1" s="189" t="s">
        <v>246</v>
      </c>
      <c r="V1" s="189" t="s">
        <v>247</v>
      </c>
      <c r="W1" s="189" t="s">
        <v>248</v>
      </c>
      <c r="X1" s="189" t="s">
        <v>249</v>
      </c>
      <c r="Y1" s="189" t="s">
        <v>250</v>
      </c>
      <c r="Z1" s="189" t="s">
        <v>251</v>
      </c>
      <c r="AA1" s="189" t="s">
        <v>252</v>
      </c>
      <c r="AB1" s="189" t="s">
        <v>253</v>
      </c>
      <c r="AC1" s="189" t="s">
        <v>254</v>
      </c>
      <c r="AD1" s="189" t="s">
        <v>255</v>
      </c>
      <c r="AE1" s="189" t="s">
        <v>256</v>
      </c>
      <c r="AF1" s="189" t="s">
        <v>257</v>
      </c>
      <c r="AG1" s="189" t="s">
        <v>258</v>
      </c>
      <c r="AH1" s="189" t="s">
        <v>259</v>
      </c>
      <c r="AI1" s="189" t="s">
        <v>260</v>
      </c>
      <c r="AJ1" s="189" t="s">
        <v>261</v>
      </c>
      <c r="AK1" s="146"/>
      <c r="AL1" s="146"/>
      <c r="AM1" s="146"/>
      <c r="AN1" s="146"/>
      <c r="AO1" s="146"/>
      <c r="AP1" s="146"/>
      <c r="AQ1" s="146"/>
      <c r="AR1" s="146"/>
      <c r="AS1" s="146"/>
      <c r="AT1" s="146"/>
      <c r="AU1" s="146"/>
      <c r="AV1" s="146"/>
      <c r="AW1" s="146"/>
      <c r="AX1" s="146"/>
      <c r="AY1" s="146"/>
    </row>
    <row r="2" spans="1:51">
      <c r="A2" s="148" t="s">
        <v>2</v>
      </c>
      <c r="B2" s="149" t="s">
        <v>262</v>
      </c>
      <c r="C2" s="150" t="s">
        <v>263</v>
      </c>
      <c r="D2" s="150" t="s">
        <v>0</v>
      </c>
      <c r="E2" s="151" t="s">
        <v>3</v>
      </c>
      <c r="F2" s="190" t="s">
        <v>140</v>
      </c>
      <c r="G2" s="191" t="s">
        <v>141</v>
      </c>
      <c r="H2" s="191" t="s">
        <v>135</v>
      </c>
      <c r="I2" s="191" t="s">
        <v>136</v>
      </c>
      <c r="J2" s="191" t="s">
        <v>137</v>
      </c>
      <c r="K2" s="191" t="s">
        <v>138</v>
      </c>
      <c r="L2" s="191" t="s">
        <v>139</v>
      </c>
      <c r="M2" s="191" t="s">
        <v>140</v>
      </c>
      <c r="N2" s="191" t="s">
        <v>141</v>
      </c>
      <c r="O2" s="191" t="s">
        <v>135</v>
      </c>
      <c r="P2" s="191" t="s">
        <v>136</v>
      </c>
      <c r="Q2" s="191" t="s">
        <v>137</v>
      </c>
      <c r="R2" s="191" t="s">
        <v>138</v>
      </c>
      <c r="S2" s="191" t="s">
        <v>139</v>
      </c>
      <c r="T2" s="191" t="s">
        <v>140</v>
      </c>
      <c r="U2" s="191" t="s">
        <v>141</v>
      </c>
      <c r="V2" s="191" t="s">
        <v>135</v>
      </c>
      <c r="W2" s="191" t="s">
        <v>136</v>
      </c>
      <c r="X2" s="191" t="s">
        <v>137</v>
      </c>
      <c r="Y2" s="191" t="s">
        <v>138</v>
      </c>
      <c r="Z2" s="191" t="s">
        <v>139</v>
      </c>
      <c r="AA2" s="191" t="s">
        <v>140</v>
      </c>
      <c r="AB2" s="191" t="s">
        <v>141</v>
      </c>
      <c r="AC2" s="191" t="s">
        <v>135</v>
      </c>
      <c r="AD2" s="191" t="s">
        <v>136</v>
      </c>
      <c r="AE2" s="191" t="s">
        <v>137</v>
      </c>
      <c r="AF2" s="191" t="s">
        <v>138</v>
      </c>
      <c r="AG2" s="191" t="s">
        <v>139</v>
      </c>
      <c r="AH2" s="191" t="s">
        <v>140</v>
      </c>
      <c r="AI2" s="191" t="s">
        <v>141</v>
      </c>
      <c r="AJ2" s="191" t="s">
        <v>135</v>
      </c>
      <c r="AK2" s="152" t="s">
        <v>4</v>
      </c>
      <c r="AL2" s="150" t="s">
        <v>186</v>
      </c>
      <c r="AM2" s="150" t="s">
        <v>5</v>
      </c>
      <c r="AN2" s="150" t="s">
        <v>6</v>
      </c>
      <c r="AO2" s="150" t="s">
        <v>7</v>
      </c>
      <c r="AP2" s="150" t="s">
        <v>8</v>
      </c>
      <c r="AQ2" s="150" t="s">
        <v>9</v>
      </c>
      <c r="AR2" s="150" t="s">
        <v>264</v>
      </c>
      <c r="AS2" s="150" t="s">
        <v>182</v>
      </c>
      <c r="AT2" s="150" t="s">
        <v>183</v>
      </c>
      <c r="AU2" s="150" t="s">
        <v>147</v>
      </c>
      <c r="AV2" s="153" t="s">
        <v>12</v>
      </c>
      <c r="AW2" s="153" t="s">
        <v>14</v>
      </c>
      <c r="AX2" s="154" t="s">
        <v>184</v>
      </c>
      <c r="AY2" s="154" t="s">
        <v>185</v>
      </c>
    </row>
    <row r="3" spans="1:51">
      <c r="A3" s="155" t="s">
        <v>101</v>
      </c>
      <c r="B3" s="156" t="s">
        <v>265</v>
      </c>
      <c r="C3" s="157" t="s">
        <v>266</v>
      </c>
      <c r="D3" s="157" t="s">
        <v>111</v>
      </c>
      <c r="E3" s="158" t="s">
        <v>40</v>
      </c>
      <c r="F3" s="98" t="s">
        <v>148</v>
      </c>
      <c r="G3" s="99" t="s">
        <v>147</v>
      </c>
      <c r="H3" s="99" t="s">
        <v>147</v>
      </c>
      <c r="I3" s="98" t="s">
        <v>148</v>
      </c>
      <c r="J3" s="98" t="s">
        <v>148</v>
      </c>
      <c r="K3" s="98" t="s">
        <v>148</v>
      </c>
      <c r="L3" s="98" t="s">
        <v>148</v>
      </c>
      <c r="M3" s="98" t="s">
        <v>148</v>
      </c>
      <c r="N3" s="99" t="s">
        <v>147</v>
      </c>
      <c r="O3" s="99" t="s">
        <v>147</v>
      </c>
      <c r="P3" s="98" t="s">
        <v>148</v>
      </c>
      <c r="Q3" s="98" t="s">
        <v>148</v>
      </c>
      <c r="R3" s="98" t="s">
        <v>148</v>
      </c>
      <c r="S3" s="98" t="s">
        <v>148</v>
      </c>
      <c r="T3" s="98" t="s">
        <v>148</v>
      </c>
      <c r="U3" s="99" t="s">
        <v>147</v>
      </c>
      <c r="V3" s="99" t="s">
        <v>147</v>
      </c>
      <c r="W3" s="98" t="s">
        <v>148</v>
      </c>
      <c r="X3" s="98" t="s">
        <v>148</v>
      </c>
      <c r="Y3" s="98" t="s">
        <v>148</v>
      </c>
      <c r="Z3" s="98" t="s">
        <v>148</v>
      </c>
      <c r="AA3" s="102" t="s">
        <v>187</v>
      </c>
      <c r="AB3" s="99" t="s">
        <v>147</v>
      </c>
      <c r="AC3" s="99" t="s">
        <v>147</v>
      </c>
      <c r="AD3" s="102" t="s">
        <v>187</v>
      </c>
      <c r="AE3" s="102" t="s">
        <v>187</v>
      </c>
      <c r="AF3" s="102" t="s">
        <v>187</v>
      </c>
      <c r="AG3" s="102" t="s">
        <v>187</v>
      </c>
      <c r="AH3" s="102" t="s">
        <v>187</v>
      </c>
      <c r="AI3" s="99" t="s">
        <v>147</v>
      </c>
      <c r="AJ3" s="99" t="s">
        <v>147</v>
      </c>
      <c r="AK3" s="159">
        <v>0</v>
      </c>
      <c r="AL3" s="160">
        <v>0</v>
      </c>
      <c r="AM3" s="157">
        <v>0</v>
      </c>
      <c r="AN3" s="160">
        <v>0</v>
      </c>
      <c r="AO3" s="146">
        <v>9450</v>
      </c>
      <c r="AP3" s="146">
        <v>9450</v>
      </c>
      <c r="AQ3" s="161">
        <v>1</v>
      </c>
      <c r="AR3" s="146">
        <v>21</v>
      </c>
      <c r="AS3" s="146">
        <v>21</v>
      </c>
      <c r="AT3" s="146">
        <v>21</v>
      </c>
      <c r="AU3" s="156">
        <v>10</v>
      </c>
      <c r="AV3" s="157">
        <v>0</v>
      </c>
      <c r="AW3" s="157">
        <v>0</v>
      </c>
      <c r="AX3" s="157">
        <v>0</v>
      </c>
      <c r="AY3" s="146"/>
    </row>
    <row r="4" spans="1:51">
      <c r="A4" s="162" t="s">
        <v>110</v>
      </c>
      <c r="B4" s="156" t="s">
        <v>265</v>
      </c>
      <c r="C4" s="157" t="s">
        <v>266</v>
      </c>
      <c r="D4" s="157" t="s">
        <v>111</v>
      </c>
      <c r="E4" s="158" t="s">
        <v>40</v>
      </c>
      <c r="F4" s="98" t="s">
        <v>148</v>
      </c>
      <c r="G4" s="99" t="s">
        <v>147</v>
      </c>
      <c r="H4" s="99" t="s">
        <v>147</v>
      </c>
      <c r="I4" s="98" t="s">
        <v>148</v>
      </c>
      <c r="J4" s="98" t="s">
        <v>148</v>
      </c>
      <c r="K4" s="98" t="s">
        <v>148</v>
      </c>
      <c r="L4" s="98" t="s">
        <v>148</v>
      </c>
      <c r="M4" s="98" t="s">
        <v>148</v>
      </c>
      <c r="N4" s="99" t="s">
        <v>147</v>
      </c>
      <c r="O4" s="99" t="s">
        <v>147</v>
      </c>
      <c r="P4" s="98" t="s">
        <v>148</v>
      </c>
      <c r="Q4" s="98" t="s">
        <v>148</v>
      </c>
      <c r="R4" s="98" t="s">
        <v>148</v>
      </c>
      <c r="S4" s="98" t="s">
        <v>148</v>
      </c>
      <c r="T4" s="98" t="s">
        <v>148</v>
      </c>
      <c r="U4" s="99" t="s">
        <v>147</v>
      </c>
      <c r="V4" s="99" t="s">
        <v>147</v>
      </c>
      <c r="W4" s="98" t="s">
        <v>148</v>
      </c>
      <c r="X4" s="98" t="s">
        <v>148</v>
      </c>
      <c r="Y4" s="98" t="s">
        <v>148</v>
      </c>
      <c r="Z4" s="98" t="s">
        <v>148</v>
      </c>
      <c r="AA4" s="102" t="s">
        <v>187</v>
      </c>
      <c r="AB4" s="99" t="s">
        <v>147</v>
      </c>
      <c r="AC4" s="99" t="s">
        <v>147</v>
      </c>
      <c r="AD4" s="102" t="s">
        <v>187</v>
      </c>
      <c r="AE4" s="102" t="s">
        <v>187</v>
      </c>
      <c r="AF4" s="102" t="s">
        <v>187</v>
      </c>
      <c r="AG4" s="102" t="s">
        <v>187</v>
      </c>
      <c r="AH4" s="102" t="s">
        <v>187</v>
      </c>
      <c r="AI4" s="99" t="s">
        <v>147</v>
      </c>
      <c r="AJ4" s="99" t="s">
        <v>147</v>
      </c>
      <c r="AK4" s="159">
        <v>0</v>
      </c>
      <c r="AL4" s="160">
        <v>0</v>
      </c>
      <c r="AM4" s="157">
        <v>0</v>
      </c>
      <c r="AN4" s="160">
        <v>0</v>
      </c>
      <c r="AO4" s="146">
        <v>9450</v>
      </c>
      <c r="AP4" s="146">
        <v>9450</v>
      </c>
      <c r="AQ4" s="161">
        <v>1</v>
      </c>
      <c r="AR4" s="146">
        <v>21</v>
      </c>
      <c r="AS4" s="146">
        <v>21</v>
      </c>
      <c r="AT4" s="146">
        <v>21</v>
      </c>
      <c r="AU4" s="156">
        <v>10</v>
      </c>
      <c r="AV4" s="157">
        <v>0</v>
      </c>
      <c r="AW4" s="157">
        <v>0</v>
      </c>
      <c r="AX4" s="157">
        <v>0</v>
      </c>
      <c r="AY4" s="146"/>
    </row>
    <row r="5" spans="1:51">
      <c r="A5" s="162" t="s">
        <v>220</v>
      </c>
      <c r="B5" s="156" t="s">
        <v>265</v>
      </c>
      <c r="C5" s="157" t="s">
        <v>266</v>
      </c>
      <c r="D5" s="157" t="s">
        <v>267</v>
      </c>
      <c r="E5" s="158" t="s">
        <v>40</v>
      </c>
      <c r="F5" s="98" t="s">
        <v>148</v>
      </c>
      <c r="G5" s="99" t="s">
        <v>147</v>
      </c>
      <c r="H5" s="99" t="s">
        <v>147</v>
      </c>
      <c r="I5" s="98" t="s">
        <v>148</v>
      </c>
      <c r="J5" s="98" t="s">
        <v>148</v>
      </c>
      <c r="K5" s="102">
        <v>450</v>
      </c>
      <c r="L5" s="98" t="s">
        <v>148</v>
      </c>
      <c r="M5" s="98" t="s">
        <v>148</v>
      </c>
      <c r="N5" s="99" t="s">
        <v>147</v>
      </c>
      <c r="O5" s="99" t="s">
        <v>147</v>
      </c>
      <c r="P5" s="98" t="s">
        <v>148</v>
      </c>
      <c r="Q5" s="98" t="s">
        <v>148</v>
      </c>
      <c r="R5" s="98" t="s">
        <v>148</v>
      </c>
      <c r="S5" s="98" t="s">
        <v>148</v>
      </c>
      <c r="T5" s="102">
        <v>450</v>
      </c>
      <c r="U5" s="99" t="s">
        <v>147</v>
      </c>
      <c r="V5" s="99" t="s">
        <v>147</v>
      </c>
      <c r="W5" s="102">
        <v>450</v>
      </c>
      <c r="X5" s="102">
        <v>450</v>
      </c>
      <c r="Y5" s="102">
        <v>450</v>
      </c>
      <c r="Z5" s="98" t="s">
        <v>148</v>
      </c>
      <c r="AA5" s="102" t="s">
        <v>187</v>
      </c>
      <c r="AB5" s="99" t="s">
        <v>147</v>
      </c>
      <c r="AC5" s="99" t="s">
        <v>147</v>
      </c>
      <c r="AD5" s="102" t="s">
        <v>187</v>
      </c>
      <c r="AE5" s="102" t="s">
        <v>187</v>
      </c>
      <c r="AF5" s="102" t="s">
        <v>187</v>
      </c>
      <c r="AG5" s="102" t="s">
        <v>187</v>
      </c>
      <c r="AH5" s="102" t="s">
        <v>187</v>
      </c>
      <c r="AI5" s="99" t="s">
        <v>147</v>
      </c>
      <c r="AJ5" s="99" t="s">
        <v>147</v>
      </c>
      <c r="AK5" s="159">
        <v>450</v>
      </c>
      <c r="AL5" s="160">
        <v>0</v>
      </c>
      <c r="AM5" s="157">
        <v>450</v>
      </c>
      <c r="AN5" s="160">
        <v>450</v>
      </c>
      <c r="AO5" s="146">
        <v>9450</v>
      </c>
      <c r="AP5" s="146">
        <v>9000</v>
      </c>
      <c r="AQ5" s="161">
        <v>0.95240000000000002</v>
      </c>
      <c r="AR5" s="146">
        <v>20</v>
      </c>
      <c r="AS5" s="146">
        <v>21</v>
      </c>
      <c r="AT5" s="146">
        <v>21</v>
      </c>
      <c r="AU5" s="156">
        <v>10</v>
      </c>
      <c r="AV5" s="157">
        <v>0</v>
      </c>
      <c r="AW5" s="157">
        <v>0</v>
      </c>
      <c r="AX5" s="157">
        <v>1</v>
      </c>
      <c r="AY5" s="146"/>
    </row>
    <row r="6" spans="1:51">
      <c r="A6" s="162" t="s">
        <v>268</v>
      </c>
      <c r="B6" s="156" t="s">
        <v>265</v>
      </c>
      <c r="C6" s="157" t="s">
        <v>266</v>
      </c>
      <c r="D6" s="157" t="s">
        <v>267</v>
      </c>
      <c r="E6" s="158" t="s">
        <v>40</v>
      </c>
      <c r="F6" s="98" t="s">
        <v>148</v>
      </c>
      <c r="G6" s="99" t="s">
        <v>147</v>
      </c>
      <c r="H6" s="99" t="s">
        <v>147</v>
      </c>
      <c r="I6" s="98" t="s">
        <v>148</v>
      </c>
      <c r="J6" s="98" t="s">
        <v>148</v>
      </c>
      <c r="K6" s="98" t="s">
        <v>148</v>
      </c>
      <c r="L6" s="98" t="s">
        <v>148</v>
      </c>
      <c r="M6" s="98" t="s">
        <v>148</v>
      </c>
      <c r="N6" s="99" t="s">
        <v>147</v>
      </c>
      <c r="O6" s="99" t="s">
        <v>147</v>
      </c>
      <c r="P6" s="98" t="s">
        <v>148</v>
      </c>
      <c r="Q6" s="98" t="s">
        <v>148</v>
      </c>
      <c r="R6" s="98" t="s">
        <v>148</v>
      </c>
      <c r="S6" s="98" t="s">
        <v>148</v>
      </c>
      <c r="T6" s="98" t="s">
        <v>148</v>
      </c>
      <c r="U6" s="99" t="s">
        <v>147</v>
      </c>
      <c r="V6" s="99" t="s">
        <v>147</v>
      </c>
      <c r="W6" s="98" t="s">
        <v>148</v>
      </c>
      <c r="X6" s="98" t="s">
        <v>148</v>
      </c>
      <c r="Y6" s="98" t="s">
        <v>148</v>
      </c>
      <c r="Z6" s="98" t="s">
        <v>148</v>
      </c>
      <c r="AA6" s="102" t="s">
        <v>187</v>
      </c>
      <c r="AB6" s="99" t="s">
        <v>147</v>
      </c>
      <c r="AC6" s="99" t="s">
        <v>147</v>
      </c>
      <c r="AD6" s="102" t="s">
        <v>187</v>
      </c>
      <c r="AE6" s="102" t="s">
        <v>187</v>
      </c>
      <c r="AF6" s="102" t="s">
        <v>187</v>
      </c>
      <c r="AG6" s="102" t="s">
        <v>187</v>
      </c>
      <c r="AH6" s="102" t="s">
        <v>187</v>
      </c>
      <c r="AI6" s="99" t="s">
        <v>147</v>
      </c>
      <c r="AJ6" s="99" t="s">
        <v>147</v>
      </c>
      <c r="AK6" s="159">
        <v>0</v>
      </c>
      <c r="AL6" s="160">
        <v>0</v>
      </c>
      <c r="AM6" s="157">
        <v>0</v>
      </c>
      <c r="AN6" s="160">
        <v>0</v>
      </c>
      <c r="AO6" s="146">
        <v>9450</v>
      </c>
      <c r="AP6" s="146">
        <v>9450</v>
      </c>
      <c r="AQ6" s="161">
        <v>1</v>
      </c>
      <c r="AR6" s="146">
        <v>21</v>
      </c>
      <c r="AS6" s="146">
        <v>21</v>
      </c>
      <c r="AT6" s="146">
        <v>21</v>
      </c>
      <c r="AU6" s="156">
        <v>10</v>
      </c>
      <c r="AV6" s="157">
        <v>0</v>
      </c>
      <c r="AW6" s="157">
        <v>0</v>
      </c>
      <c r="AX6" s="157">
        <v>0</v>
      </c>
      <c r="AY6" s="146"/>
    </row>
    <row r="7" spans="1:51">
      <c r="A7" s="163" t="s">
        <v>58</v>
      </c>
      <c r="B7" s="156" t="s">
        <v>265</v>
      </c>
      <c r="C7" s="157" t="s">
        <v>266</v>
      </c>
      <c r="D7" s="157" t="s">
        <v>57</v>
      </c>
      <c r="E7" s="158" t="s">
        <v>40</v>
      </c>
      <c r="F7" s="98" t="s">
        <v>148</v>
      </c>
      <c r="G7" s="99" t="s">
        <v>147</v>
      </c>
      <c r="H7" s="99" t="s">
        <v>147</v>
      </c>
      <c r="I7" s="98" t="s">
        <v>148</v>
      </c>
      <c r="J7" s="98" t="s">
        <v>148</v>
      </c>
      <c r="K7" s="98" t="s">
        <v>148</v>
      </c>
      <c r="L7" s="98" t="s">
        <v>148</v>
      </c>
      <c r="M7" s="98" t="s">
        <v>148</v>
      </c>
      <c r="N7" s="99" t="s">
        <v>147</v>
      </c>
      <c r="O7" s="99" t="s">
        <v>147</v>
      </c>
      <c r="P7" s="98" t="s">
        <v>148</v>
      </c>
      <c r="Q7" s="98" t="s">
        <v>148</v>
      </c>
      <c r="R7" s="98" t="s">
        <v>148</v>
      </c>
      <c r="S7" s="98" t="s">
        <v>148</v>
      </c>
      <c r="T7" s="98" t="s">
        <v>148</v>
      </c>
      <c r="U7" s="99" t="s">
        <v>147</v>
      </c>
      <c r="V7" s="99" t="s">
        <v>147</v>
      </c>
      <c r="W7" s="98" t="s">
        <v>148</v>
      </c>
      <c r="X7" s="98" t="s">
        <v>148</v>
      </c>
      <c r="Y7" s="98" t="s">
        <v>148</v>
      </c>
      <c r="Z7" s="98" t="s">
        <v>148</v>
      </c>
      <c r="AA7" s="102" t="s">
        <v>187</v>
      </c>
      <c r="AB7" s="99" t="s">
        <v>147</v>
      </c>
      <c r="AC7" s="99" t="s">
        <v>147</v>
      </c>
      <c r="AD7" s="102" t="s">
        <v>187</v>
      </c>
      <c r="AE7" s="102" t="s">
        <v>187</v>
      </c>
      <c r="AF7" s="102" t="s">
        <v>187</v>
      </c>
      <c r="AG7" s="102" t="s">
        <v>187</v>
      </c>
      <c r="AH7" s="102" t="s">
        <v>187</v>
      </c>
      <c r="AI7" s="99" t="s">
        <v>147</v>
      </c>
      <c r="AJ7" s="99" t="s">
        <v>147</v>
      </c>
      <c r="AK7" s="159">
        <v>0</v>
      </c>
      <c r="AL7" s="160">
        <v>0</v>
      </c>
      <c r="AM7" s="157">
        <v>0</v>
      </c>
      <c r="AN7" s="160">
        <v>0</v>
      </c>
      <c r="AO7" s="146">
        <v>9450</v>
      </c>
      <c r="AP7" s="146">
        <v>9450</v>
      </c>
      <c r="AQ7" s="161">
        <v>1</v>
      </c>
      <c r="AR7" s="146">
        <v>21</v>
      </c>
      <c r="AS7" s="146">
        <v>21</v>
      </c>
      <c r="AT7" s="146">
        <v>21</v>
      </c>
      <c r="AU7" s="156">
        <v>10</v>
      </c>
      <c r="AV7" s="157">
        <v>0</v>
      </c>
      <c r="AW7" s="157">
        <v>0</v>
      </c>
      <c r="AX7" s="157">
        <v>0</v>
      </c>
      <c r="AY7" s="146"/>
    </row>
    <row r="8" spans="1:51">
      <c r="A8" s="164" t="s">
        <v>94</v>
      </c>
      <c r="B8" s="156" t="s">
        <v>265</v>
      </c>
      <c r="C8" s="157" t="s">
        <v>266</v>
      </c>
      <c r="D8" s="157" t="s">
        <v>57</v>
      </c>
      <c r="E8" s="158" t="s">
        <v>40</v>
      </c>
      <c r="F8" s="98" t="s">
        <v>148</v>
      </c>
      <c r="G8" s="99" t="s">
        <v>147</v>
      </c>
      <c r="H8" s="99" t="s">
        <v>147</v>
      </c>
      <c r="I8" s="98" t="s">
        <v>148</v>
      </c>
      <c r="J8" s="98" t="s">
        <v>148</v>
      </c>
      <c r="K8" s="98" t="s">
        <v>148</v>
      </c>
      <c r="L8" s="98" t="s">
        <v>148</v>
      </c>
      <c r="M8" s="98" t="s">
        <v>148</v>
      </c>
      <c r="N8" s="99" t="s">
        <v>147</v>
      </c>
      <c r="O8" s="99" t="s">
        <v>147</v>
      </c>
      <c r="P8" s="102">
        <v>450</v>
      </c>
      <c r="Q8" s="98" t="s">
        <v>148</v>
      </c>
      <c r="R8" s="100">
        <v>1</v>
      </c>
      <c r="S8" s="100">
        <v>30</v>
      </c>
      <c r="T8" s="98" t="s">
        <v>148</v>
      </c>
      <c r="U8" s="99" t="s">
        <v>147</v>
      </c>
      <c r="V8" s="99" t="s">
        <v>147</v>
      </c>
      <c r="W8" s="98" t="s">
        <v>148</v>
      </c>
      <c r="X8" s="98" t="s">
        <v>148</v>
      </c>
      <c r="Y8" s="98" t="s">
        <v>148</v>
      </c>
      <c r="Z8" s="98" t="s">
        <v>148</v>
      </c>
      <c r="AA8" s="102" t="s">
        <v>187</v>
      </c>
      <c r="AB8" s="99" t="s">
        <v>147</v>
      </c>
      <c r="AC8" s="99" t="s">
        <v>147</v>
      </c>
      <c r="AD8" s="102" t="s">
        <v>187</v>
      </c>
      <c r="AE8" s="102" t="s">
        <v>187</v>
      </c>
      <c r="AF8" s="102" t="s">
        <v>187</v>
      </c>
      <c r="AG8" s="102" t="s">
        <v>187</v>
      </c>
      <c r="AH8" s="102" t="s">
        <v>187</v>
      </c>
      <c r="AI8" s="99" t="s">
        <v>147</v>
      </c>
      <c r="AJ8" s="99" t="s">
        <v>147</v>
      </c>
      <c r="AK8" s="159">
        <v>517</v>
      </c>
      <c r="AL8" s="160">
        <v>67</v>
      </c>
      <c r="AM8" s="157">
        <v>450</v>
      </c>
      <c r="AN8" s="160">
        <v>517</v>
      </c>
      <c r="AO8" s="146">
        <v>9450</v>
      </c>
      <c r="AP8" s="146">
        <v>8933</v>
      </c>
      <c r="AQ8" s="161">
        <v>0.94530000000000003</v>
      </c>
      <c r="AR8" s="146">
        <v>20</v>
      </c>
      <c r="AS8" s="146">
        <v>21</v>
      </c>
      <c r="AT8" s="146">
        <v>21</v>
      </c>
      <c r="AU8" s="156">
        <v>10</v>
      </c>
      <c r="AV8" s="157">
        <v>0</v>
      </c>
      <c r="AW8" s="157">
        <v>0</v>
      </c>
      <c r="AX8" s="157">
        <v>1</v>
      </c>
      <c r="AY8" s="146"/>
    </row>
    <row r="9" spans="1:51">
      <c r="A9" s="155" t="s">
        <v>107</v>
      </c>
      <c r="B9" s="156" t="s">
        <v>265</v>
      </c>
      <c r="C9" s="157" t="s">
        <v>266</v>
      </c>
      <c r="D9" s="157" t="s">
        <v>57</v>
      </c>
      <c r="E9" s="158" t="s">
        <v>40</v>
      </c>
      <c r="F9" s="98" t="s">
        <v>148</v>
      </c>
      <c r="G9" s="99" t="s">
        <v>147</v>
      </c>
      <c r="H9" s="99" t="s">
        <v>147</v>
      </c>
      <c r="I9" s="98" t="s">
        <v>148</v>
      </c>
      <c r="J9" s="98" t="s">
        <v>148</v>
      </c>
      <c r="K9" s="98" t="s">
        <v>148</v>
      </c>
      <c r="L9" s="98" t="s">
        <v>148</v>
      </c>
      <c r="M9" s="104" t="s">
        <v>12</v>
      </c>
      <c r="N9" s="99" t="s">
        <v>147</v>
      </c>
      <c r="O9" s="99" t="s">
        <v>147</v>
      </c>
      <c r="P9" s="102">
        <v>450</v>
      </c>
      <c r="Q9" s="98" t="s">
        <v>148</v>
      </c>
      <c r="R9" s="98" t="s">
        <v>148</v>
      </c>
      <c r="S9" s="102">
        <v>450</v>
      </c>
      <c r="T9" s="102">
        <v>450</v>
      </c>
      <c r="U9" s="99" t="s">
        <v>147</v>
      </c>
      <c r="V9" s="99" t="s">
        <v>147</v>
      </c>
      <c r="W9" s="102">
        <v>450</v>
      </c>
      <c r="X9" s="102">
        <v>450</v>
      </c>
      <c r="Y9" s="100">
        <v>3</v>
      </c>
      <c r="Z9" s="98" t="s">
        <v>148</v>
      </c>
      <c r="AA9" s="102" t="s">
        <v>187</v>
      </c>
      <c r="AB9" s="99" t="s">
        <v>147</v>
      </c>
      <c r="AC9" s="99" t="s">
        <v>147</v>
      </c>
      <c r="AD9" s="102" t="s">
        <v>187</v>
      </c>
      <c r="AE9" s="102" t="s">
        <v>187</v>
      </c>
      <c r="AF9" s="102" t="s">
        <v>187</v>
      </c>
      <c r="AG9" s="102" t="s">
        <v>187</v>
      </c>
      <c r="AH9" s="102" t="s">
        <v>187</v>
      </c>
      <c r="AI9" s="99" t="s">
        <v>147</v>
      </c>
      <c r="AJ9" s="99" t="s">
        <v>147</v>
      </c>
      <c r="AK9" s="159">
        <v>450</v>
      </c>
      <c r="AL9" s="160">
        <v>0</v>
      </c>
      <c r="AM9" s="157">
        <v>450</v>
      </c>
      <c r="AN9" s="160">
        <v>450</v>
      </c>
      <c r="AO9" s="146">
        <v>9000</v>
      </c>
      <c r="AP9" s="146">
        <v>8550</v>
      </c>
      <c r="AQ9" s="161">
        <v>0.95</v>
      </c>
      <c r="AR9" s="146">
        <v>19</v>
      </c>
      <c r="AS9" s="146">
        <v>20</v>
      </c>
      <c r="AT9" s="146">
        <v>21</v>
      </c>
      <c r="AU9" s="156">
        <v>10</v>
      </c>
      <c r="AV9" s="157">
        <v>1</v>
      </c>
      <c r="AW9" s="157">
        <v>0</v>
      </c>
      <c r="AX9" s="157">
        <v>1</v>
      </c>
      <c r="AY9" s="146"/>
    </row>
    <row r="10" spans="1:51">
      <c r="A10" s="163" t="s">
        <v>59</v>
      </c>
      <c r="B10" s="156" t="s">
        <v>265</v>
      </c>
      <c r="C10" s="157" t="s">
        <v>266</v>
      </c>
      <c r="D10" s="157" t="s">
        <v>60</v>
      </c>
      <c r="E10" s="158" t="s">
        <v>40</v>
      </c>
      <c r="F10" s="100">
        <v>2</v>
      </c>
      <c r="G10" s="99" t="s">
        <v>147</v>
      </c>
      <c r="H10" s="99" t="s">
        <v>147</v>
      </c>
      <c r="I10" s="104" t="s">
        <v>12</v>
      </c>
      <c r="J10" s="104" t="s">
        <v>12</v>
      </c>
      <c r="K10" s="104" t="s">
        <v>12</v>
      </c>
      <c r="L10" s="104" t="s">
        <v>12</v>
      </c>
      <c r="M10" s="104" t="s">
        <v>12</v>
      </c>
      <c r="N10" s="99" t="s">
        <v>147</v>
      </c>
      <c r="O10" s="99" t="s">
        <v>147</v>
      </c>
      <c r="P10" s="98" t="s">
        <v>148</v>
      </c>
      <c r="Q10" s="98" t="s">
        <v>148</v>
      </c>
      <c r="R10" s="98" t="s">
        <v>148</v>
      </c>
      <c r="S10" s="98" t="s">
        <v>148</v>
      </c>
      <c r="T10" s="98" t="s">
        <v>148</v>
      </c>
      <c r="U10" s="99" t="s">
        <v>147</v>
      </c>
      <c r="V10" s="99" t="s">
        <v>147</v>
      </c>
      <c r="W10" s="98" t="s">
        <v>148</v>
      </c>
      <c r="X10" s="98" t="s">
        <v>148</v>
      </c>
      <c r="Y10" s="98" t="s">
        <v>148</v>
      </c>
      <c r="Z10" s="98" t="s">
        <v>148</v>
      </c>
      <c r="AA10" s="102" t="s">
        <v>187</v>
      </c>
      <c r="AB10" s="99" t="s">
        <v>147</v>
      </c>
      <c r="AC10" s="99" t="s">
        <v>147</v>
      </c>
      <c r="AD10" s="102" t="s">
        <v>187</v>
      </c>
      <c r="AE10" s="102" t="s">
        <v>187</v>
      </c>
      <c r="AF10" s="102" t="s">
        <v>187</v>
      </c>
      <c r="AG10" s="102" t="s">
        <v>187</v>
      </c>
      <c r="AH10" s="102" t="s">
        <v>187</v>
      </c>
      <c r="AI10" s="99" t="s">
        <v>147</v>
      </c>
      <c r="AJ10" s="99" t="s">
        <v>147</v>
      </c>
      <c r="AK10" s="159">
        <v>2</v>
      </c>
      <c r="AL10" s="160">
        <v>2</v>
      </c>
      <c r="AM10" s="157">
        <v>0</v>
      </c>
      <c r="AN10" s="160">
        <v>2</v>
      </c>
      <c r="AO10" s="146">
        <v>7200</v>
      </c>
      <c r="AP10" s="146">
        <v>7198</v>
      </c>
      <c r="AQ10" s="161">
        <v>0.99970000000000003</v>
      </c>
      <c r="AR10" s="146">
        <v>16</v>
      </c>
      <c r="AS10" s="146">
        <v>16</v>
      </c>
      <c r="AT10" s="146">
        <v>21</v>
      </c>
      <c r="AU10" s="156">
        <v>10</v>
      </c>
      <c r="AV10" s="157">
        <v>5</v>
      </c>
      <c r="AW10" s="157">
        <v>0</v>
      </c>
      <c r="AX10" s="157">
        <v>0</v>
      </c>
      <c r="AY10" s="146"/>
    </row>
    <row r="11" spans="1:51">
      <c r="A11" s="164" t="s">
        <v>84</v>
      </c>
      <c r="B11" s="156" t="s">
        <v>265</v>
      </c>
      <c r="C11" s="157" t="s">
        <v>266</v>
      </c>
      <c r="D11" s="157" t="s">
        <v>60</v>
      </c>
      <c r="E11" s="158" t="s">
        <v>40</v>
      </c>
      <c r="F11" s="98" t="s">
        <v>148</v>
      </c>
      <c r="G11" s="99" t="s">
        <v>147</v>
      </c>
      <c r="H11" s="99" t="s">
        <v>147</v>
      </c>
      <c r="I11" s="98" t="s">
        <v>148</v>
      </c>
      <c r="J11" s="98" t="s">
        <v>148</v>
      </c>
      <c r="K11" s="98" t="s">
        <v>148</v>
      </c>
      <c r="L11" s="98" t="s">
        <v>148</v>
      </c>
      <c r="M11" s="98" t="s">
        <v>148</v>
      </c>
      <c r="N11" s="99" t="s">
        <v>147</v>
      </c>
      <c r="O11" s="99" t="s">
        <v>147</v>
      </c>
      <c r="P11" s="98" t="s">
        <v>148</v>
      </c>
      <c r="Q11" s="98" t="s">
        <v>148</v>
      </c>
      <c r="R11" s="98" t="s">
        <v>148</v>
      </c>
      <c r="S11" s="98" t="s">
        <v>148</v>
      </c>
      <c r="T11" s="98" t="s">
        <v>148</v>
      </c>
      <c r="U11" s="99" t="s">
        <v>147</v>
      </c>
      <c r="V11" s="99" t="s">
        <v>147</v>
      </c>
      <c r="W11" s="98" t="s">
        <v>148</v>
      </c>
      <c r="X11" s="98" t="s">
        <v>148</v>
      </c>
      <c r="Y11" s="98" t="s">
        <v>148</v>
      </c>
      <c r="Z11" s="98" t="s">
        <v>148</v>
      </c>
      <c r="AA11" s="102" t="s">
        <v>187</v>
      </c>
      <c r="AB11" s="99" t="s">
        <v>147</v>
      </c>
      <c r="AC11" s="99" t="s">
        <v>147</v>
      </c>
      <c r="AD11" s="102" t="s">
        <v>187</v>
      </c>
      <c r="AE11" s="102" t="s">
        <v>187</v>
      </c>
      <c r="AF11" s="102" t="s">
        <v>187</v>
      </c>
      <c r="AG11" s="102" t="s">
        <v>187</v>
      </c>
      <c r="AH11" s="102" t="s">
        <v>187</v>
      </c>
      <c r="AI11" s="99" t="s">
        <v>147</v>
      </c>
      <c r="AJ11" s="99" t="s">
        <v>147</v>
      </c>
      <c r="AK11" s="159">
        <v>0</v>
      </c>
      <c r="AL11" s="160">
        <v>0</v>
      </c>
      <c r="AM11" s="157">
        <v>0</v>
      </c>
      <c r="AN11" s="160">
        <v>0</v>
      </c>
      <c r="AO11" s="146">
        <v>9450</v>
      </c>
      <c r="AP11" s="146">
        <v>9450</v>
      </c>
      <c r="AQ11" s="161">
        <v>1</v>
      </c>
      <c r="AR11" s="146">
        <v>21</v>
      </c>
      <c r="AS11" s="146">
        <v>21</v>
      </c>
      <c r="AT11" s="146">
        <v>21</v>
      </c>
      <c r="AU11" s="156">
        <v>10</v>
      </c>
      <c r="AV11" s="157">
        <v>0</v>
      </c>
      <c r="AW11" s="157">
        <v>0</v>
      </c>
      <c r="AX11" s="157">
        <v>0</v>
      </c>
      <c r="AY11" s="146"/>
    </row>
    <row r="12" spans="1:51">
      <c r="A12" s="164" t="s">
        <v>230</v>
      </c>
      <c r="B12" s="156" t="s">
        <v>265</v>
      </c>
      <c r="C12" s="157" t="s">
        <v>266</v>
      </c>
      <c r="D12" s="157" t="s">
        <v>60</v>
      </c>
      <c r="E12" s="158" t="s">
        <v>40</v>
      </c>
      <c r="F12" s="98" t="s">
        <v>148</v>
      </c>
      <c r="G12" s="99" t="s">
        <v>147</v>
      </c>
      <c r="H12" s="99" t="s">
        <v>147</v>
      </c>
      <c r="I12" s="98" t="s">
        <v>148</v>
      </c>
      <c r="J12" s="98" t="s">
        <v>148</v>
      </c>
      <c r="K12" s="98" t="s">
        <v>148</v>
      </c>
      <c r="L12" s="98" t="s">
        <v>148</v>
      </c>
      <c r="M12" s="98" t="s">
        <v>148</v>
      </c>
      <c r="N12" s="99" t="s">
        <v>147</v>
      </c>
      <c r="O12" s="99" t="s">
        <v>147</v>
      </c>
      <c r="P12" s="98" t="s">
        <v>148</v>
      </c>
      <c r="Q12" s="98" t="s">
        <v>148</v>
      </c>
      <c r="R12" s="98" t="s">
        <v>148</v>
      </c>
      <c r="S12" s="98" t="s">
        <v>148</v>
      </c>
      <c r="T12" s="98" t="s">
        <v>148</v>
      </c>
      <c r="U12" s="99" t="s">
        <v>147</v>
      </c>
      <c r="V12" s="99" t="s">
        <v>147</v>
      </c>
      <c r="W12" s="98" t="s">
        <v>148</v>
      </c>
      <c r="X12" s="98" t="s">
        <v>148</v>
      </c>
      <c r="Y12" s="98" t="s">
        <v>148</v>
      </c>
      <c r="Z12" s="98" t="s">
        <v>148</v>
      </c>
      <c r="AA12" s="102" t="s">
        <v>187</v>
      </c>
      <c r="AB12" s="99" t="s">
        <v>147</v>
      </c>
      <c r="AC12" s="99" t="s">
        <v>147</v>
      </c>
      <c r="AD12" s="102" t="s">
        <v>187</v>
      </c>
      <c r="AE12" s="102" t="s">
        <v>187</v>
      </c>
      <c r="AF12" s="102" t="s">
        <v>187</v>
      </c>
      <c r="AG12" s="102" t="s">
        <v>187</v>
      </c>
      <c r="AH12" s="102" t="s">
        <v>187</v>
      </c>
      <c r="AI12" s="99" t="s">
        <v>147</v>
      </c>
      <c r="AJ12" s="99" t="s">
        <v>147</v>
      </c>
      <c r="AK12" s="159">
        <v>0</v>
      </c>
      <c r="AL12" s="160">
        <v>0</v>
      </c>
      <c r="AM12" s="157">
        <v>0</v>
      </c>
      <c r="AN12" s="160">
        <v>0</v>
      </c>
      <c r="AO12" s="146">
        <v>9450</v>
      </c>
      <c r="AP12" s="146">
        <v>9450</v>
      </c>
      <c r="AQ12" s="161">
        <v>1</v>
      </c>
      <c r="AR12" s="146">
        <v>21</v>
      </c>
      <c r="AS12" s="146">
        <v>21</v>
      </c>
      <c r="AT12" s="146">
        <v>21</v>
      </c>
      <c r="AU12" s="156">
        <v>10</v>
      </c>
      <c r="AV12" s="157">
        <v>0</v>
      </c>
      <c r="AW12" s="157">
        <v>0</v>
      </c>
      <c r="AX12" s="157">
        <v>0</v>
      </c>
      <c r="AY12" s="146"/>
    </row>
    <row r="13" spans="1:51">
      <c r="A13" s="164" t="s">
        <v>24</v>
      </c>
      <c r="B13" s="156" t="s">
        <v>265</v>
      </c>
      <c r="C13" s="157" t="s">
        <v>266</v>
      </c>
      <c r="D13" s="157" t="s">
        <v>22</v>
      </c>
      <c r="E13" s="158" t="s">
        <v>25</v>
      </c>
      <c r="F13" s="98" t="s">
        <v>148</v>
      </c>
      <c r="G13" s="99" t="s">
        <v>147</v>
      </c>
      <c r="H13" s="99" t="s">
        <v>147</v>
      </c>
      <c r="I13" s="98" t="s">
        <v>148</v>
      </c>
      <c r="J13" s="98" t="s">
        <v>148</v>
      </c>
      <c r="K13" s="98" t="s">
        <v>148</v>
      </c>
      <c r="L13" s="98" t="s">
        <v>148</v>
      </c>
      <c r="M13" s="100">
        <v>10</v>
      </c>
      <c r="N13" s="99" t="s">
        <v>147</v>
      </c>
      <c r="O13" s="99" t="s">
        <v>147</v>
      </c>
      <c r="P13" s="98" t="s">
        <v>148</v>
      </c>
      <c r="Q13" s="102">
        <v>450</v>
      </c>
      <c r="R13" s="102">
        <v>9</v>
      </c>
      <c r="S13" s="102" t="s">
        <v>148</v>
      </c>
      <c r="T13" s="102" t="s">
        <v>148</v>
      </c>
      <c r="U13" s="99" t="s">
        <v>147</v>
      </c>
      <c r="V13" s="99" t="s">
        <v>147</v>
      </c>
      <c r="W13" s="102" t="s">
        <v>12</v>
      </c>
      <c r="X13" s="102" t="s">
        <v>148</v>
      </c>
      <c r="Y13" s="102" t="s">
        <v>269</v>
      </c>
      <c r="Z13" s="102" t="s">
        <v>269</v>
      </c>
      <c r="AA13" s="102" t="s">
        <v>187</v>
      </c>
      <c r="AB13" s="99" t="s">
        <v>147</v>
      </c>
      <c r="AC13" s="99" t="s">
        <v>147</v>
      </c>
      <c r="AD13" s="102" t="s">
        <v>187</v>
      </c>
      <c r="AE13" s="102" t="s">
        <v>187</v>
      </c>
      <c r="AF13" s="102" t="s">
        <v>187</v>
      </c>
      <c r="AG13" s="102" t="s">
        <v>187</v>
      </c>
      <c r="AH13" s="102" t="s">
        <v>187</v>
      </c>
      <c r="AI13" s="99" t="s">
        <v>147</v>
      </c>
      <c r="AJ13" s="99" t="s">
        <v>147</v>
      </c>
      <c r="AK13" s="159">
        <v>10</v>
      </c>
      <c r="AL13" s="160">
        <v>10</v>
      </c>
      <c r="AM13" s="157">
        <v>0</v>
      </c>
      <c r="AN13" s="160">
        <v>10</v>
      </c>
      <c r="AO13" s="146">
        <v>9450</v>
      </c>
      <c r="AP13" s="146">
        <v>9440</v>
      </c>
      <c r="AQ13" s="161">
        <v>0.99890000000000001</v>
      </c>
      <c r="AR13" s="146">
        <v>21</v>
      </c>
      <c r="AS13" s="146">
        <v>21</v>
      </c>
      <c r="AT13" s="146">
        <v>21</v>
      </c>
      <c r="AU13" s="156">
        <v>10</v>
      </c>
      <c r="AV13" s="157">
        <v>0</v>
      </c>
      <c r="AW13" s="157">
        <v>0</v>
      </c>
      <c r="AX13" s="157">
        <v>0</v>
      </c>
      <c r="AY13" s="146"/>
    </row>
    <row r="14" spans="1:51">
      <c r="A14" s="164" t="s">
        <v>270</v>
      </c>
      <c r="B14" s="156" t="s">
        <v>265</v>
      </c>
      <c r="C14" s="157" t="s">
        <v>266</v>
      </c>
      <c r="D14" s="157" t="s">
        <v>22</v>
      </c>
      <c r="E14" s="158" t="s">
        <v>33</v>
      </c>
      <c r="F14" s="98" t="s">
        <v>148</v>
      </c>
      <c r="G14" s="98" t="s">
        <v>148</v>
      </c>
      <c r="H14" s="99" t="s">
        <v>147</v>
      </c>
      <c r="I14" s="98" t="s">
        <v>148</v>
      </c>
      <c r="J14" s="102">
        <v>450</v>
      </c>
      <c r="K14" s="102">
        <v>450</v>
      </c>
      <c r="L14" s="100">
        <v>3</v>
      </c>
      <c r="M14" s="102">
        <v>450</v>
      </c>
      <c r="N14" s="99" t="s">
        <v>147</v>
      </c>
      <c r="O14" s="99" t="s">
        <v>147</v>
      </c>
      <c r="P14" s="100">
        <v>1</v>
      </c>
      <c r="Q14" s="102">
        <v>29</v>
      </c>
      <c r="R14" s="102" t="s">
        <v>148</v>
      </c>
      <c r="S14" s="102" t="s">
        <v>148</v>
      </c>
      <c r="T14" s="102" t="s">
        <v>148</v>
      </c>
      <c r="U14" s="99" t="s">
        <v>147</v>
      </c>
      <c r="V14" s="99" t="s">
        <v>147</v>
      </c>
      <c r="W14" s="102">
        <v>8</v>
      </c>
      <c r="X14" s="98" t="s">
        <v>148</v>
      </c>
      <c r="Y14" s="100">
        <v>17</v>
      </c>
      <c r="Z14" s="98" t="s">
        <v>148</v>
      </c>
      <c r="AA14" s="102" t="s">
        <v>187</v>
      </c>
      <c r="AB14" s="99" t="s">
        <v>147</v>
      </c>
      <c r="AC14" s="99" t="s">
        <v>147</v>
      </c>
      <c r="AD14" s="102" t="s">
        <v>187</v>
      </c>
      <c r="AE14" s="102" t="s">
        <v>187</v>
      </c>
      <c r="AF14" s="102" t="s">
        <v>187</v>
      </c>
      <c r="AG14" s="102" t="s">
        <v>187</v>
      </c>
      <c r="AH14" s="102" t="s">
        <v>187</v>
      </c>
      <c r="AI14" s="99" t="s">
        <v>147</v>
      </c>
      <c r="AJ14" s="99" t="s">
        <v>147</v>
      </c>
      <c r="AK14" s="159">
        <v>1354</v>
      </c>
      <c r="AL14" s="160">
        <v>4</v>
      </c>
      <c r="AM14" s="157">
        <v>1350</v>
      </c>
      <c r="AN14" s="160">
        <v>1354</v>
      </c>
      <c r="AO14" s="146">
        <v>9900</v>
      </c>
      <c r="AP14" s="146">
        <v>8546</v>
      </c>
      <c r="AQ14" s="161">
        <v>0.86319999999999997</v>
      </c>
      <c r="AR14" s="146">
        <v>19</v>
      </c>
      <c r="AS14" s="146">
        <v>22</v>
      </c>
      <c r="AT14" s="146">
        <v>22</v>
      </c>
      <c r="AU14" s="156">
        <v>9</v>
      </c>
      <c r="AV14" s="157">
        <v>0</v>
      </c>
      <c r="AW14" s="157">
        <v>0</v>
      </c>
      <c r="AX14" s="157">
        <v>3</v>
      </c>
      <c r="AY14" s="146"/>
    </row>
    <row r="15" spans="1:51">
      <c r="A15" s="164" t="s">
        <v>271</v>
      </c>
      <c r="B15" s="156" t="s">
        <v>272</v>
      </c>
      <c r="C15" s="157" t="s">
        <v>266</v>
      </c>
      <c r="D15" s="157" t="s">
        <v>22</v>
      </c>
      <c r="E15" s="158" t="s">
        <v>33</v>
      </c>
      <c r="F15" s="98" t="s">
        <v>148</v>
      </c>
      <c r="G15" s="99" t="s">
        <v>147</v>
      </c>
      <c r="H15" s="99" t="s">
        <v>147</v>
      </c>
      <c r="I15" s="98" t="s">
        <v>148</v>
      </c>
      <c r="J15" s="98" t="s">
        <v>148</v>
      </c>
      <c r="K15" s="98" t="s">
        <v>148</v>
      </c>
      <c r="L15" s="98" t="s">
        <v>148</v>
      </c>
      <c r="M15" s="98" t="s">
        <v>148</v>
      </c>
      <c r="N15" s="99" t="s">
        <v>147</v>
      </c>
      <c r="O15" s="99" t="s">
        <v>147</v>
      </c>
      <c r="P15" s="98" t="s">
        <v>148</v>
      </c>
      <c r="Q15" s="98" t="s">
        <v>148</v>
      </c>
      <c r="R15" s="102">
        <v>29</v>
      </c>
      <c r="S15" s="98" t="s">
        <v>148</v>
      </c>
      <c r="T15" s="98" t="s">
        <v>148</v>
      </c>
      <c r="U15" s="99" t="s">
        <v>147</v>
      </c>
      <c r="V15" s="99" t="s">
        <v>147</v>
      </c>
      <c r="W15" s="98" t="s">
        <v>148</v>
      </c>
      <c r="X15" s="98" t="s">
        <v>148</v>
      </c>
      <c r="Y15" s="98" t="s">
        <v>148</v>
      </c>
      <c r="Z15" s="98" t="s">
        <v>148</v>
      </c>
      <c r="AA15" s="102" t="s">
        <v>187</v>
      </c>
      <c r="AB15" s="99" t="s">
        <v>147</v>
      </c>
      <c r="AC15" s="99" t="s">
        <v>147</v>
      </c>
      <c r="AD15" s="102" t="s">
        <v>187</v>
      </c>
      <c r="AE15" s="102" t="s">
        <v>187</v>
      </c>
      <c r="AF15" s="102" t="s">
        <v>187</v>
      </c>
      <c r="AG15" s="102" t="s">
        <v>187</v>
      </c>
      <c r="AH15" s="102" t="s">
        <v>187</v>
      </c>
      <c r="AI15" s="99" t="s">
        <v>147</v>
      </c>
      <c r="AJ15" s="99" t="s">
        <v>147</v>
      </c>
      <c r="AK15" s="159">
        <v>0</v>
      </c>
      <c r="AL15" s="160">
        <v>0</v>
      </c>
      <c r="AM15" s="157">
        <v>0</v>
      </c>
      <c r="AN15" s="160">
        <v>0</v>
      </c>
      <c r="AO15" s="146">
        <v>9450</v>
      </c>
      <c r="AP15" s="146">
        <v>9450</v>
      </c>
      <c r="AQ15" s="161">
        <v>1</v>
      </c>
      <c r="AR15" s="146">
        <v>21</v>
      </c>
      <c r="AS15" s="146">
        <v>21</v>
      </c>
      <c r="AT15" s="146">
        <v>21</v>
      </c>
      <c r="AU15" s="156">
        <v>10</v>
      </c>
      <c r="AV15" s="157">
        <v>0</v>
      </c>
      <c r="AW15" s="157">
        <v>0</v>
      </c>
      <c r="AX15" s="157">
        <v>0</v>
      </c>
      <c r="AY15" s="146"/>
    </row>
    <row r="16" spans="1:51">
      <c r="A16" s="164" t="s">
        <v>273</v>
      </c>
      <c r="B16" s="156" t="s">
        <v>265</v>
      </c>
      <c r="C16" s="157" t="s">
        <v>266</v>
      </c>
      <c r="D16" s="157" t="s">
        <v>22</v>
      </c>
      <c r="E16" s="158" t="s">
        <v>25</v>
      </c>
      <c r="F16" s="100">
        <v>6</v>
      </c>
      <c r="G16" s="99" t="s">
        <v>147</v>
      </c>
      <c r="H16" s="99" t="s">
        <v>147</v>
      </c>
      <c r="I16" s="98" t="s">
        <v>148</v>
      </c>
      <c r="J16" s="98" t="s">
        <v>148</v>
      </c>
      <c r="K16" s="98" t="s">
        <v>148</v>
      </c>
      <c r="L16" s="98" t="s">
        <v>148</v>
      </c>
      <c r="M16" s="98" t="s">
        <v>148</v>
      </c>
      <c r="N16" s="99" t="s">
        <v>147</v>
      </c>
      <c r="O16" s="99" t="s">
        <v>147</v>
      </c>
      <c r="P16" s="98" t="s">
        <v>148</v>
      </c>
      <c r="Q16" s="98" t="s">
        <v>148</v>
      </c>
      <c r="R16" s="98" t="s">
        <v>148</v>
      </c>
      <c r="S16" s="98" t="s">
        <v>148</v>
      </c>
      <c r="T16" s="100">
        <v>26</v>
      </c>
      <c r="U16" s="99" t="s">
        <v>147</v>
      </c>
      <c r="V16" s="99" t="s">
        <v>147</v>
      </c>
      <c r="W16" s="102" t="s">
        <v>148</v>
      </c>
      <c r="X16" s="102" t="s">
        <v>148</v>
      </c>
      <c r="Y16" s="102" t="s">
        <v>148</v>
      </c>
      <c r="Z16" s="102" t="s">
        <v>148</v>
      </c>
      <c r="AA16" s="102" t="s">
        <v>187</v>
      </c>
      <c r="AB16" s="99" t="s">
        <v>147</v>
      </c>
      <c r="AC16" s="99" t="s">
        <v>147</v>
      </c>
      <c r="AD16" s="102" t="s">
        <v>187</v>
      </c>
      <c r="AE16" s="102" t="s">
        <v>187</v>
      </c>
      <c r="AF16" s="102" t="s">
        <v>187</v>
      </c>
      <c r="AG16" s="102" t="s">
        <v>187</v>
      </c>
      <c r="AH16" s="102" t="s">
        <v>187</v>
      </c>
      <c r="AI16" s="99" t="s">
        <v>147</v>
      </c>
      <c r="AJ16" s="99" t="s">
        <v>147</v>
      </c>
      <c r="AK16" s="159">
        <v>6</v>
      </c>
      <c r="AL16" s="160">
        <v>6</v>
      </c>
      <c r="AM16" s="157">
        <v>0</v>
      </c>
      <c r="AN16" s="160">
        <v>6</v>
      </c>
      <c r="AO16" s="146">
        <v>9450</v>
      </c>
      <c r="AP16" s="146">
        <v>9444</v>
      </c>
      <c r="AQ16" s="161">
        <v>0.99939999999999996</v>
      </c>
      <c r="AR16" s="146">
        <v>21</v>
      </c>
      <c r="AS16" s="146">
        <v>21</v>
      </c>
      <c r="AT16" s="146">
        <v>21</v>
      </c>
      <c r="AU16" s="156">
        <v>10</v>
      </c>
      <c r="AV16" s="157">
        <v>0</v>
      </c>
      <c r="AW16" s="157">
        <v>0</v>
      </c>
      <c r="AX16" s="157">
        <v>0</v>
      </c>
      <c r="AY16" s="146"/>
    </row>
    <row r="17" spans="1:51">
      <c r="A17" s="164" t="s">
        <v>43</v>
      </c>
      <c r="B17" s="156" t="s">
        <v>265</v>
      </c>
      <c r="C17" s="157" t="s">
        <v>266</v>
      </c>
      <c r="D17" s="157" t="s">
        <v>22</v>
      </c>
      <c r="E17" s="158" t="s">
        <v>25</v>
      </c>
      <c r="F17" s="98" t="s">
        <v>148</v>
      </c>
      <c r="G17" s="99" t="s">
        <v>147</v>
      </c>
      <c r="H17" s="99" t="s">
        <v>147</v>
      </c>
      <c r="I17" s="98" t="s">
        <v>174</v>
      </c>
      <c r="J17" s="98" t="s">
        <v>148</v>
      </c>
      <c r="K17" s="98" t="s">
        <v>148</v>
      </c>
      <c r="L17" s="98" t="s">
        <v>148</v>
      </c>
      <c r="M17" s="98" t="s">
        <v>148</v>
      </c>
      <c r="N17" s="99" t="s">
        <v>147</v>
      </c>
      <c r="O17" s="99" t="s">
        <v>147</v>
      </c>
      <c r="P17" s="98" t="s">
        <v>148</v>
      </c>
      <c r="Q17" s="98" t="s">
        <v>148</v>
      </c>
      <c r="R17" s="102" t="s">
        <v>148</v>
      </c>
      <c r="S17" s="102" t="s">
        <v>148</v>
      </c>
      <c r="T17" s="102" t="s">
        <v>148</v>
      </c>
      <c r="U17" s="99" t="s">
        <v>147</v>
      </c>
      <c r="V17" s="99" t="s">
        <v>147</v>
      </c>
      <c r="W17" s="102" t="s">
        <v>148</v>
      </c>
      <c r="X17" s="102" t="s">
        <v>148</v>
      </c>
      <c r="Y17" s="102" t="s">
        <v>148</v>
      </c>
      <c r="Z17" s="102" t="s">
        <v>148</v>
      </c>
      <c r="AA17" s="102" t="s">
        <v>187</v>
      </c>
      <c r="AB17" s="99" t="s">
        <v>147</v>
      </c>
      <c r="AC17" s="99" t="s">
        <v>147</v>
      </c>
      <c r="AD17" s="102" t="s">
        <v>187</v>
      </c>
      <c r="AE17" s="102" t="s">
        <v>187</v>
      </c>
      <c r="AF17" s="102" t="s">
        <v>187</v>
      </c>
      <c r="AG17" s="102" t="s">
        <v>187</v>
      </c>
      <c r="AH17" s="102" t="s">
        <v>187</v>
      </c>
      <c r="AI17" s="99" t="s">
        <v>147</v>
      </c>
      <c r="AJ17" s="99" t="s">
        <v>147</v>
      </c>
      <c r="AK17" s="159">
        <v>0</v>
      </c>
      <c r="AL17" s="160">
        <v>0</v>
      </c>
      <c r="AM17" s="157">
        <v>0</v>
      </c>
      <c r="AN17" s="160">
        <v>0</v>
      </c>
      <c r="AO17" s="146">
        <v>9450</v>
      </c>
      <c r="AP17" s="146">
        <v>9450</v>
      </c>
      <c r="AQ17" s="161">
        <v>1</v>
      </c>
      <c r="AR17" s="146">
        <v>21</v>
      </c>
      <c r="AS17" s="146">
        <v>21</v>
      </c>
      <c r="AT17" s="146">
        <v>21</v>
      </c>
      <c r="AU17" s="156">
        <v>10</v>
      </c>
      <c r="AV17" s="157">
        <v>0</v>
      </c>
      <c r="AW17" s="157">
        <v>0</v>
      </c>
      <c r="AX17" s="157">
        <v>0</v>
      </c>
      <c r="AY17" s="146"/>
    </row>
    <row r="18" spans="1:51">
      <c r="A18" s="164" t="s">
        <v>218</v>
      </c>
      <c r="B18" s="156" t="s">
        <v>265</v>
      </c>
      <c r="C18" s="157" t="s">
        <v>266</v>
      </c>
      <c r="D18" s="157" t="s">
        <v>22</v>
      </c>
      <c r="E18" s="158" t="s">
        <v>33</v>
      </c>
      <c r="F18" s="100">
        <v>11</v>
      </c>
      <c r="G18" s="99" t="s">
        <v>147</v>
      </c>
      <c r="H18" s="99" t="s">
        <v>147</v>
      </c>
      <c r="I18" s="98" t="s">
        <v>148</v>
      </c>
      <c r="J18" s="100">
        <v>31</v>
      </c>
      <c r="K18" s="100">
        <v>15</v>
      </c>
      <c r="L18" s="98" t="s">
        <v>148</v>
      </c>
      <c r="M18" s="98" t="s">
        <v>148</v>
      </c>
      <c r="N18" s="99" t="s">
        <v>147</v>
      </c>
      <c r="O18" s="99" t="s">
        <v>147</v>
      </c>
      <c r="P18" s="98" t="s">
        <v>148</v>
      </c>
      <c r="Q18" s="98" t="s">
        <v>148</v>
      </c>
      <c r="R18" s="98" t="s">
        <v>148</v>
      </c>
      <c r="S18" s="98" t="s">
        <v>148</v>
      </c>
      <c r="T18" s="98" t="s">
        <v>148</v>
      </c>
      <c r="U18" s="99" t="s">
        <v>147</v>
      </c>
      <c r="V18" s="99" t="s">
        <v>147</v>
      </c>
      <c r="W18" s="98" t="s">
        <v>148</v>
      </c>
      <c r="X18" s="98" t="s">
        <v>148</v>
      </c>
      <c r="Y18" s="98" t="s">
        <v>148</v>
      </c>
      <c r="Z18" s="98" t="s">
        <v>148</v>
      </c>
      <c r="AA18" s="102" t="s">
        <v>187</v>
      </c>
      <c r="AB18" s="99" t="s">
        <v>147</v>
      </c>
      <c r="AC18" s="99" t="s">
        <v>147</v>
      </c>
      <c r="AD18" s="102" t="s">
        <v>187</v>
      </c>
      <c r="AE18" s="102" t="s">
        <v>187</v>
      </c>
      <c r="AF18" s="102" t="s">
        <v>187</v>
      </c>
      <c r="AG18" s="102" t="s">
        <v>187</v>
      </c>
      <c r="AH18" s="102" t="s">
        <v>187</v>
      </c>
      <c r="AI18" s="99" t="s">
        <v>147</v>
      </c>
      <c r="AJ18" s="99" t="s">
        <v>147</v>
      </c>
      <c r="AK18" s="159">
        <v>57</v>
      </c>
      <c r="AL18" s="160">
        <v>57</v>
      </c>
      <c r="AM18" s="157">
        <v>0</v>
      </c>
      <c r="AN18" s="160">
        <v>57</v>
      </c>
      <c r="AO18" s="146">
        <v>9450</v>
      </c>
      <c r="AP18" s="146">
        <v>9393</v>
      </c>
      <c r="AQ18" s="161">
        <v>0.99399999999999999</v>
      </c>
      <c r="AR18" s="146">
        <v>21</v>
      </c>
      <c r="AS18" s="146">
        <v>21</v>
      </c>
      <c r="AT18" s="146">
        <v>21</v>
      </c>
      <c r="AU18" s="156">
        <v>10</v>
      </c>
      <c r="AV18" s="157">
        <v>0</v>
      </c>
      <c r="AW18" s="157">
        <v>0</v>
      </c>
      <c r="AX18" s="157">
        <v>0</v>
      </c>
      <c r="AY18" s="146"/>
    </row>
    <row r="19" spans="1:51">
      <c r="A19" s="164" t="s">
        <v>274</v>
      </c>
      <c r="B19" s="156" t="s">
        <v>272</v>
      </c>
      <c r="C19" s="157" t="s">
        <v>266</v>
      </c>
      <c r="D19" s="157" t="s">
        <v>22</v>
      </c>
      <c r="E19" s="158" t="s">
        <v>63</v>
      </c>
      <c r="F19" s="100">
        <v>10</v>
      </c>
      <c r="G19" s="98" t="s">
        <v>148</v>
      </c>
      <c r="H19" s="98" t="s">
        <v>148</v>
      </c>
      <c r="I19" s="99" t="s">
        <v>147</v>
      </c>
      <c r="J19" s="104" t="s">
        <v>12</v>
      </c>
      <c r="K19" s="98" t="s">
        <v>148</v>
      </c>
      <c r="L19" s="100">
        <v>9</v>
      </c>
      <c r="M19" s="100">
        <v>5</v>
      </c>
      <c r="N19" s="100">
        <v>11</v>
      </c>
      <c r="O19" s="99" t="s">
        <v>147</v>
      </c>
      <c r="P19" s="98" t="s">
        <v>148</v>
      </c>
      <c r="Q19" s="98" t="s">
        <v>148</v>
      </c>
      <c r="R19" s="102" t="s">
        <v>148</v>
      </c>
      <c r="S19" s="102" t="s">
        <v>148</v>
      </c>
      <c r="T19" s="102" t="s">
        <v>148</v>
      </c>
      <c r="U19" s="99" t="s">
        <v>147</v>
      </c>
      <c r="V19" s="99" t="s">
        <v>147</v>
      </c>
      <c r="W19" s="102" t="s">
        <v>148</v>
      </c>
      <c r="X19" s="102" t="s">
        <v>148</v>
      </c>
      <c r="Y19" s="102" t="s">
        <v>148</v>
      </c>
      <c r="Z19" s="100">
        <v>2</v>
      </c>
      <c r="AA19" s="102" t="s">
        <v>187</v>
      </c>
      <c r="AB19" s="99" t="s">
        <v>147</v>
      </c>
      <c r="AC19" s="99" t="s">
        <v>147</v>
      </c>
      <c r="AD19" s="102" t="s">
        <v>187</v>
      </c>
      <c r="AE19" s="102" t="s">
        <v>187</v>
      </c>
      <c r="AF19" s="102" t="s">
        <v>187</v>
      </c>
      <c r="AG19" s="102" t="s">
        <v>187</v>
      </c>
      <c r="AH19" s="102" t="s">
        <v>187</v>
      </c>
      <c r="AI19" s="99" t="s">
        <v>147</v>
      </c>
      <c r="AJ19" s="99" t="s">
        <v>147</v>
      </c>
      <c r="AK19" s="159">
        <v>35</v>
      </c>
      <c r="AL19" s="160">
        <v>35</v>
      </c>
      <c r="AM19" s="157">
        <v>0</v>
      </c>
      <c r="AN19" s="160">
        <v>35</v>
      </c>
      <c r="AO19" s="146">
        <v>9900</v>
      </c>
      <c r="AP19" s="146">
        <v>9865</v>
      </c>
      <c r="AQ19" s="161">
        <v>0.99650000000000005</v>
      </c>
      <c r="AR19" s="146">
        <v>22</v>
      </c>
      <c r="AS19" s="146">
        <v>22</v>
      </c>
      <c r="AT19" s="146">
        <v>23</v>
      </c>
      <c r="AU19" s="156">
        <v>8</v>
      </c>
      <c r="AV19" s="157">
        <v>1</v>
      </c>
      <c r="AW19" s="157">
        <v>0</v>
      </c>
      <c r="AX19" s="157">
        <v>0</v>
      </c>
      <c r="AY19" s="146"/>
    </row>
    <row r="20" spans="1:51">
      <c r="A20" s="164" t="s">
        <v>275</v>
      </c>
      <c r="B20" s="156" t="s">
        <v>265</v>
      </c>
      <c r="C20" s="157" t="s">
        <v>266</v>
      </c>
      <c r="D20" s="157" t="s">
        <v>22</v>
      </c>
      <c r="E20" s="158" t="s">
        <v>63</v>
      </c>
      <c r="F20" s="98" t="s">
        <v>148</v>
      </c>
      <c r="G20" s="99" t="s">
        <v>147</v>
      </c>
      <c r="H20" s="99" t="s">
        <v>147</v>
      </c>
      <c r="I20" s="98" t="s">
        <v>174</v>
      </c>
      <c r="J20" s="100">
        <v>12</v>
      </c>
      <c r="K20" s="98" t="s">
        <v>174</v>
      </c>
      <c r="L20" s="98" t="s">
        <v>174</v>
      </c>
      <c r="M20" s="100">
        <v>7</v>
      </c>
      <c r="N20" s="99" t="s">
        <v>147</v>
      </c>
      <c r="O20" s="99" t="s">
        <v>147</v>
      </c>
      <c r="P20" s="98" t="s">
        <v>148</v>
      </c>
      <c r="Q20" s="100">
        <v>1</v>
      </c>
      <c r="R20" s="98" t="s">
        <v>148</v>
      </c>
      <c r="S20" s="98" t="s">
        <v>148</v>
      </c>
      <c r="T20" s="104" t="s">
        <v>12</v>
      </c>
      <c r="U20" s="99" t="s">
        <v>147</v>
      </c>
      <c r="V20" s="99" t="s">
        <v>147</v>
      </c>
      <c r="W20" s="102" t="s">
        <v>148</v>
      </c>
      <c r="X20" s="102" t="s">
        <v>148</v>
      </c>
      <c r="Y20" s="102" t="s">
        <v>148</v>
      </c>
      <c r="Z20" s="102" t="s">
        <v>148</v>
      </c>
      <c r="AA20" s="102" t="s">
        <v>187</v>
      </c>
      <c r="AB20" s="99" t="s">
        <v>147</v>
      </c>
      <c r="AC20" s="99" t="s">
        <v>147</v>
      </c>
      <c r="AD20" s="102" t="s">
        <v>187</v>
      </c>
      <c r="AE20" s="102" t="s">
        <v>187</v>
      </c>
      <c r="AF20" s="102" t="s">
        <v>187</v>
      </c>
      <c r="AG20" s="102" t="s">
        <v>187</v>
      </c>
      <c r="AH20" s="102" t="s">
        <v>187</v>
      </c>
      <c r="AI20" s="99" t="s">
        <v>147</v>
      </c>
      <c r="AJ20" s="99" t="s">
        <v>147</v>
      </c>
      <c r="AK20" s="159">
        <v>19</v>
      </c>
      <c r="AL20" s="160">
        <v>19</v>
      </c>
      <c r="AM20" s="157">
        <v>0</v>
      </c>
      <c r="AN20" s="160">
        <v>19</v>
      </c>
      <c r="AO20" s="146">
        <v>9450</v>
      </c>
      <c r="AP20" s="146">
        <v>9431</v>
      </c>
      <c r="AQ20" s="161">
        <v>0.998</v>
      </c>
      <c r="AR20" s="146">
        <v>21</v>
      </c>
      <c r="AS20" s="146">
        <v>21</v>
      </c>
      <c r="AT20" s="146">
        <v>21</v>
      </c>
      <c r="AU20" s="156">
        <v>10</v>
      </c>
      <c r="AV20" s="157">
        <v>0</v>
      </c>
      <c r="AW20" s="157">
        <v>0</v>
      </c>
      <c r="AX20" s="157">
        <v>0</v>
      </c>
      <c r="AY20" s="146"/>
    </row>
    <row r="21" spans="1:51">
      <c r="A21" s="164" t="s">
        <v>276</v>
      </c>
      <c r="B21" s="156" t="s">
        <v>265</v>
      </c>
      <c r="C21" s="157" t="s">
        <v>266</v>
      </c>
      <c r="D21" s="157" t="s">
        <v>22</v>
      </c>
      <c r="E21" s="158" t="s">
        <v>30</v>
      </c>
      <c r="F21" s="98" t="s">
        <v>148</v>
      </c>
      <c r="G21" s="98" t="s">
        <v>148</v>
      </c>
      <c r="H21" s="99" t="s">
        <v>147</v>
      </c>
      <c r="I21" s="98" t="s">
        <v>148</v>
      </c>
      <c r="J21" s="98" t="s">
        <v>148</v>
      </c>
      <c r="K21" s="98" t="s">
        <v>148</v>
      </c>
      <c r="L21" s="98" t="s">
        <v>148</v>
      </c>
      <c r="M21" s="98" t="s">
        <v>148</v>
      </c>
      <c r="N21" s="99" t="s">
        <v>147</v>
      </c>
      <c r="O21" s="99" t="s">
        <v>147</v>
      </c>
      <c r="P21" s="98" t="s">
        <v>148</v>
      </c>
      <c r="Q21" s="98" t="s">
        <v>148</v>
      </c>
      <c r="R21" s="98" t="s">
        <v>148</v>
      </c>
      <c r="S21" s="98" t="s">
        <v>148</v>
      </c>
      <c r="T21" s="98" t="s">
        <v>148</v>
      </c>
      <c r="U21" s="99" t="s">
        <v>147</v>
      </c>
      <c r="V21" s="99" t="s">
        <v>147</v>
      </c>
      <c r="W21" s="98" t="s">
        <v>148</v>
      </c>
      <c r="X21" s="98" t="s">
        <v>148</v>
      </c>
      <c r="Y21" s="98" t="s">
        <v>148</v>
      </c>
      <c r="Z21" s="102">
        <v>2</v>
      </c>
      <c r="AA21" s="102" t="s">
        <v>187</v>
      </c>
      <c r="AB21" s="99" t="s">
        <v>147</v>
      </c>
      <c r="AC21" s="99" t="s">
        <v>147</v>
      </c>
      <c r="AD21" s="102" t="s">
        <v>187</v>
      </c>
      <c r="AE21" s="102" t="s">
        <v>187</v>
      </c>
      <c r="AF21" s="102" t="s">
        <v>187</v>
      </c>
      <c r="AG21" s="102" t="s">
        <v>187</v>
      </c>
      <c r="AH21" s="102" t="s">
        <v>187</v>
      </c>
      <c r="AI21" s="99" t="s">
        <v>147</v>
      </c>
      <c r="AJ21" s="99" t="s">
        <v>147</v>
      </c>
      <c r="AK21" s="159">
        <v>0</v>
      </c>
      <c r="AL21" s="160">
        <v>0</v>
      </c>
      <c r="AM21" s="157">
        <v>0</v>
      </c>
      <c r="AN21" s="160">
        <v>0</v>
      </c>
      <c r="AO21" s="146">
        <v>9900</v>
      </c>
      <c r="AP21" s="146">
        <v>9900</v>
      </c>
      <c r="AQ21" s="161">
        <v>1</v>
      </c>
      <c r="AR21" s="146">
        <v>22</v>
      </c>
      <c r="AS21" s="146">
        <v>22</v>
      </c>
      <c r="AT21" s="146">
        <v>22</v>
      </c>
      <c r="AU21" s="156">
        <v>9</v>
      </c>
      <c r="AV21" s="157">
        <v>0</v>
      </c>
      <c r="AW21" s="157">
        <v>0</v>
      </c>
      <c r="AX21" s="157">
        <v>0</v>
      </c>
      <c r="AY21" s="146"/>
    </row>
    <row r="22" spans="1:51">
      <c r="A22" s="164" t="s">
        <v>277</v>
      </c>
      <c r="B22" s="156" t="s">
        <v>265</v>
      </c>
      <c r="C22" s="157" t="s">
        <v>266</v>
      </c>
      <c r="D22" s="157" t="s">
        <v>22</v>
      </c>
      <c r="E22" s="158" t="s">
        <v>30</v>
      </c>
      <c r="F22" s="98" t="s">
        <v>148</v>
      </c>
      <c r="G22" s="99" t="s">
        <v>147</v>
      </c>
      <c r="H22" s="99" t="s">
        <v>147</v>
      </c>
      <c r="I22" s="98" t="s">
        <v>148</v>
      </c>
      <c r="J22" s="98" t="s">
        <v>148</v>
      </c>
      <c r="K22" s="98" t="s">
        <v>148</v>
      </c>
      <c r="L22" s="104" t="s">
        <v>12</v>
      </c>
      <c r="M22" s="98" t="s">
        <v>148</v>
      </c>
      <c r="N22" s="99" t="s">
        <v>147</v>
      </c>
      <c r="O22" s="99" t="s">
        <v>147</v>
      </c>
      <c r="P22" s="98" t="s">
        <v>148</v>
      </c>
      <c r="Q22" s="102">
        <v>450</v>
      </c>
      <c r="R22" s="102">
        <v>12</v>
      </c>
      <c r="S22" s="102" t="s">
        <v>278</v>
      </c>
      <c r="T22" s="102" t="s">
        <v>278</v>
      </c>
      <c r="U22" s="99" t="s">
        <v>147</v>
      </c>
      <c r="V22" s="99" t="s">
        <v>147</v>
      </c>
      <c r="W22" s="102" t="s">
        <v>278</v>
      </c>
      <c r="X22" s="102" t="s">
        <v>278</v>
      </c>
      <c r="Y22" s="102" t="s">
        <v>278</v>
      </c>
      <c r="Z22" s="102" t="s">
        <v>278</v>
      </c>
      <c r="AA22" s="102" t="s">
        <v>278</v>
      </c>
      <c r="AB22" s="99" t="s">
        <v>147</v>
      </c>
      <c r="AC22" s="99" t="s">
        <v>147</v>
      </c>
      <c r="AD22" s="102" t="s">
        <v>278</v>
      </c>
      <c r="AE22" s="102" t="s">
        <v>278</v>
      </c>
      <c r="AF22" s="102" t="s">
        <v>278</v>
      </c>
      <c r="AG22" s="102" t="s">
        <v>187</v>
      </c>
      <c r="AH22" s="102" t="s">
        <v>187</v>
      </c>
      <c r="AI22" s="99" t="s">
        <v>147</v>
      </c>
      <c r="AJ22" s="99" t="s">
        <v>147</v>
      </c>
      <c r="AK22" s="159">
        <v>0</v>
      </c>
      <c r="AL22" s="160">
        <v>0</v>
      </c>
      <c r="AM22" s="157">
        <v>0</v>
      </c>
      <c r="AN22" s="160">
        <v>0</v>
      </c>
      <c r="AO22" s="146">
        <v>9000</v>
      </c>
      <c r="AP22" s="146">
        <v>9000</v>
      </c>
      <c r="AQ22" s="161">
        <v>1</v>
      </c>
      <c r="AR22" s="146">
        <v>20</v>
      </c>
      <c r="AS22" s="146">
        <v>20</v>
      </c>
      <c r="AT22" s="146">
        <v>21</v>
      </c>
      <c r="AU22" s="156">
        <v>10</v>
      </c>
      <c r="AV22" s="157">
        <v>1</v>
      </c>
      <c r="AW22" s="157">
        <v>0</v>
      </c>
      <c r="AX22" s="157">
        <v>0</v>
      </c>
      <c r="AY22" s="146"/>
    </row>
    <row r="23" spans="1:51">
      <c r="A23" s="164" t="s">
        <v>279</v>
      </c>
      <c r="B23" s="156" t="s">
        <v>265</v>
      </c>
      <c r="C23" s="157" t="s">
        <v>266</v>
      </c>
      <c r="D23" s="157" t="s">
        <v>22</v>
      </c>
      <c r="E23" s="158" t="s">
        <v>30</v>
      </c>
      <c r="F23" s="98" t="s">
        <v>148</v>
      </c>
      <c r="G23" s="98" t="s">
        <v>148</v>
      </c>
      <c r="H23" s="99" t="s">
        <v>147</v>
      </c>
      <c r="I23" s="98" t="s">
        <v>148</v>
      </c>
      <c r="J23" s="98" t="s">
        <v>148</v>
      </c>
      <c r="K23" s="98" t="s">
        <v>148</v>
      </c>
      <c r="L23" s="98" t="s">
        <v>148</v>
      </c>
      <c r="M23" s="98" t="s">
        <v>148</v>
      </c>
      <c r="N23" s="99" t="s">
        <v>147</v>
      </c>
      <c r="O23" s="99" t="s">
        <v>147</v>
      </c>
      <c r="P23" s="98" t="s">
        <v>148</v>
      </c>
      <c r="Q23" s="100">
        <v>1</v>
      </c>
      <c r="R23" s="98" t="s">
        <v>148</v>
      </c>
      <c r="S23" s="98" t="s">
        <v>148</v>
      </c>
      <c r="T23" s="100">
        <v>8</v>
      </c>
      <c r="U23" s="99" t="s">
        <v>147</v>
      </c>
      <c r="V23" s="99" t="s">
        <v>147</v>
      </c>
      <c r="W23" s="98" t="s">
        <v>148</v>
      </c>
      <c r="X23" s="98" t="s">
        <v>148</v>
      </c>
      <c r="Y23" s="98" t="s">
        <v>148</v>
      </c>
      <c r="Z23" s="98" t="s">
        <v>148</v>
      </c>
      <c r="AA23" s="102" t="s">
        <v>187</v>
      </c>
      <c r="AB23" s="99" t="s">
        <v>147</v>
      </c>
      <c r="AC23" s="99" t="s">
        <v>147</v>
      </c>
      <c r="AD23" s="102" t="s">
        <v>187</v>
      </c>
      <c r="AE23" s="102" t="s">
        <v>187</v>
      </c>
      <c r="AF23" s="102" t="s">
        <v>187</v>
      </c>
      <c r="AG23" s="102" t="s">
        <v>187</v>
      </c>
      <c r="AH23" s="102" t="s">
        <v>187</v>
      </c>
      <c r="AI23" s="99" t="s">
        <v>147</v>
      </c>
      <c r="AJ23" s="99" t="s">
        <v>147</v>
      </c>
      <c r="AK23" s="159">
        <v>0</v>
      </c>
      <c r="AL23" s="160">
        <v>0</v>
      </c>
      <c r="AM23" s="157">
        <v>0</v>
      </c>
      <c r="AN23" s="160">
        <v>0</v>
      </c>
      <c r="AO23" s="146">
        <v>9900</v>
      </c>
      <c r="AP23" s="146">
        <v>9900</v>
      </c>
      <c r="AQ23" s="161">
        <v>1</v>
      </c>
      <c r="AR23" s="146">
        <v>22</v>
      </c>
      <c r="AS23" s="146">
        <v>22</v>
      </c>
      <c r="AT23" s="146">
        <v>22</v>
      </c>
      <c r="AU23" s="156">
        <v>9</v>
      </c>
      <c r="AV23" s="157">
        <v>0</v>
      </c>
      <c r="AW23" s="157">
        <v>0</v>
      </c>
      <c r="AX23" s="157">
        <v>0</v>
      </c>
      <c r="AY23" s="146"/>
    </row>
    <row r="24" spans="1:51">
      <c r="A24" s="164" t="s">
        <v>225</v>
      </c>
      <c r="B24" s="156" t="s">
        <v>265</v>
      </c>
      <c r="C24" s="157" t="s">
        <v>266</v>
      </c>
      <c r="D24" s="157" t="s">
        <v>22</v>
      </c>
      <c r="E24" s="158" t="s">
        <v>30</v>
      </c>
      <c r="F24" s="98" t="s">
        <v>148</v>
      </c>
      <c r="G24" s="99" t="s">
        <v>147</v>
      </c>
      <c r="H24" s="99" t="s">
        <v>147</v>
      </c>
      <c r="I24" s="102">
        <v>450</v>
      </c>
      <c r="J24" s="102">
        <v>450</v>
      </c>
      <c r="K24" s="98" t="s">
        <v>148</v>
      </c>
      <c r="L24" s="98" t="s">
        <v>148</v>
      </c>
      <c r="M24" s="98" t="s">
        <v>148</v>
      </c>
      <c r="N24" s="99" t="s">
        <v>147</v>
      </c>
      <c r="O24" s="99" t="s">
        <v>147</v>
      </c>
      <c r="P24" s="98" t="s">
        <v>148</v>
      </c>
      <c r="Q24" s="98" t="s">
        <v>148</v>
      </c>
      <c r="R24" s="98" t="s">
        <v>148</v>
      </c>
      <c r="S24" s="98" t="s">
        <v>148</v>
      </c>
      <c r="T24" s="98" t="s">
        <v>148</v>
      </c>
      <c r="U24" s="99" t="s">
        <v>147</v>
      </c>
      <c r="V24" s="99" t="s">
        <v>147</v>
      </c>
      <c r="W24" s="98" t="s">
        <v>148</v>
      </c>
      <c r="X24" s="98" t="s">
        <v>148</v>
      </c>
      <c r="Y24" s="98" t="s">
        <v>148</v>
      </c>
      <c r="Z24" s="98" t="s">
        <v>148</v>
      </c>
      <c r="AA24" s="102" t="s">
        <v>187</v>
      </c>
      <c r="AB24" s="99" t="s">
        <v>147</v>
      </c>
      <c r="AC24" s="99" t="s">
        <v>147</v>
      </c>
      <c r="AD24" s="102" t="s">
        <v>187</v>
      </c>
      <c r="AE24" s="102" t="s">
        <v>187</v>
      </c>
      <c r="AF24" s="102" t="s">
        <v>187</v>
      </c>
      <c r="AG24" s="102" t="s">
        <v>187</v>
      </c>
      <c r="AH24" s="102" t="s">
        <v>187</v>
      </c>
      <c r="AI24" s="99" t="s">
        <v>147</v>
      </c>
      <c r="AJ24" s="99" t="s">
        <v>147</v>
      </c>
      <c r="AK24" s="159">
        <v>900</v>
      </c>
      <c r="AL24" s="160">
        <v>0</v>
      </c>
      <c r="AM24" s="157">
        <v>900</v>
      </c>
      <c r="AN24" s="160">
        <v>900</v>
      </c>
      <c r="AO24" s="146">
        <v>9450</v>
      </c>
      <c r="AP24" s="146">
        <v>8550</v>
      </c>
      <c r="AQ24" s="161">
        <v>0.90480000000000005</v>
      </c>
      <c r="AR24" s="146">
        <v>19</v>
      </c>
      <c r="AS24" s="146">
        <v>21</v>
      </c>
      <c r="AT24" s="146">
        <v>21</v>
      </c>
      <c r="AU24" s="156">
        <v>10</v>
      </c>
      <c r="AV24" s="157">
        <v>0</v>
      </c>
      <c r="AW24" s="157">
        <v>0</v>
      </c>
      <c r="AX24" s="157">
        <v>2</v>
      </c>
      <c r="AY24" s="146"/>
    </row>
    <row r="25" spans="1:51">
      <c r="A25" s="164" t="s">
        <v>77</v>
      </c>
      <c r="B25" s="156" t="s">
        <v>265</v>
      </c>
      <c r="C25" s="157" t="s">
        <v>266</v>
      </c>
      <c r="D25" s="157" t="s">
        <v>22</v>
      </c>
      <c r="E25" s="158" t="s">
        <v>30</v>
      </c>
      <c r="F25" s="98" t="s">
        <v>148</v>
      </c>
      <c r="G25" s="99" t="s">
        <v>147</v>
      </c>
      <c r="H25" s="99" t="s">
        <v>147</v>
      </c>
      <c r="I25" s="104" t="s">
        <v>12</v>
      </c>
      <c r="J25" s="98" t="s">
        <v>148</v>
      </c>
      <c r="K25" s="98" t="s">
        <v>148</v>
      </c>
      <c r="L25" s="98" t="s">
        <v>148</v>
      </c>
      <c r="M25" s="104" t="s">
        <v>12</v>
      </c>
      <c r="N25" s="99" t="s">
        <v>147</v>
      </c>
      <c r="O25" s="99" t="s">
        <v>147</v>
      </c>
      <c r="P25" s="98" t="s">
        <v>148</v>
      </c>
      <c r="Q25" s="98" t="s">
        <v>148</v>
      </c>
      <c r="R25" s="100">
        <v>4</v>
      </c>
      <c r="S25" s="98" t="s">
        <v>148</v>
      </c>
      <c r="T25" s="98" t="s">
        <v>148</v>
      </c>
      <c r="U25" s="99" t="s">
        <v>147</v>
      </c>
      <c r="V25" s="99" t="s">
        <v>147</v>
      </c>
      <c r="W25" s="102">
        <v>450</v>
      </c>
      <c r="X25" s="102">
        <v>450</v>
      </c>
      <c r="Y25" s="102">
        <v>450</v>
      </c>
      <c r="Z25" s="102">
        <v>450</v>
      </c>
      <c r="AA25" s="102" t="s">
        <v>187</v>
      </c>
      <c r="AB25" s="99" t="s">
        <v>147</v>
      </c>
      <c r="AC25" s="99" t="s">
        <v>147</v>
      </c>
      <c r="AD25" s="102" t="s">
        <v>187</v>
      </c>
      <c r="AE25" s="102" t="s">
        <v>187</v>
      </c>
      <c r="AF25" s="102" t="s">
        <v>187</v>
      </c>
      <c r="AG25" s="102" t="s">
        <v>187</v>
      </c>
      <c r="AH25" s="102" t="s">
        <v>187</v>
      </c>
      <c r="AI25" s="99" t="s">
        <v>147</v>
      </c>
      <c r="AJ25" s="99" t="s">
        <v>147</v>
      </c>
      <c r="AK25" s="159">
        <v>0</v>
      </c>
      <c r="AL25" s="160">
        <v>0</v>
      </c>
      <c r="AM25" s="157">
        <v>0</v>
      </c>
      <c r="AN25" s="160">
        <v>0</v>
      </c>
      <c r="AO25" s="146">
        <v>8550</v>
      </c>
      <c r="AP25" s="146">
        <v>8550</v>
      </c>
      <c r="AQ25" s="161">
        <v>1</v>
      </c>
      <c r="AR25" s="146">
        <v>19</v>
      </c>
      <c r="AS25" s="146">
        <v>19</v>
      </c>
      <c r="AT25" s="146">
        <v>21</v>
      </c>
      <c r="AU25" s="156">
        <v>10</v>
      </c>
      <c r="AV25" s="157">
        <v>2</v>
      </c>
      <c r="AW25" s="157">
        <v>0</v>
      </c>
      <c r="AX25" s="157">
        <v>0</v>
      </c>
      <c r="AY25" s="146"/>
    </row>
    <row r="26" spans="1:51">
      <c r="A26" s="164" t="s">
        <v>280</v>
      </c>
      <c r="B26" s="156" t="s">
        <v>265</v>
      </c>
      <c r="C26" s="157" t="s">
        <v>266</v>
      </c>
      <c r="D26" s="157" t="s">
        <v>22</v>
      </c>
      <c r="E26" s="158" t="s">
        <v>63</v>
      </c>
      <c r="F26" s="98" t="s">
        <v>148</v>
      </c>
      <c r="G26" s="99" t="s">
        <v>147</v>
      </c>
      <c r="H26" s="99" t="s">
        <v>147</v>
      </c>
      <c r="I26" s="98" t="s">
        <v>148</v>
      </c>
      <c r="J26" s="98" t="s">
        <v>148</v>
      </c>
      <c r="K26" s="98" t="s">
        <v>148</v>
      </c>
      <c r="L26" s="98" t="s">
        <v>148</v>
      </c>
      <c r="M26" s="98" t="s">
        <v>148</v>
      </c>
      <c r="N26" s="99" t="s">
        <v>147</v>
      </c>
      <c r="O26" s="99" t="s">
        <v>147</v>
      </c>
      <c r="P26" s="100">
        <v>1</v>
      </c>
      <c r="Q26" s="100">
        <v>4</v>
      </c>
      <c r="R26" s="102">
        <v>1</v>
      </c>
      <c r="S26" s="98" t="s">
        <v>148</v>
      </c>
      <c r="T26" s="100">
        <v>7</v>
      </c>
      <c r="U26" s="99" t="s">
        <v>147</v>
      </c>
      <c r="V26" s="99" t="s">
        <v>147</v>
      </c>
      <c r="W26" s="102" t="s">
        <v>148</v>
      </c>
      <c r="X26" s="102" t="s">
        <v>148</v>
      </c>
      <c r="Y26" s="102" t="s">
        <v>148</v>
      </c>
      <c r="Z26" s="102" t="s">
        <v>148</v>
      </c>
      <c r="AA26" s="102" t="s">
        <v>187</v>
      </c>
      <c r="AB26" s="99" t="s">
        <v>147</v>
      </c>
      <c r="AC26" s="99" t="s">
        <v>147</v>
      </c>
      <c r="AD26" s="102" t="s">
        <v>187</v>
      </c>
      <c r="AE26" s="102" t="s">
        <v>187</v>
      </c>
      <c r="AF26" s="102" t="s">
        <v>187</v>
      </c>
      <c r="AG26" s="102" t="s">
        <v>187</v>
      </c>
      <c r="AH26" s="102" t="s">
        <v>187</v>
      </c>
      <c r="AI26" s="99" t="s">
        <v>147</v>
      </c>
      <c r="AJ26" s="99" t="s">
        <v>147</v>
      </c>
      <c r="AK26" s="159">
        <v>1</v>
      </c>
      <c r="AL26" s="160">
        <v>1</v>
      </c>
      <c r="AM26" s="157">
        <v>0</v>
      </c>
      <c r="AN26" s="160">
        <v>1</v>
      </c>
      <c r="AO26" s="146">
        <v>9450</v>
      </c>
      <c r="AP26" s="146">
        <v>9449</v>
      </c>
      <c r="AQ26" s="161">
        <v>0.99990000000000001</v>
      </c>
      <c r="AR26" s="146">
        <v>21</v>
      </c>
      <c r="AS26" s="146">
        <v>21</v>
      </c>
      <c r="AT26" s="146">
        <v>21</v>
      </c>
      <c r="AU26" s="156">
        <v>10</v>
      </c>
      <c r="AV26" s="157">
        <v>0</v>
      </c>
      <c r="AW26" s="157">
        <v>0</v>
      </c>
      <c r="AX26" s="157">
        <v>0</v>
      </c>
      <c r="AY26" s="146"/>
    </row>
    <row r="27" spans="1:51">
      <c r="A27" s="164" t="s">
        <v>227</v>
      </c>
      <c r="B27" s="156" t="s">
        <v>265</v>
      </c>
      <c r="C27" s="157" t="s">
        <v>266</v>
      </c>
      <c r="D27" s="157" t="s">
        <v>22</v>
      </c>
      <c r="E27" s="158" t="s">
        <v>63</v>
      </c>
      <c r="F27" s="98" t="s">
        <v>148</v>
      </c>
      <c r="G27" s="99" t="s">
        <v>147</v>
      </c>
      <c r="H27" s="99" t="s">
        <v>147</v>
      </c>
      <c r="I27" s="98" t="s">
        <v>148</v>
      </c>
      <c r="J27" s="98" t="s">
        <v>148</v>
      </c>
      <c r="K27" s="98" t="s">
        <v>148</v>
      </c>
      <c r="L27" s="98" t="s">
        <v>148</v>
      </c>
      <c r="M27" s="98" t="s">
        <v>148</v>
      </c>
      <c r="N27" s="99" t="s">
        <v>147</v>
      </c>
      <c r="O27" s="99" t="s">
        <v>147</v>
      </c>
      <c r="P27" s="98" t="s">
        <v>148</v>
      </c>
      <c r="Q27" s="98" t="s">
        <v>148</v>
      </c>
      <c r="R27" s="98" t="s">
        <v>148</v>
      </c>
      <c r="S27" s="98" t="s">
        <v>148</v>
      </c>
      <c r="T27" s="98" t="s">
        <v>148</v>
      </c>
      <c r="U27" s="99" t="s">
        <v>147</v>
      </c>
      <c r="V27" s="99" t="s">
        <v>147</v>
      </c>
      <c r="W27" s="102" t="s">
        <v>148</v>
      </c>
      <c r="X27" s="102" t="s">
        <v>148</v>
      </c>
      <c r="Y27" s="102" t="s">
        <v>148</v>
      </c>
      <c r="Z27" s="102" t="s">
        <v>148</v>
      </c>
      <c r="AA27" s="102" t="s">
        <v>187</v>
      </c>
      <c r="AB27" s="99" t="s">
        <v>147</v>
      </c>
      <c r="AC27" s="99" t="s">
        <v>147</v>
      </c>
      <c r="AD27" s="102" t="s">
        <v>187</v>
      </c>
      <c r="AE27" s="102" t="s">
        <v>187</v>
      </c>
      <c r="AF27" s="102" t="s">
        <v>187</v>
      </c>
      <c r="AG27" s="102" t="s">
        <v>187</v>
      </c>
      <c r="AH27" s="102" t="s">
        <v>187</v>
      </c>
      <c r="AI27" s="99" t="s">
        <v>147</v>
      </c>
      <c r="AJ27" s="99" t="s">
        <v>147</v>
      </c>
      <c r="AK27" s="159">
        <v>0</v>
      </c>
      <c r="AL27" s="160">
        <v>0</v>
      </c>
      <c r="AM27" s="157">
        <v>0</v>
      </c>
      <c r="AN27" s="160">
        <v>0</v>
      </c>
      <c r="AO27" s="146">
        <v>9450</v>
      </c>
      <c r="AP27" s="146">
        <v>9450</v>
      </c>
      <c r="AQ27" s="161">
        <v>1</v>
      </c>
      <c r="AR27" s="146">
        <v>21</v>
      </c>
      <c r="AS27" s="146">
        <v>21</v>
      </c>
      <c r="AT27" s="146">
        <v>21</v>
      </c>
      <c r="AU27" s="156">
        <v>10</v>
      </c>
      <c r="AV27" s="157">
        <v>0</v>
      </c>
      <c r="AW27" s="157">
        <v>0</v>
      </c>
      <c r="AX27" s="157">
        <v>0</v>
      </c>
      <c r="AY27" s="146"/>
    </row>
    <row r="28" spans="1:51">
      <c r="A28" s="164" t="s">
        <v>281</v>
      </c>
      <c r="B28" s="156" t="s">
        <v>265</v>
      </c>
      <c r="C28" s="157" t="s">
        <v>266</v>
      </c>
      <c r="D28" s="157" t="s">
        <v>22</v>
      </c>
      <c r="E28" s="158" t="s">
        <v>30</v>
      </c>
      <c r="F28" s="98" t="s">
        <v>148</v>
      </c>
      <c r="G28" s="99" t="s">
        <v>147</v>
      </c>
      <c r="H28" s="99" t="s">
        <v>147</v>
      </c>
      <c r="I28" s="98" t="s">
        <v>148</v>
      </c>
      <c r="J28" s="98" t="s">
        <v>148</v>
      </c>
      <c r="K28" s="98" t="s">
        <v>148</v>
      </c>
      <c r="L28" s="98" t="s">
        <v>148</v>
      </c>
      <c r="M28" s="98" t="s">
        <v>148</v>
      </c>
      <c r="N28" s="99" t="s">
        <v>147</v>
      </c>
      <c r="O28" s="99" t="s">
        <v>147</v>
      </c>
      <c r="P28" s="98" t="s">
        <v>148</v>
      </c>
      <c r="Q28" s="98" t="s">
        <v>148</v>
      </c>
      <c r="R28" s="98" t="s">
        <v>148</v>
      </c>
      <c r="S28" s="98" t="s">
        <v>148</v>
      </c>
      <c r="T28" s="98" t="s">
        <v>148</v>
      </c>
      <c r="U28" s="99" t="s">
        <v>147</v>
      </c>
      <c r="V28" s="99" t="s">
        <v>147</v>
      </c>
      <c r="W28" s="98" t="s">
        <v>148</v>
      </c>
      <c r="X28" s="98" t="s">
        <v>148</v>
      </c>
      <c r="Y28" s="102" t="s">
        <v>282</v>
      </c>
      <c r="Z28" s="102" t="s">
        <v>282</v>
      </c>
      <c r="AA28" s="102" t="s">
        <v>187</v>
      </c>
      <c r="AB28" s="99" t="s">
        <v>147</v>
      </c>
      <c r="AC28" s="99" t="s">
        <v>147</v>
      </c>
      <c r="AD28" s="102" t="s">
        <v>187</v>
      </c>
      <c r="AE28" s="102" t="s">
        <v>187</v>
      </c>
      <c r="AF28" s="102" t="s">
        <v>187</v>
      </c>
      <c r="AG28" s="102" t="s">
        <v>187</v>
      </c>
      <c r="AH28" s="102" t="s">
        <v>187</v>
      </c>
      <c r="AI28" s="99" t="s">
        <v>147</v>
      </c>
      <c r="AJ28" s="99" t="s">
        <v>147</v>
      </c>
      <c r="AK28" s="159">
        <v>0</v>
      </c>
      <c r="AL28" s="160">
        <v>0</v>
      </c>
      <c r="AM28" s="157">
        <v>0</v>
      </c>
      <c r="AN28" s="160">
        <v>0</v>
      </c>
      <c r="AO28" s="146">
        <v>9450</v>
      </c>
      <c r="AP28" s="146">
        <v>9450</v>
      </c>
      <c r="AQ28" s="161">
        <v>1</v>
      </c>
      <c r="AR28" s="146">
        <v>21</v>
      </c>
      <c r="AS28" s="146">
        <v>21</v>
      </c>
      <c r="AT28" s="146">
        <v>21</v>
      </c>
      <c r="AU28" s="156">
        <v>10</v>
      </c>
      <c r="AV28" s="157">
        <v>0</v>
      </c>
      <c r="AW28" s="157">
        <v>0</v>
      </c>
      <c r="AX28" s="157">
        <v>0</v>
      </c>
      <c r="AY28" s="146"/>
    </row>
    <row r="29" spans="1:51">
      <c r="A29" s="164" t="s">
        <v>283</v>
      </c>
      <c r="B29" s="156" t="s">
        <v>272</v>
      </c>
      <c r="C29" s="157" t="s">
        <v>266</v>
      </c>
      <c r="D29" s="157" t="s">
        <v>22</v>
      </c>
      <c r="E29" s="158" t="s">
        <v>33</v>
      </c>
      <c r="F29" s="98" t="s">
        <v>148</v>
      </c>
      <c r="G29" s="99" t="s">
        <v>147</v>
      </c>
      <c r="H29" s="99" t="s">
        <v>147</v>
      </c>
      <c r="I29" s="98" t="s">
        <v>148</v>
      </c>
      <c r="J29" s="100">
        <v>1</v>
      </c>
      <c r="K29" s="98" t="s">
        <v>148</v>
      </c>
      <c r="L29" s="98" t="s">
        <v>148</v>
      </c>
      <c r="M29" s="100">
        <v>4</v>
      </c>
      <c r="N29" s="99" t="s">
        <v>147</v>
      </c>
      <c r="O29" s="99" t="s">
        <v>147</v>
      </c>
      <c r="P29" s="98" t="s">
        <v>148</v>
      </c>
      <c r="Q29" s="98" t="s">
        <v>148</v>
      </c>
      <c r="R29" s="102" t="s">
        <v>148</v>
      </c>
      <c r="S29" s="102" t="s">
        <v>148</v>
      </c>
      <c r="T29" s="102" t="s">
        <v>148</v>
      </c>
      <c r="U29" s="99" t="s">
        <v>147</v>
      </c>
      <c r="V29" s="99" t="s">
        <v>147</v>
      </c>
      <c r="W29" s="98" t="s">
        <v>148</v>
      </c>
      <c r="X29" s="98" t="s">
        <v>148</v>
      </c>
      <c r="Y29" s="98" t="s">
        <v>148</v>
      </c>
      <c r="Z29" s="98" t="s">
        <v>148</v>
      </c>
      <c r="AA29" s="102" t="s">
        <v>187</v>
      </c>
      <c r="AB29" s="99" t="s">
        <v>147</v>
      </c>
      <c r="AC29" s="99" t="s">
        <v>147</v>
      </c>
      <c r="AD29" s="102" t="s">
        <v>187</v>
      </c>
      <c r="AE29" s="102" t="s">
        <v>187</v>
      </c>
      <c r="AF29" s="102" t="s">
        <v>187</v>
      </c>
      <c r="AG29" s="102" t="s">
        <v>187</v>
      </c>
      <c r="AH29" s="102" t="s">
        <v>187</v>
      </c>
      <c r="AI29" s="99" t="s">
        <v>147</v>
      </c>
      <c r="AJ29" s="99" t="s">
        <v>147</v>
      </c>
      <c r="AK29" s="159">
        <v>5</v>
      </c>
      <c r="AL29" s="160">
        <v>5</v>
      </c>
      <c r="AM29" s="157">
        <v>0</v>
      </c>
      <c r="AN29" s="160">
        <v>5</v>
      </c>
      <c r="AO29" s="146">
        <v>9450</v>
      </c>
      <c r="AP29" s="146">
        <v>9445</v>
      </c>
      <c r="AQ29" s="161">
        <v>0.99950000000000006</v>
      </c>
      <c r="AR29" s="146">
        <v>21</v>
      </c>
      <c r="AS29" s="146">
        <v>21</v>
      </c>
      <c r="AT29" s="146">
        <v>21</v>
      </c>
      <c r="AU29" s="156">
        <v>10</v>
      </c>
      <c r="AV29" s="157">
        <v>0</v>
      </c>
      <c r="AW29" s="157">
        <v>0</v>
      </c>
      <c r="AX29" s="157">
        <v>0</v>
      </c>
      <c r="AY29" s="146"/>
    </row>
    <row r="30" spans="1:51">
      <c r="A30" s="164" t="s">
        <v>284</v>
      </c>
      <c r="B30" s="156" t="s">
        <v>265</v>
      </c>
      <c r="C30" s="157" t="s">
        <v>266</v>
      </c>
      <c r="D30" s="157" t="s">
        <v>22</v>
      </c>
      <c r="E30" s="158" t="s">
        <v>63</v>
      </c>
      <c r="F30" s="98" t="s">
        <v>148</v>
      </c>
      <c r="G30" s="98" t="s">
        <v>148</v>
      </c>
      <c r="H30" s="98" t="s">
        <v>148</v>
      </c>
      <c r="I30" s="99" t="s">
        <v>147</v>
      </c>
      <c r="J30" s="100">
        <v>6</v>
      </c>
      <c r="K30" s="100">
        <v>2</v>
      </c>
      <c r="L30" s="98" t="s">
        <v>148</v>
      </c>
      <c r="M30" s="100">
        <v>2</v>
      </c>
      <c r="N30" s="98" t="s">
        <v>148</v>
      </c>
      <c r="O30" s="99" t="s">
        <v>147</v>
      </c>
      <c r="P30" s="100">
        <v>1</v>
      </c>
      <c r="Q30" s="100">
        <v>29</v>
      </c>
      <c r="R30" s="98" t="s">
        <v>148</v>
      </c>
      <c r="S30" s="98" t="s">
        <v>148</v>
      </c>
      <c r="T30" s="100">
        <v>30</v>
      </c>
      <c r="U30" s="99" t="s">
        <v>147</v>
      </c>
      <c r="V30" s="99" t="s">
        <v>147</v>
      </c>
      <c r="W30" s="102">
        <v>8</v>
      </c>
      <c r="X30" s="100">
        <v>4</v>
      </c>
      <c r="Y30" s="102">
        <v>128</v>
      </c>
      <c r="Z30" s="98" t="s">
        <v>148</v>
      </c>
      <c r="AA30" s="102" t="s">
        <v>187</v>
      </c>
      <c r="AB30" s="99" t="s">
        <v>147</v>
      </c>
      <c r="AC30" s="99" t="s">
        <v>147</v>
      </c>
      <c r="AD30" s="102" t="s">
        <v>187</v>
      </c>
      <c r="AE30" s="102" t="s">
        <v>187</v>
      </c>
      <c r="AF30" s="102" t="s">
        <v>187</v>
      </c>
      <c r="AG30" s="102" t="s">
        <v>187</v>
      </c>
      <c r="AH30" s="102" t="s">
        <v>187</v>
      </c>
      <c r="AI30" s="99" t="s">
        <v>147</v>
      </c>
      <c r="AJ30" s="99" t="s">
        <v>147</v>
      </c>
      <c r="AK30" s="159">
        <v>37</v>
      </c>
      <c r="AL30" s="160">
        <v>37</v>
      </c>
      <c r="AM30" s="157">
        <v>0</v>
      </c>
      <c r="AN30" s="160">
        <v>37</v>
      </c>
      <c r="AO30" s="146">
        <v>10350</v>
      </c>
      <c r="AP30" s="146">
        <v>10313</v>
      </c>
      <c r="AQ30" s="161">
        <v>0.99639999999999995</v>
      </c>
      <c r="AR30" s="146">
        <v>23</v>
      </c>
      <c r="AS30" s="146">
        <v>23</v>
      </c>
      <c r="AT30" s="146">
        <v>23</v>
      </c>
      <c r="AU30" s="156">
        <v>8</v>
      </c>
      <c r="AV30" s="157">
        <v>0</v>
      </c>
      <c r="AW30" s="157">
        <v>0</v>
      </c>
      <c r="AX30" s="157">
        <v>0</v>
      </c>
      <c r="AY30" s="146"/>
    </row>
    <row r="31" spans="1:51">
      <c r="A31" s="164" t="s">
        <v>285</v>
      </c>
      <c r="B31" s="156" t="s">
        <v>265</v>
      </c>
      <c r="C31" s="157" t="s">
        <v>266</v>
      </c>
      <c r="D31" s="157" t="s">
        <v>22</v>
      </c>
      <c r="E31" s="158" t="s">
        <v>25</v>
      </c>
      <c r="F31" s="98" t="s">
        <v>148</v>
      </c>
      <c r="G31" s="99" t="s">
        <v>147</v>
      </c>
      <c r="H31" s="99" t="s">
        <v>147</v>
      </c>
      <c r="I31" s="98" t="s">
        <v>174</v>
      </c>
      <c r="J31" s="98" t="s">
        <v>148</v>
      </c>
      <c r="K31" s="98" t="s">
        <v>148</v>
      </c>
      <c r="L31" s="98" t="s">
        <v>148</v>
      </c>
      <c r="M31" s="98" t="s">
        <v>148</v>
      </c>
      <c r="N31" s="99" t="s">
        <v>147</v>
      </c>
      <c r="O31" s="99" t="s">
        <v>147</v>
      </c>
      <c r="P31" s="98" t="s">
        <v>148</v>
      </c>
      <c r="Q31" s="98" t="s">
        <v>148</v>
      </c>
      <c r="R31" s="98" t="s">
        <v>148</v>
      </c>
      <c r="S31" s="98" t="s">
        <v>148</v>
      </c>
      <c r="T31" s="100">
        <v>15</v>
      </c>
      <c r="U31" s="99" t="s">
        <v>147</v>
      </c>
      <c r="V31" s="99" t="s">
        <v>147</v>
      </c>
      <c r="W31" s="102" t="s">
        <v>148</v>
      </c>
      <c r="X31" s="100">
        <v>11</v>
      </c>
      <c r="Y31" s="102" t="s">
        <v>148</v>
      </c>
      <c r="Z31" s="102" t="s">
        <v>148</v>
      </c>
      <c r="AA31" s="102" t="s">
        <v>187</v>
      </c>
      <c r="AB31" s="99" t="s">
        <v>147</v>
      </c>
      <c r="AC31" s="99" t="s">
        <v>147</v>
      </c>
      <c r="AD31" s="102" t="s">
        <v>187</v>
      </c>
      <c r="AE31" s="102" t="s">
        <v>187</v>
      </c>
      <c r="AF31" s="102" t="s">
        <v>187</v>
      </c>
      <c r="AG31" s="102" t="s">
        <v>187</v>
      </c>
      <c r="AH31" s="102" t="s">
        <v>187</v>
      </c>
      <c r="AI31" s="99" t="s">
        <v>147</v>
      </c>
      <c r="AJ31" s="99" t="s">
        <v>147</v>
      </c>
      <c r="AK31" s="159">
        <v>0</v>
      </c>
      <c r="AL31" s="160">
        <v>0</v>
      </c>
      <c r="AM31" s="157">
        <v>0</v>
      </c>
      <c r="AN31" s="160">
        <v>0</v>
      </c>
      <c r="AO31" s="146">
        <v>9450</v>
      </c>
      <c r="AP31" s="146">
        <v>9450</v>
      </c>
      <c r="AQ31" s="161">
        <v>1</v>
      </c>
      <c r="AR31" s="146">
        <v>21</v>
      </c>
      <c r="AS31" s="146">
        <v>21</v>
      </c>
      <c r="AT31" s="146">
        <v>21</v>
      </c>
      <c r="AU31" s="156">
        <v>10</v>
      </c>
      <c r="AV31" s="157">
        <v>0</v>
      </c>
      <c r="AW31" s="157">
        <v>0</v>
      </c>
      <c r="AX31" s="157">
        <v>0</v>
      </c>
      <c r="AY31" s="146"/>
    </row>
    <row r="32" spans="1:51">
      <c r="A32" s="164" t="s">
        <v>91</v>
      </c>
      <c r="B32" s="156" t="s">
        <v>265</v>
      </c>
      <c r="C32" s="157" t="s">
        <v>266</v>
      </c>
      <c r="D32" s="157" t="s">
        <v>22</v>
      </c>
      <c r="E32" s="158" t="s">
        <v>30</v>
      </c>
      <c r="F32" s="98" t="s">
        <v>148</v>
      </c>
      <c r="G32" s="99" t="s">
        <v>147</v>
      </c>
      <c r="H32" s="99" t="s">
        <v>147</v>
      </c>
      <c r="I32" s="100">
        <v>1</v>
      </c>
      <c r="J32" s="98" t="s">
        <v>148</v>
      </c>
      <c r="K32" s="98" t="s">
        <v>148</v>
      </c>
      <c r="L32" s="98" t="s">
        <v>148</v>
      </c>
      <c r="M32" s="102">
        <v>450</v>
      </c>
      <c r="N32" s="99" t="s">
        <v>147</v>
      </c>
      <c r="O32" s="99" t="s">
        <v>147</v>
      </c>
      <c r="P32" s="98" t="s">
        <v>148</v>
      </c>
      <c r="Q32" s="98" t="s">
        <v>148</v>
      </c>
      <c r="R32" s="98" t="s">
        <v>148</v>
      </c>
      <c r="S32" s="98" t="s">
        <v>148</v>
      </c>
      <c r="T32" s="98" t="s">
        <v>148</v>
      </c>
      <c r="U32" s="99" t="s">
        <v>147</v>
      </c>
      <c r="V32" s="99" t="s">
        <v>147</v>
      </c>
      <c r="W32" s="98" t="s">
        <v>148</v>
      </c>
      <c r="X32" s="98" t="s">
        <v>148</v>
      </c>
      <c r="Y32" s="98" t="s">
        <v>148</v>
      </c>
      <c r="Z32" s="104" t="s">
        <v>12</v>
      </c>
      <c r="AA32" s="102" t="s">
        <v>187</v>
      </c>
      <c r="AB32" s="99" t="s">
        <v>147</v>
      </c>
      <c r="AC32" s="99" t="s">
        <v>147</v>
      </c>
      <c r="AD32" s="102" t="s">
        <v>187</v>
      </c>
      <c r="AE32" s="102" t="s">
        <v>187</v>
      </c>
      <c r="AF32" s="102" t="s">
        <v>187</v>
      </c>
      <c r="AG32" s="102" t="s">
        <v>187</v>
      </c>
      <c r="AH32" s="102" t="s">
        <v>187</v>
      </c>
      <c r="AI32" s="99" t="s">
        <v>147</v>
      </c>
      <c r="AJ32" s="99" t="s">
        <v>147</v>
      </c>
      <c r="AK32" s="159">
        <v>451</v>
      </c>
      <c r="AL32" s="160">
        <v>1</v>
      </c>
      <c r="AM32" s="157">
        <v>450</v>
      </c>
      <c r="AN32" s="160">
        <v>451</v>
      </c>
      <c r="AO32" s="146">
        <v>9450</v>
      </c>
      <c r="AP32" s="146">
        <v>8999</v>
      </c>
      <c r="AQ32" s="161">
        <v>0.95230000000000004</v>
      </c>
      <c r="AR32" s="146">
        <v>20</v>
      </c>
      <c r="AS32" s="146">
        <v>21</v>
      </c>
      <c r="AT32" s="146">
        <v>21</v>
      </c>
      <c r="AU32" s="156">
        <v>10</v>
      </c>
      <c r="AV32" s="157">
        <v>0</v>
      </c>
      <c r="AW32" s="157">
        <v>0</v>
      </c>
      <c r="AX32" s="157">
        <v>1</v>
      </c>
      <c r="AY32" s="146"/>
    </row>
    <row r="33" spans="1:51">
      <c r="A33" s="164" t="s">
        <v>178</v>
      </c>
      <c r="B33" s="156" t="s">
        <v>265</v>
      </c>
      <c r="C33" s="157" t="s">
        <v>266</v>
      </c>
      <c r="D33" s="157" t="s">
        <v>22</v>
      </c>
      <c r="E33" s="158" t="s">
        <v>33</v>
      </c>
      <c r="F33" s="98" t="s">
        <v>148</v>
      </c>
      <c r="G33" s="98" t="s">
        <v>148</v>
      </c>
      <c r="H33" s="99" t="s">
        <v>147</v>
      </c>
      <c r="I33" s="98" t="s">
        <v>148</v>
      </c>
      <c r="J33" s="98" t="s">
        <v>148</v>
      </c>
      <c r="K33" s="98" t="s">
        <v>148</v>
      </c>
      <c r="L33" s="98" t="s">
        <v>148</v>
      </c>
      <c r="M33" s="98" t="s">
        <v>148</v>
      </c>
      <c r="N33" s="99" t="s">
        <v>147</v>
      </c>
      <c r="O33" s="99" t="s">
        <v>147</v>
      </c>
      <c r="P33" s="98" t="s">
        <v>148</v>
      </c>
      <c r="Q33" s="98" t="s">
        <v>148</v>
      </c>
      <c r="R33" s="98" t="s">
        <v>148</v>
      </c>
      <c r="S33" s="98" t="s">
        <v>148</v>
      </c>
      <c r="T33" s="98" t="s">
        <v>148</v>
      </c>
      <c r="U33" s="99" t="s">
        <v>147</v>
      </c>
      <c r="V33" s="99" t="s">
        <v>147</v>
      </c>
      <c r="W33" s="98" t="s">
        <v>148</v>
      </c>
      <c r="X33" s="98" t="s">
        <v>148</v>
      </c>
      <c r="Y33" s="98" t="s">
        <v>148</v>
      </c>
      <c r="Z33" s="98" t="s">
        <v>148</v>
      </c>
      <c r="AA33" s="102" t="s">
        <v>187</v>
      </c>
      <c r="AB33" s="99" t="s">
        <v>147</v>
      </c>
      <c r="AC33" s="99" t="s">
        <v>147</v>
      </c>
      <c r="AD33" s="102" t="s">
        <v>187</v>
      </c>
      <c r="AE33" s="102" t="s">
        <v>187</v>
      </c>
      <c r="AF33" s="102" t="s">
        <v>187</v>
      </c>
      <c r="AG33" s="102" t="s">
        <v>187</v>
      </c>
      <c r="AH33" s="102" t="s">
        <v>187</v>
      </c>
      <c r="AI33" s="99" t="s">
        <v>147</v>
      </c>
      <c r="AJ33" s="99" t="s">
        <v>147</v>
      </c>
      <c r="AK33" s="159">
        <v>0</v>
      </c>
      <c r="AL33" s="160">
        <v>0</v>
      </c>
      <c r="AM33" s="157">
        <v>0</v>
      </c>
      <c r="AN33" s="160">
        <v>0</v>
      </c>
      <c r="AO33" s="146">
        <v>9900</v>
      </c>
      <c r="AP33" s="146">
        <v>9900</v>
      </c>
      <c r="AQ33" s="161">
        <v>1</v>
      </c>
      <c r="AR33" s="146">
        <v>22</v>
      </c>
      <c r="AS33" s="146">
        <v>22</v>
      </c>
      <c r="AT33" s="146">
        <v>22</v>
      </c>
      <c r="AU33" s="156">
        <v>9</v>
      </c>
      <c r="AV33" s="157">
        <v>0</v>
      </c>
      <c r="AW33" s="157">
        <v>0</v>
      </c>
      <c r="AX33" s="157">
        <v>0</v>
      </c>
      <c r="AY33" s="146"/>
    </row>
    <row r="34" spans="1:51">
      <c r="A34" s="164" t="s">
        <v>286</v>
      </c>
      <c r="B34" s="156" t="s">
        <v>265</v>
      </c>
      <c r="C34" s="157" t="s">
        <v>266</v>
      </c>
      <c r="D34" s="157" t="s">
        <v>22</v>
      </c>
      <c r="E34" s="158" t="s">
        <v>63</v>
      </c>
      <c r="F34" s="98" t="s">
        <v>148</v>
      </c>
      <c r="G34" s="99" t="s">
        <v>147</v>
      </c>
      <c r="H34" s="99" t="s">
        <v>147</v>
      </c>
      <c r="I34" s="98" t="s">
        <v>148</v>
      </c>
      <c r="J34" s="98" t="s">
        <v>148</v>
      </c>
      <c r="K34" s="98" t="s">
        <v>148</v>
      </c>
      <c r="L34" s="98" t="s">
        <v>148</v>
      </c>
      <c r="M34" s="98" t="s">
        <v>148</v>
      </c>
      <c r="N34" s="99" t="s">
        <v>147</v>
      </c>
      <c r="O34" s="99" t="s">
        <v>147</v>
      </c>
      <c r="P34" s="98" t="s">
        <v>148</v>
      </c>
      <c r="Q34" s="98" t="s">
        <v>148</v>
      </c>
      <c r="R34" s="98" t="s">
        <v>148</v>
      </c>
      <c r="S34" s="98" t="s">
        <v>148</v>
      </c>
      <c r="T34" s="98" t="s">
        <v>148</v>
      </c>
      <c r="U34" s="99" t="s">
        <v>147</v>
      </c>
      <c r="V34" s="99" t="s">
        <v>147</v>
      </c>
      <c r="W34" s="98" t="s">
        <v>148</v>
      </c>
      <c r="X34" s="98" t="s">
        <v>148</v>
      </c>
      <c r="Y34" s="98" t="s">
        <v>148</v>
      </c>
      <c r="Z34" s="98" t="s">
        <v>148</v>
      </c>
      <c r="AA34" s="102"/>
      <c r="AB34" s="99" t="s">
        <v>147</v>
      </c>
      <c r="AC34" s="99" t="s">
        <v>147</v>
      </c>
      <c r="AD34" s="102"/>
      <c r="AE34" s="102"/>
      <c r="AF34" s="102"/>
      <c r="AG34" s="102"/>
      <c r="AH34" s="102"/>
      <c r="AI34" s="99"/>
      <c r="AJ34" s="99"/>
      <c r="AK34" s="159"/>
      <c r="AL34" s="160"/>
      <c r="AM34" s="157"/>
      <c r="AN34" s="160"/>
      <c r="AO34" s="146"/>
      <c r="AP34" s="146"/>
      <c r="AQ34" s="161"/>
      <c r="AR34" s="146"/>
      <c r="AS34" s="146"/>
      <c r="AT34" s="146"/>
      <c r="AU34" s="156"/>
      <c r="AV34" s="157"/>
      <c r="AW34" s="157"/>
      <c r="AX34" s="157"/>
      <c r="AY34" s="146"/>
    </row>
    <row r="35" spans="1:51">
      <c r="A35" s="164" t="s">
        <v>287</v>
      </c>
      <c r="B35" s="156" t="s">
        <v>265</v>
      </c>
      <c r="C35" s="157" t="s">
        <v>266</v>
      </c>
      <c r="D35" s="157" t="s">
        <v>22</v>
      </c>
      <c r="E35" s="158" t="s">
        <v>63</v>
      </c>
      <c r="F35" s="98" t="s">
        <v>148</v>
      </c>
      <c r="G35" s="98" t="s">
        <v>148</v>
      </c>
      <c r="H35" s="99" t="s">
        <v>147</v>
      </c>
      <c r="I35" s="98" t="s">
        <v>148</v>
      </c>
      <c r="J35" s="98" t="s">
        <v>148</v>
      </c>
      <c r="K35" s="98" t="s">
        <v>148</v>
      </c>
      <c r="L35" s="98" t="s">
        <v>148</v>
      </c>
      <c r="M35" s="98" t="s">
        <v>148</v>
      </c>
      <c r="N35" s="99" t="s">
        <v>147</v>
      </c>
      <c r="O35" s="99" t="s">
        <v>147</v>
      </c>
      <c r="P35" s="98" t="s">
        <v>148</v>
      </c>
      <c r="Q35" s="98" t="s">
        <v>148</v>
      </c>
      <c r="R35" s="98" t="s">
        <v>148</v>
      </c>
      <c r="S35" s="98" t="s">
        <v>148</v>
      </c>
      <c r="T35" s="102" t="s">
        <v>148</v>
      </c>
      <c r="U35" s="99" t="s">
        <v>147</v>
      </c>
      <c r="V35" s="99" t="s">
        <v>147</v>
      </c>
      <c r="W35" s="102" t="s">
        <v>148</v>
      </c>
      <c r="X35" s="102" t="s">
        <v>148</v>
      </c>
      <c r="Y35" s="102" t="s">
        <v>148</v>
      </c>
      <c r="Z35" s="102" t="s">
        <v>148</v>
      </c>
      <c r="AA35" s="102" t="s">
        <v>187</v>
      </c>
      <c r="AB35" s="99" t="s">
        <v>147</v>
      </c>
      <c r="AC35" s="99" t="s">
        <v>147</v>
      </c>
      <c r="AD35" s="102" t="s">
        <v>187</v>
      </c>
      <c r="AE35" s="102" t="s">
        <v>187</v>
      </c>
      <c r="AF35" s="102" t="s">
        <v>187</v>
      </c>
      <c r="AG35" s="102" t="s">
        <v>187</v>
      </c>
      <c r="AH35" s="102" t="s">
        <v>187</v>
      </c>
      <c r="AI35" s="99" t="s">
        <v>147</v>
      </c>
      <c r="AJ35" s="99" t="s">
        <v>147</v>
      </c>
      <c r="AK35" s="159">
        <v>0</v>
      </c>
      <c r="AL35" s="160">
        <v>0</v>
      </c>
      <c r="AM35" s="157">
        <v>0</v>
      </c>
      <c r="AN35" s="160">
        <v>0</v>
      </c>
      <c r="AO35" s="146">
        <v>9900</v>
      </c>
      <c r="AP35" s="146">
        <v>9900</v>
      </c>
      <c r="AQ35" s="161">
        <v>1</v>
      </c>
      <c r="AR35" s="146">
        <v>22</v>
      </c>
      <c r="AS35" s="146">
        <v>22</v>
      </c>
      <c r="AT35" s="146">
        <v>22</v>
      </c>
      <c r="AU35" s="156">
        <v>9</v>
      </c>
      <c r="AV35" s="157">
        <v>0</v>
      </c>
      <c r="AW35" s="157">
        <v>0</v>
      </c>
      <c r="AX35" s="157">
        <v>0</v>
      </c>
      <c r="AY35" s="146"/>
    </row>
    <row r="36" spans="1:51">
      <c r="A36" s="155" t="s">
        <v>229</v>
      </c>
      <c r="B36" s="156" t="s">
        <v>265</v>
      </c>
      <c r="C36" s="157" t="s">
        <v>266</v>
      </c>
      <c r="D36" s="157" t="s">
        <v>22</v>
      </c>
      <c r="E36" s="158" t="s">
        <v>33</v>
      </c>
      <c r="F36" s="98" t="s">
        <v>148</v>
      </c>
      <c r="G36" s="99" t="s">
        <v>147</v>
      </c>
      <c r="H36" s="99" t="s">
        <v>147</v>
      </c>
      <c r="I36" s="98" t="s">
        <v>148</v>
      </c>
      <c r="J36" s="98" t="s">
        <v>148</v>
      </c>
      <c r="K36" s="98" t="s">
        <v>148</v>
      </c>
      <c r="L36" s="98" t="s">
        <v>148</v>
      </c>
      <c r="M36" s="98" t="s">
        <v>148</v>
      </c>
      <c r="N36" s="99" t="s">
        <v>147</v>
      </c>
      <c r="O36" s="99" t="s">
        <v>147</v>
      </c>
      <c r="P36" s="98" t="s">
        <v>148</v>
      </c>
      <c r="Q36" s="98" t="s">
        <v>148</v>
      </c>
      <c r="R36" s="98" t="s">
        <v>148</v>
      </c>
      <c r="S36" s="98" t="s">
        <v>148</v>
      </c>
      <c r="T36" s="98" t="s">
        <v>148</v>
      </c>
      <c r="U36" s="99" t="s">
        <v>147</v>
      </c>
      <c r="V36" s="99" t="s">
        <v>147</v>
      </c>
      <c r="W36" s="98" t="s">
        <v>148</v>
      </c>
      <c r="X36" s="98" t="s">
        <v>148</v>
      </c>
      <c r="Y36" s="98" t="s">
        <v>148</v>
      </c>
      <c r="Z36" s="98" t="s">
        <v>148</v>
      </c>
      <c r="AA36" s="102" t="s">
        <v>187</v>
      </c>
      <c r="AB36" s="99" t="s">
        <v>147</v>
      </c>
      <c r="AC36" s="99" t="s">
        <v>147</v>
      </c>
      <c r="AD36" s="102" t="s">
        <v>187</v>
      </c>
      <c r="AE36" s="102" t="s">
        <v>187</v>
      </c>
      <c r="AF36" s="102" t="s">
        <v>187</v>
      </c>
      <c r="AG36" s="102" t="s">
        <v>187</v>
      </c>
      <c r="AH36" s="102" t="s">
        <v>187</v>
      </c>
      <c r="AI36" s="99" t="s">
        <v>147</v>
      </c>
      <c r="AJ36" s="99" t="s">
        <v>147</v>
      </c>
      <c r="AK36" s="159">
        <v>0</v>
      </c>
      <c r="AL36" s="160">
        <v>0</v>
      </c>
      <c r="AM36" s="157">
        <v>0</v>
      </c>
      <c r="AN36" s="160">
        <v>0</v>
      </c>
      <c r="AO36" s="146">
        <v>9450</v>
      </c>
      <c r="AP36" s="146">
        <v>9450</v>
      </c>
      <c r="AQ36" s="161">
        <v>1</v>
      </c>
      <c r="AR36" s="146">
        <v>21</v>
      </c>
      <c r="AS36" s="146">
        <v>21</v>
      </c>
      <c r="AT36" s="146">
        <v>21</v>
      </c>
      <c r="AU36" s="156">
        <v>10</v>
      </c>
      <c r="AV36" s="157">
        <v>0</v>
      </c>
      <c r="AW36" s="157">
        <v>0</v>
      </c>
      <c r="AX36" s="157">
        <v>0</v>
      </c>
      <c r="AY36" s="146"/>
    </row>
    <row r="37" spans="1:51">
      <c r="A37" s="162" t="s">
        <v>189</v>
      </c>
      <c r="B37" s="156" t="s">
        <v>272</v>
      </c>
      <c r="C37" s="157" t="s">
        <v>266</v>
      </c>
      <c r="D37" s="157" t="s">
        <v>22</v>
      </c>
      <c r="E37" s="158" t="s">
        <v>63</v>
      </c>
      <c r="F37" s="98" t="s">
        <v>148</v>
      </c>
      <c r="G37" s="98" t="s">
        <v>148</v>
      </c>
      <c r="H37" s="98" t="s">
        <v>148</v>
      </c>
      <c r="I37" s="99" t="s">
        <v>147</v>
      </c>
      <c r="J37" s="98" t="s">
        <v>148</v>
      </c>
      <c r="K37" s="98" t="s">
        <v>148</v>
      </c>
      <c r="L37" s="98" t="s">
        <v>148</v>
      </c>
      <c r="M37" s="98" t="s">
        <v>148</v>
      </c>
      <c r="N37" s="98" t="s">
        <v>148</v>
      </c>
      <c r="O37" s="99" t="s">
        <v>147</v>
      </c>
      <c r="P37" s="98" t="s">
        <v>148</v>
      </c>
      <c r="Q37" s="98" t="s">
        <v>148</v>
      </c>
      <c r="R37" s="102" t="s">
        <v>148</v>
      </c>
      <c r="S37" s="102" t="s">
        <v>148</v>
      </c>
      <c r="T37" s="102" t="s">
        <v>148</v>
      </c>
      <c r="U37" s="99" t="s">
        <v>147</v>
      </c>
      <c r="V37" s="99" t="s">
        <v>147</v>
      </c>
      <c r="W37" s="102" t="s">
        <v>148</v>
      </c>
      <c r="X37" s="102" t="s">
        <v>148</v>
      </c>
      <c r="Y37" s="102" t="s">
        <v>148</v>
      </c>
      <c r="Z37" s="102" t="s">
        <v>148</v>
      </c>
      <c r="AA37" s="102" t="s">
        <v>187</v>
      </c>
      <c r="AB37" s="99" t="s">
        <v>147</v>
      </c>
      <c r="AC37" s="99" t="s">
        <v>147</v>
      </c>
      <c r="AD37" s="102" t="s">
        <v>187</v>
      </c>
      <c r="AE37" s="102" t="s">
        <v>187</v>
      </c>
      <c r="AF37" s="102" t="s">
        <v>187</v>
      </c>
      <c r="AG37" s="102" t="s">
        <v>187</v>
      </c>
      <c r="AH37" s="102" t="s">
        <v>187</v>
      </c>
      <c r="AI37" s="99" t="s">
        <v>147</v>
      </c>
      <c r="AJ37" s="99" t="s">
        <v>147</v>
      </c>
      <c r="AK37" s="159">
        <v>0</v>
      </c>
      <c r="AL37" s="160">
        <v>0</v>
      </c>
      <c r="AM37" s="157">
        <v>0</v>
      </c>
      <c r="AN37" s="160">
        <v>0</v>
      </c>
      <c r="AO37" s="146">
        <v>10350</v>
      </c>
      <c r="AP37" s="146">
        <v>10350</v>
      </c>
      <c r="AQ37" s="161">
        <v>1</v>
      </c>
      <c r="AR37" s="146">
        <v>23</v>
      </c>
      <c r="AS37" s="146">
        <v>23</v>
      </c>
      <c r="AT37" s="146">
        <v>23</v>
      </c>
      <c r="AU37" s="156">
        <v>8</v>
      </c>
      <c r="AV37" s="157">
        <v>0</v>
      </c>
      <c r="AW37" s="157">
        <v>0</v>
      </c>
      <c r="AX37" s="157">
        <v>0</v>
      </c>
      <c r="AY37" s="146"/>
    </row>
    <row r="38" spans="1:51">
      <c r="A38" s="162" t="s">
        <v>100</v>
      </c>
      <c r="B38" s="156" t="s">
        <v>265</v>
      </c>
      <c r="C38" s="157" t="s">
        <v>266</v>
      </c>
      <c r="D38" s="157" t="s">
        <v>22</v>
      </c>
      <c r="E38" s="158" t="s">
        <v>63</v>
      </c>
      <c r="F38" s="100">
        <v>3</v>
      </c>
      <c r="G38" s="98" t="s">
        <v>148</v>
      </c>
      <c r="H38" s="99" t="s">
        <v>147</v>
      </c>
      <c r="I38" s="98" t="s">
        <v>148</v>
      </c>
      <c r="J38" s="98" t="s">
        <v>148</v>
      </c>
      <c r="K38" s="98" t="s">
        <v>148</v>
      </c>
      <c r="L38" s="104" t="s">
        <v>12</v>
      </c>
      <c r="M38" s="98" t="s">
        <v>148</v>
      </c>
      <c r="N38" s="99" t="s">
        <v>147</v>
      </c>
      <c r="O38" s="99" t="s">
        <v>147</v>
      </c>
      <c r="P38" s="98" t="s">
        <v>148</v>
      </c>
      <c r="Q38" s="98" t="s">
        <v>148</v>
      </c>
      <c r="R38" s="98" t="s">
        <v>148</v>
      </c>
      <c r="S38" s="100">
        <v>9</v>
      </c>
      <c r="T38" s="102" t="s">
        <v>148</v>
      </c>
      <c r="U38" s="99" t="s">
        <v>147</v>
      </c>
      <c r="V38" s="99" t="s">
        <v>147</v>
      </c>
      <c r="W38" s="102" t="s">
        <v>148</v>
      </c>
      <c r="X38" s="102" t="s">
        <v>148</v>
      </c>
      <c r="Y38" s="102" t="s">
        <v>148</v>
      </c>
      <c r="Z38" s="102" t="s">
        <v>148</v>
      </c>
      <c r="AA38" s="102" t="s">
        <v>187</v>
      </c>
      <c r="AB38" s="99" t="s">
        <v>147</v>
      </c>
      <c r="AC38" s="99" t="s">
        <v>147</v>
      </c>
      <c r="AD38" s="102" t="s">
        <v>187</v>
      </c>
      <c r="AE38" s="102" t="s">
        <v>187</v>
      </c>
      <c r="AF38" s="102" t="s">
        <v>187</v>
      </c>
      <c r="AG38" s="102" t="s">
        <v>187</v>
      </c>
      <c r="AH38" s="102" t="s">
        <v>187</v>
      </c>
      <c r="AI38" s="99" t="s">
        <v>147</v>
      </c>
      <c r="AJ38" s="99" t="s">
        <v>147</v>
      </c>
      <c r="AK38" s="159">
        <v>3</v>
      </c>
      <c r="AL38" s="160">
        <v>3</v>
      </c>
      <c r="AM38" s="157">
        <v>0</v>
      </c>
      <c r="AN38" s="160">
        <v>3</v>
      </c>
      <c r="AO38" s="146">
        <v>9450</v>
      </c>
      <c r="AP38" s="146">
        <v>9447</v>
      </c>
      <c r="AQ38" s="161">
        <v>0.99970000000000003</v>
      </c>
      <c r="AR38" s="146">
        <v>21</v>
      </c>
      <c r="AS38" s="146">
        <v>21</v>
      </c>
      <c r="AT38" s="146">
        <v>22</v>
      </c>
      <c r="AU38" s="156">
        <v>9</v>
      </c>
      <c r="AV38" s="157">
        <v>1</v>
      </c>
      <c r="AW38" s="157">
        <v>0</v>
      </c>
      <c r="AX38" s="157">
        <v>0</v>
      </c>
      <c r="AY38" s="146"/>
    </row>
    <row r="39" spans="1:51">
      <c r="A39" s="162" t="s">
        <v>288</v>
      </c>
      <c r="B39" s="156" t="s">
        <v>265</v>
      </c>
      <c r="C39" s="157" t="s">
        <v>266</v>
      </c>
      <c r="D39" s="157" t="s">
        <v>22</v>
      </c>
      <c r="E39" s="158" t="s">
        <v>33</v>
      </c>
      <c r="F39" s="100">
        <v>1</v>
      </c>
      <c r="G39" s="99" t="s">
        <v>147</v>
      </c>
      <c r="H39" s="99" t="s">
        <v>147</v>
      </c>
      <c r="I39" s="100">
        <v>225</v>
      </c>
      <c r="J39" s="98" t="s">
        <v>148</v>
      </c>
      <c r="K39" s="98" t="s">
        <v>148</v>
      </c>
      <c r="L39" s="98" t="s">
        <v>148</v>
      </c>
      <c r="M39" s="98" t="s">
        <v>148</v>
      </c>
      <c r="N39" s="99" t="s">
        <v>147</v>
      </c>
      <c r="O39" s="99" t="s">
        <v>147</v>
      </c>
      <c r="P39" s="98" t="s">
        <v>148</v>
      </c>
      <c r="Q39" s="102">
        <v>450</v>
      </c>
      <c r="R39" s="98" t="s">
        <v>148</v>
      </c>
      <c r="S39" s="98" t="s">
        <v>148</v>
      </c>
      <c r="T39" s="98" t="s">
        <v>148</v>
      </c>
      <c r="U39" s="99" t="s">
        <v>147</v>
      </c>
      <c r="V39" s="99" t="s">
        <v>147</v>
      </c>
      <c r="W39" s="98" t="s">
        <v>148</v>
      </c>
      <c r="X39" s="98" t="s">
        <v>148</v>
      </c>
      <c r="Y39" s="98" t="s">
        <v>148</v>
      </c>
      <c r="Z39" s="98" t="s">
        <v>148</v>
      </c>
      <c r="AA39" s="102" t="s">
        <v>187</v>
      </c>
      <c r="AB39" s="99" t="s">
        <v>147</v>
      </c>
      <c r="AC39" s="99" t="s">
        <v>147</v>
      </c>
      <c r="AD39" s="102" t="s">
        <v>187</v>
      </c>
      <c r="AE39" s="102" t="s">
        <v>187</v>
      </c>
      <c r="AF39" s="102" t="s">
        <v>187</v>
      </c>
      <c r="AG39" s="102" t="s">
        <v>187</v>
      </c>
      <c r="AH39" s="102" t="s">
        <v>187</v>
      </c>
      <c r="AI39" s="99" t="s">
        <v>147</v>
      </c>
      <c r="AJ39" s="99" t="s">
        <v>147</v>
      </c>
      <c r="AK39" s="159">
        <v>226</v>
      </c>
      <c r="AL39" s="160">
        <v>226</v>
      </c>
      <c r="AM39" s="157">
        <v>0</v>
      </c>
      <c r="AN39" s="160">
        <v>226</v>
      </c>
      <c r="AO39" s="146">
        <v>9450</v>
      </c>
      <c r="AP39" s="146">
        <v>9224</v>
      </c>
      <c r="AQ39" s="161">
        <v>0.97609999999999997</v>
      </c>
      <c r="AR39" s="146">
        <v>21</v>
      </c>
      <c r="AS39" s="146">
        <v>21</v>
      </c>
      <c r="AT39" s="146">
        <v>21</v>
      </c>
      <c r="AU39" s="156">
        <v>10</v>
      </c>
      <c r="AV39" s="157">
        <v>0</v>
      </c>
      <c r="AW39" s="157">
        <v>0</v>
      </c>
      <c r="AX39" s="157">
        <v>0</v>
      </c>
      <c r="AY39" s="146"/>
    </row>
    <row r="40" spans="1:51">
      <c r="A40" s="162" t="s">
        <v>104</v>
      </c>
      <c r="B40" s="156" t="s">
        <v>265</v>
      </c>
      <c r="C40" s="157" t="s">
        <v>266</v>
      </c>
      <c r="D40" s="157" t="s">
        <v>22</v>
      </c>
      <c r="E40" s="158" t="s">
        <v>25</v>
      </c>
      <c r="F40" s="98" t="s">
        <v>148</v>
      </c>
      <c r="G40" s="99" t="s">
        <v>147</v>
      </c>
      <c r="H40" s="99" t="s">
        <v>147</v>
      </c>
      <c r="I40" s="98" t="s">
        <v>174</v>
      </c>
      <c r="J40" s="98" t="s">
        <v>148</v>
      </c>
      <c r="K40" s="98" t="s">
        <v>148</v>
      </c>
      <c r="L40" s="98" t="s">
        <v>148</v>
      </c>
      <c r="M40" s="98" t="s">
        <v>148</v>
      </c>
      <c r="N40" s="99" t="s">
        <v>147</v>
      </c>
      <c r="O40" s="99" t="s">
        <v>147</v>
      </c>
      <c r="P40" s="100">
        <v>18</v>
      </c>
      <c r="Q40" s="98" t="s">
        <v>148</v>
      </c>
      <c r="R40" s="100">
        <v>1</v>
      </c>
      <c r="S40" s="102">
        <v>450</v>
      </c>
      <c r="T40" s="102">
        <v>450</v>
      </c>
      <c r="U40" s="99" t="s">
        <v>147</v>
      </c>
      <c r="V40" s="99" t="s">
        <v>147</v>
      </c>
      <c r="W40" s="102" t="s">
        <v>148</v>
      </c>
      <c r="X40" s="102" t="s">
        <v>148</v>
      </c>
      <c r="Y40" s="100">
        <v>16</v>
      </c>
      <c r="Z40" s="102" t="s">
        <v>148</v>
      </c>
      <c r="AA40" s="102" t="s">
        <v>187</v>
      </c>
      <c r="AB40" s="99" t="s">
        <v>147</v>
      </c>
      <c r="AC40" s="99" t="s">
        <v>147</v>
      </c>
      <c r="AD40" s="102" t="s">
        <v>187</v>
      </c>
      <c r="AE40" s="102" t="s">
        <v>187</v>
      </c>
      <c r="AF40" s="102" t="s">
        <v>187</v>
      </c>
      <c r="AG40" s="102" t="s">
        <v>187</v>
      </c>
      <c r="AH40" s="102" t="s">
        <v>187</v>
      </c>
      <c r="AI40" s="99" t="s">
        <v>147</v>
      </c>
      <c r="AJ40" s="99" t="s">
        <v>147</v>
      </c>
      <c r="AK40" s="159">
        <v>18</v>
      </c>
      <c r="AL40" s="160">
        <v>18</v>
      </c>
      <c r="AM40" s="157">
        <v>0</v>
      </c>
      <c r="AN40" s="160">
        <v>18</v>
      </c>
      <c r="AO40" s="146">
        <v>9450</v>
      </c>
      <c r="AP40" s="146">
        <v>9432</v>
      </c>
      <c r="AQ40" s="161">
        <v>0.99809999999999999</v>
      </c>
      <c r="AR40" s="146">
        <v>21</v>
      </c>
      <c r="AS40" s="146">
        <v>21</v>
      </c>
      <c r="AT40" s="146">
        <v>21</v>
      </c>
      <c r="AU40" s="156">
        <v>10</v>
      </c>
      <c r="AV40" s="157">
        <v>0</v>
      </c>
      <c r="AW40" s="157">
        <v>0</v>
      </c>
      <c r="AX40" s="157">
        <v>0</v>
      </c>
      <c r="AY40" s="146"/>
    </row>
    <row r="41" spans="1:51">
      <c r="A41" s="162" t="s">
        <v>289</v>
      </c>
      <c r="B41" s="156" t="s">
        <v>265</v>
      </c>
      <c r="C41" s="157" t="s">
        <v>266</v>
      </c>
      <c r="D41" s="157" t="s">
        <v>22</v>
      </c>
      <c r="E41" s="158" t="s">
        <v>56</v>
      </c>
      <c r="F41" s="106">
        <v>450</v>
      </c>
      <c r="G41" s="98" t="s">
        <v>148</v>
      </c>
      <c r="H41" s="98" t="s">
        <v>148</v>
      </c>
      <c r="I41" s="99" t="s">
        <v>147</v>
      </c>
      <c r="J41" s="98" t="s">
        <v>148</v>
      </c>
      <c r="K41" s="100">
        <v>22</v>
      </c>
      <c r="L41" s="98" t="s">
        <v>148</v>
      </c>
      <c r="M41" s="98" t="s">
        <v>148</v>
      </c>
      <c r="N41" s="98" t="s">
        <v>148</v>
      </c>
      <c r="O41" s="99" t="s">
        <v>147</v>
      </c>
      <c r="P41" s="100">
        <v>2</v>
      </c>
      <c r="Q41" s="100">
        <v>1</v>
      </c>
      <c r="R41" s="98" t="s">
        <v>148</v>
      </c>
      <c r="S41" s="98" t="s">
        <v>148</v>
      </c>
      <c r="T41" s="102">
        <v>450</v>
      </c>
      <c r="U41" s="99" t="s">
        <v>147</v>
      </c>
      <c r="V41" s="99" t="s">
        <v>147</v>
      </c>
      <c r="W41" s="102" t="s">
        <v>148</v>
      </c>
      <c r="X41" s="102" t="s">
        <v>148</v>
      </c>
      <c r="Y41" s="102" t="s">
        <v>148</v>
      </c>
      <c r="Z41" s="102" t="s">
        <v>148</v>
      </c>
      <c r="AA41" s="102" t="s">
        <v>187</v>
      </c>
      <c r="AB41" s="99" t="s">
        <v>147</v>
      </c>
      <c r="AC41" s="99" t="s">
        <v>147</v>
      </c>
      <c r="AD41" s="102" t="s">
        <v>187</v>
      </c>
      <c r="AE41" s="102" t="s">
        <v>187</v>
      </c>
      <c r="AF41" s="102" t="s">
        <v>187</v>
      </c>
      <c r="AG41" s="102" t="s">
        <v>187</v>
      </c>
      <c r="AH41" s="102" t="s">
        <v>187</v>
      </c>
      <c r="AI41" s="99" t="s">
        <v>147</v>
      </c>
      <c r="AJ41" s="99" t="s">
        <v>147</v>
      </c>
      <c r="AK41" s="159">
        <v>474</v>
      </c>
      <c r="AL41" s="160">
        <v>24</v>
      </c>
      <c r="AM41" s="157">
        <v>450</v>
      </c>
      <c r="AN41" s="160">
        <v>474</v>
      </c>
      <c r="AO41" s="146">
        <v>10350</v>
      </c>
      <c r="AP41" s="146">
        <v>9876</v>
      </c>
      <c r="AQ41" s="161">
        <v>0.95420000000000005</v>
      </c>
      <c r="AR41" s="146">
        <v>22</v>
      </c>
      <c r="AS41" s="146">
        <v>23</v>
      </c>
      <c r="AT41" s="146">
        <v>23</v>
      </c>
      <c r="AU41" s="156">
        <v>8</v>
      </c>
      <c r="AV41" s="157">
        <v>0</v>
      </c>
      <c r="AW41" s="157">
        <v>0</v>
      </c>
      <c r="AX41" s="157">
        <v>1</v>
      </c>
      <c r="AY41" s="146"/>
    </row>
    <row r="42" spans="1:51">
      <c r="A42" s="162" t="s">
        <v>290</v>
      </c>
      <c r="B42" s="156" t="s">
        <v>265</v>
      </c>
      <c r="C42" s="157" t="s">
        <v>266</v>
      </c>
      <c r="D42" s="157" t="s">
        <v>22</v>
      </c>
      <c r="E42" s="158" t="s">
        <v>30</v>
      </c>
      <c r="F42" s="100">
        <v>17</v>
      </c>
      <c r="G42" s="98" t="s">
        <v>148</v>
      </c>
      <c r="H42" s="98" t="s">
        <v>148</v>
      </c>
      <c r="I42" s="99" t="s">
        <v>147</v>
      </c>
      <c r="J42" s="98" t="s">
        <v>148</v>
      </c>
      <c r="K42" s="98" t="s">
        <v>148</v>
      </c>
      <c r="L42" s="98" t="s">
        <v>148</v>
      </c>
      <c r="M42" s="98" t="s">
        <v>148</v>
      </c>
      <c r="N42" s="98" t="s">
        <v>148</v>
      </c>
      <c r="O42" s="99" t="s">
        <v>147</v>
      </c>
      <c r="P42" s="98" t="s">
        <v>148</v>
      </c>
      <c r="Q42" s="98" t="s">
        <v>148</v>
      </c>
      <c r="R42" s="98" t="s">
        <v>148</v>
      </c>
      <c r="S42" s="98" t="s">
        <v>148</v>
      </c>
      <c r="T42" s="98" t="s">
        <v>148</v>
      </c>
      <c r="U42" s="99" t="s">
        <v>147</v>
      </c>
      <c r="V42" s="99" t="s">
        <v>147</v>
      </c>
      <c r="W42" s="98" t="s">
        <v>148</v>
      </c>
      <c r="X42" s="100">
        <v>5</v>
      </c>
      <c r="Y42" s="98" t="s">
        <v>148</v>
      </c>
      <c r="Z42" s="98" t="s">
        <v>148</v>
      </c>
      <c r="AA42" s="102" t="s">
        <v>187</v>
      </c>
      <c r="AB42" s="99" t="s">
        <v>147</v>
      </c>
      <c r="AC42" s="99" t="s">
        <v>147</v>
      </c>
      <c r="AD42" s="102" t="s">
        <v>187</v>
      </c>
      <c r="AE42" s="102" t="s">
        <v>187</v>
      </c>
      <c r="AF42" s="102" t="s">
        <v>187</v>
      </c>
      <c r="AG42" s="102" t="s">
        <v>187</v>
      </c>
      <c r="AH42" s="102" t="s">
        <v>187</v>
      </c>
      <c r="AI42" s="99" t="s">
        <v>147</v>
      </c>
      <c r="AJ42" s="99" t="s">
        <v>147</v>
      </c>
      <c r="AK42" s="159">
        <v>17</v>
      </c>
      <c r="AL42" s="160">
        <v>17</v>
      </c>
      <c r="AM42" s="157">
        <v>0</v>
      </c>
      <c r="AN42" s="160">
        <v>17</v>
      </c>
      <c r="AO42" s="146">
        <v>10350</v>
      </c>
      <c r="AP42" s="146">
        <v>10333</v>
      </c>
      <c r="AQ42" s="161">
        <v>0.99839999999999995</v>
      </c>
      <c r="AR42" s="146">
        <v>23</v>
      </c>
      <c r="AS42" s="146">
        <v>23</v>
      </c>
      <c r="AT42" s="146">
        <v>23</v>
      </c>
      <c r="AU42" s="156">
        <v>8</v>
      </c>
      <c r="AV42" s="157">
        <v>0</v>
      </c>
      <c r="AW42" s="157">
        <v>0</v>
      </c>
      <c r="AX42" s="157">
        <v>0</v>
      </c>
      <c r="AY42" s="146"/>
    </row>
    <row r="43" spans="1:51">
      <c r="A43" s="162" t="s">
        <v>231</v>
      </c>
      <c r="B43" s="156" t="s">
        <v>265</v>
      </c>
      <c r="C43" s="157" t="s">
        <v>266</v>
      </c>
      <c r="D43" s="157" t="s">
        <v>22</v>
      </c>
      <c r="E43" s="158" t="s">
        <v>30</v>
      </c>
      <c r="F43" s="98" t="s">
        <v>148</v>
      </c>
      <c r="G43" s="99" t="s">
        <v>147</v>
      </c>
      <c r="H43" s="99" t="s">
        <v>147</v>
      </c>
      <c r="I43" s="98" t="s">
        <v>148</v>
      </c>
      <c r="J43" s="98" t="s">
        <v>148</v>
      </c>
      <c r="K43" s="100">
        <v>6</v>
      </c>
      <c r="L43" s="98" t="s">
        <v>148</v>
      </c>
      <c r="M43" s="98" t="s">
        <v>148</v>
      </c>
      <c r="N43" s="99" t="s">
        <v>147</v>
      </c>
      <c r="O43" s="99" t="s">
        <v>147</v>
      </c>
      <c r="P43" s="98" t="s">
        <v>148</v>
      </c>
      <c r="Q43" s="98" t="s">
        <v>148</v>
      </c>
      <c r="R43" s="98" t="s">
        <v>148</v>
      </c>
      <c r="S43" s="98" t="s">
        <v>148</v>
      </c>
      <c r="T43" s="98" t="s">
        <v>148</v>
      </c>
      <c r="U43" s="99" t="s">
        <v>147</v>
      </c>
      <c r="V43" s="99" t="s">
        <v>147</v>
      </c>
      <c r="W43" s="98" t="s">
        <v>148</v>
      </c>
      <c r="X43" s="98" t="s">
        <v>148</v>
      </c>
      <c r="Y43" s="100">
        <v>2</v>
      </c>
      <c r="Z43" s="98" t="s">
        <v>148</v>
      </c>
      <c r="AA43" s="102" t="s">
        <v>187</v>
      </c>
      <c r="AB43" s="99" t="s">
        <v>147</v>
      </c>
      <c r="AC43" s="99" t="s">
        <v>147</v>
      </c>
      <c r="AD43" s="102" t="s">
        <v>187</v>
      </c>
      <c r="AE43" s="102" t="s">
        <v>187</v>
      </c>
      <c r="AF43" s="102" t="s">
        <v>187</v>
      </c>
      <c r="AG43" s="102" t="s">
        <v>187</v>
      </c>
      <c r="AH43" s="102" t="s">
        <v>187</v>
      </c>
      <c r="AI43" s="99" t="s">
        <v>147</v>
      </c>
      <c r="AJ43" s="99" t="s">
        <v>147</v>
      </c>
      <c r="AK43" s="159">
        <v>6</v>
      </c>
      <c r="AL43" s="160">
        <v>6</v>
      </c>
      <c r="AM43" s="157">
        <v>0</v>
      </c>
      <c r="AN43" s="160">
        <v>6</v>
      </c>
      <c r="AO43" s="146">
        <v>9450</v>
      </c>
      <c r="AP43" s="146">
        <v>9444</v>
      </c>
      <c r="AQ43" s="161">
        <v>0.99939999999999996</v>
      </c>
      <c r="AR43" s="146">
        <v>21</v>
      </c>
      <c r="AS43" s="146">
        <v>21</v>
      </c>
      <c r="AT43" s="146">
        <v>21</v>
      </c>
      <c r="AU43" s="156">
        <v>10</v>
      </c>
      <c r="AV43" s="157">
        <v>0</v>
      </c>
      <c r="AW43" s="157">
        <v>0</v>
      </c>
      <c r="AX43" s="157">
        <v>0</v>
      </c>
      <c r="AY43" s="146"/>
    </row>
    <row r="44" spans="1:51">
      <c r="A44" s="162" t="s">
        <v>291</v>
      </c>
      <c r="B44" s="156" t="s">
        <v>265</v>
      </c>
      <c r="C44" s="157" t="s">
        <v>266</v>
      </c>
      <c r="D44" s="157" t="s">
        <v>22</v>
      </c>
      <c r="E44" s="158" t="s">
        <v>30</v>
      </c>
      <c r="F44" s="100">
        <v>3</v>
      </c>
      <c r="G44" s="99" t="s">
        <v>147</v>
      </c>
      <c r="H44" s="99" t="s">
        <v>147</v>
      </c>
      <c r="I44" s="100">
        <v>2</v>
      </c>
      <c r="J44" s="102">
        <v>450</v>
      </c>
      <c r="K44" s="98" t="s">
        <v>148</v>
      </c>
      <c r="L44" s="102">
        <v>450</v>
      </c>
      <c r="M44" s="98" t="s">
        <v>148</v>
      </c>
      <c r="N44" s="99" t="s">
        <v>147</v>
      </c>
      <c r="O44" s="99" t="s">
        <v>147</v>
      </c>
      <c r="P44" s="102">
        <v>450</v>
      </c>
      <c r="Q44" s="98" t="s">
        <v>148</v>
      </c>
      <c r="R44" s="102">
        <v>450</v>
      </c>
      <c r="S44" s="102">
        <v>450</v>
      </c>
      <c r="T44" s="100">
        <v>10</v>
      </c>
      <c r="U44" s="99" t="s">
        <v>147</v>
      </c>
      <c r="V44" s="99" t="s">
        <v>147</v>
      </c>
      <c r="W44" s="102" t="s">
        <v>292</v>
      </c>
      <c r="X44" s="102" t="s">
        <v>292</v>
      </c>
      <c r="Y44" s="102" t="s">
        <v>292</v>
      </c>
      <c r="Z44" s="102" t="s">
        <v>292</v>
      </c>
      <c r="AA44" s="102" t="s">
        <v>187</v>
      </c>
      <c r="AB44" s="99" t="s">
        <v>147</v>
      </c>
      <c r="AC44" s="99" t="s">
        <v>147</v>
      </c>
      <c r="AD44" s="102" t="s">
        <v>187</v>
      </c>
      <c r="AE44" s="102" t="s">
        <v>187</v>
      </c>
      <c r="AF44" s="102" t="s">
        <v>187</v>
      </c>
      <c r="AG44" s="102" t="s">
        <v>187</v>
      </c>
      <c r="AH44" s="102" t="s">
        <v>187</v>
      </c>
      <c r="AI44" s="99" t="s">
        <v>147</v>
      </c>
      <c r="AJ44" s="99" t="s">
        <v>147</v>
      </c>
      <c r="AK44" s="159">
        <v>1355</v>
      </c>
      <c r="AL44" s="160">
        <v>5</v>
      </c>
      <c r="AM44" s="157">
        <v>1350</v>
      </c>
      <c r="AN44" s="160">
        <v>1355</v>
      </c>
      <c r="AO44" s="146">
        <v>9450</v>
      </c>
      <c r="AP44" s="146">
        <v>8095</v>
      </c>
      <c r="AQ44" s="161">
        <v>0.85660000000000003</v>
      </c>
      <c r="AR44" s="146">
        <v>18</v>
      </c>
      <c r="AS44" s="146">
        <v>21</v>
      </c>
      <c r="AT44" s="146">
        <v>21</v>
      </c>
      <c r="AU44" s="156">
        <v>10</v>
      </c>
      <c r="AV44" s="157">
        <v>0</v>
      </c>
      <c r="AW44" s="157">
        <v>0</v>
      </c>
      <c r="AX44" s="157">
        <v>3</v>
      </c>
      <c r="AY44" s="146"/>
    </row>
    <row r="45" spans="1:51">
      <c r="A45" s="162" t="s">
        <v>293</v>
      </c>
      <c r="B45" s="156" t="s">
        <v>265</v>
      </c>
      <c r="C45" s="157" t="s">
        <v>266</v>
      </c>
      <c r="D45" s="157" t="s">
        <v>22</v>
      </c>
      <c r="E45" s="158" t="s">
        <v>33</v>
      </c>
      <c r="F45" s="98" t="s">
        <v>148</v>
      </c>
      <c r="G45" s="98" t="s">
        <v>148</v>
      </c>
      <c r="H45" s="99" t="s">
        <v>147</v>
      </c>
      <c r="I45" s="98" t="s">
        <v>148</v>
      </c>
      <c r="J45" s="98" t="s">
        <v>148</v>
      </c>
      <c r="K45" s="98" t="s">
        <v>148</v>
      </c>
      <c r="L45" s="98" t="s">
        <v>148</v>
      </c>
      <c r="M45" s="98" t="s">
        <v>148</v>
      </c>
      <c r="N45" s="99" t="s">
        <v>147</v>
      </c>
      <c r="O45" s="99" t="s">
        <v>147</v>
      </c>
      <c r="P45" s="98" t="s">
        <v>148</v>
      </c>
      <c r="Q45" s="98" t="s">
        <v>148</v>
      </c>
      <c r="R45" s="98" t="s">
        <v>148</v>
      </c>
      <c r="S45" s="98" t="s">
        <v>148</v>
      </c>
      <c r="T45" s="98" t="s">
        <v>148</v>
      </c>
      <c r="U45" s="99" t="s">
        <v>147</v>
      </c>
      <c r="V45" s="99" t="s">
        <v>147</v>
      </c>
      <c r="W45" s="98" t="s">
        <v>148</v>
      </c>
      <c r="X45" s="98" t="s">
        <v>148</v>
      </c>
      <c r="Y45" s="98" t="s">
        <v>148</v>
      </c>
      <c r="Z45" s="98" t="s">
        <v>148</v>
      </c>
      <c r="AA45" s="102" t="s">
        <v>187</v>
      </c>
      <c r="AB45" s="99" t="s">
        <v>147</v>
      </c>
      <c r="AC45" s="99" t="s">
        <v>147</v>
      </c>
      <c r="AD45" s="102" t="s">
        <v>187</v>
      </c>
      <c r="AE45" s="102" t="s">
        <v>187</v>
      </c>
      <c r="AF45" s="102" t="s">
        <v>187</v>
      </c>
      <c r="AG45" s="102" t="s">
        <v>187</v>
      </c>
      <c r="AH45" s="102" t="s">
        <v>187</v>
      </c>
      <c r="AI45" s="99" t="s">
        <v>147</v>
      </c>
      <c r="AJ45" s="99" t="s">
        <v>147</v>
      </c>
      <c r="AK45" s="159">
        <v>0</v>
      </c>
      <c r="AL45" s="160">
        <v>0</v>
      </c>
      <c r="AM45" s="157">
        <v>0</v>
      </c>
      <c r="AN45" s="160">
        <v>0</v>
      </c>
      <c r="AO45" s="146">
        <v>9900</v>
      </c>
      <c r="AP45" s="146">
        <v>9900</v>
      </c>
      <c r="AQ45" s="161">
        <v>1</v>
      </c>
      <c r="AR45" s="146">
        <v>22</v>
      </c>
      <c r="AS45" s="146">
        <v>22</v>
      </c>
      <c r="AT45" s="146">
        <v>22</v>
      </c>
      <c r="AU45" s="156">
        <v>9</v>
      </c>
      <c r="AV45" s="157">
        <v>0</v>
      </c>
      <c r="AW45" s="157">
        <v>0</v>
      </c>
      <c r="AX45" s="157">
        <v>0</v>
      </c>
      <c r="AY45" s="146"/>
    </row>
    <row r="46" spans="1:51">
      <c r="A46" s="162" t="s">
        <v>294</v>
      </c>
      <c r="B46" s="156" t="s">
        <v>265</v>
      </c>
      <c r="C46" s="157" t="s">
        <v>266</v>
      </c>
      <c r="D46" s="157" t="s">
        <v>22</v>
      </c>
      <c r="E46" s="158" t="s">
        <v>63</v>
      </c>
      <c r="F46" s="100">
        <v>18</v>
      </c>
      <c r="G46" s="98" t="s">
        <v>148</v>
      </c>
      <c r="H46" s="99" t="s">
        <v>147</v>
      </c>
      <c r="I46" s="100">
        <v>7</v>
      </c>
      <c r="J46" s="98" t="s">
        <v>148</v>
      </c>
      <c r="K46" s="98" t="s">
        <v>148</v>
      </c>
      <c r="L46" s="104" t="s">
        <v>12</v>
      </c>
      <c r="M46" s="104" t="s">
        <v>12</v>
      </c>
      <c r="N46" s="99" t="s">
        <v>147</v>
      </c>
      <c r="O46" s="99" t="s">
        <v>147</v>
      </c>
      <c r="P46" s="100">
        <v>1</v>
      </c>
      <c r="Q46" s="98" t="s">
        <v>148</v>
      </c>
      <c r="R46" s="98" t="s">
        <v>148</v>
      </c>
      <c r="S46" s="98" t="s">
        <v>148</v>
      </c>
      <c r="T46" s="98" t="s">
        <v>148</v>
      </c>
      <c r="U46" s="99" t="s">
        <v>147</v>
      </c>
      <c r="V46" s="99" t="s">
        <v>147</v>
      </c>
      <c r="W46" s="102" t="s">
        <v>148</v>
      </c>
      <c r="X46" s="102" t="s">
        <v>148</v>
      </c>
      <c r="Y46" s="102" t="s">
        <v>148</v>
      </c>
      <c r="Z46" s="102" t="s">
        <v>148</v>
      </c>
      <c r="AA46" s="102" t="s">
        <v>187</v>
      </c>
      <c r="AB46" s="99" t="s">
        <v>147</v>
      </c>
      <c r="AC46" s="99" t="s">
        <v>147</v>
      </c>
      <c r="AD46" s="102" t="s">
        <v>187</v>
      </c>
      <c r="AE46" s="102" t="s">
        <v>187</v>
      </c>
      <c r="AF46" s="102" t="s">
        <v>187</v>
      </c>
      <c r="AG46" s="102" t="s">
        <v>187</v>
      </c>
      <c r="AH46" s="102" t="s">
        <v>187</v>
      </c>
      <c r="AI46" s="99" t="s">
        <v>147</v>
      </c>
      <c r="AJ46" s="99" t="s">
        <v>147</v>
      </c>
      <c r="AK46" s="159">
        <v>26</v>
      </c>
      <c r="AL46" s="160">
        <v>26</v>
      </c>
      <c r="AM46" s="157">
        <v>0</v>
      </c>
      <c r="AN46" s="160">
        <v>26</v>
      </c>
      <c r="AO46" s="146">
        <v>9000</v>
      </c>
      <c r="AP46" s="146">
        <v>8974</v>
      </c>
      <c r="AQ46" s="161">
        <v>0.99709999999999999</v>
      </c>
      <c r="AR46" s="146">
        <v>20</v>
      </c>
      <c r="AS46" s="146">
        <v>20</v>
      </c>
      <c r="AT46" s="146">
        <v>22</v>
      </c>
      <c r="AU46" s="156">
        <v>9</v>
      </c>
      <c r="AV46" s="157">
        <v>2</v>
      </c>
      <c r="AW46" s="157">
        <v>0</v>
      </c>
      <c r="AX46" s="157">
        <v>0</v>
      </c>
      <c r="AY46" s="146"/>
    </row>
    <row r="47" spans="1:51">
      <c r="A47" s="162" t="s">
        <v>117</v>
      </c>
      <c r="B47" s="156" t="s">
        <v>265</v>
      </c>
      <c r="C47" s="157" t="s">
        <v>266</v>
      </c>
      <c r="D47" s="157" t="s">
        <v>22</v>
      </c>
      <c r="E47" s="158" t="s">
        <v>30</v>
      </c>
      <c r="F47" s="98" t="s">
        <v>148</v>
      </c>
      <c r="G47" s="99" t="s">
        <v>147</v>
      </c>
      <c r="H47" s="99" t="s">
        <v>147</v>
      </c>
      <c r="I47" s="98" t="s">
        <v>148</v>
      </c>
      <c r="J47" s="98" t="s">
        <v>148</v>
      </c>
      <c r="K47" s="98" t="s">
        <v>148</v>
      </c>
      <c r="L47" s="98" t="s">
        <v>148</v>
      </c>
      <c r="M47" s="98" t="s">
        <v>148</v>
      </c>
      <c r="N47" s="99" t="s">
        <v>147</v>
      </c>
      <c r="O47" s="99" t="s">
        <v>147</v>
      </c>
      <c r="P47" s="98" t="s">
        <v>148</v>
      </c>
      <c r="Q47" s="98" t="s">
        <v>148</v>
      </c>
      <c r="R47" s="98" t="s">
        <v>148</v>
      </c>
      <c r="S47" s="98" t="s">
        <v>148</v>
      </c>
      <c r="T47" s="98" t="s">
        <v>148</v>
      </c>
      <c r="U47" s="99" t="s">
        <v>147</v>
      </c>
      <c r="V47" s="99" t="s">
        <v>147</v>
      </c>
      <c r="W47" s="98" t="s">
        <v>148</v>
      </c>
      <c r="X47" s="98" t="s">
        <v>148</v>
      </c>
      <c r="Y47" s="98" t="s">
        <v>148</v>
      </c>
      <c r="Z47" s="98" t="s">
        <v>148</v>
      </c>
      <c r="AA47" s="102" t="s">
        <v>187</v>
      </c>
      <c r="AB47" s="99" t="s">
        <v>147</v>
      </c>
      <c r="AC47" s="99" t="s">
        <v>147</v>
      </c>
      <c r="AD47" s="102" t="s">
        <v>187</v>
      </c>
      <c r="AE47" s="102" t="s">
        <v>187</v>
      </c>
      <c r="AF47" s="102" t="s">
        <v>187</v>
      </c>
      <c r="AG47" s="102" t="s">
        <v>187</v>
      </c>
      <c r="AH47" s="102" t="s">
        <v>187</v>
      </c>
      <c r="AI47" s="99" t="s">
        <v>147</v>
      </c>
      <c r="AJ47" s="99" t="s">
        <v>147</v>
      </c>
      <c r="AK47" s="159">
        <v>0</v>
      </c>
      <c r="AL47" s="160">
        <v>0</v>
      </c>
      <c r="AM47" s="157">
        <v>0</v>
      </c>
      <c r="AN47" s="160">
        <v>0</v>
      </c>
      <c r="AO47" s="146">
        <v>9450</v>
      </c>
      <c r="AP47" s="146">
        <v>9450</v>
      </c>
      <c r="AQ47" s="161">
        <v>1</v>
      </c>
      <c r="AR47" s="146">
        <v>21</v>
      </c>
      <c r="AS47" s="146">
        <v>21</v>
      </c>
      <c r="AT47" s="146">
        <v>21</v>
      </c>
      <c r="AU47" s="156">
        <v>10</v>
      </c>
      <c r="AV47" s="157">
        <v>0</v>
      </c>
      <c r="AW47" s="157">
        <v>0</v>
      </c>
      <c r="AX47" s="157">
        <v>0</v>
      </c>
      <c r="AY47" s="146"/>
    </row>
    <row r="48" spans="1:51">
      <c r="A48" s="162" t="s">
        <v>295</v>
      </c>
      <c r="B48" s="156" t="s">
        <v>265</v>
      </c>
      <c r="C48" s="157" t="s">
        <v>266</v>
      </c>
      <c r="D48" s="157" t="s">
        <v>22</v>
      </c>
      <c r="E48" s="158" t="s">
        <v>30</v>
      </c>
      <c r="F48" s="98" t="s">
        <v>148</v>
      </c>
      <c r="G48" s="99" t="s">
        <v>147</v>
      </c>
      <c r="H48" s="99" t="s">
        <v>147</v>
      </c>
      <c r="I48" s="102" t="s">
        <v>187</v>
      </c>
      <c r="J48" s="102" t="s">
        <v>187</v>
      </c>
      <c r="K48" s="102" t="s">
        <v>187</v>
      </c>
      <c r="L48" s="102" t="s">
        <v>187</v>
      </c>
      <c r="M48" s="102" t="s">
        <v>187</v>
      </c>
      <c r="N48" s="99" t="s">
        <v>147</v>
      </c>
      <c r="O48" s="99" t="s">
        <v>147</v>
      </c>
      <c r="P48" s="102" t="s">
        <v>187</v>
      </c>
      <c r="Q48" s="102" t="s">
        <v>187</v>
      </c>
      <c r="R48" s="102" t="s">
        <v>187</v>
      </c>
      <c r="S48" s="102" t="s">
        <v>187</v>
      </c>
      <c r="T48" s="102" t="s">
        <v>187</v>
      </c>
      <c r="U48" s="99" t="s">
        <v>147</v>
      </c>
      <c r="V48" s="99" t="s">
        <v>147</v>
      </c>
      <c r="W48" s="102" t="s">
        <v>187</v>
      </c>
      <c r="X48" s="102" t="s">
        <v>187</v>
      </c>
      <c r="Y48" s="102" t="s">
        <v>187</v>
      </c>
      <c r="Z48" s="102" t="s">
        <v>187</v>
      </c>
      <c r="AA48" s="102" t="s">
        <v>187</v>
      </c>
      <c r="AB48" s="99" t="s">
        <v>147</v>
      </c>
      <c r="AC48" s="99" t="s">
        <v>147</v>
      </c>
      <c r="AD48" s="102" t="s">
        <v>187</v>
      </c>
      <c r="AE48" s="102" t="s">
        <v>187</v>
      </c>
      <c r="AF48" s="102" t="s">
        <v>187</v>
      </c>
      <c r="AG48" s="102" t="s">
        <v>187</v>
      </c>
      <c r="AH48" s="102" t="s">
        <v>187</v>
      </c>
      <c r="AI48" s="99" t="s">
        <v>147</v>
      </c>
      <c r="AJ48" s="99" t="s">
        <v>147</v>
      </c>
      <c r="AK48" s="159">
        <v>0</v>
      </c>
      <c r="AL48" s="160">
        <v>0</v>
      </c>
      <c r="AM48" s="157">
        <v>0</v>
      </c>
      <c r="AN48" s="160">
        <v>0</v>
      </c>
      <c r="AO48" s="146">
        <v>9450</v>
      </c>
      <c r="AP48" s="146">
        <v>9450</v>
      </c>
      <c r="AQ48" s="161">
        <v>1</v>
      </c>
      <c r="AR48" s="146">
        <v>21</v>
      </c>
      <c r="AS48" s="146">
        <v>21</v>
      </c>
      <c r="AT48" s="146">
        <v>21</v>
      </c>
      <c r="AU48" s="156">
        <v>10</v>
      </c>
      <c r="AV48" s="157">
        <v>0</v>
      </c>
      <c r="AW48" s="157">
        <v>0</v>
      </c>
      <c r="AX48" s="157">
        <v>0</v>
      </c>
      <c r="AY48" s="146"/>
    </row>
    <row r="49" spans="1:51">
      <c r="A49" s="162" t="s">
        <v>296</v>
      </c>
      <c r="B49" s="156" t="s">
        <v>265</v>
      </c>
      <c r="C49" s="157" t="s">
        <v>266</v>
      </c>
      <c r="D49" s="157" t="s">
        <v>22</v>
      </c>
      <c r="E49" s="158" t="s">
        <v>30</v>
      </c>
      <c r="F49" s="98" t="s">
        <v>148</v>
      </c>
      <c r="G49" s="98" t="s">
        <v>148</v>
      </c>
      <c r="H49" s="99" t="s">
        <v>147</v>
      </c>
      <c r="I49" s="98" t="s">
        <v>148</v>
      </c>
      <c r="J49" s="98" t="s">
        <v>148</v>
      </c>
      <c r="K49" s="98" t="s">
        <v>148</v>
      </c>
      <c r="L49" s="98" t="s">
        <v>148</v>
      </c>
      <c r="M49" s="98" t="s">
        <v>148</v>
      </c>
      <c r="N49" s="99" t="s">
        <v>147</v>
      </c>
      <c r="O49" s="99" t="s">
        <v>147</v>
      </c>
      <c r="P49" s="98" t="s">
        <v>148</v>
      </c>
      <c r="Q49" s="98" t="s">
        <v>148</v>
      </c>
      <c r="R49" s="102" t="s">
        <v>148</v>
      </c>
      <c r="S49" s="102" t="s">
        <v>148</v>
      </c>
      <c r="T49" s="102" t="s">
        <v>148</v>
      </c>
      <c r="U49" s="99" t="s">
        <v>147</v>
      </c>
      <c r="V49" s="99" t="s">
        <v>147</v>
      </c>
      <c r="W49" s="102" t="s">
        <v>148</v>
      </c>
      <c r="X49" s="98" t="s">
        <v>148</v>
      </c>
      <c r="Y49" s="98" t="s">
        <v>148</v>
      </c>
      <c r="Z49" s="98" t="s">
        <v>148</v>
      </c>
      <c r="AA49" s="102" t="s">
        <v>187</v>
      </c>
      <c r="AB49" s="99" t="s">
        <v>147</v>
      </c>
      <c r="AC49" s="99" t="s">
        <v>147</v>
      </c>
      <c r="AD49" s="102" t="s">
        <v>187</v>
      </c>
      <c r="AE49" s="102" t="s">
        <v>187</v>
      </c>
      <c r="AF49" s="102" t="s">
        <v>187</v>
      </c>
      <c r="AG49" s="102" t="s">
        <v>187</v>
      </c>
      <c r="AH49" s="102" t="s">
        <v>187</v>
      </c>
      <c r="AI49" s="99" t="s">
        <v>147</v>
      </c>
      <c r="AJ49" s="99" t="s">
        <v>147</v>
      </c>
      <c r="AK49" s="159">
        <v>0</v>
      </c>
      <c r="AL49" s="160">
        <v>0</v>
      </c>
      <c r="AM49" s="157">
        <v>0</v>
      </c>
      <c r="AN49" s="160">
        <v>0</v>
      </c>
      <c r="AO49" s="146">
        <v>9900</v>
      </c>
      <c r="AP49" s="146">
        <v>9900</v>
      </c>
      <c r="AQ49" s="161">
        <v>1</v>
      </c>
      <c r="AR49" s="146">
        <v>22</v>
      </c>
      <c r="AS49" s="146">
        <v>22</v>
      </c>
      <c r="AT49" s="146">
        <v>22</v>
      </c>
      <c r="AU49" s="156">
        <v>9</v>
      </c>
      <c r="AV49" s="157">
        <v>0</v>
      </c>
      <c r="AW49" s="157">
        <v>0</v>
      </c>
      <c r="AX49" s="157">
        <v>0</v>
      </c>
      <c r="AY49" s="146"/>
    </row>
    <row r="50" spans="1:51">
      <c r="A50" s="162" t="s">
        <v>237</v>
      </c>
      <c r="B50" s="156" t="s">
        <v>265</v>
      </c>
      <c r="C50" s="157" t="s">
        <v>266</v>
      </c>
      <c r="D50" s="157" t="s">
        <v>22</v>
      </c>
      <c r="E50" s="158" t="s">
        <v>30</v>
      </c>
      <c r="F50" s="98" t="s">
        <v>148</v>
      </c>
      <c r="G50" s="99" t="s">
        <v>147</v>
      </c>
      <c r="H50" s="99" t="s">
        <v>147</v>
      </c>
      <c r="I50" s="98" t="s">
        <v>148</v>
      </c>
      <c r="J50" s="98" t="s">
        <v>148</v>
      </c>
      <c r="K50" s="98" t="s">
        <v>148</v>
      </c>
      <c r="L50" s="100">
        <v>25</v>
      </c>
      <c r="M50" s="98" t="s">
        <v>148</v>
      </c>
      <c r="N50" s="99" t="s">
        <v>147</v>
      </c>
      <c r="O50" s="99" t="s">
        <v>147</v>
      </c>
      <c r="P50" s="98" t="s">
        <v>148</v>
      </c>
      <c r="Q50" s="98" t="s">
        <v>148</v>
      </c>
      <c r="R50" s="98" t="s">
        <v>148</v>
      </c>
      <c r="S50" s="98" t="s">
        <v>148</v>
      </c>
      <c r="T50" s="100">
        <v>3</v>
      </c>
      <c r="U50" s="99" t="s">
        <v>147</v>
      </c>
      <c r="V50" s="99" t="s">
        <v>147</v>
      </c>
      <c r="W50" s="102" t="s">
        <v>148</v>
      </c>
      <c r="X50" s="98" t="s">
        <v>148</v>
      </c>
      <c r="Y50" s="270" t="s">
        <v>148</v>
      </c>
      <c r="Z50" s="100">
        <v>7</v>
      </c>
      <c r="AA50" s="102" t="s">
        <v>187</v>
      </c>
      <c r="AB50" s="99" t="s">
        <v>147</v>
      </c>
      <c r="AC50" s="99" t="s">
        <v>147</v>
      </c>
      <c r="AD50" s="102" t="s">
        <v>187</v>
      </c>
      <c r="AE50" s="102" t="s">
        <v>187</v>
      </c>
      <c r="AF50" s="102" t="s">
        <v>187</v>
      </c>
      <c r="AG50" s="102" t="s">
        <v>187</v>
      </c>
      <c r="AH50" s="102" t="s">
        <v>187</v>
      </c>
      <c r="AI50" s="99" t="s">
        <v>147</v>
      </c>
      <c r="AJ50" s="99" t="s">
        <v>147</v>
      </c>
      <c r="AK50" s="159">
        <v>25</v>
      </c>
      <c r="AL50" s="160">
        <v>25</v>
      </c>
      <c r="AM50" s="157">
        <v>0</v>
      </c>
      <c r="AN50" s="160">
        <v>25</v>
      </c>
      <c r="AO50" s="146">
        <v>9450</v>
      </c>
      <c r="AP50" s="146">
        <v>9425</v>
      </c>
      <c r="AQ50" s="161">
        <v>0.99739999999999995</v>
      </c>
      <c r="AR50" s="146">
        <v>21</v>
      </c>
      <c r="AS50" s="146">
        <v>21</v>
      </c>
      <c r="AT50" s="146">
        <v>21</v>
      </c>
      <c r="AU50" s="156">
        <v>10</v>
      </c>
      <c r="AV50" s="157">
        <v>0</v>
      </c>
      <c r="AW50" s="157">
        <v>0</v>
      </c>
      <c r="AX50" s="157">
        <v>0</v>
      </c>
      <c r="AY50" s="146"/>
    </row>
    <row r="51" spans="1:51">
      <c r="A51" s="162" t="s">
        <v>125</v>
      </c>
      <c r="B51" s="156" t="s">
        <v>265</v>
      </c>
      <c r="C51" s="157" t="s">
        <v>266</v>
      </c>
      <c r="D51" s="157" t="s">
        <v>22</v>
      </c>
      <c r="E51" s="158" t="s">
        <v>25</v>
      </c>
      <c r="F51" s="106">
        <v>450</v>
      </c>
      <c r="G51" s="99" t="s">
        <v>147</v>
      </c>
      <c r="H51" s="99" t="s">
        <v>147</v>
      </c>
      <c r="I51" s="98" t="s">
        <v>148</v>
      </c>
      <c r="J51" s="98" t="s">
        <v>148</v>
      </c>
      <c r="K51" s="98" t="s">
        <v>148</v>
      </c>
      <c r="L51" s="98" t="s">
        <v>148</v>
      </c>
      <c r="M51" s="98" t="s">
        <v>148</v>
      </c>
      <c r="N51" s="99" t="s">
        <v>147</v>
      </c>
      <c r="O51" s="99" t="s">
        <v>147</v>
      </c>
      <c r="P51" s="98" t="s">
        <v>148</v>
      </c>
      <c r="Q51" s="98" t="s">
        <v>148</v>
      </c>
      <c r="R51" s="98" t="s">
        <v>148</v>
      </c>
      <c r="S51" s="98" t="s">
        <v>148</v>
      </c>
      <c r="T51" s="98" t="s">
        <v>148</v>
      </c>
      <c r="U51" s="99" t="s">
        <v>147</v>
      </c>
      <c r="V51" s="99" t="s">
        <v>147</v>
      </c>
      <c r="W51" s="102" t="s">
        <v>148</v>
      </c>
      <c r="X51" s="102" t="s">
        <v>148</v>
      </c>
      <c r="Y51" s="102" t="s">
        <v>148</v>
      </c>
      <c r="Z51" s="102" t="s">
        <v>148</v>
      </c>
      <c r="AA51" s="102" t="s">
        <v>187</v>
      </c>
      <c r="AB51" s="99" t="s">
        <v>147</v>
      </c>
      <c r="AC51" s="99" t="s">
        <v>147</v>
      </c>
      <c r="AD51" s="102" t="s">
        <v>187</v>
      </c>
      <c r="AE51" s="102" t="s">
        <v>187</v>
      </c>
      <c r="AF51" s="102" t="s">
        <v>187</v>
      </c>
      <c r="AG51" s="102" t="s">
        <v>187</v>
      </c>
      <c r="AH51" s="102" t="s">
        <v>187</v>
      </c>
      <c r="AI51" s="99" t="s">
        <v>147</v>
      </c>
      <c r="AJ51" s="99" t="s">
        <v>147</v>
      </c>
      <c r="AK51" s="159">
        <v>450</v>
      </c>
      <c r="AL51" s="160">
        <v>0</v>
      </c>
      <c r="AM51" s="157">
        <v>450</v>
      </c>
      <c r="AN51" s="160">
        <v>450</v>
      </c>
      <c r="AO51" s="146">
        <v>9450</v>
      </c>
      <c r="AP51" s="146">
        <v>9000</v>
      </c>
      <c r="AQ51" s="161">
        <v>0.95240000000000002</v>
      </c>
      <c r="AR51" s="146">
        <v>20</v>
      </c>
      <c r="AS51" s="146">
        <v>21</v>
      </c>
      <c r="AT51" s="146">
        <v>21</v>
      </c>
      <c r="AU51" s="156">
        <v>10</v>
      </c>
      <c r="AV51" s="157">
        <v>0</v>
      </c>
      <c r="AW51" s="157">
        <v>0</v>
      </c>
      <c r="AX51" s="157">
        <v>1</v>
      </c>
      <c r="AY51" s="146"/>
    </row>
    <row r="52" spans="1:51">
      <c r="A52" s="164" t="s">
        <v>297</v>
      </c>
      <c r="B52" s="156" t="s">
        <v>265</v>
      </c>
      <c r="C52" s="157" t="s">
        <v>266</v>
      </c>
      <c r="D52" s="157" t="s">
        <v>22</v>
      </c>
      <c r="E52" s="158" t="s">
        <v>33</v>
      </c>
      <c r="F52" s="98" t="s">
        <v>148</v>
      </c>
      <c r="G52" s="99" t="s">
        <v>147</v>
      </c>
      <c r="H52" s="98" t="s">
        <v>148</v>
      </c>
      <c r="I52" s="98" t="s">
        <v>148</v>
      </c>
      <c r="J52" s="98" t="s">
        <v>148</v>
      </c>
      <c r="K52" s="98" t="s">
        <v>148</v>
      </c>
      <c r="L52" s="98" t="s">
        <v>148</v>
      </c>
      <c r="M52" s="98" t="s">
        <v>148</v>
      </c>
      <c r="N52" s="99" t="s">
        <v>147</v>
      </c>
      <c r="O52" s="99" t="s">
        <v>147</v>
      </c>
      <c r="P52" s="98" t="s">
        <v>148</v>
      </c>
      <c r="Q52" s="98" t="s">
        <v>148</v>
      </c>
      <c r="R52" s="98" t="s">
        <v>148</v>
      </c>
      <c r="S52" s="98" t="s">
        <v>148</v>
      </c>
      <c r="T52" s="98" t="s">
        <v>148</v>
      </c>
      <c r="U52" s="99" t="s">
        <v>147</v>
      </c>
      <c r="V52" s="99" t="s">
        <v>147</v>
      </c>
      <c r="W52" s="98" t="s">
        <v>148</v>
      </c>
      <c r="X52" s="98" t="s">
        <v>148</v>
      </c>
      <c r="Y52" s="98" t="s">
        <v>148</v>
      </c>
      <c r="Z52" s="98" t="s">
        <v>148</v>
      </c>
      <c r="AA52" s="102" t="s">
        <v>187</v>
      </c>
      <c r="AB52" s="99" t="s">
        <v>147</v>
      </c>
      <c r="AC52" s="99" t="s">
        <v>147</v>
      </c>
      <c r="AD52" s="102" t="s">
        <v>187</v>
      </c>
      <c r="AE52" s="102" t="s">
        <v>187</v>
      </c>
      <c r="AF52" s="102" t="s">
        <v>187</v>
      </c>
      <c r="AG52" s="102" t="s">
        <v>187</v>
      </c>
      <c r="AH52" s="102" t="s">
        <v>187</v>
      </c>
      <c r="AI52" s="99" t="s">
        <v>147</v>
      </c>
      <c r="AJ52" s="99" t="s">
        <v>147</v>
      </c>
      <c r="AK52" s="159">
        <v>0</v>
      </c>
      <c r="AL52" s="160">
        <v>0</v>
      </c>
      <c r="AM52" s="157">
        <v>0</v>
      </c>
      <c r="AN52" s="160">
        <v>0</v>
      </c>
      <c r="AO52" s="146">
        <v>9900</v>
      </c>
      <c r="AP52" s="146">
        <v>9900</v>
      </c>
      <c r="AQ52" s="161">
        <v>1</v>
      </c>
      <c r="AR52" s="146">
        <v>22</v>
      </c>
      <c r="AS52" s="146">
        <v>22</v>
      </c>
      <c r="AT52" s="146">
        <v>22</v>
      </c>
      <c r="AU52" s="156">
        <v>9</v>
      </c>
      <c r="AV52" s="157">
        <v>0</v>
      </c>
      <c r="AW52" s="157">
        <v>0</v>
      </c>
      <c r="AX52" s="157">
        <v>0</v>
      </c>
      <c r="AY52" s="146"/>
    </row>
    <row r="53" spans="1:51">
      <c r="A53" s="164" t="s">
        <v>238</v>
      </c>
      <c r="B53" s="156" t="s">
        <v>265</v>
      </c>
      <c r="C53" s="157" t="s">
        <v>266</v>
      </c>
      <c r="D53" s="157" t="s">
        <v>22</v>
      </c>
      <c r="E53" s="158" t="s">
        <v>30</v>
      </c>
      <c r="F53" s="98" t="s">
        <v>148</v>
      </c>
      <c r="G53" s="99" t="s">
        <v>147</v>
      </c>
      <c r="H53" s="99" t="s">
        <v>147</v>
      </c>
      <c r="I53" s="98" t="s">
        <v>148</v>
      </c>
      <c r="J53" s="98" t="s">
        <v>148</v>
      </c>
      <c r="K53" s="98" t="s">
        <v>148</v>
      </c>
      <c r="L53" s="100">
        <v>3</v>
      </c>
      <c r="M53" s="98" t="s">
        <v>148</v>
      </c>
      <c r="N53" s="99" t="s">
        <v>147</v>
      </c>
      <c r="O53" s="99" t="s">
        <v>147</v>
      </c>
      <c r="P53" s="100">
        <v>20</v>
      </c>
      <c r="Q53" s="98" t="s">
        <v>148</v>
      </c>
      <c r="R53" s="98" t="s">
        <v>148</v>
      </c>
      <c r="S53" s="98" t="s">
        <v>148</v>
      </c>
      <c r="T53" s="98" t="s">
        <v>148</v>
      </c>
      <c r="U53" s="99" t="s">
        <v>147</v>
      </c>
      <c r="V53" s="99" t="s">
        <v>147</v>
      </c>
      <c r="W53" s="102" t="s">
        <v>148</v>
      </c>
      <c r="X53" s="98" t="s">
        <v>148</v>
      </c>
      <c r="Y53" s="98" t="s">
        <v>148</v>
      </c>
      <c r="Z53" s="98" t="s">
        <v>148</v>
      </c>
      <c r="AA53" s="102" t="s">
        <v>187</v>
      </c>
      <c r="AB53" s="99" t="s">
        <v>147</v>
      </c>
      <c r="AC53" s="99" t="s">
        <v>147</v>
      </c>
      <c r="AD53" s="102" t="s">
        <v>187</v>
      </c>
      <c r="AE53" s="102" t="s">
        <v>187</v>
      </c>
      <c r="AF53" s="102" t="s">
        <v>187</v>
      </c>
      <c r="AG53" s="102" t="s">
        <v>187</v>
      </c>
      <c r="AH53" s="102" t="s">
        <v>187</v>
      </c>
      <c r="AI53" s="99" t="s">
        <v>147</v>
      </c>
      <c r="AJ53" s="99" t="s">
        <v>147</v>
      </c>
      <c r="AK53" s="159">
        <v>23</v>
      </c>
      <c r="AL53" s="160">
        <v>23</v>
      </c>
      <c r="AM53" s="157">
        <v>0</v>
      </c>
      <c r="AN53" s="160">
        <v>23</v>
      </c>
      <c r="AO53" s="146">
        <v>9450</v>
      </c>
      <c r="AP53" s="146">
        <v>9427</v>
      </c>
      <c r="AQ53" s="161">
        <v>0.99760000000000004</v>
      </c>
      <c r="AR53" s="146">
        <v>21</v>
      </c>
      <c r="AS53" s="146">
        <v>21</v>
      </c>
      <c r="AT53" s="146">
        <v>21</v>
      </c>
      <c r="AU53" s="156">
        <v>10</v>
      </c>
      <c r="AV53" s="157">
        <v>0</v>
      </c>
      <c r="AW53" s="157">
        <v>0</v>
      </c>
      <c r="AX53" s="157">
        <v>0</v>
      </c>
      <c r="AY53" s="146"/>
    </row>
    <row r="54" spans="1:51">
      <c r="A54" s="164" t="s">
        <v>298</v>
      </c>
      <c r="B54" s="156" t="s">
        <v>265</v>
      </c>
      <c r="C54" s="157" t="s">
        <v>266</v>
      </c>
      <c r="D54" s="157" t="s">
        <v>22</v>
      </c>
      <c r="E54" s="158" t="s">
        <v>30</v>
      </c>
      <c r="F54" s="98" t="s">
        <v>148</v>
      </c>
      <c r="G54" s="99" t="s">
        <v>147</v>
      </c>
      <c r="H54" s="99" t="s">
        <v>147</v>
      </c>
      <c r="I54" s="98" t="s">
        <v>148</v>
      </c>
      <c r="J54" s="98" t="s">
        <v>148</v>
      </c>
      <c r="K54" s="98" t="s">
        <v>148</v>
      </c>
      <c r="L54" s="98" t="s">
        <v>148</v>
      </c>
      <c r="M54" s="98" t="s">
        <v>148</v>
      </c>
      <c r="N54" s="99" t="s">
        <v>147</v>
      </c>
      <c r="O54" s="99" t="s">
        <v>147</v>
      </c>
      <c r="P54" s="102">
        <v>450</v>
      </c>
      <c r="Q54" s="102">
        <v>450</v>
      </c>
      <c r="R54" s="98" t="s">
        <v>148</v>
      </c>
      <c r="S54" s="98" t="s">
        <v>148</v>
      </c>
      <c r="T54" s="98" t="s">
        <v>148</v>
      </c>
      <c r="U54" s="99" t="s">
        <v>147</v>
      </c>
      <c r="V54" s="99" t="s">
        <v>147</v>
      </c>
      <c r="W54" s="100">
        <v>12</v>
      </c>
      <c r="X54" s="98" t="s">
        <v>148</v>
      </c>
      <c r="Y54" s="98" t="s">
        <v>148</v>
      </c>
      <c r="Z54" s="98" t="s">
        <v>148</v>
      </c>
      <c r="AA54" s="102" t="s">
        <v>187</v>
      </c>
      <c r="AB54" s="99" t="s">
        <v>147</v>
      </c>
      <c r="AC54" s="99" t="s">
        <v>147</v>
      </c>
      <c r="AD54" s="102" t="s">
        <v>187</v>
      </c>
      <c r="AE54" s="102" t="s">
        <v>187</v>
      </c>
      <c r="AF54" s="102" t="s">
        <v>187</v>
      </c>
      <c r="AG54" s="102" t="s">
        <v>187</v>
      </c>
      <c r="AH54" s="102" t="s">
        <v>187</v>
      </c>
      <c r="AI54" s="99" t="s">
        <v>147</v>
      </c>
      <c r="AJ54" s="99" t="s">
        <v>147</v>
      </c>
      <c r="AK54" s="159">
        <v>450</v>
      </c>
      <c r="AL54" s="160">
        <v>0</v>
      </c>
      <c r="AM54" s="157">
        <v>450</v>
      </c>
      <c r="AN54" s="160">
        <v>450</v>
      </c>
      <c r="AO54" s="146">
        <v>9450</v>
      </c>
      <c r="AP54" s="146">
        <v>9000</v>
      </c>
      <c r="AQ54" s="161">
        <v>0.95240000000000002</v>
      </c>
      <c r="AR54" s="146">
        <v>20</v>
      </c>
      <c r="AS54" s="146">
        <v>21</v>
      </c>
      <c r="AT54" s="146">
        <v>21</v>
      </c>
      <c r="AU54" s="156">
        <v>10</v>
      </c>
      <c r="AV54" s="157">
        <v>0</v>
      </c>
      <c r="AW54" s="157">
        <v>0</v>
      </c>
      <c r="AX54" s="157">
        <v>1</v>
      </c>
      <c r="AY54" s="146"/>
    </row>
    <row r="55" spans="1:51">
      <c r="A55" s="164" t="s">
        <v>129</v>
      </c>
      <c r="B55" s="156" t="s">
        <v>265</v>
      </c>
      <c r="C55" s="157" t="s">
        <v>266</v>
      </c>
      <c r="D55" s="157" t="s">
        <v>22</v>
      </c>
      <c r="E55" s="158" t="s">
        <v>56</v>
      </c>
      <c r="F55" s="98" t="s">
        <v>174</v>
      </c>
      <c r="G55" s="98" t="s">
        <v>148</v>
      </c>
      <c r="H55" s="98" t="s">
        <v>148</v>
      </c>
      <c r="I55" s="100">
        <v>16</v>
      </c>
      <c r="J55" s="102">
        <v>450</v>
      </c>
      <c r="K55" s="98" t="s">
        <v>148</v>
      </c>
      <c r="L55" s="100">
        <v>4</v>
      </c>
      <c r="M55" s="100">
        <v>15</v>
      </c>
      <c r="N55" s="100">
        <v>2</v>
      </c>
      <c r="O55" s="99" t="s">
        <v>147</v>
      </c>
      <c r="P55" s="98" t="s">
        <v>148</v>
      </c>
      <c r="Q55" s="100">
        <v>1</v>
      </c>
      <c r="R55" s="98" t="s">
        <v>148</v>
      </c>
      <c r="S55" s="100">
        <v>4</v>
      </c>
      <c r="T55" s="100">
        <v>11</v>
      </c>
      <c r="U55" s="99" t="s">
        <v>147</v>
      </c>
      <c r="V55" s="99" t="s">
        <v>147</v>
      </c>
      <c r="W55" s="102" t="s">
        <v>148</v>
      </c>
      <c r="X55" s="100">
        <v>2</v>
      </c>
      <c r="Y55" s="102" t="s">
        <v>148</v>
      </c>
      <c r="Z55" s="100">
        <v>29</v>
      </c>
      <c r="AA55" s="102" t="s">
        <v>187</v>
      </c>
      <c r="AB55" s="99" t="s">
        <v>147</v>
      </c>
      <c r="AC55" s="99" t="s">
        <v>147</v>
      </c>
      <c r="AD55" s="102" t="s">
        <v>187</v>
      </c>
      <c r="AE55" s="102" t="s">
        <v>187</v>
      </c>
      <c r="AF55" s="102" t="s">
        <v>187</v>
      </c>
      <c r="AG55" s="102" t="s">
        <v>187</v>
      </c>
      <c r="AH55" s="102" t="s">
        <v>187</v>
      </c>
      <c r="AI55" s="99" t="s">
        <v>147</v>
      </c>
      <c r="AJ55" s="99" t="s">
        <v>147</v>
      </c>
      <c r="AK55" s="159">
        <v>487</v>
      </c>
      <c r="AL55" s="160">
        <v>37</v>
      </c>
      <c r="AM55" s="157">
        <v>450</v>
      </c>
      <c r="AN55" s="160">
        <v>487</v>
      </c>
      <c r="AO55" s="146">
        <v>10800</v>
      </c>
      <c r="AP55" s="146">
        <v>10313</v>
      </c>
      <c r="AQ55" s="161">
        <v>0.95489999999999997</v>
      </c>
      <c r="AR55" s="146">
        <v>23</v>
      </c>
      <c r="AS55" s="146">
        <v>24</v>
      </c>
      <c r="AT55" s="146">
        <v>24</v>
      </c>
      <c r="AU55" s="156">
        <v>7</v>
      </c>
      <c r="AV55" s="157">
        <v>0</v>
      </c>
      <c r="AW55" s="157">
        <v>0</v>
      </c>
      <c r="AX55" s="157">
        <v>1</v>
      </c>
      <c r="AY55" s="146"/>
    </row>
    <row r="56" spans="1:51">
      <c r="A56" s="164" t="s">
        <v>299</v>
      </c>
      <c r="B56" s="156" t="s">
        <v>265</v>
      </c>
      <c r="C56" s="157" t="s">
        <v>266</v>
      </c>
      <c r="D56" s="157" t="s">
        <v>22</v>
      </c>
      <c r="E56" s="158" t="s">
        <v>56</v>
      </c>
      <c r="F56" s="100">
        <v>12</v>
      </c>
      <c r="G56" s="98" t="s">
        <v>148</v>
      </c>
      <c r="H56" s="98" t="s">
        <v>148</v>
      </c>
      <c r="I56" s="98" t="s">
        <v>148</v>
      </c>
      <c r="J56" s="98" t="s">
        <v>148</v>
      </c>
      <c r="K56" s="99" t="s">
        <v>147</v>
      </c>
      <c r="L56" s="102">
        <v>450</v>
      </c>
      <c r="M56" s="100">
        <v>5</v>
      </c>
      <c r="N56" s="100">
        <v>16</v>
      </c>
      <c r="O56" s="99" t="s">
        <v>147</v>
      </c>
      <c r="P56" s="100">
        <v>17</v>
      </c>
      <c r="Q56" s="98" t="s">
        <v>148</v>
      </c>
      <c r="R56" s="100">
        <v>17</v>
      </c>
      <c r="S56" s="98" t="s">
        <v>148</v>
      </c>
      <c r="T56" s="98" t="s">
        <v>148</v>
      </c>
      <c r="U56" s="99" t="s">
        <v>147</v>
      </c>
      <c r="V56" s="99" t="s">
        <v>147</v>
      </c>
      <c r="W56" s="102">
        <v>450</v>
      </c>
      <c r="X56" s="102" t="s">
        <v>148</v>
      </c>
      <c r="Y56" s="102">
        <v>7</v>
      </c>
      <c r="Z56" s="102" t="s">
        <v>148</v>
      </c>
      <c r="AA56" s="102" t="s">
        <v>187</v>
      </c>
      <c r="AB56" s="99" t="s">
        <v>147</v>
      </c>
      <c r="AC56" s="99" t="s">
        <v>147</v>
      </c>
      <c r="AD56" s="102" t="s">
        <v>187</v>
      </c>
      <c r="AE56" s="102" t="s">
        <v>187</v>
      </c>
      <c r="AF56" s="102" t="s">
        <v>187</v>
      </c>
      <c r="AG56" s="102" t="s">
        <v>187</v>
      </c>
      <c r="AH56" s="102" t="s">
        <v>187</v>
      </c>
      <c r="AI56" s="99" t="s">
        <v>147</v>
      </c>
      <c r="AJ56" s="99" t="s">
        <v>147</v>
      </c>
      <c r="AK56" s="159">
        <v>500</v>
      </c>
      <c r="AL56" s="160">
        <v>50</v>
      </c>
      <c r="AM56" s="157">
        <v>450</v>
      </c>
      <c r="AN56" s="160">
        <v>500</v>
      </c>
      <c r="AO56" s="146">
        <v>10350</v>
      </c>
      <c r="AP56" s="146">
        <v>9850</v>
      </c>
      <c r="AQ56" s="161">
        <v>0.95169999999999999</v>
      </c>
      <c r="AR56" s="146">
        <v>22</v>
      </c>
      <c r="AS56" s="146">
        <v>23</v>
      </c>
      <c r="AT56" s="146">
        <v>23</v>
      </c>
      <c r="AU56" s="156">
        <v>8</v>
      </c>
      <c r="AV56" s="157">
        <v>0</v>
      </c>
      <c r="AW56" s="157">
        <v>0</v>
      </c>
      <c r="AX56" s="157">
        <v>1</v>
      </c>
      <c r="AY56" s="146"/>
    </row>
    <row r="57" spans="1:51">
      <c r="A57" s="164" t="s">
        <v>39</v>
      </c>
      <c r="B57" s="156" t="s">
        <v>300</v>
      </c>
      <c r="C57" s="157" t="s">
        <v>301</v>
      </c>
      <c r="D57" s="157" t="s">
        <v>37</v>
      </c>
      <c r="E57" s="158" t="s">
        <v>40</v>
      </c>
      <c r="F57" s="99" t="s">
        <v>147</v>
      </c>
      <c r="G57" s="99" t="s">
        <v>147</v>
      </c>
      <c r="H57" s="98" t="s">
        <v>148</v>
      </c>
      <c r="I57" s="98" t="s">
        <v>148</v>
      </c>
      <c r="J57" s="100">
        <v>225</v>
      </c>
      <c r="K57" s="100">
        <v>2</v>
      </c>
      <c r="L57" s="98" t="s">
        <v>148</v>
      </c>
      <c r="M57" s="99" t="s">
        <v>147</v>
      </c>
      <c r="N57" s="99" t="s">
        <v>147</v>
      </c>
      <c r="O57" s="98" t="s">
        <v>148</v>
      </c>
      <c r="P57" s="98" t="s">
        <v>148</v>
      </c>
      <c r="Q57" s="98" t="s">
        <v>148</v>
      </c>
      <c r="R57" s="102" t="s">
        <v>148</v>
      </c>
      <c r="S57" s="102" t="s">
        <v>302</v>
      </c>
      <c r="T57" s="99" t="s">
        <v>147</v>
      </c>
      <c r="U57" s="99" t="s">
        <v>147</v>
      </c>
      <c r="V57" s="98" t="s">
        <v>148</v>
      </c>
      <c r="W57" s="98" t="s">
        <v>148</v>
      </c>
      <c r="X57" s="98" t="s">
        <v>148</v>
      </c>
      <c r="Y57" s="98" t="s">
        <v>148</v>
      </c>
      <c r="Z57" s="98" t="s">
        <v>148</v>
      </c>
      <c r="AA57" s="102" t="s">
        <v>187</v>
      </c>
      <c r="AB57" s="99" t="s">
        <v>147</v>
      </c>
      <c r="AC57" s="99" t="s">
        <v>147</v>
      </c>
      <c r="AD57" s="102" t="s">
        <v>187</v>
      </c>
      <c r="AE57" s="102" t="s">
        <v>187</v>
      </c>
      <c r="AF57" s="102" t="s">
        <v>187</v>
      </c>
      <c r="AG57" s="102" t="s">
        <v>187</v>
      </c>
      <c r="AH57" s="102" t="s">
        <v>187</v>
      </c>
      <c r="AI57" s="99" t="s">
        <v>147</v>
      </c>
      <c r="AJ57" s="99" t="s">
        <v>147</v>
      </c>
      <c r="AK57" s="159">
        <v>227</v>
      </c>
      <c r="AL57" s="160">
        <v>227</v>
      </c>
      <c r="AM57" s="157">
        <v>0</v>
      </c>
      <c r="AN57" s="160">
        <v>227</v>
      </c>
      <c r="AO57" s="146">
        <v>9450</v>
      </c>
      <c r="AP57" s="146">
        <v>9223</v>
      </c>
      <c r="AQ57" s="161">
        <v>0.97599999999999998</v>
      </c>
      <c r="AR57" s="146">
        <v>21</v>
      </c>
      <c r="AS57" s="146">
        <v>21</v>
      </c>
      <c r="AT57" s="146">
        <v>21</v>
      </c>
      <c r="AU57" s="156">
        <v>10</v>
      </c>
      <c r="AV57" s="157">
        <v>0</v>
      </c>
      <c r="AW57" s="157">
        <v>0</v>
      </c>
      <c r="AX57" s="157">
        <v>0</v>
      </c>
      <c r="AY57" s="146"/>
    </row>
    <row r="58" spans="1:51">
      <c r="A58" s="164" t="s">
        <v>215</v>
      </c>
      <c r="B58" s="156" t="s">
        <v>303</v>
      </c>
      <c r="C58" s="157" t="s">
        <v>304</v>
      </c>
      <c r="D58" s="157" t="s">
        <v>37</v>
      </c>
      <c r="E58" s="158" t="s">
        <v>40</v>
      </c>
      <c r="F58" s="98" t="s">
        <v>148</v>
      </c>
      <c r="G58" s="98" t="s">
        <v>148</v>
      </c>
      <c r="H58" s="98" t="s">
        <v>148</v>
      </c>
      <c r="I58" s="99" t="s">
        <v>147</v>
      </c>
      <c r="J58" s="99" t="s">
        <v>147</v>
      </c>
      <c r="K58" s="102">
        <v>450</v>
      </c>
      <c r="L58" s="102">
        <v>450</v>
      </c>
      <c r="M58" s="102">
        <v>450</v>
      </c>
      <c r="N58" s="98" t="s">
        <v>148</v>
      </c>
      <c r="O58" s="98" t="s">
        <v>148</v>
      </c>
      <c r="P58" s="99" t="s">
        <v>147</v>
      </c>
      <c r="Q58" s="99" t="s">
        <v>147</v>
      </c>
      <c r="R58" s="102" t="s">
        <v>174</v>
      </c>
      <c r="S58" s="102" t="s">
        <v>174</v>
      </c>
      <c r="T58" s="98" t="s">
        <v>148</v>
      </c>
      <c r="U58" s="270" t="s">
        <v>148</v>
      </c>
      <c r="V58" s="98" t="s">
        <v>148</v>
      </c>
      <c r="W58" s="98" t="s">
        <v>148</v>
      </c>
      <c r="X58" s="99" t="s">
        <v>147</v>
      </c>
      <c r="Y58" s="99" t="s">
        <v>147</v>
      </c>
      <c r="Z58" s="98" t="s">
        <v>148</v>
      </c>
      <c r="AA58" s="102" t="s">
        <v>187</v>
      </c>
      <c r="AB58" s="99" t="s">
        <v>147</v>
      </c>
      <c r="AC58" s="99" t="s">
        <v>147</v>
      </c>
      <c r="AD58" s="102" t="s">
        <v>187</v>
      </c>
      <c r="AE58" s="102" t="s">
        <v>187</v>
      </c>
      <c r="AF58" s="102" t="s">
        <v>187</v>
      </c>
      <c r="AG58" s="102" t="s">
        <v>187</v>
      </c>
      <c r="AH58" s="102" t="s">
        <v>187</v>
      </c>
      <c r="AI58" s="99" t="s">
        <v>147</v>
      </c>
      <c r="AJ58" s="99" t="s">
        <v>147</v>
      </c>
      <c r="AK58" s="159">
        <v>1350</v>
      </c>
      <c r="AL58" s="160">
        <v>0</v>
      </c>
      <c r="AM58" s="157">
        <v>1350</v>
      </c>
      <c r="AN58" s="160">
        <v>1350</v>
      </c>
      <c r="AO58" s="146">
        <v>9900</v>
      </c>
      <c r="AP58" s="146">
        <v>8550</v>
      </c>
      <c r="AQ58" s="161">
        <v>0.86360000000000003</v>
      </c>
      <c r="AR58" s="146">
        <v>19</v>
      </c>
      <c r="AS58" s="146">
        <v>22</v>
      </c>
      <c r="AT58" s="146">
        <v>22</v>
      </c>
      <c r="AU58" s="156">
        <v>9</v>
      </c>
      <c r="AV58" s="157">
        <v>0</v>
      </c>
      <c r="AW58" s="157">
        <v>0</v>
      </c>
      <c r="AX58" s="157">
        <v>3</v>
      </c>
      <c r="AY58" s="146"/>
    </row>
    <row r="59" spans="1:51">
      <c r="A59" s="164" t="s">
        <v>44</v>
      </c>
      <c r="B59" s="156" t="s">
        <v>305</v>
      </c>
      <c r="C59" s="157" t="s">
        <v>301</v>
      </c>
      <c r="D59" s="157" t="s">
        <v>37</v>
      </c>
      <c r="E59" s="158" t="s">
        <v>40</v>
      </c>
      <c r="F59" s="99" t="s">
        <v>147</v>
      </c>
      <c r="G59" s="99" t="s">
        <v>147</v>
      </c>
      <c r="H59" s="98" t="s">
        <v>148</v>
      </c>
      <c r="I59" s="98" t="s">
        <v>148</v>
      </c>
      <c r="J59" s="98" t="s">
        <v>148</v>
      </c>
      <c r="K59" s="98" t="s">
        <v>148</v>
      </c>
      <c r="L59" s="104" t="s">
        <v>12</v>
      </c>
      <c r="M59" s="99" t="s">
        <v>147</v>
      </c>
      <c r="N59" s="99" t="s">
        <v>147</v>
      </c>
      <c r="O59" s="271" t="s">
        <v>147</v>
      </c>
      <c r="P59" s="98" t="s">
        <v>148</v>
      </c>
      <c r="Q59" s="98">
        <v>10</v>
      </c>
      <c r="R59" s="98" t="s">
        <v>148</v>
      </c>
      <c r="S59" s="270" t="s">
        <v>148</v>
      </c>
      <c r="T59" s="270" t="s">
        <v>148</v>
      </c>
      <c r="U59" s="99" t="s">
        <v>147</v>
      </c>
      <c r="V59" s="99" t="s">
        <v>147</v>
      </c>
      <c r="W59" s="98" t="s">
        <v>148</v>
      </c>
      <c r="X59" s="98" t="s">
        <v>148</v>
      </c>
      <c r="Y59" s="98" t="s">
        <v>148</v>
      </c>
      <c r="Z59" s="98" t="s">
        <v>148</v>
      </c>
      <c r="AA59" s="102" t="s">
        <v>187</v>
      </c>
      <c r="AB59" s="99" t="s">
        <v>147</v>
      </c>
      <c r="AC59" s="99" t="s">
        <v>147</v>
      </c>
      <c r="AD59" s="102" t="s">
        <v>187</v>
      </c>
      <c r="AE59" s="102" t="s">
        <v>187</v>
      </c>
      <c r="AF59" s="102" t="s">
        <v>187</v>
      </c>
      <c r="AG59" s="102" t="s">
        <v>187</v>
      </c>
      <c r="AH59" s="102" t="s">
        <v>187</v>
      </c>
      <c r="AI59" s="99" t="s">
        <v>147</v>
      </c>
      <c r="AJ59" s="99" t="s">
        <v>147</v>
      </c>
      <c r="AK59" s="159">
        <v>0</v>
      </c>
      <c r="AL59" s="160">
        <v>0</v>
      </c>
      <c r="AM59" s="157">
        <v>0</v>
      </c>
      <c r="AN59" s="160">
        <v>0</v>
      </c>
      <c r="AO59" s="146">
        <v>9000</v>
      </c>
      <c r="AP59" s="146">
        <v>9000</v>
      </c>
      <c r="AQ59" s="161">
        <v>1</v>
      </c>
      <c r="AR59" s="146">
        <v>20</v>
      </c>
      <c r="AS59" s="146">
        <v>20</v>
      </c>
      <c r="AT59" s="146">
        <v>21</v>
      </c>
      <c r="AU59" s="156">
        <v>10</v>
      </c>
      <c r="AV59" s="157">
        <v>1</v>
      </c>
      <c r="AW59" s="157">
        <v>0</v>
      </c>
      <c r="AX59" s="157">
        <v>0</v>
      </c>
      <c r="AY59" s="146"/>
    </row>
    <row r="60" spans="1:51">
      <c r="A60" s="164" t="s">
        <v>52</v>
      </c>
      <c r="B60" s="156" t="s">
        <v>305</v>
      </c>
      <c r="C60" s="157" t="s">
        <v>266</v>
      </c>
      <c r="D60" s="157" t="s">
        <v>37</v>
      </c>
      <c r="E60" s="158" t="s">
        <v>40</v>
      </c>
      <c r="F60" s="100">
        <v>240</v>
      </c>
      <c r="G60" s="99" t="s">
        <v>147</v>
      </c>
      <c r="H60" s="99" t="s">
        <v>147</v>
      </c>
      <c r="I60" s="100">
        <v>2</v>
      </c>
      <c r="J60" s="100">
        <v>1</v>
      </c>
      <c r="K60" s="98" t="s">
        <v>148</v>
      </c>
      <c r="L60" s="98" t="s">
        <v>148</v>
      </c>
      <c r="M60" s="98" t="s">
        <v>148</v>
      </c>
      <c r="N60" s="99" t="s">
        <v>147</v>
      </c>
      <c r="O60" s="99" t="s">
        <v>147</v>
      </c>
      <c r="P60" s="98" t="s">
        <v>148</v>
      </c>
      <c r="Q60" s="98" t="s">
        <v>148</v>
      </c>
      <c r="R60" s="98" t="s">
        <v>148</v>
      </c>
      <c r="S60" s="98" t="s">
        <v>148</v>
      </c>
      <c r="T60" s="98" t="s">
        <v>148</v>
      </c>
      <c r="U60" s="99" t="s">
        <v>147</v>
      </c>
      <c r="V60" s="99" t="s">
        <v>147</v>
      </c>
      <c r="W60" s="102" t="s">
        <v>306</v>
      </c>
      <c r="X60" s="98" t="s">
        <v>148</v>
      </c>
      <c r="Y60" s="98" t="s">
        <v>148</v>
      </c>
      <c r="Z60" s="100">
        <v>1</v>
      </c>
      <c r="AA60" s="102" t="s">
        <v>187</v>
      </c>
      <c r="AB60" s="99" t="s">
        <v>147</v>
      </c>
      <c r="AC60" s="99" t="s">
        <v>147</v>
      </c>
      <c r="AD60" s="102" t="s">
        <v>187</v>
      </c>
      <c r="AE60" s="102" t="s">
        <v>187</v>
      </c>
      <c r="AF60" s="102" t="s">
        <v>187</v>
      </c>
      <c r="AG60" s="102" t="s">
        <v>187</v>
      </c>
      <c r="AH60" s="102" t="s">
        <v>187</v>
      </c>
      <c r="AI60" s="99" t="s">
        <v>147</v>
      </c>
      <c r="AJ60" s="99" t="s">
        <v>147</v>
      </c>
      <c r="AK60" s="159">
        <v>243</v>
      </c>
      <c r="AL60" s="160">
        <v>243</v>
      </c>
      <c r="AM60" s="157">
        <v>0</v>
      </c>
      <c r="AN60" s="160">
        <v>243</v>
      </c>
      <c r="AO60" s="146">
        <v>9450</v>
      </c>
      <c r="AP60" s="146">
        <v>9207</v>
      </c>
      <c r="AQ60" s="161">
        <v>0.97430000000000005</v>
      </c>
      <c r="AR60" s="146">
        <v>21</v>
      </c>
      <c r="AS60" s="146">
        <v>21</v>
      </c>
      <c r="AT60" s="146">
        <v>21</v>
      </c>
      <c r="AU60" s="156">
        <v>10</v>
      </c>
      <c r="AV60" s="157">
        <v>0</v>
      </c>
      <c r="AW60" s="157">
        <v>0</v>
      </c>
      <c r="AX60" s="157">
        <v>0</v>
      </c>
      <c r="AY60" s="146"/>
    </row>
    <row r="61" spans="1:51">
      <c r="A61" s="164" t="s">
        <v>74</v>
      </c>
      <c r="B61" s="156" t="s">
        <v>305</v>
      </c>
      <c r="C61" s="157" t="s">
        <v>266</v>
      </c>
      <c r="D61" s="157" t="s">
        <v>37</v>
      </c>
      <c r="E61" s="158" t="s">
        <v>40</v>
      </c>
      <c r="F61" s="98" t="s">
        <v>148</v>
      </c>
      <c r="G61" s="99" t="s">
        <v>147</v>
      </c>
      <c r="H61" s="99" t="s">
        <v>147</v>
      </c>
      <c r="I61" s="100">
        <v>37</v>
      </c>
      <c r="J61" s="98" t="s">
        <v>148</v>
      </c>
      <c r="K61" s="98" t="s">
        <v>148</v>
      </c>
      <c r="L61" s="98" t="s">
        <v>148</v>
      </c>
      <c r="M61" s="102">
        <v>450</v>
      </c>
      <c r="N61" s="99" t="s">
        <v>147</v>
      </c>
      <c r="O61" s="99" t="s">
        <v>147</v>
      </c>
      <c r="P61" s="102">
        <v>450</v>
      </c>
      <c r="Q61" s="98" t="s">
        <v>148</v>
      </c>
      <c r="R61" s="100">
        <v>1</v>
      </c>
      <c r="S61" s="98" t="s">
        <v>148</v>
      </c>
      <c r="T61" s="100">
        <v>3</v>
      </c>
      <c r="U61" s="99" t="s">
        <v>147</v>
      </c>
      <c r="V61" s="98" t="s">
        <v>148</v>
      </c>
      <c r="W61" s="99" t="s">
        <v>147</v>
      </c>
      <c r="X61" s="102">
        <v>450</v>
      </c>
      <c r="Y61" s="98">
        <v>38</v>
      </c>
      <c r="Z61" s="102" t="s">
        <v>12</v>
      </c>
      <c r="AA61" s="102" t="s">
        <v>187</v>
      </c>
      <c r="AB61" s="99" t="s">
        <v>147</v>
      </c>
      <c r="AC61" s="99" t="s">
        <v>147</v>
      </c>
      <c r="AD61" s="102" t="s">
        <v>187</v>
      </c>
      <c r="AE61" s="102" t="s">
        <v>187</v>
      </c>
      <c r="AF61" s="102" t="s">
        <v>187</v>
      </c>
      <c r="AG61" s="102" t="s">
        <v>187</v>
      </c>
      <c r="AH61" s="102" t="s">
        <v>187</v>
      </c>
      <c r="AI61" s="99" t="s">
        <v>147</v>
      </c>
      <c r="AJ61" s="99" t="s">
        <v>147</v>
      </c>
      <c r="AK61" s="159">
        <v>937</v>
      </c>
      <c r="AL61" s="160">
        <v>37</v>
      </c>
      <c r="AM61" s="157">
        <v>900</v>
      </c>
      <c r="AN61" s="160">
        <v>937</v>
      </c>
      <c r="AO61" s="146">
        <v>9450</v>
      </c>
      <c r="AP61" s="146">
        <v>8513</v>
      </c>
      <c r="AQ61" s="161">
        <v>0.90080000000000005</v>
      </c>
      <c r="AR61" s="146">
        <v>19</v>
      </c>
      <c r="AS61" s="146">
        <v>21</v>
      </c>
      <c r="AT61" s="146">
        <v>21</v>
      </c>
      <c r="AU61" s="156">
        <v>10</v>
      </c>
      <c r="AV61" s="157">
        <v>0</v>
      </c>
      <c r="AW61" s="157">
        <v>0</v>
      </c>
      <c r="AX61" s="157">
        <v>2</v>
      </c>
      <c r="AY61" s="146"/>
    </row>
    <row r="62" spans="1:51">
      <c r="A62" s="164" t="s">
        <v>224</v>
      </c>
      <c r="B62" s="156" t="s">
        <v>305</v>
      </c>
      <c r="C62" s="157" t="s">
        <v>307</v>
      </c>
      <c r="D62" s="157" t="s">
        <v>37</v>
      </c>
      <c r="E62" s="158" t="s">
        <v>40</v>
      </c>
      <c r="F62" s="98" t="s">
        <v>148</v>
      </c>
      <c r="G62" s="98" t="s">
        <v>148</v>
      </c>
      <c r="H62" s="100">
        <v>39</v>
      </c>
      <c r="I62" s="98" t="s">
        <v>148</v>
      </c>
      <c r="J62" s="99" t="s">
        <v>147</v>
      </c>
      <c r="K62" s="99" t="s">
        <v>147</v>
      </c>
      <c r="L62" s="98" t="s">
        <v>148</v>
      </c>
      <c r="M62" s="98" t="s">
        <v>148</v>
      </c>
      <c r="N62" s="98" t="s">
        <v>148</v>
      </c>
      <c r="O62" s="98" t="s">
        <v>148</v>
      </c>
      <c r="P62" s="98" t="s">
        <v>148</v>
      </c>
      <c r="Q62" s="99" t="s">
        <v>147</v>
      </c>
      <c r="R62" s="99" t="s">
        <v>147</v>
      </c>
      <c r="S62" s="98" t="s">
        <v>148</v>
      </c>
      <c r="T62" s="98" t="s">
        <v>148</v>
      </c>
      <c r="U62" s="98" t="s">
        <v>148</v>
      </c>
      <c r="V62" s="102">
        <v>450</v>
      </c>
      <c r="W62" s="98" t="s">
        <v>148</v>
      </c>
      <c r="X62" s="99" t="s">
        <v>147</v>
      </c>
      <c r="Y62" s="99" t="s">
        <v>147</v>
      </c>
      <c r="Z62" s="100">
        <v>10</v>
      </c>
      <c r="AA62" s="102" t="s">
        <v>187</v>
      </c>
      <c r="AB62" s="102" t="s">
        <v>187</v>
      </c>
      <c r="AC62" s="102" t="s">
        <v>187</v>
      </c>
      <c r="AD62" s="102" t="s">
        <v>187</v>
      </c>
      <c r="AE62" s="102" t="s">
        <v>187</v>
      </c>
      <c r="AF62" s="102" t="s">
        <v>187</v>
      </c>
      <c r="AG62" s="102" t="s">
        <v>187</v>
      </c>
      <c r="AH62" s="102" t="s">
        <v>187</v>
      </c>
      <c r="AI62" s="102" t="s">
        <v>187</v>
      </c>
      <c r="AJ62" s="102" t="s">
        <v>187</v>
      </c>
      <c r="AK62" s="159">
        <v>39</v>
      </c>
      <c r="AL62" s="160">
        <v>39</v>
      </c>
      <c r="AM62" s="157">
        <v>0</v>
      </c>
      <c r="AN62" s="160">
        <v>39</v>
      </c>
      <c r="AO62" s="146">
        <v>13050</v>
      </c>
      <c r="AP62" s="146">
        <v>13011</v>
      </c>
      <c r="AQ62" s="161">
        <v>0.997</v>
      </c>
      <c r="AR62" s="146">
        <v>29</v>
      </c>
      <c r="AS62" s="146">
        <v>29</v>
      </c>
      <c r="AT62" s="146">
        <v>29</v>
      </c>
      <c r="AU62" s="156">
        <v>2</v>
      </c>
      <c r="AV62" s="157">
        <v>0</v>
      </c>
      <c r="AW62" s="157">
        <v>0</v>
      </c>
      <c r="AX62" s="157">
        <v>0</v>
      </c>
      <c r="AY62" s="146"/>
    </row>
    <row r="63" spans="1:51">
      <c r="A63" s="164" t="s">
        <v>76</v>
      </c>
      <c r="B63" s="156" t="s">
        <v>303</v>
      </c>
      <c r="C63" s="157" t="s">
        <v>301</v>
      </c>
      <c r="D63" s="157" t="s">
        <v>37</v>
      </c>
      <c r="E63" s="158" t="s">
        <v>40</v>
      </c>
      <c r="F63" s="99" t="s">
        <v>147</v>
      </c>
      <c r="G63" s="99" t="s">
        <v>147</v>
      </c>
      <c r="H63" s="98" t="s">
        <v>148</v>
      </c>
      <c r="I63" s="98" t="s">
        <v>148</v>
      </c>
      <c r="J63" s="98" t="s">
        <v>148</v>
      </c>
      <c r="K63" s="98" t="s">
        <v>148</v>
      </c>
      <c r="L63" s="98" t="s">
        <v>148</v>
      </c>
      <c r="M63" s="99" t="s">
        <v>147</v>
      </c>
      <c r="N63" s="99" t="s">
        <v>147</v>
      </c>
      <c r="O63" s="98" t="s">
        <v>148</v>
      </c>
      <c r="P63" s="98" t="s">
        <v>148</v>
      </c>
      <c r="Q63" s="98" t="s">
        <v>148</v>
      </c>
      <c r="R63" s="98" t="s">
        <v>148</v>
      </c>
      <c r="S63" s="98" t="s">
        <v>148</v>
      </c>
      <c r="T63" s="99" t="s">
        <v>147</v>
      </c>
      <c r="U63" s="99" t="s">
        <v>147</v>
      </c>
      <c r="V63" s="98" t="s">
        <v>148</v>
      </c>
      <c r="W63" s="98" t="s">
        <v>148</v>
      </c>
      <c r="X63" s="98" t="s">
        <v>148</v>
      </c>
      <c r="Y63" s="102" t="s">
        <v>302</v>
      </c>
      <c r="Z63" s="102" t="s">
        <v>302</v>
      </c>
      <c r="AA63" s="102" t="s">
        <v>187</v>
      </c>
      <c r="AB63" s="102" t="s">
        <v>187</v>
      </c>
      <c r="AC63" s="102" t="s">
        <v>187</v>
      </c>
      <c r="AD63" s="102" t="s">
        <v>187</v>
      </c>
      <c r="AE63" s="102" t="s">
        <v>187</v>
      </c>
      <c r="AF63" s="102" t="s">
        <v>187</v>
      </c>
      <c r="AG63" s="102" t="s">
        <v>187</v>
      </c>
      <c r="AH63" s="102" t="s">
        <v>187</v>
      </c>
      <c r="AI63" s="102" t="s">
        <v>187</v>
      </c>
      <c r="AJ63" s="102" t="s">
        <v>187</v>
      </c>
      <c r="AK63" s="159">
        <v>0</v>
      </c>
      <c r="AL63" s="160">
        <v>0</v>
      </c>
      <c r="AM63" s="157">
        <v>0</v>
      </c>
      <c r="AN63" s="160">
        <v>0</v>
      </c>
      <c r="AO63" s="146">
        <v>12150</v>
      </c>
      <c r="AP63" s="146">
        <v>12150</v>
      </c>
      <c r="AQ63" s="161">
        <v>1</v>
      </c>
      <c r="AR63" s="146">
        <v>27</v>
      </c>
      <c r="AS63" s="146">
        <v>27</v>
      </c>
      <c r="AT63" s="146">
        <v>27</v>
      </c>
      <c r="AU63" s="156">
        <v>4</v>
      </c>
      <c r="AV63" s="157">
        <v>0</v>
      </c>
      <c r="AW63" s="157">
        <v>0</v>
      </c>
      <c r="AX63" s="157">
        <v>0</v>
      </c>
      <c r="AY63" s="146"/>
    </row>
    <row r="64" spans="1:51">
      <c r="A64" s="164" t="s">
        <v>90</v>
      </c>
      <c r="B64" s="156" t="s">
        <v>305</v>
      </c>
      <c r="C64" s="157" t="s">
        <v>308</v>
      </c>
      <c r="D64" s="157" t="s">
        <v>37</v>
      </c>
      <c r="E64" s="158" t="s">
        <v>40</v>
      </c>
      <c r="F64" s="100">
        <v>2</v>
      </c>
      <c r="G64" s="98" t="s">
        <v>148</v>
      </c>
      <c r="H64" s="99" t="s">
        <v>147</v>
      </c>
      <c r="I64" s="104" t="s">
        <v>12</v>
      </c>
      <c r="J64" s="100">
        <v>3</v>
      </c>
      <c r="K64" s="98" t="s">
        <v>148</v>
      </c>
      <c r="L64" s="98" t="s">
        <v>148</v>
      </c>
      <c r="M64" s="98" t="s">
        <v>148</v>
      </c>
      <c r="N64" s="98" t="s">
        <v>148</v>
      </c>
      <c r="O64" s="99" t="s">
        <v>147</v>
      </c>
      <c r="P64" s="99" t="s">
        <v>147</v>
      </c>
      <c r="Q64" s="98" t="s">
        <v>269</v>
      </c>
      <c r="R64" s="98" t="s">
        <v>269</v>
      </c>
      <c r="S64" s="269" t="s">
        <v>148</v>
      </c>
      <c r="T64" s="102" t="s">
        <v>148</v>
      </c>
      <c r="U64" s="269" t="s">
        <v>148</v>
      </c>
      <c r="V64" s="99" t="s">
        <v>147</v>
      </c>
      <c r="W64" s="102" t="s">
        <v>306</v>
      </c>
      <c r="X64" s="98" t="s">
        <v>148</v>
      </c>
      <c r="Y64" s="98" t="s">
        <v>148</v>
      </c>
      <c r="Z64" s="98" t="s">
        <v>148</v>
      </c>
      <c r="AA64" s="102" t="s">
        <v>187</v>
      </c>
      <c r="AB64" s="102" t="s">
        <v>187</v>
      </c>
      <c r="AC64" s="102" t="s">
        <v>187</v>
      </c>
      <c r="AD64" s="102" t="s">
        <v>187</v>
      </c>
      <c r="AE64" s="102" t="s">
        <v>187</v>
      </c>
      <c r="AF64" s="102" t="s">
        <v>187</v>
      </c>
      <c r="AG64" s="102" t="s">
        <v>187</v>
      </c>
      <c r="AH64" s="102" t="s">
        <v>187</v>
      </c>
      <c r="AI64" s="102" t="s">
        <v>187</v>
      </c>
      <c r="AJ64" s="102" t="s">
        <v>187</v>
      </c>
      <c r="AK64" s="159">
        <v>5</v>
      </c>
      <c r="AL64" s="160">
        <v>5</v>
      </c>
      <c r="AM64" s="157">
        <v>0</v>
      </c>
      <c r="AN64" s="160">
        <v>5</v>
      </c>
      <c r="AO64" s="146">
        <v>12150</v>
      </c>
      <c r="AP64" s="146">
        <v>12145</v>
      </c>
      <c r="AQ64" s="161">
        <v>0.99960000000000004</v>
      </c>
      <c r="AR64" s="146">
        <v>27</v>
      </c>
      <c r="AS64" s="146">
        <v>27</v>
      </c>
      <c r="AT64" s="146">
        <v>28</v>
      </c>
      <c r="AU64" s="156">
        <v>3</v>
      </c>
      <c r="AV64" s="157">
        <v>1</v>
      </c>
      <c r="AW64" s="157">
        <v>0</v>
      </c>
      <c r="AX64" s="157">
        <v>0</v>
      </c>
      <c r="AY64" s="146"/>
    </row>
    <row r="65" spans="1:51">
      <c r="A65" s="164" t="s">
        <v>96</v>
      </c>
      <c r="B65" s="156" t="s">
        <v>303</v>
      </c>
      <c r="C65" s="157" t="s">
        <v>308</v>
      </c>
      <c r="D65" s="157" t="s">
        <v>37</v>
      </c>
      <c r="E65" s="158" t="s">
        <v>40</v>
      </c>
      <c r="F65" s="98" t="s">
        <v>148</v>
      </c>
      <c r="G65" s="98" t="s">
        <v>148</v>
      </c>
      <c r="H65" s="99" t="s">
        <v>147</v>
      </c>
      <c r="I65" s="99" t="s">
        <v>147</v>
      </c>
      <c r="J65" s="98" t="s">
        <v>148</v>
      </c>
      <c r="K65" s="98" t="s">
        <v>148</v>
      </c>
      <c r="L65" s="98" t="s">
        <v>148</v>
      </c>
      <c r="M65" s="98" t="s">
        <v>148</v>
      </c>
      <c r="N65" s="100">
        <v>69</v>
      </c>
      <c r="O65" s="99" t="s">
        <v>147</v>
      </c>
      <c r="P65" s="99" t="s">
        <v>147</v>
      </c>
      <c r="Q65" s="102" t="s">
        <v>14</v>
      </c>
      <c r="R65" s="102" t="s">
        <v>14</v>
      </c>
      <c r="S65" s="98" t="s">
        <v>148</v>
      </c>
      <c r="T65" s="98" t="s">
        <v>148</v>
      </c>
      <c r="U65" s="98" t="s">
        <v>148</v>
      </c>
      <c r="V65" s="98" t="s">
        <v>148</v>
      </c>
      <c r="W65" s="98" t="s">
        <v>148</v>
      </c>
      <c r="X65" s="98" t="s">
        <v>148</v>
      </c>
      <c r="Y65" s="98" t="s">
        <v>148</v>
      </c>
      <c r="Z65" s="98" t="s">
        <v>148</v>
      </c>
      <c r="AA65" s="102" t="s">
        <v>187</v>
      </c>
      <c r="AB65" s="102" t="s">
        <v>187</v>
      </c>
      <c r="AC65" s="102" t="s">
        <v>187</v>
      </c>
      <c r="AD65" s="102" t="s">
        <v>187</v>
      </c>
      <c r="AE65" s="102" t="s">
        <v>187</v>
      </c>
      <c r="AF65" s="102" t="s">
        <v>187</v>
      </c>
      <c r="AG65" s="102" t="s">
        <v>187</v>
      </c>
      <c r="AH65" s="102" t="s">
        <v>187</v>
      </c>
      <c r="AI65" s="102" t="s">
        <v>187</v>
      </c>
      <c r="AJ65" s="102" t="s">
        <v>187</v>
      </c>
      <c r="AK65" s="159">
        <v>69</v>
      </c>
      <c r="AL65" s="160">
        <v>69</v>
      </c>
      <c r="AM65" s="157">
        <v>0</v>
      </c>
      <c r="AN65" s="160">
        <v>69</v>
      </c>
      <c r="AO65" s="146">
        <v>12150</v>
      </c>
      <c r="AP65" s="146">
        <v>12081</v>
      </c>
      <c r="AQ65" s="161">
        <v>0.99429999999999996</v>
      </c>
      <c r="AR65" s="146">
        <v>27</v>
      </c>
      <c r="AS65" s="146">
        <v>27</v>
      </c>
      <c r="AT65" s="146">
        <v>27</v>
      </c>
      <c r="AU65" s="156">
        <v>4</v>
      </c>
      <c r="AV65" s="157">
        <v>0</v>
      </c>
      <c r="AW65" s="157">
        <v>0</v>
      </c>
      <c r="AX65" s="157">
        <v>0</v>
      </c>
      <c r="AY65" s="146"/>
    </row>
    <row r="66" spans="1:51">
      <c r="A66" s="164" t="s">
        <v>38</v>
      </c>
      <c r="B66" s="156" t="s">
        <v>309</v>
      </c>
      <c r="C66" s="157" t="s">
        <v>266</v>
      </c>
      <c r="D66" s="157" t="s">
        <v>37</v>
      </c>
      <c r="E66" s="158" t="s">
        <v>40</v>
      </c>
      <c r="F66" s="98" t="s">
        <v>174</v>
      </c>
      <c r="G66" s="99" t="s">
        <v>147</v>
      </c>
      <c r="H66" s="98" t="s">
        <v>148</v>
      </c>
      <c r="I66" s="98" t="s">
        <v>148</v>
      </c>
      <c r="J66" s="98" t="s">
        <v>148</v>
      </c>
      <c r="K66" s="98" t="s">
        <v>148</v>
      </c>
      <c r="L66" s="98" t="s">
        <v>148</v>
      </c>
      <c r="M66" s="98" t="s">
        <v>148</v>
      </c>
      <c r="N66" s="98" t="s">
        <v>148</v>
      </c>
      <c r="O66" s="99" t="s">
        <v>147</v>
      </c>
      <c r="P66" s="98" t="s">
        <v>148</v>
      </c>
      <c r="Q66" s="98" t="s">
        <v>148</v>
      </c>
      <c r="R66" s="102" t="s">
        <v>148</v>
      </c>
      <c r="S66" s="102" t="s">
        <v>148</v>
      </c>
      <c r="T66" s="102" t="s">
        <v>148</v>
      </c>
      <c r="U66" s="99" t="s">
        <v>147</v>
      </c>
      <c r="V66" s="99" t="s">
        <v>147</v>
      </c>
      <c r="W66" s="98" t="s">
        <v>148</v>
      </c>
      <c r="X66" s="98" t="s">
        <v>148</v>
      </c>
      <c r="Y66" s="98" t="s">
        <v>148</v>
      </c>
      <c r="Z66" s="98" t="s">
        <v>148</v>
      </c>
      <c r="AA66" s="102" t="s">
        <v>187</v>
      </c>
      <c r="AB66" s="102" t="s">
        <v>187</v>
      </c>
      <c r="AC66" s="102" t="s">
        <v>187</v>
      </c>
      <c r="AD66" s="102" t="s">
        <v>187</v>
      </c>
      <c r="AE66" s="102" t="s">
        <v>187</v>
      </c>
      <c r="AF66" s="102" t="s">
        <v>187</v>
      </c>
      <c r="AG66" s="102" t="s">
        <v>187</v>
      </c>
      <c r="AH66" s="102" t="s">
        <v>187</v>
      </c>
      <c r="AI66" s="102" t="s">
        <v>187</v>
      </c>
      <c r="AJ66" s="102" t="s">
        <v>187</v>
      </c>
      <c r="AK66" s="159">
        <v>0</v>
      </c>
      <c r="AL66" s="160">
        <v>0</v>
      </c>
      <c r="AM66" s="157">
        <v>0</v>
      </c>
      <c r="AN66" s="160">
        <v>0</v>
      </c>
      <c r="AO66" s="146">
        <v>13050</v>
      </c>
      <c r="AP66" s="146">
        <v>13050</v>
      </c>
      <c r="AQ66" s="161">
        <v>1</v>
      </c>
      <c r="AR66" s="146">
        <v>29</v>
      </c>
      <c r="AS66" s="146">
        <v>29</v>
      </c>
      <c r="AT66" s="146">
        <v>29</v>
      </c>
      <c r="AU66" s="156">
        <v>2</v>
      </c>
      <c r="AV66" s="157">
        <v>0</v>
      </c>
      <c r="AW66" s="157">
        <v>0</v>
      </c>
      <c r="AX66" s="157">
        <v>0</v>
      </c>
      <c r="AY66" s="146"/>
    </row>
    <row r="67" spans="1:51">
      <c r="A67" s="155" t="s">
        <v>236</v>
      </c>
      <c r="B67" s="156" t="s">
        <v>300</v>
      </c>
      <c r="C67" s="157" t="s">
        <v>301</v>
      </c>
      <c r="D67" s="157" t="s">
        <v>37</v>
      </c>
      <c r="E67" s="158" t="s">
        <v>40</v>
      </c>
      <c r="F67" s="99" t="s">
        <v>147</v>
      </c>
      <c r="G67" s="99" t="s">
        <v>147</v>
      </c>
      <c r="H67" s="98" t="s">
        <v>148</v>
      </c>
      <c r="I67" s="98" t="s">
        <v>148</v>
      </c>
      <c r="J67" s="98" t="s">
        <v>148</v>
      </c>
      <c r="K67" s="98" t="s">
        <v>148</v>
      </c>
      <c r="L67" s="98" t="s">
        <v>148</v>
      </c>
      <c r="M67" s="99" t="s">
        <v>147</v>
      </c>
      <c r="N67" s="99" t="s">
        <v>147</v>
      </c>
      <c r="O67" s="98" t="s">
        <v>148</v>
      </c>
      <c r="P67" s="98" t="s">
        <v>148</v>
      </c>
      <c r="Q67" s="98" t="s">
        <v>148</v>
      </c>
      <c r="R67" s="102" t="s">
        <v>148</v>
      </c>
      <c r="S67" s="102" t="s">
        <v>148</v>
      </c>
      <c r="T67" s="99" t="s">
        <v>147</v>
      </c>
      <c r="U67" s="99" t="s">
        <v>147</v>
      </c>
      <c r="V67" s="102">
        <v>450</v>
      </c>
      <c r="W67" s="98" t="s">
        <v>148</v>
      </c>
      <c r="X67" s="98" t="s">
        <v>148</v>
      </c>
      <c r="Y67" s="98" t="s">
        <v>148</v>
      </c>
      <c r="Z67" s="98" t="s">
        <v>148</v>
      </c>
      <c r="AA67" s="102" t="s">
        <v>187</v>
      </c>
      <c r="AB67" s="102" t="s">
        <v>187</v>
      </c>
      <c r="AC67" s="102" t="s">
        <v>187</v>
      </c>
      <c r="AD67" s="102" t="s">
        <v>187</v>
      </c>
      <c r="AE67" s="102" t="s">
        <v>187</v>
      </c>
      <c r="AF67" s="102" t="s">
        <v>187</v>
      </c>
      <c r="AG67" s="102" t="s">
        <v>187</v>
      </c>
      <c r="AH67" s="102" t="s">
        <v>187</v>
      </c>
      <c r="AI67" s="102" t="s">
        <v>187</v>
      </c>
      <c r="AJ67" s="102" t="s">
        <v>187</v>
      </c>
      <c r="AK67" s="159">
        <v>0</v>
      </c>
      <c r="AL67" s="160">
        <v>0</v>
      </c>
      <c r="AM67" s="157">
        <v>0</v>
      </c>
      <c r="AN67" s="160">
        <v>0</v>
      </c>
      <c r="AO67" s="146">
        <v>12150</v>
      </c>
      <c r="AP67" s="146">
        <v>12150</v>
      </c>
      <c r="AQ67" s="161">
        <v>1</v>
      </c>
      <c r="AR67" s="146">
        <v>27</v>
      </c>
      <c r="AS67" s="146">
        <v>27</v>
      </c>
      <c r="AT67" s="146">
        <v>27</v>
      </c>
      <c r="AU67" s="156">
        <v>4</v>
      </c>
      <c r="AV67" s="157">
        <v>0</v>
      </c>
      <c r="AW67" s="157">
        <v>0</v>
      </c>
      <c r="AX67" s="157">
        <v>0</v>
      </c>
      <c r="AY67" s="146"/>
    </row>
    <row r="68" spans="1:51">
      <c r="A68" s="162" t="s">
        <v>310</v>
      </c>
      <c r="B68" s="156" t="s">
        <v>303</v>
      </c>
      <c r="C68" s="157" t="s">
        <v>266</v>
      </c>
      <c r="D68" s="157" t="s">
        <v>37</v>
      </c>
      <c r="E68" s="158" t="s">
        <v>40</v>
      </c>
      <c r="F68" s="98" t="s">
        <v>148</v>
      </c>
      <c r="G68" s="99" t="s">
        <v>147</v>
      </c>
      <c r="H68" s="99" t="s">
        <v>147</v>
      </c>
      <c r="I68" s="98" t="s">
        <v>148</v>
      </c>
      <c r="J68" s="98" t="s">
        <v>148</v>
      </c>
      <c r="K68" s="98" t="s">
        <v>148</v>
      </c>
      <c r="L68" s="98" t="s">
        <v>148</v>
      </c>
      <c r="M68" s="98" t="s">
        <v>148</v>
      </c>
      <c r="N68" s="99" t="s">
        <v>147</v>
      </c>
      <c r="O68" s="99" t="s">
        <v>147</v>
      </c>
      <c r="P68" s="98" t="s">
        <v>148</v>
      </c>
      <c r="Q68" s="98" t="s">
        <v>148</v>
      </c>
      <c r="R68" s="102" t="s">
        <v>148</v>
      </c>
      <c r="S68" s="102" t="s">
        <v>148</v>
      </c>
      <c r="T68" s="102" t="s">
        <v>148</v>
      </c>
      <c r="U68" s="99" t="s">
        <v>147</v>
      </c>
      <c r="V68" s="99" t="s">
        <v>147</v>
      </c>
      <c r="W68" s="98" t="s">
        <v>148</v>
      </c>
      <c r="X68" s="98" t="s">
        <v>148</v>
      </c>
      <c r="Y68" s="100">
        <v>3</v>
      </c>
      <c r="Z68" s="98" t="s">
        <v>148</v>
      </c>
      <c r="AA68" s="102" t="s">
        <v>187</v>
      </c>
      <c r="AB68" s="102" t="s">
        <v>187</v>
      </c>
      <c r="AC68" s="102" t="s">
        <v>187</v>
      </c>
      <c r="AD68" s="102" t="s">
        <v>187</v>
      </c>
      <c r="AE68" s="102" t="s">
        <v>187</v>
      </c>
      <c r="AF68" s="102" t="s">
        <v>187</v>
      </c>
      <c r="AG68" s="102" t="s">
        <v>187</v>
      </c>
      <c r="AH68" s="102" t="s">
        <v>187</v>
      </c>
      <c r="AI68" s="102" t="s">
        <v>187</v>
      </c>
      <c r="AJ68" s="102" t="s">
        <v>187</v>
      </c>
      <c r="AK68" s="159">
        <v>0</v>
      </c>
      <c r="AL68" s="160">
        <v>0</v>
      </c>
      <c r="AM68" s="157">
        <v>0</v>
      </c>
      <c r="AN68" s="160">
        <v>0</v>
      </c>
      <c r="AO68" s="146">
        <v>12150</v>
      </c>
      <c r="AP68" s="146">
        <v>12150</v>
      </c>
      <c r="AQ68" s="161">
        <v>1</v>
      </c>
      <c r="AR68" s="146">
        <v>27</v>
      </c>
      <c r="AS68" s="146">
        <v>27</v>
      </c>
      <c r="AT68" s="146">
        <v>27</v>
      </c>
      <c r="AU68" s="156">
        <v>4</v>
      </c>
      <c r="AV68" s="157">
        <v>0</v>
      </c>
      <c r="AW68" s="157">
        <v>0</v>
      </c>
      <c r="AX68" s="157">
        <v>0</v>
      </c>
      <c r="AY68" s="146"/>
    </row>
    <row r="69" spans="1:51">
      <c r="A69" s="162" t="s">
        <v>240</v>
      </c>
      <c r="B69" s="156" t="s">
        <v>300</v>
      </c>
      <c r="C69" s="157" t="s">
        <v>308</v>
      </c>
      <c r="D69" s="157" t="s">
        <v>37</v>
      </c>
      <c r="E69" s="158" t="s">
        <v>40</v>
      </c>
      <c r="F69" s="98" t="s">
        <v>148</v>
      </c>
      <c r="G69" s="98" t="s">
        <v>148</v>
      </c>
      <c r="H69" s="99" t="s">
        <v>147</v>
      </c>
      <c r="I69" s="99" t="s">
        <v>147</v>
      </c>
      <c r="J69" s="98" t="s">
        <v>148</v>
      </c>
      <c r="K69" s="98" t="s">
        <v>148</v>
      </c>
      <c r="L69" s="98" t="s">
        <v>148</v>
      </c>
      <c r="M69" s="98" t="s">
        <v>148</v>
      </c>
      <c r="N69" s="98" t="s">
        <v>148</v>
      </c>
      <c r="O69" s="99" t="s">
        <v>147</v>
      </c>
      <c r="P69" s="99" t="s">
        <v>147</v>
      </c>
      <c r="Q69" s="98" t="s">
        <v>148</v>
      </c>
      <c r="R69" s="102" t="s">
        <v>148</v>
      </c>
      <c r="S69" s="102" t="s">
        <v>148</v>
      </c>
      <c r="T69" s="102" t="s">
        <v>148</v>
      </c>
      <c r="U69" s="98" t="s">
        <v>148</v>
      </c>
      <c r="V69" s="98" t="s">
        <v>148</v>
      </c>
      <c r="W69" s="99" t="s">
        <v>147</v>
      </c>
      <c r="X69" s="98" t="s">
        <v>148</v>
      </c>
      <c r="Y69" s="98" t="s">
        <v>148</v>
      </c>
      <c r="Z69" s="98" t="s">
        <v>148</v>
      </c>
      <c r="AA69" s="102" t="s">
        <v>187</v>
      </c>
      <c r="AB69" s="102" t="s">
        <v>187</v>
      </c>
      <c r="AC69" s="102" t="s">
        <v>187</v>
      </c>
      <c r="AD69" s="102" t="s">
        <v>187</v>
      </c>
      <c r="AE69" s="102" t="s">
        <v>187</v>
      </c>
      <c r="AF69" s="102" t="s">
        <v>187</v>
      </c>
      <c r="AG69" s="102" t="s">
        <v>187</v>
      </c>
      <c r="AH69" s="102" t="s">
        <v>187</v>
      </c>
      <c r="AI69" s="102" t="s">
        <v>187</v>
      </c>
      <c r="AJ69" s="102" t="s">
        <v>187</v>
      </c>
      <c r="AK69" s="159">
        <v>0</v>
      </c>
      <c r="AL69" s="160">
        <v>0</v>
      </c>
      <c r="AM69" s="157">
        <v>0</v>
      </c>
      <c r="AN69" s="160">
        <v>0</v>
      </c>
      <c r="AO69" s="146">
        <v>12150</v>
      </c>
      <c r="AP69" s="146">
        <v>12150</v>
      </c>
      <c r="AQ69" s="161">
        <v>1</v>
      </c>
      <c r="AR69" s="146">
        <v>27</v>
      </c>
      <c r="AS69" s="146">
        <v>27</v>
      </c>
      <c r="AT69" s="146">
        <v>27</v>
      </c>
      <c r="AU69" s="156">
        <v>4</v>
      </c>
      <c r="AV69" s="157">
        <v>0</v>
      </c>
      <c r="AW69" s="157">
        <v>0</v>
      </c>
      <c r="AX69" s="157">
        <v>0</v>
      </c>
      <c r="AY69" s="146"/>
    </row>
    <row r="70" spans="1:51">
      <c r="A70" s="162" t="s">
        <v>239</v>
      </c>
      <c r="B70" s="156" t="s">
        <v>300</v>
      </c>
      <c r="C70" s="157" t="s">
        <v>307</v>
      </c>
      <c r="D70" s="157" t="s">
        <v>37</v>
      </c>
      <c r="E70" s="158" t="s">
        <v>40</v>
      </c>
      <c r="F70" s="106">
        <v>450</v>
      </c>
      <c r="G70" s="100">
        <v>78</v>
      </c>
      <c r="H70" s="100">
        <v>3</v>
      </c>
      <c r="I70" s="100">
        <v>123</v>
      </c>
      <c r="J70" s="99" t="s">
        <v>147</v>
      </c>
      <c r="K70" s="99" t="s">
        <v>147</v>
      </c>
      <c r="L70" s="100">
        <v>9</v>
      </c>
      <c r="M70" s="100">
        <v>37</v>
      </c>
      <c r="N70" s="98" t="s">
        <v>148</v>
      </c>
      <c r="O70" s="98" t="s">
        <v>148</v>
      </c>
      <c r="P70" s="98" t="s">
        <v>148</v>
      </c>
      <c r="Q70" s="99" t="s">
        <v>147</v>
      </c>
      <c r="R70" s="99" t="s">
        <v>147</v>
      </c>
      <c r="S70" s="102" t="s">
        <v>148</v>
      </c>
      <c r="T70" s="100">
        <v>2</v>
      </c>
      <c r="U70" s="98" t="s">
        <v>148</v>
      </c>
      <c r="V70" s="98" t="s">
        <v>148</v>
      </c>
      <c r="W70" s="98" t="s">
        <v>148</v>
      </c>
      <c r="X70" s="99" t="s">
        <v>147</v>
      </c>
      <c r="Y70" s="99" t="s">
        <v>147</v>
      </c>
      <c r="Z70" s="98" t="s">
        <v>148</v>
      </c>
      <c r="AA70" s="102" t="s">
        <v>187</v>
      </c>
      <c r="AB70" s="102" t="s">
        <v>187</v>
      </c>
      <c r="AC70" s="102" t="s">
        <v>187</v>
      </c>
      <c r="AD70" s="102" t="s">
        <v>187</v>
      </c>
      <c r="AE70" s="102" t="s">
        <v>187</v>
      </c>
      <c r="AF70" s="102" t="s">
        <v>187</v>
      </c>
      <c r="AG70" s="102" t="s">
        <v>187</v>
      </c>
      <c r="AH70" s="102" t="s">
        <v>187</v>
      </c>
      <c r="AI70" s="102" t="s">
        <v>187</v>
      </c>
      <c r="AJ70" s="102" t="s">
        <v>187</v>
      </c>
      <c r="AK70" s="159">
        <v>700</v>
      </c>
      <c r="AL70" s="160">
        <v>250</v>
      </c>
      <c r="AM70" s="157">
        <v>450</v>
      </c>
      <c r="AN70" s="160">
        <v>700</v>
      </c>
      <c r="AO70" s="146">
        <v>12150</v>
      </c>
      <c r="AP70" s="146">
        <v>11450</v>
      </c>
      <c r="AQ70" s="161">
        <v>0.94240000000000002</v>
      </c>
      <c r="AR70" s="146">
        <v>26</v>
      </c>
      <c r="AS70" s="146">
        <v>27</v>
      </c>
      <c r="AT70" s="146">
        <v>27</v>
      </c>
      <c r="AU70" s="156">
        <v>4</v>
      </c>
      <c r="AV70" s="157">
        <v>0</v>
      </c>
      <c r="AW70" s="157">
        <v>0</v>
      </c>
      <c r="AX70" s="157">
        <v>1</v>
      </c>
      <c r="AY70" s="146"/>
    </row>
    <row r="71" spans="1:51">
      <c r="A71" s="163" t="s">
        <v>311</v>
      </c>
      <c r="B71" s="156" t="s">
        <v>300</v>
      </c>
      <c r="C71" s="157" t="s">
        <v>307</v>
      </c>
      <c r="D71" s="157" t="s">
        <v>26</v>
      </c>
      <c r="E71" s="158" t="s">
        <v>25</v>
      </c>
      <c r="F71" s="98" t="s">
        <v>148</v>
      </c>
      <c r="G71" s="98" t="s">
        <v>148</v>
      </c>
      <c r="H71" s="98" t="s">
        <v>148</v>
      </c>
      <c r="I71" s="98" t="s">
        <v>148</v>
      </c>
      <c r="J71" s="99" t="s">
        <v>147</v>
      </c>
      <c r="K71" s="99" t="s">
        <v>147</v>
      </c>
      <c r="L71" s="98" t="s">
        <v>148</v>
      </c>
      <c r="M71" s="100">
        <v>23</v>
      </c>
      <c r="N71" s="98" t="s">
        <v>148</v>
      </c>
      <c r="O71" s="99" t="s">
        <v>147</v>
      </c>
      <c r="P71" s="100">
        <v>2</v>
      </c>
      <c r="Q71" s="99">
        <v>1</v>
      </c>
      <c r="R71" s="99">
        <v>16</v>
      </c>
      <c r="S71" s="102">
        <v>10</v>
      </c>
      <c r="T71" s="100">
        <v>44</v>
      </c>
      <c r="U71" s="271" t="s">
        <v>147</v>
      </c>
      <c r="V71" s="100">
        <v>25</v>
      </c>
      <c r="W71" s="102">
        <v>450</v>
      </c>
      <c r="X71" s="99" t="s">
        <v>147</v>
      </c>
      <c r="Y71" s="99" t="s">
        <v>147</v>
      </c>
      <c r="Z71" s="98" t="s">
        <v>148</v>
      </c>
      <c r="AA71" s="102" t="s">
        <v>187</v>
      </c>
      <c r="AB71" s="102" t="s">
        <v>187</v>
      </c>
      <c r="AC71" s="102" t="s">
        <v>187</v>
      </c>
      <c r="AD71" s="102" t="s">
        <v>187</v>
      </c>
      <c r="AE71" s="102" t="s">
        <v>187</v>
      </c>
      <c r="AF71" s="102" t="s">
        <v>187</v>
      </c>
      <c r="AG71" s="102" t="s">
        <v>187</v>
      </c>
      <c r="AH71" s="102" t="s">
        <v>187</v>
      </c>
      <c r="AI71" s="102" t="s">
        <v>187</v>
      </c>
      <c r="AJ71" s="102" t="s">
        <v>187</v>
      </c>
      <c r="AK71" s="159">
        <v>34</v>
      </c>
      <c r="AL71" s="160">
        <v>34</v>
      </c>
      <c r="AM71" s="157">
        <v>0</v>
      </c>
      <c r="AN71" s="160">
        <v>34</v>
      </c>
      <c r="AO71" s="146">
        <v>12600</v>
      </c>
      <c r="AP71" s="146">
        <v>12566</v>
      </c>
      <c r="AQ71" s="161">
        <v>0.99729999999999996</v>
      </c>
      <c r="AR71" s="146">
        <v>28</v>
      </c>
      <c r="AS71" s="146">
        <v>28</v>
      </c>
      <c r="AT71" s="146">
        <v>28</v>
      </c>
      <c r="AU71" s="156">
        <v>3</v>
      </c>
      <c r="AV71" s="157">
        <v>0</v>
      </c>
      <c r="AW71" s="157">
        <v>0</v>
      </c>
      <c r="AX71" s="157">
        <v>0</v>
      </c>
      <c r="AY71" s="146"/>
    </row>
    <row r="72" spans="1:51">
      <c r="A72" s="164" t="s">
        <v>312</v>
      </c>
      <c r="B72" s="156" t="s">
        <v>265</v>
      </c>
      <c r="C72" s="157" t="s">
        <v>266</v>
      </c>
      <c r="D72" s="157" t="s">
        <v>26</v>
      </c>
      <c r="E72" s="158" t="s">
        <v>30</v>
      </c>
      <c r="F72" s="100">
        <v>4</v>
      </c>
      <c r="G72" s="99" t="s">
        <v>147</v>
      </c>
      <c r="H72" s="99" t="s">
        <v>147</v>
      </c>
      <c r="I72" s="102">
        <v>450</v>
      </c>
      <c r="J72" s="100">
        <v>29</v>
      </c>
      <c r="K72" s="98" t="s">
        <v>148</v>
      </c>
      <c r="L72" s="98" t="s">
        <v>148</v>
      </c>
      <c r="M72" s="98" t="s">
        <v>148</v>
      </c>
      <c r="N72" s="99" t="s">
        <v>147</v>
      </c>
      <c r="O72" s="99" t="s">
        <v>147</v>
      </c>
      <c r="P72" s="100">
        <v>2</v>
      </c>
      <c r="Q72" s="100">
        <v>1</v>
      </c>
      <c r="R72" s="100">
        <v>1</v>
      </c>
      <c r="S72" s="100">
        <v>10</v>
      </c>
      <c r="T72" s="100">
        <v>44</v>
      </c>
      <c r="U72" s="99" t="s">
        <v>147</v>
      </c>
      <c r="V72" s="99" t="s">
        <v>147</v>
      </c>
      <c r="W72" s="102">
        <v>8</v>
      </c>
      <c r="X72" s="102" t="s">
        <v>148</v>
      </c>
      <c r="Y72" s="102" t="s">
        <v>148</v>
      </c>
      <c r="Z72" s="100">
        <v>36</v>
      </c>
      <c r="AA72" s="102" t="s">
        <v>187</v>
      </c>
      <c r="AB72" s="102" t="s">
        <v>187</v>
      </c>
      <c r="AC72" s="102" t="s">
        <v>187</v>
      </c>
      <c r="AD72" s="102" t="s">
        <v>187</v>
      </c>
      <c r="AE72" s="102" t="s">
        <v>187</v>
      </c>
      <c r="AF72" s="102" t="s">
        <v>187</v>
      </c>
      <c r="AG72" s="102" t="s">
        <v>187</v>
      </c>
      <c r="AH72" s="102" t="s">
        <v>187</v>
      </c>
      <c r="AI72" s="102" t="s">
        <v>187</v>
      </c>
      <c r="AJ72" s="102" t="s">
        <v>187</v>
      </c>
      <c r="AK72" s="159">
        <v>485</v>
      </c>
      <c r="AL72" s="160">
        <v>35</v>
      </c>
      <c r="AM72" s="157">
        <v>450</v>
      </c>
      <c r="AN72" s="160">
        <v>485</v>
      </c>
      <c r="AO72" s="146">
        <v>12150</v>
      </c>
      <c r="AP72" s="146">
        <v>11665</v>
      </c>
      <c r="AQ72" s="161">
        <v>0.96009999999999995</v>
      </c>
      <c r="AR72" s="146">
        <v>26</v>
      </c>
      <c r="AS72" s="146">
        <v>27</v>
      </c>
      <c r="AT72" s="146">
        <v>27</v>
      </c>
      <c r="AU72" s="156">
        <v>4</v>
      </c>
      <c r="AV72" s="157">
        <v>0</v>
      </c>
      <c r="AW72" s="157">
        <v>0</v>
      </c>
      <c r="AX72" s="157">
        <v>1</v>
      </c>
      <c r="AY72" s="146"/>
    </row>
    <row r="73" spans="1:51">
      <c r="A73" s="164" t="s">
        <v>35</v>
      </c>
      <c r="B73" s="156" t="s">
        <v>313</v>
      </c>
      <c r="C73" s="157" t="s">
        <v>266</v>
      </c>
      <c r="D73" s="157" t="s">
        <v>26</v>
      </c>
      <c r="E73" s="158" t="s">
        <v>40</v>
      </c>
      <c r="F73" s="98" t="s">
        <v>148</v>
      </c>
      <c r="G73" s="99" t="s">
        <v>147</v>
      </c>
      <c r="H73" s="98" t="s">
        <v>148</v>
      </c>
      <c r="I73" s="99" t="s">
        <v>147</v>
      </c>
      <c r="J73" s="99" t="s">
        <v>147</v>
      </c>
      <c r="K73" s="98" t="s">
        <v>148</v>
      </c>
      <c r="L73" s="98" t="s">
        <v>148</v>
      </c>
      <c r="M73" s="98" t="s">
        <v>148</v>
      </c>
      <c r="N73" s="98" t="s">
        <v>148</v>
      </c>
      <c r="O73" s="98" t="s">
        <v>12</v>
      </c>
      <c r="P73" s="99">
        <v>450</v>
      </c>
      <c r="Q73" s="99" t="s">
        <v>148</v>
      </c>
      <c r="R73" s="271" t="s">
        <v>147</v>
      </c>
      <c r="S73" s="271" t="s">
        <v>147</v>
      </c>
      <c r="T73" s="99" t="s">
        <v>148</v>
      </c>
      <c r="U73" s="99" t="s">
        <v>148</v>
      </c>
      <c r="V73" s="102" t="s">
        <v>148</v>
      </c>
      <c r="W73" s="99" t="s">
        <v>147</v>
      </c>
      <c r="X73" s="99" t="s">
        <v>147</v>
      </c>
      <c r="Y73" s="330" t="s">
        <v>314</v>
      </c>
      <c r="Z73" s="102" t="s">
        <v>187</v>
      </c>
      <c r="AA73" s="102" t="s">
        <v>187</v>
      </c>
      <c r="AB73" s="102" t="s">
        <v>187</v>
      </c>
      <c r="AC73" s="102" t="s">
        <v>187</v>
      </c>
      <c r="AD73" s="102" t="s">
        <v>187</v>
      </c>
      <c r="AE73" s="102" t="s">
        <v>187</v>
      </c>
      <c r="AF73" s="102" t="s">
        <v>187</v>
      </c>
      <c r="AG73" s="102" t="s">
        <v>187</v>
      </c>
      <c r="AH73" s="102" t="s">
        <v>187</v>
      </c>
      <c r="AI73" s="102" t="s">
        <v>187</v>
      </c>
      <c r="AJ73" s="102" t="s">
        <v>187</v>
      </c>
      <c r="AK73" s="159">
        <v>0</v>
      </c>
      <c r="AL73" s="160">
        <v>0</v>
      </c>
      <c r="AM73" s="157">
        <v>0</v>
      </c>
      <c r="AN73" s="160">
        <v>0</v>
      </c>
      <c r="AO73" s="146">
        <v>12150</v>
      </c>
      <c r="AP73" s="146">
        <v>12150</v>
      </c>
      <c r="AQ73" s="161">
        <v>1</v>
      </c>
      <c r="AR73" s="146">
        <v>27</v>
      </c>
      <c r="AS73" s="146">
        <v>27</v>
      </c>
      <c r="AT73" s="146">
        <v>27</v>
      </c>
      <c r="AU73" s="156">
        <v>4</v>
      </c>
      <c r="AV73" s="157">
        <v>0</v>
      </c>
      <c r="AW73" s="157">
        <v>0</v>
      </c>
      <c r="AX73" s="157">
        <v>0</v>
      </c>
      <c r="AY73" s="146"/>
    </row>
    <row r="74" spans="1:51">
      <c r="A74" s="164" t="s">
        <v>315</v>
      </c>
      <c r="B74" s="156" t="s">
        <v>300</v>
      </c>
      <c r="C74" s="157" t="s">
        <v>316</v>
      </c>
      <c r="D74" s="157" t="s">
        <v>26</v>
      </c>
      <c r="E74" s="158" t="s">
        <v>30</v>
      </c>
      <c r="F74" s="98" t="s">
        <v>148</v>
      </c>
      <c r="G74" s="98" t="s">
        <v>148</v>
      </c>
      <c r="H74" s="98" t="s">
        <v>148</v>
      </c>
      <c r="I74" s="98" t="s">
        <v>148</v>
      </c>
      <c r="J74" s="98" t="s">
        <v>148</v>
      </c>
      <c r="K74" s="99" t="s">
        <v>147</v>
      </c>
      <c r="L74" s="99" t="s">
        <v>147</v>
      </c>
      <c r="M74" s="98" t="s">
        <v>148</v>
      </c>
      <c r="N74" s="104" t="s">
        <v>12</v>
      </c>
      <c r="O74" s="104" t="s">
        <v>12</v>
      </c>
      <c r="P74" s="102">
        <v>450</v>
      </c>
      <c r="Q74" s="102" t="s">
        <v>148</v>
      </c>
      <c r="R74" s="99" t="s">
        <v>147</v>
      </c>
      <c r="S74" s="99" t="s">
        <v>147</v>
      </c>
      <c r="T74" s="100">
        <v>117</v>
      </c>
      <c r="U74" s="102" t="s">
        <v>148</v>
      </c>
      <c r="V74" s="102" t="s">
        <v>148</v>
      </c>
      <c r="W74" s="102" t="s">
        <v>148</v>
      </c>
      <c r="X74" s="102" t="s">
        <v>148</v>
      </c>
      <c r="Y74" s="99" t="s">
        <v>147</v>
      </c>
      <c r="Z74" s="99" t="s">
        <v>147</v>
      </c>
      <c r="AA74" s="102" t="s">
        <v>187</v>
      </c>
      <c r="AB74" s="102" t="s">
        <v>187</v>
      </c>
      <c r="AC74" s="102" t="s">
        <v>187</v>
      </c>
      <c r="AD74" s="102" t="s">
        <v>187</v>
      </c>
      <c r="AE74" s="102" t="s">
        <v>187</v>
      </c>
      <c r="AF74" s="102" t="s">
        <v>187</v>
      </c>
      <c r="AG74" s="102" t="s">
        <v>187</v>
      </c>
      <c r="AH74" s="102" t="s">
        <v>187</v>
      </c>
      <c r="AI74" s="102" t="s">
        <v>187</v>
      </c>
      <c r="AJ74" s="102" t="s">
        <v>187</v>
      </c>
      <c r="AK74" s="159">
        <v>450</v>
      </c>
      <c r="AL74" s="160">
        <v>0</v>
      </c>
      <c r="AM74" s="157">
        <v>450</v>
      </c>
      <c r="AN74" s="160">
        <v>450</v>
      </c>
      <c r="AO74" s="146">
        <v>12150</v>
      </c>
      <c r="AP74" s="146">
        <v>11700</v>
      </c>
      <c r="AQ74" s="161">
        <v>0.96299999999999997</v>
      </c>
      <c r="AR74" s="146">
        <v>26</v>
      </c>
      <c r="AS74" s="146">
        <v>27</v>
      </c>
      <c r="AT74" s="146">
        <v>27</v>
      </c>
      <c r="AU74" s="156">
        <v>4</v>
      </c>
      <c r="AV74" s="157">
        <v>0</v>
      </c>
      <c r="AW74" s="157">
        <v>0</v>
      </c>
      <c r="AX74" s="157">
        <v>1</v>
      </c>
      <c r="AY74" s="146"/>
    </row>
    <row r="75" spans="1:51">
      <c r="A75" s="164" t="s">
        <v>47</v>
      </c>
      <c r="B75" s="156" t="s">
        <v>265</v>
      </c>
      <c r="C75" s="157" t="s">
        <v>307</v>
      </c>
      <c r="D75" s="157" t="s">
        <v>26</v>
      </c>
      <c r="E75" s="158" t="s">
        <v>33</v>
      </c>
      <c r="F75" s="98" t="s">
        <v>148</v>
      </c>
      <c r="G75" s="99" t="s">
        <v>147</v>
      </c>
      <c r="H75" s="99" t="s">
        <v>147</v>
      </c>
      <c r="I75" s="98" t="s">
        <v>148</v>
      </c>
      <c r="J75" s="102">
        <v>450</v>
      </c>
      <c r="K75" s="102">
        <v>450</v>
      </c>
      <c r="L75" s="98" t="s">
        <v>148</v>
      </c>
      <c r="M75" s="100">
        <v>37</v>
      </c>
      <c r="N75" s="99" t="s">
        <v>147</v>
      </c>
      <c r="O75" s="99" t="s">
        <v>147</v>
      </c>
      <c r="P75" s="98">
        <v>450</v>
      </c>
      <c r="Q75" s="99" t="s">
        <v>148</v>
      </c>
      <c r="R75" s="99" t="s">
        <v>148</v>
      </c>
      <c r="S75" s="98">
        <v>8</v>
      </c>
      <c r="T75" s="269" t="s">
        <v>148</v>
      </c>
      <c r="U75" s="271" t="s">
        <v>147</v>
      </c>
      <c r="V75" s="102" t="s">
        <v>148</v>
      </c>
      <c r="W75" s="102" t="s">
        <v>148</v>
      </c>
      <c r="X75" s="99" t="s">
        <v>147</v>
      </c>
      <c r="Y75" s="99" t="s">
        <v>147</v>
      </c>
      <c r="Z75" s="102" t="s">
        <v>148</v>
      </c>
      <c r="AA75" s="102" t="s">
        <v>187</v>
      </c>
      <c r="AB75" s="102" t="s">
        <v>187</v>
      </c>
      <c r="AC75" s="102" t="s">
        <v>187</v>
      </c>
      <c r="AD75" s="102" t="s">
        <v>187</v>
      </c>
      <c r="AE75" s="102" t="s">
        <v>187</v>
      </c>
      <c r="AF75" s="102" t="s">
        <v>187</v>
      </c>
      <c r="AG75" s="102" t="s">
        <v>187</v>
      </c>
      <c r="AH75" s="102" t="s">
        <v>187</v>
      </c>
      <c r="AI75" s="102" t="s">
        <v>187</v>
      </c>
      <c r="AJ75" s="102" t="s">
        <v>187</v>
      </c>
      <c r="AK75" s="159">
        <v>937</v>
      </c>
      <c r="AL75" s="160">
        <v>37</v>
      </c>
      <c r="AM75" s="157">
        <v>900</v>
      </c>
      <c r="AN75" s="160">
        <v>937</v>
      </c>
      <c r="AO75" s="146">
        <v>12150</v>
      </c>
      <c r="AP75" s="146">
        <v>11213</v>
      </c>
      <c r="AQ75" s="161">
        <v>0.92290000000000005</v>
      </c>
      <c r="AR75" s="146">
        <v>25</v>
      </c>
      <c r="AS75" s="146">
        <v>27</v>
      </c>
      <c r="AT75" s="146">
        <v>27</v>
      </c>
      <c r="AU75" s="156">
        <v>4</v>
      </c>
      <c r="AV75" s="157">
        <v>0</v>
      </c>
      <c r="AW75" s="157">
        <v>0</v>
      </c>
      <c r="AX75" s="157">
        <v>2</v>
      </c>
      <c r="AY75" s="146"/>
    </row>
    <row r="76" spans="1:51">
      <c r="A76" s="164" t="s">
        <v>317</v>
      </c>
      <c r="B76" s="156" t="s">
        <v>265</v>
      </c>
      <c r="C76" s="157" t="s">
        <v>307</v>
      </c>
      <c r="D76" s="157" t="s">
        <v>26</v>
      </c>
      <c r="E76" s="158" t="s">
        <v>25</v>
      </c>
      <c r="F76" s="100">
        <v>6</v>
      </c>
      <c r="G76" s="98" t="s">
        <v>148</v>
      </c>
      <c r="H76" s="98" t="s">
        <v>148</v>
      </c>
      <c r="I76" s="98" t="s">
        <v>148</v>
      </c>
      <c r="J76" s="99" t="s">
        <v>147</v>
      </c>
      <c r="K76" s="99" t="s">
        <v>147</v>
      </c>
      <c r="L76" s="98" t="s">
        <v>148</v>
      </c>
      <c r="M76" s="98" t="s">
        <v>148</v>
      </c>
      <c r="N76" s="98" t="s">
        <v>148</v>
      </c>
      <c r="O76" s="98" t="s">
        <v>148</v>
      </c>
      <c r="P76" s="98" t="s">
        <v>148</v>
      </c>
      <c r="Q76" s="99" t="s">
        <v>147</v>
      </c>
      <c r="R76" s="99" t="s">
        <v>147</v>
      </c>
      <c r="S76" s="102" t="s">
        <v>148</v>
      </c>
      <c r="T76" s="100">
        <v>90</v>
      </c>
      <c r="U76" s="102" t="s">
        <v>148</v>
      </c>
      <c r="V76" s="102" t="s">
        <v>148</v>
      </c>
      <c r="W76" s="102" t="s">
        <v>148</v>
      </c>
      <c r="X76" s="99" t="s">
        <v>147</v>
      </c>
      <c r="Y76" s="99" t="s">
        <v>147</v>
      </c>
      <c r="Z76" s="102" t="s">
        <v>148</v>
      </c>
      <c r="AA76" s="102" t="s">
        <v>187</v>
      </c>
      <c r="AB76" s="102" t="s">
        <v>187</v>
      </c>
      <c r="AC76" s="102" t="s">
        <v>187</v>
      </c>
      <c r="AD76" s="102" t="s">
        <v>187</v>
      </c>
      <c r="AE76" s="102" t="s">
        <v>187</v>
      </c>
      <c r="AF76" s="102" t="s">
        <v>187</v>
      </c>
      <c r="AG76" s="102" t="s">
        <v>187</v>
      </c>
      <c r="AH76" s="102" t="s">
        <v>187</v>
      </c>
      <c r="AI76" s="102" t="s">
        <v>187</v>
      </c>
      <c r="AJ76" s="102" t="s">
        <v>187</v>
      </c>
      <c r="AK76" s="159">
        <v>6</v>
      </c>
      <c r="AL76" s="160">
        <v>6</v>
      </c>
      <c r="AM76" s="157">
        <v>0</v>
      </c>
      <c r="AN76" s="160">
        <v>6</v>
      </c>
      <c r="AO76" s="146">
        <v>13050</v>
      </c>
      <c r="AP76" s="146">
        <v>13044</v>
      </c>
      <c r="AQ76" s="161">
        <v>0.99950000000000006</v>
      </c>
      <c r="AR76" s="146">
        <v>29</v>
      </c>
      <c r="AS76" s="146">
        <v>29</v>
      </c>
      <c r="AT76" s="146">
        <v>29</v>
      </c>
      <c r="AU76" s="156">
        <v>2</v>
      </c>
      <c r="AV76" s="157">
        <v>0</v>
      </c>
      <c r="AW76" s="157">
        <v>0</v>
      </c>
      <c r="AX76" s="157">
        <v>0</v>
      </c>
      <c r="AY76" s="146"/>
    </row>
    <row r="77" spans="1:51">
      <c r="A77" s="164" t="s">
        <v>49</v>
      </c>
      <c r="B77" s="156" t="s">
        <v>265</v>
      </c>
      <c r="C77" s="157" t="s">
        <v>266</v>
      </c>
      <c r="D77" s="157" t="s">
        <v>26</v>
      </c>
      <c r="E77" s="158" t="s">
        <v>40</v>
      </c>
      <c r="F77" s="98" t="s">
        <v>148</v>
      </c>
      <c r="G77" s="99" t="s">
        <v>147</v>
      </c>
      <c r="H77" s="99" t="s">
        <v>147</v>
      </c>
      <c r="I77" s="102">
        <v>450</v>
      </c>
      <c r="J77" s="98" t="s">
        <v>148</v>
      </c>
      <c r="K77" s="98" t="s">
        <v>148</v>
      </c>
      <c r="L77" s="100">
        <v>8</v>
      </c>
      <c r="M77" s="98" t="s">
        <v>148</v>
      </c>
      <c r="N77" s="99" t="s">
        <v>147</v>
      </c>
      <c r="O77" s="99" t="s">
        <v>147</v>
      </c>
      <c r="P77" s="102">
        <v>450</v>
      </c>
      <c r="Q77" s="98" t="s">
        <v>148</v>
      </c>
      <c r="R77" s="102" t="s">
        <v>148</v>
      </c>
      <c r="S77" s="100">
        <v>8</v>
      </c>
      <c r="T77" s="102" t="s">
        <v>148</v>
      </c>
      <c r="U77" s="99" t="s">
        <v>147</v>
      </c>
      <c r="V77" s="99" t="s">
        <v>147</v>
      </c>
      <c r="W77" s="102" t="s">
        <v>148</v>
      </c>
      <c r="X77" s="102" t="s">
        <v>148</v>
      </c>
      <c r="Y77" s="102" t="s">
        <v>148</v>
      </c>
      <c r="Z77" s="102" t="s">
        <v>148</v>
      </c>
      <c r="AA77" s="102" t="s">
        <v>187</v>
      </c>
      <c r="AB77" s="102" t="s">
        <v>187</v>
      </c>
      <c r="AC77" s="102" t="s">
        <v>187</v>
      </c>
      <c r="AD77" s="102" t="s">
        <v>187</v>
      </c>
      <c r="AE77" s="102" t="s">
        <v>187</v>
      </c>
      <c r="AF77" s="102" t="s">
        <v>187</v>
      </c>
      <c r="AG77" s="102" t="s">
        <v>187</v>
      </c>
      <c r="AH77" s="102" t="s">
        <v>187</v>
      </c>
      <c r="AI77" s="102" t="s">
        <v>187</v>
      </c>
      <c r="AJ77" s="102" t="s">
        <v>187</v>
      </c>
      <c r="AK77" s="159">
        <v>458</v>
      </c>
      <c r="AL77" s="160">
        <v>8</v>
      </c>
      <c r="AM77" s="157">
        <v>450</v>
      </c>
      <c r="AN77" s="160">
        <v>458</v>
      </c>
      <c r="AO77" s="146">
        <v>12150</v>
      </c>
      <c r="AP77" s="146">
        <v>11692</v>
      </c>
      <c r="AQ77" s="161">
        <v>0.96230000000000004</v>
      </c>
      <c r="AR77" s="146">
        <v>26</v>
      </c>
      <c r="AS77" s="146">
        <v>27</v>
      </c>
      <c r="AT77" s="146">
        <v>27</v>
      </c>
      <c r="AU77" s="156">
        <v>4</v>
      </c>
      <c r="AV77" s="157">
        <v>0</v>
      </c>
      <c r="AW77" s="157">
        <v>0</v>
      </c>
      <c r="AX77" s="157">
        <v>1</v>
      </c>
      <c r="AY77" s="146"/>
    </row>
    <row r="78" spans="1:51">
      <c r="A78" s="164" t="s">
        <v>318</v>
      </c>
      <c r="B78" s="156" t="s">
        <v>265</v>
      </c>
      <c r="C78" s="157" t="s">
        <v>266</v>
      </c>
      <c r="D78" s="157" t="s">
        <v>26</v>
      </c>
      <c r="E78" s="158" t="s">
        <v>40</v>
      </c>
      <c r="F78" s="98" t="s">
        <v>148</v>
      </c>
      <c r="G78" s="99" t="s">
        <v>147</v>
      </c>
      <c r="H78" s="99" t="s">
        <v>147</v>
      </c>
      <c r="I78" s="98" t="s">
        <v>148</v>
      </c>
      <c r="J78" s="98" t="s">
        <v>148</v>
      </c>
      <c r="K78" s="98" t="s">
        <v>148</v>
      </c>
      <c r="L78" s="98" t="s">
        <v>148</v>
      </c>
      <c r="M78" s="98" t="s">
        <v>148</v>
      </c>
      <c r="N78" s="99" t="s">
        <v>147</v>
      </c>
      <c r="O78" s="99" t="s">
        <v>147</v>
      </c>
      <c r="P78" s="98" t="s">
        <v>148</v>
      </c>
      <c r="Q78" s="98" t="s">
        <v>148</v>
      </c>
      <c r="R78" s="98" t="s">
        <v>148</v>
      </c>
      <c r="S78" s="98" t="s">
        <v>148</v>
      </c>
      <c r="T78" s="98" t="s">
        <v>148</v>
      </c>
      <c r="U78" s="102" t="s">
        <v>148</v>
      </c>
      <c r="V78" s="102" t="s">
        <v>148</v>
      </c>
      <c r="W78" s="102" t="s">
        <v>148</v>
      </c>
      <c r="X78" s="102" t="s">
        <v>148</v>
      </c>
      <c r="Y78" s="102" t="s">
        <v>148</v>
      </c>
      <c r="Z78" s="102" t="s">
        <v>148</v>
      </c>
      <c r="AA78" s="102" t="s">
        <v>148</v>
      </c>
      <c r="AB78" s="102" t="s">
        <v>187</v>
      </c>
      <c r="AC78" s="102" t="s">
        <v>187</v>
      </c>
      <c r="AD78" s="102" t="s">
        <v>187</v>
      </c>
      <c r="AE78" s="102" t="s">
        <v>187</v>
      </c>
      <c r="AF78" s="102" t="s">
        <v>187</v>
      </c>
      <c r="AG78" s="102" t="s">
        <v>187</v>
      </c>
      <c r="AH78" s="102" t="s">
        <v>187</v>
      </c>
      <c r="AI78" s="102" t="s">
        <v>187</v>
      </c>
      <c r="AJ78" s="102" t="s">
        <v>187</v>
      </c>
      <c r="AK78" s="159">
        <v>0</v>
      </c>
      <c r="AL78" s="160">
        <v>0</v>
      </c>
      <c r="AM78" s="157">
        <v>0</v>
      </c>
      <c r="AN78" s="160">
        <v>0</v>
      </c>
      <c r="AO78" s="146">
        <v>12150</v>
      </c>
      <c r="AP78" s="146">
        <v>12150</v>
      </c>
      <c r="AQ78" s="161">
        <v>1</v>
      </c>
      <c r="AR78" s="146">
        <v>27</v>
      </c>
      <c r="AS78" s="146">
        <v>27</v>
      </c>
      <c r="AT78" s="146">
        <v>27</v>
      </c>
      <c r="AU78" s="156">
        <v>4</v>
      </c>
      <c r="AV78" s="157">
        <v>0</v>
      </c>
      <c r="AW78" s="157">
        <v>0</v>
      </c>
      <c r="AX78" s="157">
        <v>0</v>
      </c>
      <c r="AY78" s="146"/>
    </row>
    <row r="79" spans="1:51">
      <c r="A79" s="164" t="s">
        <v>217</v>
      </c>
      <c r="B79" s="156" t="s">
        <v>303</v>
      </c>
      <c r="C79" s="157" t="s">
        <v>266</v>
      </c>
      <c r="D79" s="157" t="s">
        <v>26</v>
      </c>
      <c r="E79" s="158" t="s">
        <v>56</v>
      </c>
      <c r="F79" s="98" t="s">
        <v>148</v>
      </c>
      <c r="G79" s="99" t="s">
        <v>147</v>
      </c>
      <c r="H79" s="99" t="s">
        <v>147</v>
      </c>
      <c r="I79" s="98" t="s">
        <v>148</v>
      </c>
      <c r="J79" s="98" t="s">
        <v>148</v>
      </c>
      <c r="K79" s="98" t="s">
        <v>148</v>
      </c>
      <c r="L79" s="98" t="s">
        <v>148</v>
      </c>
      <c r="M79" s="98" t="s">
        <v>148</v>
      </c>
      <c r="N79" s="99" t="s">
        <v>147</v>
      </c>
      <c r="O79" s="99" t="s">
        <v>147</v>
      </c>
      <c r="P79" s="98" t="s">
        <v>148</v>
      </c>
      <c r="Q79" s="98" t="s">
        <v>148</v>
      </c>
      <c r="R79" s="102" t="s">
        <v>148</v>
      </c>
      <c r="S79" s="102" t="s">
        <v>148</v>
      </c>
      <c r="T79" s="102" t="s">
        <v>148</v>
      </c>
      <c r="U79" s="99" t="s">
        <v>147</v>
      </c>
      <c r="V79" s="99" t="s">
        <v>147</v>
      </c>
      <c r="W79" s="102" t="s">
        <v>148</v>
      </c>
      <c r="X79" s="102" t="s">
        <v>148</v>
      </c>
      <c r="Y79" s="102" t="s">
        <v>148</v>
      </c>
      <c r="Z79" s="102" t="s">
        <v>148</v>
      </c>
      <c r="AA79" s="102" t="s">
        <v>187</v>
      </c>
      <c r="AB79" s="102" t="s">
        <v>187</v>
      </c>
      <c r="AC79" s="102" t="s">
        <v>187</v>
      </c>
      <c r="AD79" s="102" t="s">
        <v>187</v>
      </c>
      <c r="AE79" s="102" t="s">
        <v>187</v>
      </c>
      <c r="AF79" s="102" t="s">
        <v>187</v>
      </c>
      <c r="AG79" s="102" t="s">
        <v>187</v>
      </c>
      <c r="AH79" s="102" t="s">
        <v>187</v>
      </c>
      <c r="AI79" s="102" t="s">
        <v>187</v>
      </c>
      <c r="AJ79" s="102" t="s">
        <v>187</v>
      </c>
      <c r="AK79" s="159">
        <v>0</v>
      </c>
      <c r="AL79" s="160">
        <v>0</v>
      </c>
      <c r="AM79" s="157">
        <v>0</v>
      </c>
      <c r="AN79" s="160">
        <v>0</v>
      </c>
      <c r="AO79" s="146">
        <v>12150</v>
      </c>
      <c r="AP79" s="146">
        <v>12150</v>
      </c>
      <c r="AQ79" s="161">
        <v>1</v>
      </c>
      <c r="AR79" s="146">
        <v>27</v>
      </c>
      <c r="AS79" s="146">
        <v>27</v>
      </c>
      <c r="AT79" s="146">
        <v>27</v>
      </c>
      <c r="AU79" s="156">
        <v>4</v>
      </c>
      <c r="AV79" s="157">
        <v>0</v>
      </c>
      <c r="AW79" s="157">
        <v>0</v>
      </c>
      <c r="AX79" s="157">
        <v>0</v>
      </c>
      <c r="AY79" s="146"/>
    </row>
    <row r="80" spans="1:51">
      <c r="A80" s="164" t="s">
        <v>319</v>
      </c>
      <c r="B80" s="156" t="s">
        <v>265</v>
      </c>
      <c r="C80" s="157" t="s">
        <v>266</v>
      </c>
      <c r="D80" s="157" t="s">
        <v>26</v>
      </c>
      <c r="E80" s="158" t="s">
        <v>40</v>
      </c>
      <c r="F80" s="106">
        <v>450</v>
      </c>
      <c r="G80" s="99" t="s">
        <v>147</v>
      </c>
      <c r="H80" s="99" t="s">
        <v>147</v>
      </c>
      <c r="I80" s="98" t="s">
        <v>148</v>
      </c>
      <c r="J80" s="100">
        <v>50</v>
      </c>
      <c r="K80" s="102">
        <v>450</v>
      </c>
      <c r="L80" s="102">
        <v>450</v>
      </c>
      <c r="M80" s="98" t="s">
        <v>148</v>
      </c>
      <c r="N80" s="99" t="s">
        <v>147</v>
      </c>
      <c r="O80" s="99" t="s">
        <v>147</v>
      </c>
      <c r="P80" s="98" t="s">
        <v>148</v>
      </c>
      <c r="Q80" s="98" t="s">
        <v>148</v>
      </c>
      <c r="R80" s="102" t="s">
        <v>148</v>
      </c>
      <c r="S80" s="270" t="s">
        <v>148</v>
      </c>
      <c r="T80" s="98" t="s">
        <v>148</v>
      </c>
      <c r="U80" s="99" t="s">
        <v>147</v>
      </c>
      <c r="V80" s="99" t="s">
        <v>147</v>
      </c>
      <c r="W80" s="102" t="s">
        <v>148</v>
      </c>
      <c r="X80" s="102" t="s">
        <v>148</v>
      </c>
      <c r="Y80" s="102" t="s">
        <v>148</v>
      </c>
      <c r="Z80" s="102" t="s">
        <v>148</v>
      </c>
      <c r="AA80" s="102" t="s">
        <v>187</v>
      </c>
      <c r="AB80" s="102" t="s">
        <v>187</v>
      </c>
      <c r="AC80" s="102" t="s">
        <v>187</v>
      </c>
      <c r="AD80" s="102" t="s">
        <v>187</v>
      </c>
      <c r="AE80" s="102" t="s">
        <v>187</v>
      </c>
      <c r="AF80" s="102" t="s">
        <v>187</v>
      </c>
      <c r="AG80" s="102" t="s">
        <v>187</v>
      </c>
      <c r="AH80" s="102" t="s">
        <v>187</v>
      </c>
      <c r="AI80" s="102" t="s">
        <v>187</v>
      </c>
      <c r="AJ80" s="102" t="s">
        <v>187</v>
      </c>
      <c r="AK80" s="159">
        <v>1400</v>
      </c>
      <c r="AL80" s="160">
        <v>50</v>
      </c>
      <c r="AM80" s="157">
        <v>1350</v>
      </c>
      <c r="AN80" s="160">
        <v>1400</v>
      </c>
      <c r="AO80" s="146">
        <v>12150</v>
      </c>
      <c r="AP80" s="146">
        <v>10750</v>
      </c>
      <c r="AQ80" s="161">
        <v>0.88480000000000003</v>
      </c>
      <c r="AR80" s="146">
        <v>24</v>
      </c>
      <c r="AS80" s="146">
        <v>27</v>
      </c>
      <c r="AT80" s="146">
        <v>27</v>
      </c>
      <c r="AU80" s="156">
        <v>4</v>
      </c>
      <c r="AV80" s="157">
        <v>0</v>
      </c>
      <c r="AW80" s="157">
        <v>0</v>
      </c>
      <c r="AX80" s="157">
        <v>3</v>
      </c>
      <c r="AY80" s="146"/>
    </row>
    <row r="81" spans="1:71">
      <c r="A81" s="164" t="s">
        <v>320</v>
      </c>
      <c r="B81" s="156" t="s">
        <v>313</v>
      </c>
      <c r="C81" s="157" t="s">
        <v>266</v>
      </c>
      <c r="D81" s="157" t="s">
        <v>26</v>
      </c>
      <c r="E81" s="158" t="s">
        <v>25</v>
      </c>
      <c r="F81" s="98" t="s">
        <v>148</v>
      </c>
      <c r="G81" s="99" t="s">
        <v>147</v>
      </c>
      <c r="H81" s="99" t="s">
        <v>147</v>
      </c>
      <c r="I81" s="98" t="s">
        <v>148</v>
      </c>
      <c r="J81" s="98" t="s">
        <v>148</v>
      </c>
      <c r="K81" s="98" t="s">
        <v>148</v>
      </c>
      <c r="L81" s="98" t="s">
        <v>148</v>
      </c>
      <c r="M81" s="98" t="s">
        <v>148</v>
      </c>
      <c r="N81" s="99" t="s">
        <v>147</v>
      </c>
      <c r="O81" s="99" t="s">
        <v>147</v>
      </c>
      <c r="P81" s="98" t="s">
        <v>148</v>
      </c>
      <c r="Q81" s="98" t="s">
        <v>148</v>
      </c>
      <c r="R81" s="102" t="s">
        <v>148</v>
      </c>
      <c r="S81" s="102" t="s">
        <v>148</v>
      </c>
      <c r="T81" s="102" t="s">
        <v>148</v>
      </c>
      <c r="U81" s="102" t="s">
        <v>148</v>
      </c>
      <c r="V81" s="102" t="s">
        <v>148</v>
      </c>
      <c r="W81" s="98" t="s">
        <v>148</v>
      </c>
      <c r="X81" s="98" t="s">
        <v>148</v>
      </c>
      <c r="Y81" s="98" t="s">
        <v>148</v>
      </c>
      <c r="Z81" s="102" t="s">
        <v>187</v>
      </c>
      <c r="AA81" s="102" t="s">
        <v>187</v>
      </c>
      <c r="AB81" s="102" t="s">
        <v>187</v>
      </c>
      <c r="AC81" s="102" t="s">
        <v>187</v>
      </c>
      <c r="AD81" s="102" t="s">
        <v>187</v>
      </c>
      <c r="AE81" s="102" t="s">
        <v>187</v>
      </c>
      <c r="AF81" s="102" t="s">
        <v>187</v>
      </c>
      <c r="AG81" s="102" t="s">
        <v>187</v>
      </c>
      <c r="AH81" s="102" t="s">
        <v>187</v>
      </c>
      <c r="AI81" s="102" t="s">
        <v>187</v>
      </c>
      <c r="AJ81" s="102" t="s">
        <v>187</v>
      </c>
      <c r="AK81" s="159">
        <v>0</v>
      </c>
      <c r="AL81" s="160">
        <v>0</v>
      </c>
      <c r="AM81" s="157">
        <v>0</v>
      </c>
      <c r="AN81" s="160">
        <v>0</v>
      </c>
      <c r="AO81" s="146">
        <v>12150</v>
      </c>
      <c r="AP81" s="146">
        <v>12150</v>
      </c>
      <c r="AQ81" s="161">
        <v>1</v>
      </c>
      <c r="AR81" s="146">
        <v>27</v>
      </c>
      <c r="AS81" s="146">
        <v>27</v>
      </c>
      <c r="AT81" s="146">
        <v>27</v>
      </c>
      <c r="AU81" s="156">
        <v>4</v>
      </c>
      <c r="AV81" s="157">
        <v>0</v>
      </c>
      <c r="AW81" s="157">
        <v>0</v>
      </c>
      <c r="AX81" s="157">
        <v>0</v>
      </c>
      <c r="AY81" s="146"/>
    </row>
    <row r="82" spans="1:71">
      <c r="A82" s="164" t="s">
        <v>321</v>
      </c>
      <c r="B82" s="156" t="s">
        <v>265</v>
      </c>
      <c r="C82" s="157" t="s">
        <v>266</v>
      </c>
      <c r="D82" s="157" t="s">
        <v>26</v>
      </c>
      <c r="E82" s="158" t="s">
        <v>25</v>
      </c>
      <c r="F82" s="98" t="s">
        <v>148</v>
      </c>
      <c r="G82" s="99" t="s">
        <v>147</v>
      </c>
      <c r="H82" s="99" t="s">
        <v>147</v>
      </c>
      <c r="I82" s="98" t="s">
        <v>148</v>
      </c>
      <c r="J82" s="98" t="s">
        <v>148</v>
      </c>
      <c r="K82" s="98" t="s">
        <v>148</v>
      </c>
      <c r="L82" s="98" t="s">
        <v>148</v>
      </c>
      <c r="M82" s="98" t="s">
        <v>148</v>
      </c>
      <c r="N82" s="99" t="s">
        <v>147</v>
      </c>
      <c r="O82" s="99" t="s">
        <v>147</v>
      </c>
      <c r="P82" s="98" t="s">
        <v>148</v>
      </c>
      <c r="Q82" s="98" t="s">
        <v>148</v>
      </c>
      <c r="R82" s="102" t="s">
        <v>148</v>
      </c>
      <c r="S82" s="102" t="s">
        <v>148</v>
      </c>
      <c r="T82" s="102" t="s">
        <v>148</v>
      </c>
      <c r="U82" s="99" t="s">
        <v>147</v>
      </c>
      <c r="V82" s="99" t="s">
        <v>147</v>
      </c>
      <c r="W82" s="102" t="s">
        <v>148</v>
      </c>
      <c r="X82" s="102" t="s">
        <v>148</v>
      </c>
      <c r="Y82" s="102" t="s">
        <v>148</v>
      </c>
      <c r="Z82" s="102" t="s">
        <v>148</v>
      </c>
      <c r="AA82" s="102" t="s">
        <v>187</v>
      </c>
      <c r="AB82" s="102" t="s">
        <v>187</v>
      </c>
      <c r="AC82" s="102" t="s">
        <v>187</v>
      </c>
      <c r="AD82" s="102" t="s">
        <v>187</v>
      </c>
      <c r="AE82" s="102" t="s">
        <v>187</v>
      </c>
      <c r="AF82" s="102" t="s">
        <v>187</v>
      </c>
      <c r="AG82" s="102" t="s">
        <v>187</v>
      </c>
      <c r="AH82" s="102" t="s">
        <v>187</v>
      </c>
      <c r="AI82" s="102" t="s">
        <v>187</v>
      </c>
      <c r="AJ82" s="102" t="s">
        <v>187</v>
      </c>
      <c r="AK82" s="159">
        <v>0</v>
      </c>
      <c r="AL82" s="160">
        <v>0</v>
      </c>
      <c r="AM82" s="157">
        <v>0</v>
      </c>
      <c r="AN82" s="160">
        <v>0</v>
      </c>
      <c r="AO82" s="146">
        <v>12150</v>
      </c>
      <c r="AP82" s="146">
        <v>12150</v>
      </c>
      <c r="AQ82" s="161">
        <v>1</v>
      </c>
      <c r="AR82" s="146">
        <v>27</v>
      </c>
      <c r="AS82" s="146">
        <v>27</v>
      </c>
      <c r="AT82" s="146">
        <v>27</v>
      </c>
      <c r="AU82" s="156">
        <v>4</v>
      </c>
      <c r="AV82" s="157">
        <v>0</v>
      </c>
      <c r="AW82" s="157">
        <v>0</v>
      </c>
      <c r="AX82" s="157">
        <v>0</v>
      </c>
      <c r="AY82" s="146"/>
    </row>
    <row r="83" spans="1:71">
      <c r="A83" s="164" t="s">
        <v>68</v>
      </c>
      <c r="B83" s="156" t="s">
        <v>322</v>
      </c>
      <c r="C83" s="157" t="s">
        <v>316</v>
      </c>
      <c r="D83" s="157" t="s">
        <v>26</v>
      </c>
      <c r="E83" s="158" t="s">
        <v>25</v>
      </c>
      <c r="F83" s="100">
        <v>6</v>
      </c>
      <c r="G83" s="99" t="s">
        <v>147</v>
      </c>
      <c r="H83" s="99" t="s">
        <v>147</v>
      </c>
      <c r="I83" s="98" t="s">
        <v>148</v>
      </c>
      <c r="J83" s="98" t="s">
        <v>148</v>
      </c>
      <c r="K83" s="98" t="s">
        <v>148</v>
      </c>
      <c r="L83" s="100">
        <v>3</v>
      </c>
      <c r="M83" s="98" t="s">
        <v>148</v>
      </c>
      <c r="N83" s="99" t="s">
        <v>147</v>
      </c>
      <c r="O83" s="99" t="s">
        <v>147</v>
      </c>
      <c r="P83" s="98" t="s">
        <v>148</v>
      </c>
      <c r="Q83" s="98" t="s">
        <v>148</v>
      </c>
      <c r="R83" s="98" t="s">
        <v>148</v>
      </c>
      <c r="S83" s="98" t="s">
        <v>148</v>
      </c>
      <c r="T83" s="98" t="s">
        <v>148</v>
      </c>
      <c r="U83" s="99" t="s">
        <v>147</v>
      </c>
      <c r="V83" s="99" t="s">
        <v>147</v>
      </c>
      <c r="W83" s="102" t="s">
        <v>148</v>
      </c>
      <c r="X83" s="102" t="s">
        <v>148</v>
      </c>
      <c r="Y83" s="102" t="s">
        <v>148</v>
      </c>
      <c r="Z83" s="102" t="s">
        <v>148</v>
      </c>
      <c r="AA83" s="102" t="s">
        <v>187</v>
      </c>
      <c r="AB83" s="102" t="s">
        <v>187</v>
      </c>
      <c r="AC83" s="102" t="s">
        <v>187</v>
      </c>
      <c r="AD83" s="102" t="s">
        <v>187</v>
      </c>
      <c r="AE83" s="102" t="s">
        <v>187</v>
      </c>
      <c r="AF83" s="102" t="s">
        <v>187</v>
      </c>
      <c r="AG83" s="102" t="s">
        <v>187</v>
      </c>
      <c r="AH83" s="102" t="s">
        <v>187</v>
      </c>
      <c r="AI83" s="102" t="s">
        <v>187</v>
      </c>
      <c r="AJ83" s="102" t="s">
        <v>187</v>
      </c>
      <c r="AK83" s="159">
        <v>9</v>
      </c>
      <c r="AL83" s="160">
        <v>9</v>
      </c>
      <c r="AM83" s="157">
        <v>0</v>
      </c>
      <c r="AN83" s="160">
        <v>9</v>
      </c>
      <c r="AO83" s="146">
        <v>12150</v>
      </c>
      <c r="AP83" s="146">
        <v>12141</v>
      </c>
      <c r="AQ83" s="161">
        <v>0.99929999999999997</v>
      </c>
      <c r="AR83" s="146">
        <v>27</v>
      </c>
      <c r="AS83" s="146">
        <v>27</v>
      </c>
      <c r="AT83" s="146">
        <v>27</v>
      </c>
      <c r="AU83" s="156">
        <v>4</v>
      </c>
      <c r="AV83" s="157">
        <v>0</v>
      </c>
      <c r="AW83" s="157">
        <v>0</v>
      </c>
      <c r="AX83" s="157">
        <v>0</v>
      </c>
      <c r="AY83" s="146"/>
    </row>
    <row r="84" spans="1:71">
      <c r="A84" s="164" t="s">
        <v>71</v>
      </c>
      <c r="B84" s="156" t="s">
        <v>300</v>
      </c>
      <c r="C84" s="157" t="s">
        <v>266</v>
      </c>
      <c r="D84" s="157" t="s">
        <v>26</v>
      </c>
      <c r="E84" s="158" t="s">
        <v>40</v>
      </c>
      <c r="F84" s="98" t="s">
        <v>148</v>
      </c>
      <c r="G84" s="99" t="s">
        <v>147</v>
      </c>
      <c r="H84" s="99" t="s">
        <v>147</v>
      </c>
      <c r="I84" s="98" t="s">
        <v>148</v>
      </c>
      <c r="J84" s="98" t="s">
        <v>148</v>
      </c>
      <c r="K84" s="98" t="s">
        <v>148</v>
      </c>
      <c r="L84" s="98" t="s">
        <v>148</v>
      </c>
      <c r="M84" s="102">
        <v>450</v>
      </c>
      <c r="N84" s="99" t="s">
        <v>147</v>
      </c>
      <c r="O84" s="99" t="s">
        <v>147</v>
      </c>
      <c r="P84" s="98" t="s">
        <v>148</v>
      </c>
      <c r="Q84" s="98" t="s">
        <v>148</v>
      </c>
      <c r="R84" s="98" t="s">
        <v>148</v>
      </c>
      <c r="S84" s="98" t="s">
        <v>148</v>
      </c>
      <c r="T84" s="98" t="s">
        <v>148</v>
      </c>
      <c r="U84" s="99" t="s">
        <v>147</v>
      </c>
      <c r="V84" s="99" t="s">
        <v>147</v>
      </c>
      <c r="W84" s="102" t="s">
        <v>148</v>
      </c>
      <c r="X84" s="102" t="s">
        <v>148</v>
      </c>
      <c r="Y84" s="102" t="s">
        <v>148</v>
      </c>
      <c r="Z84" s="102" t="s">
        <v>148</v>
      </c>
      <c r="AA84" s="102" t="s">
        <v>187</v>
      </c>
      <c r="AB84" s="102" t="s">
        <v>187</v>
      </c>
      <c r="AC84" s="102" t="s">
        <v>187</v>
      </c>
      <c r="AD84" s="102" t="s">
        <v>187</v>
      </c>
      <c r="AE84" s="102" t="s">
        <v>187</v>
      </c>
      <c r="AF84" s="102" t="s">
        <v>187</v>
      </c>
      <c r="AG84" s="102" t="s">
        <v>187</v>
      </c>
      <c r="AH84" s="102" t="s">
        <v>187</v>
      </c>
      <c r="AI84" s="102" t="s">
        <v>187</v>
      </c>
      <c r="AJ84" s="102" t="s">
        <v>187</v>
      </c>
      <c r="AK84" s="159">
        <v>450</v>
      </c>
      <c r="AL84" s="160">
        <v>0</v>
      </c>
      <c r="AM84" s="157">
        <v>450</v>
      </c>
      <c r="AN84" s="160">
        <v>450</v>
      </c>
      <c r="AO84" s="146">
        <v>12150</v>
      </c>
      <c r="AP84" s="146">
        <v>11700</v>
      </c>
      <c r="AQ84" s="161">
        <v>0.96299999999999997</v>
      </c>
      <c r="AR84" s="146">
        <v>26</v>
      </c>
      <c r="AS84" s="146">
        <v>27</v>
      </c>
      <c r="AT84" s="146">
        <v>27</v>
      </c>
      <c r="AU84" s="156">
        <v>4</v>
      </c>
      <c r="AV84" s="157">
        <v>0</v>
      </c>
      <c r="AW84" s="157">
        <v>0</v>
      </c>
      <c r="AX84" s="157">
        <v>1</v>
      </c>
      <c r="AY84" s="146"/>
    </row>
    <row r="85" spans="1:71">
      <c r="A85" s="164" t="s">
        <v>73</v>
      </c>
      <c r="B85" s="156" t="s">
        <v>300</v>
      </c>
      <c r="C85" s="157" t="s">
        <v>266</v>
      </c>
      <c r="D85" s="157" t="s">
        <v>26</v>
      </c>
      <c r="E85" s="158" t="s">
        <v>40</v>
      </c>
      <c r="F85" s="104" t="s">
        <v>12</v>
      </c>
      <c r="G85" s="99" t="s">
        <v>147</v>
      </c>
      <c r="H85" s="99" t="s">
        <v>147</v>
      </c>
      <c r="I85" s="98" t="s">
        <v>148</v>
      </c>
      <c r="J85" s="98" t="s">
        <v>148</v>
      </c>
      <c r="K85" s="100">
        <v>4</v>
      </c>
      <c r="L85" s="100">
        <v>25</v>
      </c>
      <c r="M85" s="98" t="s">
        <v>148</v>
      </c>
      <c r="N85" s="99" t="s">
        <v>147</v>
      </c>
      <c r="O85" s="99" t="s">
        <v>147</v>
      </c>
      <c r="P85" s="98" t="s">
        <v>148</v>
      </c>
      <c r="Q85" s="98" t="s">
        <v>148</v>
      </c>
      <c r="R85" s="98" t="s">
        <v>148</v>
      </c>
      <c r="S85" s="270" t="s">
        <v>148</v>
      </c>
      <c r="T85" s="270" t="s">
        <v>148</v>
      </c>
      <c r="U85" s="99" t="s">
        <v>147</v>
      </c>
      <c r="V85" s="99" t="s">
        <v>147</v>
      </c>
      <c r="W85" s="102" t="s">
        <v>12</v>
      </c>
      <c r="X85" s="102" t="s">
        <v>148</v>
      </c>
      <c r="Y85" s="100">
        <v>43</v>
      </c>
      <c r="Z85" s="102" t="s">
        <v>148</v>
      </c>
      <c r="AA85" s="102" t="s">
        <v>187</v>
      </c>
      <c r="AB85" s="102" t="s">
        <v>187</v>
      </c>
      <c r="AC85" s="102" t="s">
        <v>187</v>
      </c>
      <c r="AD85" s="102" t="s">
        <v>187</v>
      </c>
      <c r="AE85" s="102" t="s">
        <v>187</v>
      </c>
      <c r="AF85" s="102" t="s">
        <v>187</v>
      </c>
      <c r="AG85" s="102" t="s">
        <v>187</v>
      </c>
      <c r="AH85" s="102" t="s">
        <v>187</v>
      </c>
      <c r="AI85" s="102" t="s">
        <v>187</v>
      </c>
      <c r="AJ85" s="102" t="s">
        <v>187</v>
      </c>
      <c r="AK85" s="159">
        <v>29</v>
      </c>
      <c r="AL85" s="160">
        <v>29</v>
      </c>
      <c r="AM85" s="157">
        <v>0</v>
      </c>
      <c r="AN85" s="160">
        <v>29</v>
      </c>
      <c r="AO85" s="146">
        <v>11700</v>
      </c>
      <c r="AP85" s="146">
        <v>11671</v>
      </c>
      <c r="AQ85" s="161">
        <v>0.99750000000000005</v>
      </c>
      <c r="AR85" s="146">
        <v>26</v>
      </c>
      <c r="AS85" s="146">
        <v>26</v>
      </c>
      <c r="AT85" s="146">
        <v>27</v>
      </c>
      <c r="AU85" s="156">
        <v>4</v>
      </c>
      <c r="AV85" s="157">
        <v>1</v>
      </c>
      <c r="AW85" s="157">
        <v>0</v>
      </c>
      <c r="AX85" s="157">
        <v>0</v>
      </c>
      <c r="AY85" s="146"/>
    </row>
    <row r="86" spans="1:71">
      <c r="A86" s="164" t="s">
        <v>323</v>
      </c>
      <c r="B86" s="156" t="s">
        <v>265</v>
      </c>
      <c r="C86" s="157" t="s">
        <v>316</v>
      </c>
      <c r="D86" s="157" t="s">
        <v>26</v>
      </c>
      <c r="E86" s="158" t="s">
        <v>40</v>
      </c>
      <c r="F86" s="98" t="s">
        <v>148</v>
      </c>
      <c r="G86" s="98" t="s">
        <v>148</v>
      </c>
      <c r="H86" s="98" t="s">
        <v>148</v>
      </c>
      <c r="I86" s="98" t="s">
        <v>148</v>
      </c>
      <c r="J86" s="98" t="s">
        <v>148</v>
      </c>
      <c r="K86" s="99" t="s">
        <v>147</v>
      </c>
      <c r="L86" s="99" t="s">
        <v>147</v>
      </c>
      <c r="M86" s="98" t="s">
        <v>148</v>
      </c>
      <c r="N86" s="98" t="s">
        <v>148</v>
      </c>
      <c r="O86" s="98" t="s">
        <v>148</v>
      </c>
      <c r="P86" s="98" t="s">
        <v>148</v>
      </c>
      <c r="Q86" s="98" t="s">
        <v>148</v>
      </c>
      <c r="R86" s="99" t="s">
        <v>147</v>
      </c>
      <c r="S86" s="271" t="s">
        <v>147</v>
      </c>
      <c r="T86" s="98" t="s">
        <v>148</v>
      </c>
      <c r="U86" s="98" t="s">
        <v>148</v>
      </c>
      <c r="V86" s="98" t="s">
        <v>148</v>
      </c>
      <c r="W86" s="98" t="s">
        <v>148</v>
      </c>
      <c r="X86" s="102" t="s">
        <v>148</v>
      </c>
      <c r="Y86" s="99" t="s">
        <v>147</v>
      </c>
      <c r="Z86" s="99" t="s">
        <v>147</v>
      </c>
      <c r="AA86" s="102" t="s">
        <v>187</v>
      </c>
      <c r="AB86" s="102" t="s">
        <v>187</v>
      </c>
      <c r="AC86" s="102" t="s">
        <v>187</v>
      </c>
      <c r="AD86" s="102" t="s">
        <v>187</v>
      </c>
      <c r="AE86" s="102" t="s">
        <v>187</v>
      </c>
      <c r="AF86" s="102" t="s">
        <v>187</v>
      </c>
      <c r="AG86" s="102" t="s">
        <v>187</v>
      </c>
      <c r="AH86" s="102" t="s">
        <v>187</v>
      </c>
      <c r="AI86" s="102" t="s">
        <v>187</v>
      </c>
      <c r="AJ86" s="102" t="s">
        <v>187</v>
      </c>
      <c r="AK86" s="159">
        <v>0</v>
      </c>
      <c r="AL86" s="160">
        <v>0</v>
      </c>
      <c r="AM86" s="157">
        <v>0</v>
      </c>
      <c r="AN86" s="160">
        <v>0</v>
      </c>
      <c r="AO86" s="146">
        <v>13050</v>
      </c>
      <c r="AP86" s="146">
        <v>13050</v>
      </c>
      <c r="AQ86" s="161">
        <v>1</v>
      </c>
      <c r="AR86" s="146">
        <v>29</v>
      </c>
      <c r="AS86" s="146">
        <v>29</v>
      </c>
      <c r="AT86" s="146">
        <v>29</v>
      </c>
      <c r="AU86" s="156">
        <v>2</v>
      </c>
      <c r="AV86" s="157">
        <v>0</v>
      </c>
      <c r="AW86" s="157">
        <v>0</v>
      </c>
      <c r="AX86" s="157">
        <v>0</v>
      </c>
      <c r="AY86" s="146"/>
    </row>
    <row r="87" spans="1:71">
      <c r="A87" s="164" t="s">
        <v>78</v>
      </c>
      <c r="B87" s="156" t="s">
        <v>300</v>
      </c>
      <c r="C87" s="157" t="s">
        <v>266</v>
      </c>
      <c r="D87" s="157" t="s">
        <v>26</v>
      </c>
      <c r="E87" s="158" t="s">
        <v>33</v>
      </c>
      <c r="F87" s="98" t="s">
        <v>148</v>
      </c>
      <c r="G87" s="99" t="s">
        <v>147</v>
      </c>
      <c r="H87" s="99" t="s">
        <v>147</v>
      </c>
      <c r="I87" s="98" t="s">
        <v>148</v>
      </c>
      <c r="J87" s="98" t="s">
        <v>148</v>
      </c>
      <c r="K87" s="98" t="s">
        <v>148</v>
      </c>
      <c r="L87" s="98" t="s">
        <v>148</v>
      </c>
      <c r="M87" s="98" t="s">
        <v>148</v>
      </c>
      <c r="N87" s="99" t="s">
        <v>147</v>
      </c>
      <c r="O87" s="99" t="s">
        <v>147</v>
      </c>
      <c r="P87" s="98" t="s">
        <v>148</v>
      </c>
      <c r="Q87" s="98" t="s">
        <v>148</v>
      </c>
      <c r="R87" s="98" t="s">
        <v>148</v>
      </c>
      <c r="S87" s="270" t="s">
        <v>148</v>
      </c>
      <c r="T87" s="98" t="s">
        <v>148</v>
      </c>
      <c r="U87" s="99" t="s">
        <v>147</v>
      </c>
      <c r="V87" s="99" t="s">
        <v>147</v>
      </c>
      <c r="W87" s="98" t="s">
        <v>148</v>
      </c>
      <c r="X87" s="98" t="s">
        <v>148</v>
      </c>
      <c r="Y87" s="98" t="s">
        <v>148</v>
      </c>
      <c r="Z87" s="98" t="s">
        <v>148</v>
      </c>
      <c r="AA87" s="102" t="s">
        <v>187</v>
      </c>
      <c r="AB87" s="102" t="s">
        <v>187</v>
      </c>
      <c r="AC87" s="102" t="s">
        <v>187</v>
      </c>
      <c r="AD87" s="102" t="s">
        <v>187</v>
      </c>
      <c r="AE87" s="102" t="s">
        <v>187</v>
      </c>
      <c r="AF87" s="102" t="s">
        <v>187</v>
      </c>
      <c r="AG87" s="102" t="s">
        <v>187</v>
      </c>
      <c r="AH87" s="102" t="s">
        <v>187</v>
      </c>
      <c r="AI87" s="102" t="s">
        <v>187</v>
      </c>
      <c r="AJ87" s="102" t="s">
        <v>187</v>
      </c>
      <c r="AK87" s="159">
        <v>0</v>
      </c>
      <c r="AL87" s="160">
        <v>0</v>
      </c>
      <c r="AM87" s="157">
        <v>0</v>
      </c>
      <c r="AN87" s="160">
        <v>0</v>
      </c>
      <c r="AO87" s="146">
        <v>12150</v>
      </c>
      <c r="AP87" s="146">
        <v>12150</v>
      </c>
      <c r="AQ87" s="161">
        <v>1</v>
      </c>
      <c r="AR87" s="146">
        <v>27</v>
      </c>
      <c r="AS87" s="146">
        <v>27</v>
      </c>
      <c r="AT87" s="146">
        <v>27</v>
      </c>
      <c r="AU87" s="156">
        <v>4</v>
      </c>
      <c r="AV87" s="157">
        <v>0</v>
      </c>
      <c r="AW87" s="157">
        <v>0</v>
      </c>
      <c r="AX87" s="157">
        <v>0</v>
      </c>
      <c r="AY87" s="146"/>
    </row>
    <row r="88" spans="1:71">
      <c r="A88" s="164" t="s">
        <v>80</v>
      </c>
      <c r="B88" s="156" t="s">
        <v>303</v>
      </c>
      <c r="C88" s="157" t="s">
        <v>266</v>
      </c>
      <c r="D88" s="157" t="s">
        <v>26</v>
      </c>
      <c r="E88" s="158" t="s">
        <v>56</v>
      </c>
      <c r="F88" s="98" t="s">
        <v>148</v>
      </c>
      <c r="G88" s="98" t="s">
        <v>148</v>
      </c>
      <c r="H88" s="98" t="s">
        <v>148</v>
      </c>
      <c r="I88" s="98" t="s">
        <v>148</v>
      </c>
      <c r="J88" s="99" t="s">
        <v>147</v>
      </c>
      <c r="K88" s="99" t="s">
        <v>147</v>
      </c>
      <c r="L88" s="98" t="s">
        <v>148</v>
      </c>
      <c r="M88" s="102">
        <v>450</v>
      </c>
      <c r="N88" s="98" t="s">
        <v>148</v>
      </c>
      <c r="O88" s="98" t="s">
        <v>148</v>
      </c>
      <c r="P88" s="98" t="s">
        <v>148</v>
      </c>
      <c r="Q88" s="98" t="s">
        <v>148</v>
      </c>
      <c r="R88" s="98" t="s">
        <v>148</v>
      </c>
      <c r="S88" s="270" t="s">
        <v>148</v>
      </c>
      <c r="T88" s="270" t="s">
        <v>148</v>
      </c>
      <c r="U88" s="99" t="s">
        <v>147</v>
      </c>
      <c r="V88" s="99" t="s">
        <v>147</v>
      </c>
      <c r="W88" s="270" t="s">
        <v>148</v>
      </c>
      <c r="X88" s="270" t="s">
        <v>148</v>
      </c>
      <c r="Y88" s="102" t="s">
        <v>148</v>
      </c>
      <c r="Z88" s="102" t="s">
        <v>148</v>
      </c>
      <c r="AA88" s="192" t="s">
        <v>187</v>
      </c>
      <c r="AB88" s="192" t="s">
        <v>187</v>
      </c>
      <c r="AC88" s="192" t="s">
        <v>187</v>
      </c>
      <c r="AD88" s="192" t="s">
        <v>187</v>
      </c>
      <c r="AE88" s="192" t="s">
        <v>187</v>
      </c>
      <c r="AF88" s="192" t="s">
        <v>187</v>
      </c>
      <c r="AG88" s="192" t="s">
        <v>187</v>
      </c>
      <c r="AH88" s="192" t="s">
        <v>187</v>
      </c>
      <c r="AI88" s="192" t="s">
        <v>187</v>
      </c>
      <c r="AJ88" s="192" t="s">
        <v>187</v>
      </c>
      <c r="AK88" s="146"/>
      <c r="AL88" s="146"/>
      <c r="AM88" s="146"/>
      <c r="AN88" s="146"/>
      <c r="AO88" s="146"/>
      <c r="AP88" s="146"/>
      <c r="AQ88" s="146"/>
      <c r="AR88" s="146"/>
      <c r="AS88" s="146"/>
      <c r="AT88" s="146"/>
      <c r="AU88" s="146"/>
      <c r="AV88" s="146"/>
      <c r="AW88" s="146"/>
      <c r="AX88" s="146"/>
      <c r="AY88" s="146"/>
    </row>
    <row r="89" spans="1:71">
      <c r="A89" s="164" t="s">
        <v>324</v>
      </c>
      <c r="B89" s="156" t="s">
        <v>325</v>
      </c>
      <c r="C89" s="157" t="s">
        <v>266</v>
      </c>
      <c r="D89" s="157" t="s">
        <v>26</v>
      </c>
      <c r="E89" s="158" t="s">
        <v>33</v>
      </c>
      <c r="F89" s="98" t="s">
        <v>148</v>
      </c>
      <c r="G89" s="99" t="s">
        <v>147</v>
      </c>
      <c r="H89" s="99" t="s">
        <v>147</v>
      </c>
      <c r="I89" s="98" t="s">
        <v>148</v>
      </c>
      <c r="J89" s="98" t="s">
        <v>148</v>
      </c>
      <c r="K89" s="98" t="s">
        <v>148</v>
      </c>
      <c r="L89" s="98" t="s">
        <v>148</v>
      </c>
      <c r="M89" s="104" t="s">
        <v>12</v>
      </c>
      <c r="N89" s="99" t="s">
        <v>147</v>
      </c>
      <c r="O89" s="99" t="s">
        <v>147</v>
      </c>
      <c r="P89" s="104" t="s">
        <v>12</v>
      </c>
      <c r="Q89" s="98" t="s">
        <v>148</v>
      </c>
      <c r="R89" s="98" t="s">
        <v>148</v>
      </c>
      <c r="S89" s="270" t="s">
        <v>148</v>
      </c>
      <c r="T89" s="98" t="s">
        <v>148</v>
      </c>
      <c r="U89" s="99" t="s">
        <v>147</v>
      </c>
      <c r="V89" s="99" t="s">
        <v>147</v>
      </c>
      <c r="W89" s="98" t="s">
        <v>148</v>
      </c>
      <c r="X89" s="270" t="s">
        <v>148</v>
      </c>
      <c r="Y89" s="98" t="s">
        <v>148</v>
      </c>
      <c r="Z89" s="192" t="s">
        <v>187</v>
      </c>
      <c r="AA89" s="192" t="s">
        <v>187</v>
      </c>
      <c r="AB89" s="192" t="s">
        <v>187</v>
      </c>
      <c r="AC89" s="192" t="s">
        <v>187</v>
      </c>
      <c r="AD89" s="192" t="s">
        <v>187</v>
      </c>
      <c r="AE89" s="192" t="s">
        <v>187</v>
      </c>
      <c r="AF89" s="192" t="s">
        <v>187</v>
      </c>
      <c r="AG89" s="192" t="s">
        <v>187</v>
      </c>
      <c r="AH89" s="192" t="s">
        <v>187</v>
      </c>
      <c r="AI89" s="192" t="s">
        <v>187</v>
      </c>
      <c r="AJ89" s="192" t="s">
        <v>187</v>
      </c>
      <c r="AK89" s="146"/>
      <c r="AL89" s="146"/>
      <c r="AM89" s="146"/>
      <c r="AN89" s="146"/>
      <c r="AO89" s="146"/>
      <c r="AP89" s="146"/>
      <c r="AQ89" s="146"/>
      <c r="AR89" s="146"/>
      <c r="AS89" s="146"/>
      <c r="AT89" s="146"/>
      <c r="AU89" s="146"/>
      <c r="AV89" s="146"/>
      <c r="AW89" s="146"/>
      <c r="AX89" s="146"/>
      <c r="AY89" s="146"/>
    </row>
    <row r="90" spans="1:71">
      <c r="A90" s="164" t="s">
        <v>326</v>
      </c>
      <c r="B90" s="156" t="s">
        <v>300</v>
      </c>
      <c r="C90" s="157" t="s">
        <v>316</v>
      </c>
      <c r="D90" s="157" t="s">
        <v>26</v>
      </c>
      <c r="E90" s="158" t="s">
        <v>40</v>
      </c>
      <c r="F90" s="98" t="s">
        <v>148</v>
      </c>
      <c r="G90" s="98" t="s">
        <v>148</v>
      </c>
      <c r="H90" s="98" t="s">
        <v>148</v>
      </c>
      <c r="I90" s="98" t="s">
        <v>148</v>
      </c>
      <c r="J90" s="100">
        <v>23</v>
      </c>
      <c r="K90" s="99" t="s">
        <v>147</v>
      </c>
      <c r="L90" s="99" t="s">
        <v>147</v>
      </c>
      <c r="M90" s="98" t="s">
        <v>148</v>
      </c>
      <c r="N90" s="98" t="s">
        <v>148</v>
      </c>
      <c r="O90" s="98" t="s">
        <v>148</v>
      </c>
      <c r="P90" s="98" t="s">
        <v>148</v>
      </c>
      <c r="Q90" s="98" t="s">
        <v>148</v>
      </c>
      <c r="R90" s="271" t="s">
        <v>147</v>
      </c>
      <c r="S90" s="271" t="s">
        <v>147</v>
      </c>
      <c r="T90" s="98" t="s">
        <v>148</v>
      </c>
      <c r="U90" s="98" t="s">
        <v>148</v>
      </c>
      <c r="V90" s="98" t="s">
        <v>148</v>
      </c>
      <c r="W90" s="98" t="s">
        <v>148</v>
      </c>
      <c r="X90" s="102" t="s">
        <v>148</v>
      </c>
      <c r="Y90" s="99" t="s">
        <v>147</v>
      </c>
      <c r="Z90" s="99" t="s">
        <v>147</v>
      </c>
      <c r="AA90" s="192" t="s">
        <v>187</v>
      </c>
      <c r="AB90" s="192" t="s">
        <v>187</v>
      </c>
      <c r="AC90" s="192" t="s">
        <v>187</v>
      </c>
      <c r="AD90" s="192" t="s">
        <v>187</v>
      </c>
      <c r="AE90" s="192" t="s">
        <v>187</v>
      </c>
      <c r="AF90" s="192" t="s">
        <v>187</v>
      </c>
      <c r="AG90" s="192" t="s">
        <v>187</v>
      </c>
      <c r="AH90" s="192" t="s">
        <v>187</v>
      </c>
      <c r="AI90" s="192" t="s">
        <v>187</v>
      </c>
      <c r="AJ90" s="192" t="s">
        <v>187</v>
      </c>
      <c r="AK90" s="146"/>
      <c r="AL90" s="146"/>
      <c r="AM90" s="146"/>
      <c r="AN90" s="146"/>
      <c r="AO90" s="146"/>
      <c r="AP90" s="146"/>
      <c r="AQ90" s="146"/>
      <c r="AR90" s="146"/>
      <c r="AS90" s="146"/>
      <c r="AT90" s="146"/>
      <c r="AU90" s="146"/>
      <c r="AV90" s="146"/>
      <c r="AW90" s="146"/>
      <c r="AX90" s="146"/>
      <c r="AY90" s="146"/>
    </row>
    <row r="91" spans="1:71">
      <c r="A91" s="164" t="s">
        <v>87</v>
      </c>
      <c r="B91" s="156" t="s">
        <v>265</v>
      </c>
      <c r="C91" s="157" t="s">
        <v>266</v>
      </c>
      <c r="D91" s="157" t="s">
        <v>26</v>
      </c>
      <c r="E91" s="158" t="s">
        <v>56</v>
      </c>
      <c r="F91" s="98" t="s">
        <v>148</v>
      </c>
      <c r="G91" s="99" t="s">
        <v>147</v>
      </c>
      <c r="H91" s="99" t="s">
        <v>147</v>
      </c>
      <c r="I91" s="98" t="s">
        <v>148</v>
      </c>
      <c r="J91" s="98" t="s">
        <v>148</v>
      </c>
      <c r="K91" s="100">
        <v>9</v>
      </c>
      <c r="L91" s="98" t="s">
        <v>148</v>
      </c>
      <c r="M91" s="98" t="s">
        <v>148</v>
      </c>
      <c r="N91" s="99" t="s">
        <v>147</v>
      </c>
      <c r="O91" s="99" t="s">
        <v>147</v>
      </c>
      <c r="P91" s="98" t="s">
        <v>148</v>
      </c>
      <c r="Q91" s="98" t="s">
        <v>148</v>
      </c>
      <c r="R91" s="98" t="s">
        <v>148</v>
      </c>
      <c r="S91" s="270" t="s">
        <v>148</v>
      </c>
      <c r="T91" s="270" t="s">
        <v>148</v>
      </c>
      <c r="U91" s="99" t="s">
        <v>147</v>
      </c>
      <c r="V91" s="99" t="s">
        <v>147</v>
      </c>
      <c r="W91" s="98" t="s">
        <v>148</v>
      </c>
      <c r="X91" s="98" t="s">
        <v>148</v>
      </c>
      <c r="Y91" s="100">
        <v>53</v>
      </c>
      <c r="Z91" s="102">
        <v>450</v>
      </c>
      <c r="AA91" s="192" t="s">
        <v>187</v>
      </c>
      <c r="AB91" s="192" t="s">
        <v>187</v>
      </c>
      <c r="AC91" s="192" t="s">
        <v>187</v>
      </c>
      <c r="AD91" s="192" t="s">
        <v>187</v>
      </c>
      <c r="AE91" s="192" t="s">
        <v>187</v>
      </c>
      <c r="AF91" s="192" t="s">
        <v>187</v>
      </c>
      <c r="AG91" s="192" t="s">
        <v>187</v>
      </c>
      <c r="AH91" s="192" t="s">
        <v>187</v>
      </c>
      <c r="AI91" s="192" t="s">
        <v>187</v>
      </c>
      <c r="AJ91" s="192" t="s">
        <v>187</v>
      </c>
      <c r="AK91" s="146"/>
      <c r="AL91" s="146"/>
      <c r="AM91" s="146"/>
      <c r="AN91" s="146"/>
      <c r="AO91" s="146"/>
      <c r="AP91" s="146"/>
      <c r="AQ91" s="146"/>
      <c r="AR91" s="146"/>
      <c r="AS91" s="146"/>
      <c r="AT91" s="146"/>
      <c r="AU91" s="146"/>
      <c r="AV91" s="146"/>
      <c r="AW91" s="146"/>
      <c r="AX91" s="146"/>
      <c r="AY91" s="146"/>
    </row>
    <row r="92" spans="1:71" s="89" customFormat="1">
      <c r="A92" s="164" t="s">
        <v>327</v>
      </c>
      <c r="B92" s="156" t="s">
        <v>265</v>
      </c>
      <c r="C92" s="157" t="s">
        <v>307</v>
      </c>
      <c r="D92" s="157" t="s">
        <v>26</v>
      </c>
      <c r="E92" s="158" t="s">
        <v>56</v>
      </c>
      <c r="F92" s="98" t="s">
        <v>148</v>
      </c>
      <c r="G92" s="98" t="s">
        <v>148</v>
      </c>
      <c r="H92" s="98" t="s">
        <v>148</v>
      </c>
      <c r="I92" s="98" t="s">
        <v>148</v>
      </c>
      <c r="J92" s="99" t="s">
        <v>147</v>
      </c>
      <c r="K92" s="99" t="s">
        <v>147</v>
      </c>
      <c r="L92" s="98" t="s">
        <v>148</v>
      </c>
      <c r="M92" s="98" t="s">
        <v>148</v>
      </c>
      <c r="N92" s="98" t="s">
        <v>148</v>
      </c>
      <c r="O92" s="98" t="s">
        <v>148</v>
      </c>
      <c r="P92" s="98" t="s">
        <v>148</v>
      </c>
      <c r="Q92" s="99" t="s">
        <v>147</v>
      </c>
      <c r="R92" s="99" t="s">
        <v>147</v>
      </c>
      <c r="S92" s="270" t="s">
        <v>148</v>
      </c>
      <c r="T92" s="270" t="s">
        <v>148</v>
      </c>
      <c r="U92" s="98" t="s">
        <v>148</v>
      </c>
      <c r="V92" s="98" t="s">
        <v>148</v>
      </c>
      <c r="W92" s="98" t="s">
        <v>148</v>
      </c>
      <c r="X92" s="99" t="s">
        <v>147</v>
      </c>
      <c r="Y92" s="99" t="s">
        <v>147</v>
      </c>
      <c r="Z92" s="98" t="s">
        <v>148</v>
      </c>
      <c r="AA92" s="192"/>
      <c r="AB92" s="192" t="s">
        <v>187</v>
      </c>
      <c r="AC92" s="192" t="s">
        <v>187</v>
      </c>
      <c r="AD92" s="192" t="s">
        <v>187</v>
      </c>
      <c r="AE92" s="192" t="s">
        <v>187</v>
      </c>
      <c r="AF92" s="192" t="s">
        <v>187</v>
      </c>
      <c r="AG92" s="192" t="s">
        <v>187</v>
      </c>
      <c r="AH92" s="192" t="s">
        <v>187</v>
      </c>
      <c r="AI92" s="192" t="s">
        <v>187</v>
      </c>
      <c r="AJ92" s="192" t="s">
        <v>187</v>
      </c>
      <c r="AK92" s="146"/>
      <c r="AL92" s="146"/>
      <c r="AM92" s="146"/>
      <c r="AN92" s="146"/>
      <c r="AO92" s="146"/>
      <c r="AP92" s="146"/>
      <c r="AQ92" s="146"/>
      <c r="AR92" s="146"/>
      <c r="AS92" s="146"/>
      <c r="AT92" s="146"/>
      <c r="AU92" s="146"/>
      <c r="AV92" s="146"/>
      <c r="AW92" s="146"/>
      <c r="AX92" s="146"/>
      <c r="AY92" s="146"/>
      <c r="AZ92"/>
      <c r="BA92"/>
      <c r="BB92"/>
      <c r="BC92"/>
      <c r="BD92"/>
      <c r="BE92"/>
      <c r="BF92"/>
      <c r="BG92"/>
      <c r="BH92"/>
      <c r="BI92"/>
      <c r="BJ92"/>
      <c r="BK92"/>
      <c r="BL92"/>
      <c r="BM92"/>
      <c r="BN92"/>
      <c r="BO92"/>
      <c r="BP92"/>
      <c r="BQ92"/>
      <c r="BR92"/>
      <c r="BS92"/>
    </row>
    <row r="93" spans="1:71">
      <c r="A93" s="155" t="s">
        <v>93</v>
      </c>
      <c r="B93" s="156" t="s">
        <v>313</v>
      </c>
      <c r="C93" s="157" t="s">
        <v>266</v>
      </c>
      <c r="D93" s="157" t="s">
        <v>26</v>
      </c>
      <c r="E93" s="158" t="s">
        <v>40</v>
      </c>
      <c r="F93" s="98" t="s">
        <v>148</v>
      </c>
      <c r="G93" s="99" t="s">
        <v>147</v>
      </c>
      <c r="H93" s="99" t="s">
        <v>147</v>
      </c>
      <c r="I93" s="98" t="s">
        <v>148</v>
      </c>
      <c r="J93" s="98" t="s">
        <v>148</v>
      </c>
      <c r="K93" s="98" t="s">
        <v>148</v>
      </c>
      <c r="L93" s="98" t="s">
        <v>148</v>
      </c>
      <c r="M93" s="98" t="s">
        <v>148</v>
      </c>
      <c r="N93" s="99" t="s">
        <v>147</v>
      </c>
      <c r="O93" s="99" t="s">
        <v>147</v>
      </c>
      <c r="P93" s="98" t="s">
        <v>148</v>
      </c>
      <c r="Q93" s="98" t="s">
        <v>148</v>
      </c>
      <c r="R93" s="98" t="s">
        <v>148</v>
      </c>
      <c r="S93" s="270" t="s">
        <v>148</v>
      </c>
      <c r="T93" s="102" t="s">
        <v>148</v>
      </c>
      <c r="U93" s="99" t="s">
        <v>147</v>
      </c>
      <c r="V93" s="99" t="s">
        <v>147</v>
      </c>
      <c r="W93" s="98" t="s">
        <v>148</v>
      </c>
      <c r="X93" s="98" t="s">
        <v>148</v>
      </c>
      <c r="Y93" s="98" t="s">
        <v>148</v>
      </c>
      <c r="Z93" s="192" t="s">
        <v>187</v>
      </c>
      <c r="AA93" s="192" t="s">
        <v>187</v>
      </c>
      <c r="AB93" s="192" t="s">
        <v>187</v>
      </c>
      <c r="AC93" s="192" t="s">
        <v>187</v>
      </c>
      <c r="AD93" s="192" t="s">
        <v>187</v>
      </c>
      <c r="AE93" s="192" t="s">
        <v>187</v>
      </c>
      <c r="AF93" s="192" t="s">
        <v>187</v>
      </c>
      <c r="AG93" s="192" t="s">
        <v>187</v>
      </c>
      <c r="AH93" s="192" t="s">
        <v>187</v>
      </c>
      <c r="AI93" s="192" t="s">
        <v>187</v>
      </c>
      <c r="AJ93" s="192" t="s">
        <v>187</v>
      </c>
      <c r="AK93" s="146"/>
      <c r="AL93" s="146"/>
      <c r="AM93" s="146"/>
      <c r="AN93" s="146"/>
      <c r="AO93" s="146"/>
      <c r="AP93" s="146"/>
      <c r="AQ93" s="146"/>
      <c r="AR93" s="146"/>
      <c r="AS93" s="146"/>
      <c r="AT93" s="146"/>
      <c r="AU93" s="146"/>
      <c r="AV93" s="146"/>
      <c r="AW93" s="146"/>
      <c r="AX93" s="146"/>
      <c r="AY93" s="146"/>
    </row>
    <row r="94" spans="1:71">
      <c r="A94" s="163" t="s">
        <v>328</v>
      </c>
      <c r="B94" s="156" t="s">
        <v>303</v>
      </c>
      <c r="C94" s="157" t="s">
        <v>266</v>
      </c>
      <c r="D94" s="157" t="s">
        <v>26</v>
      </c>
      <c r="E94" s="158" t="s">
        <v>30</v>
      </c>
      <c r="F94" s="98" t="s">
        <v>148</v>
      </c>
      <c r="G94" s="99" t="s">
        <v>147</v>
      </c>
      <c r="H94" s="99" t="s">
        <v>147</v>
      </c>
      <c r="I94" s="98" t="s">
        <v>148</v>
      </c>
      <c r="J94" s="102">
        <v>450</v>
      </c>
      <c r="K94" s="102">
        <v>450</v>
      </c>
      <c r="L94" s="102">
        <v>450</v>
      </c>
      <c r="M94" s="102">
        <v>450</v>
      </c>
      <c r="N94" s="99" t="s">
        <v>147</v>
      </c>
      <c r="O94" s="99" t="s">
        <v>147</v>
      </c>
      <c r="P94" s="98" t="s">
        <v>148</v>
      </c>
      <c r="Q94" s="98" t="s">
        <v>148</v>
      </c>
      <c r="R94" s="98" t="s">
        <v>148</v>
      </c>
      <c r="S94" s="270" t="s">
        <v>148</v>
      </c>
      <c r="T94" s="270" t="s">
        <v>148</v>
      </c>
      <c r="U94" s="99" t="s">
        <v>147</v>
      </c>
      <c r="V94" s="99" t="s">
        <v>147</v>
      </c>
      <c r="W94" s="102">
        <v>450</v>
      </c>
      <c r="X94" s="270" t="s">
        <v>148</v>
      </c>
      <c r="Y94" s="102" t="s">
        <v>148</v>
      </c>
      <c r="Z94" s="102" t="s">
        <v>148</v>
      </c>
      <c r="AA94" s="192" t="s">
        <v>187</v>
      </c>
      <c r="AB94" s="192" t="s">
        <v>187</v>
      </c>
      <c r="AC94" s="192" t="s">
        <v>187</v>
      </c>
      <c r="AD94" s="192" t="s">
        <v>187</v>
      </c>
      <c r="AE94" s="192" t="s">
        <v>187</v>
      </c>
      <c r="AF94" s="192" t="s">
        <v>187</v>
      </c>
      <c r="AG94" s="192" t="s">
        <v>187</v>
      </c>
      <c r="AH94" s="192" t="s">
        <v>187</v>
      </c>
      <c r="AI94" s="192" t="s">
        <v>187</v>
      </c>
      <c r="AJ94" s="192" t="s">
        <v>187</v>
      </c>
      <c r="AK94" s="146"/>
      <c r="AL94" s="146"/>
      <c r="AM94" s="146"/>
      <c r="AN94" s="146"/>
      <c r="AO94" s="146"/>
      <c r="AP94" s="146"/>
      <c r="AQ94" s="146"/>
      <c r="AR94" s="146"/>
      <c r="AS94" s="146"/>
      <c r="AT94" s="146"/>
      <c r="AU94" s="146"/>
      <c r="AV94" s="146"/>
      <c r="AW94" s="146"/>
      <c r="AX94" s="146"/>
      <c r="AY94" s="146"/>
    </row>
    <row r="95" spans="1:71">
      <c r="A95" s="155" t="s">
        <v>329</v>
      </c>
      <c r="B95" s="156" t="s">
        <v>303</v>
      </c>
      <c r="C95" s="157" t="s">
        <v>266</v>
      </c>
      <c r="D95" s="157" t="s">
        <v>26</v>
      </c>
      <c r="E95" s="158" t="s">
        <v>30</v>
      </c>
      <c r="F95" s="98" t="s">
        <v>148</v>
      </c>
      <c r="G95" s="99" t="s">
        <v>147</v>
      </c>
      <c r="H95" s="99" t="s">
        <v>147</v>
      </c>
      <c r="I95" s="98" t="s">
        <v>148</v>
      </c>
      <c r="J95" s="98" t="s">
        <v>148</v>
      </c>
      <c r="K95" s="98" t="s">
        <v>148</v>
      </c>
      <c r="L95" s="98" t="s">
        <v>148</v>
      </c>
      <c r="M95" s="98" t="s">
        <v>148</v>
      </c>
      <c r="N95" s="99" t="s">
        <v>147</v>
      </c>
      <c r="O95" s="99" t="s">
        <v>147</v>
      </c>
      <c r="P95" s="98" t="s">
        <v>148</v>
      </c>
      <c r="Q95" s="98" t="s">
        <v>148</v>
      </c>
      <c r="R95" s="98" t="s">
        <v>148</v>
      </c>
      <c r="S95" s="270" t="s">
        <v>148</v>
      </c>
      <c r="T95" s="270" t="s">
        <v>148</v>
      </c>
      <c r="U95" s="99" t="s">
        <v>147</v>
      </c>
      <c r="V95" s="99" t="s">
        <v>147</v>
      </c>
      <c r="W95" s="98" t="s">
        <v>148</v>
      </c>
      <c r="X95" s="270" t="s">
        <v>148</v>
      </c>
      <c r="Y95" s="102" t="s">
        <v>148</v>
      </c>
      <c r="Z95" s="102" t="s">
        <v>148</v>
      </c>
      <c r="AA95" s="192" t="s">
        <v>187</v>
      </c>
      <c r="AB95" s="192" t="s">
        <v>187</v>
      </c>
      <c r="AC95" s="192" t="s">
        <v>187</v>
      </c>
      <c r="AD95" s="192" t="s">
        <v>187</v>
      </c>
      <c r="AE95" s="192" t="s">
        <v>187</v>
      </c>
      <c r="AF95" s="192" t="s">
        <v>187</v>
      </c>
      <c r="AG95" s="192" t="s">
        <v>187</v>
      </c>
      <c r="AH95" s="192" t="s">
        <v>187</v>
      </c>
      <c r="AI95" s="192" t="s">
        <v>187</v>
      </c>
      <c r="AJ95" s="192" t="s">
        <v>187</v>
      </c>
      <c r="AK95" s="146"/>
      <c r="AL95" s="146"/>
      <c r="AM95" s="146"/>
      <c r="AN95" s="146"/>
      <c r="AO95" s="146"/>
      <c r="AP95" s="146"/>
      <c r="AQ95" s="146"/>
      <c r="AR95" s="146"/>
      <c r="AS95" s="146"/>
      <c r="AT95" s="146"/>
      <c r="AU95" s="146"/>
      <c r="AV95" s="146"/>
      <c r="AW95" s="146"/>
      <c r="AX95" s="146"/>
      <c r="AY95" s="146"/>
    </row>
    <row r="96" spans="1:71">
      <c r="A96" s="162" t="s">
        <v>330</v>
      </c>
      <c r="B96" s="156" t="s">
        <v>303</v>
      </c>
      <c r="C96" s="157" t="s">
        <v>266</v>
      </c>
      <c r="D96" s="157" t="s">
        <v>26</v>
      </c>
      <c r="E96" s="158" t="s">
        <v>40</v>
      </c>
      <c r="F96" s="98" t="s">
        <v>148</v>
      </c>
      <c r="G96" s="98" t="s">
        <v>148</v>
      </c>
      <c r="H96" s="98" t="s">
        <v>148</v>
      </c>
      <c r="I96" s="98" t="s">
        <v>148</v>
      </c>
      <c r="J96" s="99" t="s">
        <v>147</v>
      </c>
      <c r="K96" s="99" t="s">
        <v>147</v>
      </c>
      <c r="L96" s="98" t="s">
        <v>148</v>
      </c>
      <c r="M96" s="98" t="s">
        <v>148</v>
      </c>
      <c r="N96" s="98" t="s">
        <v>148</v>
      </c>
      <c r="O96" s="98" t="s">
        <v>148</v>
      </c>
      <c r="P96" s="98" t="s">
        <v>148</v>
      </c>
      <c r="Q96" s="98" t="s">
        <v>148</v>
      </c>
      <c r="R96" s="99" t="s">
        <v>147</v>
      </c>
      <c r="S96" s="102">
        <v>450</v>
      </c>
      <c r="T96" s="98" t="s">
        <v>148</v>
      </c>
      <c r="U96" s="271" t="s">
        <v>147</v>
      </c>
      <c r="V96" s="271" t="s">
        <v>147</v>
      </c>
      <c r="W96" s="98" t="s">
        <v>148</v>
      </c>
      <c r="X96" s="98" t="s">
        <v>148</v>
      </c>
      <c r="Y96" s="102" t="s">
        <v>148</v>
      </c>
      <c r="Z96" s="102" t="s">
        <v>148</v>
      </c>
      <c r="AA96" s="192" t="s">
        <v>187</v>
      </c>
      <c r="AB96" s="192" t="s">
        <v>187</v>
      </c>
      <c r="AC96" s="192" t="s">
        <v>187</v>
      </c>
      <c r="AD96" s="192" t="s">
        <v>187</v>
      </c>
      <c r="AE96" s="192" t="s">
        <v>187</v>
      </c>
      <c r="AF96" s="192" t="s">
        <v>187</v>
      </c>
      <c r="AG96" s="192" t="s">
        <v>187</v>
      </c>
      <c r="AH96" s="192" t="s">
        <v>187</v>
      </c>
      <c r="AI96" s="192" t="s">
        <v>187</v>
      </c>
      <c r="AJ96" s="192" t="s">
        <v>187</v>
      </c>
      <c r="AK96" s="146"/>
      <c r="AL96" s="146"/>
      <c r="AM96" s="146"/>
      <c r="AN96" s="146"/>
      <c r="AO96" s="146"/>
      <c r="AP96" s="146"/>
      <c r="AQ96" s="146"/>
      <c r="AR96" s="146"/>
      <c r="AS96" s="146"/>
      <c r="AT96" s="146"/>
      <c r="AU96" s="146"/>
      <c r="AV96" s="146"/>
      <c r="AW96" s="146"/>
      <c r="AX96" s="146"/>
      <c r="AY96" s="146"/>
    </row>
    <row r="97" spans="1:51">
      <c r="A97" s="162" t="s">
        <v>331</v>
      </c>
      <c r="B97" s="156" t="s">
        <v>332</v>
      </c>
      <c r="C97" s="157" t="s">
        <v>304</v>
      </c>
      <c r="D97" s="157" t="s">
        <v>26</v>
      </c>
      <c r="E97" s="158" t="s">
        <v>40</v>
      </c>
      <c r="F97" s="98" t="s">
        <v>174</v>
      </c>
      <c r="G97" s="98" t="s">
        <v>148</v>
      </c>
      <c r="H97" s="98" t="s">
        <v>148</v>
      </c>
      <c r="I97" s="99" t="s">
        <v>147</v>
      </c>
      <c r="J97" s="99" t="s">
        <v>147</v>
      </c>
      <c r="K97" s="98" t="s">
        <v>148</v>
      </c>
      <c r="L97" s="98" t="s">
        <v>148</v>
      </c>
      <c r="M97" s="98" t="s">
        <v>148</v>
      </c>
      <c r="N97" s="99" t="s">
        <v>147</v>
      </c>
      <c r="O97" s="98" t="s">
        <v>148</v>
      </c>
      <c r="P97" s="99" t="s">
        <v>147</v>
      </c>
      <c r="Q97" s="99" t="s">
        <v>147</v>
      </c>
      <c r="R97" s="98" t="s">
        <v>148</v>
      </c>
      <c r="S97" s="270" t="s">
        <v>148</v>
      </c>
      <c r="T97" s="270" t="s">
        <v>148</v>
      </c>
      <c r="U97" s="270" t="s">
        <v>148</v>
      </c>
      <c r="V97" s="270" t="s">
        <v>148</v>
      </c>
      <c r="W97" s="99" t="s">
        <v>147</v>
      </c>
      <c r="X97" s="99" t="s">
        <v>147</v>
      </c>
      <c r="Y97" s="102" t="s">
        <v>148</v>
      </c>
      <c r="Z97" s="102" t="s">
        <v>148</v>
      </c>
      <c r="AA97" s="192" t="s">
        <v>187</v>
      </c>
      <c r="AB97" s="192" t="s">
        <v>187</v>
      </c>
      <c r="AC97" s="192" t="s">
        <v>187</v>
      </c>
      <c r="AD97" s="192" t="s">
        <v>187</v>
      </c>
      <c r="AE97" s="192" t="s">
        <v>187</v>
      </c>
      <c r="AF97" s="192" t="s">
        <v>187</v>
      </c>
      <c r="AG97" s="192" t="s">
        <v>187</v>
      </c>
      <c r="AH97" s="192" t="s">
        <v>187</v>
      </c>
      <c r="AI97" s="192" t="s">
        <v>187</v>
      </c>
      <c r="AJ97" s="192" t="s">
        <v>187</v>
      </c>
      <c r="AK97" s="146"/>
      <c r="AL97" s="146"/>
      <c r="AM97" s="146"/>
      <c r="AN97" s="146"/>
      <c r="AO97" s="146"/>
      <c r="AP97" s="146"/>
      <c r="AQ97" s="146"/>
      <c r="AR97" s="146"/>
      <c r="AS97" s="146"/>
      <c r="AT97" s="146"/>
      <c r="AU97" s="146"/>
      <c r="AV97" s="146"/>
      <c r="AW97" s="146"/>
      <c r="AX97" s="146"/>
      <c r="AY97" s="146"/>
    </row>
    <row r="98" spans="1:51">
      <c r="A98" s="162" t="s">
        <v>109</v>
      </c>
      <c r="B98" s="156" t="s">
        <v>300</v>
      </c>
      <c r="C98" s="157" t="s">
        <v>266</v>
      </c>
      <c r="D98" s="157" t="s">
        <v>26</v>
      </c>
      <c r="E98" s="158" t="s">
        <v>25</v>
      </c>
      <c r="F98" s="98" t="s">
        <v>148</v>
      </c>
      <c r="G98" s="99" t="s">
        <v>147</v>
      </c>
      <c r="H98" s="99" t="s">
        <v>147</v>
      </c>
      <c r="I98" s="98" t="s">
        <v>148</v>
      </c>
      <c r="J98" s="98" t="s">
        <v>148</v>
      </c>
      <c r="K98" s="98" t="s">
        <v>148</v>
      </c>
      <c r="L98" s="98" t="s">
        <v>148</v>
      </c>
      <c r="M98" s="98" t="s">
        <v>148</v>
      </c>
      <c r="N98" s="99" t="s">
        <v>147</v>
      </c>
      <c r="O98" s="99" t="s">
        <v>147</v>
      </c>
      <c r="P98" s="98" t="s">
        <v>148</v>
      </c>
      <c r="Q98" s="98" t="s">
        <v>148</v>
      </c>
      <c r="R98" s="98" t="s">
        <v>148</v>
      </c>
      <c r="S98" s="270" t="s">
        <v>148</v>
      </c>
      <c r="T98" s="98" t="s">
        <v>148</v>
      </c>
      <c r="U98" s="99" t="s">
        <v>147</v>
      </c>
      <c r="V98" s="99" t="s">
        <v>147</v>
      </c>
      <c r="W98" s="98" t="s">
        <v>148</v>
      </c>
      <c r="X98" s="102" t="s">
        <v>148</v>
      </c>
      <c r="Y98" s="102" t="s">
        <v>148</v>
      </c>
      <c r="Z98" s="102" t="s">
        <v>148</v>
      </c>
      <c r="AA98" s="192" t="s">
        <v>187</v>
      </c>
      <c r="AB98" s="192" t="s">
        <v>187</v>
      </c>
      <c r="AC98" s="192" t="s">
        <v>187</v>
      </c>
      <c r="AD98" s="192" t="s">
        <v>187</v>
      </c>
      <c r="AE98" s="192" t="s">
        <v>187</v>
      </c>
      <c r="AF98" s="192" t="s">
        <v>187</v>
      </c>
      <c r="AG98" s="192" t="s">
        <v>187</v>
      </c>
      <c r="AH98" s="192" t="s">
        <v>187</v>
      </c>
      <c r="AI98" s="192" t="s">
        <v>187</v>
      </c>
      <c r="AJ98" s="192" t="s">
        <v>187</v>
      </c>
      <c r="AK98" s="146"/>
      <c r="AL98" s="146"/>
      <c r="AM98" s="146"/>
      <c r="AN98" s="146"/>
      <c r="AO98" s="146"/>
      <c r="AP98" s="146"/>
      <c r="AQ98" s="146"/>
      <c r="AR98" s="146"/>
      <c r="AS98" s="146"/>
      <c r="AT98" s="146"/>
      <c r="AU98" s="146"/>
      <c r="AV98" s="146"/>
      <c r="AW98" s="146"/>
      <c r="AX98" s="146"/>
      <c r="AY98" s="146"/>
    </row>
    <row r="99" spans="1:51">
      <c r="A99" s="162" t="s">
        <v>333</v>
      </c>
      <c r="B99" s="156" t="s">
        <v>332</v>
      </c>
      <c r="C99" s="157" t="s">
        <v>266</v>
      </c>
      <c r="D99" s="157" t="s">
        <v>26</v>
      </c>
      <c r="E99" s="158" t="s">
        <v>40</v>
      </c>
      <c r="F99" s="98" t="s">
        <v>148</v>
      </c>
      <c r="G99" s="99" t="s">
        <v>147</v>
      </c>
      <c r="H99" s="99" t="s">
        <v>147</v>
      </c>
      <c r="I99" s="98" t="s">
        <v>148</v>
      </c>
      <c r="J99" s="98" t="s">
        <v>148</v>
      </c>
      <c r="K99" s="98" t="s">
        <v>148</v>
      </c>
      <c r="L99" s="98" t="s">
        <v>148</v>
      </c>
      <c r="M99" s="98" t="s">
        <v>148</v>
      </c>
      <c r="N99" s="99" t="s">
        <v>147</v>
      </c>
      <c r="O99" s="99" t="s">
        <v>147</v>
      </c>
      <c r="P99" s="98" t="s">
        <v>148</v>
      </c>
      <c r="Q99" s="98" t="s">
        <v>148</v>
      </c>
      <c r="R99" s="98" t="s">
        <v>148</v>
      </c>
      <c r="S99" s="270" t="s">
        <v>148</v>
      </c>
      <c r="T99" s="270" t="s">
        <v>148</v>
      </c>
      <c r="U99" s="99" t="s">
        <v>147</v>
      </c>
      <c r="V99" s="99" t="s">
        <v>147</v>
      </c>
      <c r="W99" s="270" t="s">
        <v>148</v>
      </c>
      <c r="X99" s="270" t="s">
        <v>148</v>
      </c>
      <c r="Y99" s="270" t="s">
        <v>148</v>
      </c>
      <c r="Z99" s="270" t="s">
        <v>148</v>
      </c>
      <c r="AA99" s="192" t="s">
        <v>187</v>
      </c>
      <c r="AB99" s="192" t="s">
        <v>187</v>
      </c>
      <c r="AC99" s="192" t="s">
        <v>187</v>
      </c>
      <c r="AD99" s="192" t="s">
        <v>187</v>
      </c>
      <c r="AE99" s="192" t="s">
        <v>187</v>
      </c>
      <c r="AF99" s="192" t="s">
        <v>187</v>
      </c>
      <c r="AG99" s="192" t="s">
        <v>187</v>
      </c>
      <c r="AH99" s="192" t="s">
        <v>187</v>
      </c>
      <c r="AI99" s="192" t="s">
        <v>187</v>
      </c>
      <c r="AJ99" s="192" t="s">
        <v>187</v>
      </c>
      <c r="AK99" s="146"/>
      <c r="AL99" s="146"/>
      <c r="AM99" s="146"/>
      <c r="AN99" s="146"/>
      <c r="AO99" s="146"/>
      <c r="AP99" s="146"/>
      <c r="AQ99" s="146"/>
      <c r="AR99" s="146"/>
      <c r="AS99" s="146"/>
      <c r="AT99" s="146"/>
      <c r="AU99" s="146"/>
      <c r="AV99" s="146"/>
      <c r="AW99" s="146"/>
      <c r="AX99" s="146"/>
      <c r="AY99" s="146"/>
    </row>
    <row r="100" spans="1:51">
      <c r="A100" s="162" t="s">
        <v>334</v>
      </c>
      <c r="B100" s="156" t="s">
        <v>265</v>
      </c>
      <c r="C100" s="157" t="s">
        <v>307</v>
      </c>
      <c r="D100" s="157" t="s">
        <v>26</v>
      </c>
      <c r="E100" s="158" t="s">
        <v>40</v>
      </c>
      <c r="F100" s="98" t="s">
        <v>148</v>
      </c>
      <c r="G100" s="98" t="s">
        <v>148</v>
      </c>
      <c r="H100" s="98" t="s">
        <v>148</v>
      </c>
      <c r="I100" s="98" t="s">
        <v>148</v>
      </c>
      <c r="J100" s="99" t="s">
        <v>147</v>
      </c>
      <c r="K100" s="99" t="s">
        <v>147</v>
      </c>
      <c r="L100" s="98" t="s">
        <v>148</v>
      </c>
      <c r="M100" s="98" t="s">
        <v>148</v>
      </c>
      <c r="N100" s="98" t="s">
        <v>148</v>
      </c>
      <c r="O100" s="98" t="s">
        <v>148</v>
      </c>
      <c r="P100" s="98" t="s">
        <v>148</v>
      </c>
      <c r="Q100" s="99" t="s">
        <v>147</v>
      </c>
      <c r="R100" s="99" t="s">
        <v>147</v>
      </c>
      <c r="S100" s="270" t="s">
        <v>148</v>
      </c>
      <c r="T100" s="98" t="s">
        <v>148</v>
      </c>
      <c r="U100" s="98" t="s">
        <v>148</v>
      </c>
      <c r="V100" s="98" t="s">
        <v>148</v>
      </c>
      <c r="W100" s="102" t="s">
        <v>148</v>
      </c>
      <c r="X100" s="99" t="s">
        <v>147</v>
      </c>
      <c r="Y100" s="99" t="s">
        <v>147</v>
      </c>
      <c r="Z100" s="102" t="s">
        <v>148</v>
      </c>
      <c r="AA100" s="192" t="s">
        <v>187</v>
      </c>
      <c r="AB100" s="192" t="s">
        <v>187</v>
      </c>
      <c r="AC100" s="192" t="s">
        <v>187</v>
      </c>
      <c r="AD100" s="192" t="s">
        <v>187</v>
      </c>
      <c r="AE100" s="192" t="s">
        <v>187</v>
      </c>
      <c r="AF100" s="192" t="s">
        <v>187</v>
      </c>
      <c r="AG100" s="192" t="s">
        <v>187</v>
      </c>
      <c r="AH100" s="192" t="s">
        <v>187</v>
      </c>
      <c r="AI100" s="192" t="s">
        <v>187</v>
      </c>
      <c r="AJ100" s="192" t="s">
        <v>187</v>
      </c>
      <c r="AK100" s="146"/>
      <c r="AL100" s="146"/>
      <c r="AM100" s="146"/>
      <c r="AN100" s="146"/>
      <c r="AO100" s="146"/>
      <c r="AP100" s="146"/>
      <c r="AQ100" s="146"/>
      <c r="AR100" s="146"/>
      <c r="AS100" s="146"/>
      <c r="AT100" s="146"/>
      <c r="AU100" s="146"/>
      <c r="AV100" s="146"/>
      <c r="AW100" s="146"/>
      <c r="AX100" s="146"/>
      <c r="AY100" s="146"/>
    </row>
    <row r="101" spans="1:51">
      <c r="A101" s="162" t="s">
        <v>235</v>
      </c>
      <c r="B101" s="156" t="s">
        <v>303</v>
      </c>
      <c r="C101" s="157" t="s">
        <v>266</v>
      </c>
      <c r="D101" s="157" t="s">
        <v>26</v>
      </c>
      <c r="E101" s="158" t="s">
        <v>30</v>
      </c>
      <c r="F101" s="98" t="s">
        <v>148</v>
      </c>
      <c r="G101" s="99" t="s">
        <v>147</v>
      </c>
      <c r="H101" s="99" t="s">
        <v>147</v>
      </c>
      <c r="I101" s="98" t="s">
        <v>148</v>
      </c>
      <c r="J101" s="98" t="s">
        <v>148</v>
      </c>
      <c r="K101" s="98" t="s">
        <v>148</v>
      </c>
      <c r="L101" s="98" t="s">
        <v>148</v>
      </c>
      <c r="M101" s="98" t="s">
        <v>148</v>
      </c>
      <c r="N101" s="99" t="s">
        <v>147</v>
      </c>
      <c r="O101" s="99" t="s">
        <v>147</v>
      </c>
      <c r="P101" s="98" t="s">
        <v>148</v>
      </c>
      <c r="Q101" s="98" t="s">
        <v>148</v>
      </c>
      <c r="R101" s="98" t="s">
        <v>148</v>
      </c>
      <c r="S101" s="270" t="s">
        <v>148</v>
      </c>
      <c r="T101" s="270" t="s">
        <v>148</v>
      </c>
      <c r="U101" s="99" t="s">
        <v>147</v>
      </c>
      <c r="V101" s="99" t="s">
        <v>147</v>
      </c>
      <c r="W101" s="98" t="s">
        <v>148</v>
      </c>
      <c r="X101" s="98" t="s">
        <v>148</v>
      </c>
      <c r="Y101" s="102" t="s">
        <v>148</v>
      </c>
      <c r="Z101" s="102" t="s">
        <v>148</v>
      </c>
      <c r="AA101" s="192" t="s">
        <v>187</v>
      </c>
      <c r="AB101" s="192" t="s">
        <v>187</v>
      </c>
      <c r="AC101" s="192" t="s">
        <v>187</v>
      </c>
      <c r="AD101" s="192" t="s">
        <v>187</v>
      </c>
      <c r="AE101" s="192" t="s">
        <v>187</v>
      </c>
      <c r="AF101" s="192" t="s">
        <v>187</v>
      </c>
      <c r="AG101" s="192" t="s">
        <v>187</v>
      </c>
      <c r="AH101" s="192" t="s">
        <v>187</v>
      </c>
      <c r="AI101" s="192" t="s">
        <v>187</v>
      </c>
      <c r="AJ101" s="192" t="s">
        <v>187</v>
      </c>
      <c r="AK101" s="146"/>
      <c r="AL101" s="146"/>
      <c r="AM101" s="146"/>
      <c r="AN101" s="146"/>
      <c r="AO101" s="146"/>
      <c r="AP101" s="146"/>
      <c r="AQ101" s="146"/>
      <c r="AR101" s="146"/>
      <c r="AS101" s="146"/>
      <c r="AT101" s="146"/>
      <c r="AU101" s="146"/>
      <c r="AV101" s="146"/>
      <c r="AW101" s="146"/>
      <c r="AX101" s="146"/>
      <c r="AY101" s="146"/>
    </row>
    <row r="102" spans="1:51">
      <c r="A102" s="162" t="s">
        <v>119</v>
      </c>
      <c r="B102" s="156" t="s">
        <v>313</v>
      </c>
      <c r="C102" s="157" t="s">
        <v>316</v>
      </c>
      <c r="D102" s="157" t="s">
        <v>26</v>
      </c>
      <c r="E102" s="158" t="s">
        <v>33</v>
      </c>
      <c r="F102" s="98" t="s">
        <v>148</v>
      </c>
      <c r="G102" s="98" t="s">
        <v>148</v>
      </c>
      <c r="H102" s="98" t="s">
        <v>148</v>
      </c>
      <c r="I102" s="98" t="s">
        <v>148</v>
      </c>
      <c r="J102" s="98" t="s">
        <v>148</v>
      </c>
      <c r="K102" s="99" t="s">
        <v>147</v>
      </c>
      <c r="L102" s="99" t="s">
        <v>147</v>
      </c>
      <c r="M102" s="98" t="s">
        <v>148</v>
      </c>
      <c r="N102" s="98" t="s">
        <v>148</v>
      </c>
      <c r="O102" s="271" t="s">
        <v>147</v>
      </c>
      <c r="P102" s="98" t="s">
        <v>148</v>
      </c>
      <c r="Q102" s="270" t="s">
        <v>148</v>
      </c>
      <c r="R102" s="270" t="s">
        <v>148</v>
      </c>
      <c r="S102" s="270" t="s">
        <v>148</v>
      </c>
      <c r="T102" s="270" t="s">
        <v>148</v>
      </c>
      <c r="U102" s="99" t="s">
        <v>147</v>
      </c>
      <c r="V102" s="99" t="s">
        <v>147</v>
      </c>
      <c r="W102" s="98" t="s">
        <v>148</v>
      </c>
      <c r="X102" s="99" t="s">
        <v>147</v>
      </c>
      <c r="Y102" s="99" t="s">
        <v>147</v>
      </c>
      <c r="Z102" s="192" t="s">
        <v>187</v>
      </c>
      <c r="AA102" s="192" t="s">
        <v>187</v>
      </c>
      <c r="AB102" s="192" t="s">
        <v>187</v>
      </c>
      <c r="AC102" s="192" t="s">
        <v>187</v>
      </c>
      <c r="AD102" s="192" t="s">
        <v>187</v>
      </c>
      <c r="AE102" s="192" t="s">
        <v>187</v>
      </c>
      <c r="AF102" s="192" t="s">
        <v>187</v>
      </c>
      <c r="AG102" s="192" t="s">
        <v>187</v>
      </c>
      <c r="AH102" s="192" t="s">
        <v>187</v>
      </c>
      <c r="AI102" s="192" t="s">
        <v>187</v>
      </c>
      <c r="AJ102" s="192" t="s">
        <v>187</v>
      </c>
      <c r="AK102" s="146"/>
      <c r="AL102" s="146"/>
      <c r="AM102" s="146"/>
      <c r="AN102" s="146"/>
      <c r="AO102" s="146"/>
      <c r="AP102" s="146"/>
      <c r="AQ102" s="146"/>
      <c r="AR102" s="146"/>
      <c r="AS102" s="146"/>
      <c r="AT102" s="146"/>
      <c r="AU102" s="146"/>
      <c r="AV102" s="146"/>
      <c r="AW102" s="146"/>
      <c r="AX102" s="146"/>
      <c r="AY102" s="146"/>
    </row>
    <row r="103" spans="1:51">
      <c r="A103" s="162" t="s">
        <v>123</v>
      </c>
      <c r="B103" s="156" t="s">
        <v>303</v>
      </c>
      <c r="C103" s="157" t="s">
        <v>266</v>
      </c>
      <c r="D103" s="157" t="s">
        <v>26</v>
      </c>
      <c r="E103" s="158" t="s">
        <v>40</v>
      </c>
      <c r="F103" s="98" t="s">
        <v>148</v>
      </c>
      <c r="G103" s="99" t="s">
        <v>147</v>
      </c>
      <c r="H103" s="99" t="s">
        <v>147</v>
      </c>
      <c r="I103" s="98" t="s">
        <v>148</v>
      </c>
      <c r="J103" s="98" t="s">
        <v>148</v>
      </c>
      <c r="K103" s="98" t="s">
        <v>148</v>
      </c>
      <c r="L103" s="98" t="s">
        <v>148</v>
      </c>
      <c r="M103" s="98" t="s">
        <v>148</v>
      </c>
      <c r="N103" s="99" t="s">
        <v>147</v>
      </c>
      <c r="O103" s="99" t="s">
        <v>147</v>
      </c>
      <c r="P103" s="98" t="s">
        <v>148</v>
      </c>
      <c r="Q103" s="98" t="s">
        <v>148</v>
      </c>
      <c r="R103" s="98" t="s">
        <v>148</v>
      </c>
      <c r="S103" s="270" t="s">
        <v>148</v>
      </c>
      <c r="T103" s="270" t="s">
        <v>148</v>
      </c>
      <c r="U103" s="99" t="s">
        <v>147</v>
      </c>
      <c r="V103" s="99" t="s">
        <v>147</v>
      </c>
      <c r="W103" s="99">
        <v>450</v>
      </c>
      <c r="X103" s="99">
        <v>450</v>
      </c>
      <c r="Y103" s="99">
        <v>450</v>
      </c>
      <c r="Z103" s="99">
        <v>450</v>
      </c>
      <c r="AA103" s="192" t="s">
        <v>187</v>
      </c>
      <c r="AB103" s="192" t="s">
        <v>187</v>
      </c>
      <c r="AC103" s="192" t="s">
        <v>187</v>
      </c>
      <c r="AD103" s="192" t="s">
        <v>187</v>
      </c>
      <c r="AE103" s="192" t="s">
        <v>187</v>
      </c>
      <c r="AF103" s="192" t="s">
        <v>187</v>
      </c>
      <c r="AG103" s="192" t="s">
        <v>187</v>
      </c>
      <c r="AH103" s="192" t="s">
        <v>187</v>
      </c>
      <c r="AI103" s="192" t="s">
        <v>187</v>
      </c>
      <c r="AJ103" s="192" t="s">
        <v>187</v>
      </c>
      <c r="AK103" s="146"/>
      <c r="AL103" s="146"/>
      <c r="AM103" s="146"/>
      <c r="AN103" s="146"/>
      <c r="AO103" s="146"/>
      <c r="AP103" s="146"/>
      <c r="AQ103" s="146"/>
      <c r="AR103" s="146"/>
      <c r="AS103" s="146"/>
      <c r="AT103" s="146"/>
      <c r="AU103" s="146"/>
      <c r="AV103" s="146"/>
      <c r="AW103" s="146"/>
      <c r="AX103" s="146"/>
      <c r="AY103" s="146"/>
    </row>
    <row r="104" spans="1:51">
      <c r="A104" s="165" t="s">
        <v>335</v>
      </c>
      <c r="B104" s="156" t="s">
        <v>313</v>
      </c>
      <c r="C104" s="157" t="s">
        <v>266</v>
      </c>
      <c r="D104" s="166" t="s">
        <v>26</v>
      </c>
      <c r="E104" s="167" t="s">
        <v>40</v>
      </c>
      <c r="F104" s="98" t="s">
        <v>148</v>
      </c>
      <c r="G104" s="99" t="s">
        <v>147</v>
      </c>
      <c r="H104" s="98" t="s">
        <v>148</v>
      </c>
      <c r="I104" s="99" t="s">
        <v>147</v>
      </c>
      <c r="J104" s="99" t="s">
        <v>147</v>
      </c>
      <c r="K104" s="98" t="s">
        <v>148</v>
      </c>
      <c r="L104" s="98" t="s">
        <v>148</v>
      </c>
      <c r="M104" s="98" t="s">
        <v>148</v>
      </c>
      <c r="N104" s="98" t="s">
        <v>148</v>
      </c>
      <c r="O104" s="98" t="s">
        <v>148</v>
      </c>
      <c r="P104" s="99" t="s">
        <v>147</v>
      </c>
      <c r="Q104" s="99" t="s">
        <v>147</v>
      </c>
      <c r="R104" s="98" t="s">
        <v>148</v>
      </c>
      <c r="S104" s="270" t="s">
        <v>148</v>
      </c>
      <c r="T104" s="102" t="s">
        <v>148</v>
      </c>
      <c r="U104" s="102" t="s">
        <v>148</v>
      </c>
      <c r="V104" s="102" t="s">
        <v>148</v>
      </c>
      <c r="W104" s="99" t="s">
        <v>147</v>
      </c>
      <c r="X104" s="99" t="s">
        <v>147</v>
      </c>
      <c r="Y104" s="102" t="s">
        <v>148</v>
      </c>
      <c r="Z104" s="192" t="s">
        <v>187</v>
      </c>
      <c r="AA104" s="192" t="s">
        <v>187</v>
      </c>
      <c r="AB104" s="192" t="s">
        <v>187</v>
      </c>
      <c r="AC104" s="192" t="s">
        <v>187</v>
      </c>
      <c r="AD104" s="192" t="s">
        <v>187</v>
      </c>
      <c r="AE104" s="192" t="s">
        <v>187</v>
      </c>
      <c r="AF104" s="192" t="s">
        <v>187</v>
      </c>
      <c r="AG104" s="192" t="s">
        <v>187</v>
      </c>
      <c r="AH104" s="192" t="s">
        <v>187</v>
      </c>
      <c r="AI104" s="192" t="s">
        <v>187</v>
      </c>
      <c r="AJ104" s="192" t="s">
        <v>187</v>
      </c>
      <c r="AK104" s="146"/>
      <c r="AL104" s="146"/>
      <c r="AM104" s="146"/>
      <c r="AN104" s="146"/>
      <c r="AO104" s="146"/>
      <c r="AP104" s="146"/>
      <c r="AQ104" s="146"/>
      <c r="AR104" s="146"/>
      <c r="AS104" s="146"/>
      <c r="AT104" s="146"/>
      <c r="AU104" s="146"/>
      <c r="AV104" s="146"/>
      <c r="AW104" s="146"/>
      <c r="AX104" s="146"/>
      <c r="AY104" s="146"/>
    </row>
    <row r="105" spans="1:51">
      <c r="A105" s="168" t="s">
        <v>126</v>
      </c>
      <c r="B105" s="156" t="s">
        <v>332</v>
      </c>
      <c r="C105" s="169" t="s">
        <v>336</v>
      </c>
      <c r="D105" s="166" t="s">
        <v>26</v>
      </c>
      <c r="E105" s="167" t="s">
        <v>40</v>
      </c>
      <c r="F105" s="99" t="s">
        <v>147</v>
      </c>
      <c r="G105" s="98" t="s">
        <v>148</v>
      </c>
      <c r="H105" s="98" t="s">
        <v>148</v>
      </c>
      <c r="I105" s="100">
        <v>14</v>
      </c>
      <c r="J105" s="98" t="s">
        <v>148</v>
      </c>
      <c r="K105" s="98" t="s">
        <v>148</v>
      </c>
      <c r="L105" s="99" t="s">
        <v>147</v>
      </c>
      <c r="M105" s="99" t="s">
        <v>147</v>
      </c>
      <c r="N105" s="98" t="s">
        <v>148</v>
      </c>
      <c r="O105" s="98" t="s">
        <v>148</v>
      </c>
      <c r="P105" s="98" t="s">
        <v>148</v>
      </c>
      <c r="Q105" s="98" t="s">
        <v>148</v>
      </c>
      <c r="R105" s="98" t="s">
        <v>148</v>
      </c>
      <c r="S105" s="271" t="s">
        <v>147</v>
      </c>
      <c r="T105" s="99" t="s">
        <v>147</v>
      </c>
      <c r="U105" s="102" t="s">
        <v>148</v>
      </c>
      <c r="V105" s="102" t="s">
        <v>148</v>
      </c>
      <c r="W105" s="102" t="s">
        <v>148</v>
      </c>
      <c r="X105" s="100">
        <v>43</v>
      </c>
      <c r="Y105" s="102" t="s">
        <v>148</v>
      </c>
      <c r="Z105" s="102" t="s">
        <v>148</v>
      </c>
      <c r="AA105" s="102" t="s">
        <v>148</v>
      </c>
      <c r="AB105" s="192" t="s">
        <v>187</v>
      </c>
      <c r="AC105" s="192" t="s">
        <v>187</v>
      </c>
      <c r="AD105" s="192" t="s">
        <v>187</v>
      </c>
      <c r="AE105" s="192" t="s">
        <v>187</v>
      </c>
      <c r="AF105" s="192" t="s">
        <v>187</v>
      </c>
      <c r="AG105" s="192" t="s">
        <v>187</v>
      </c>
      <c r="AH105" s="192" t="s">
        <v>187</v>
      </c>
      <c r="AI105" s="192" t="s">
        <v>187</v>
      </c>
      <c r="AJ105" s="192" t="s">
        <v>187</v>
      </c>
      <c r="AK105" s="146"/>
      <c r="AL105" s="146"/>
      <c r="AM105" s="146"/>
      <c r="AN105" s="146"/>
      <c r="AO105" s="146"/>
      <c r="AP105" s="146"/>
      <c r="AQ105" s="146"/>
      <c r="AR105" s="146"/>
      <c r="AS105" s="146"/>
      <c r="AT105" s="146"/>
      <c r="AU105" s="146"/>
      <c r="AV105" s="146"/>
      <c r="AW105" s="146"/>
      <c r="AX105" s="146"/>
      <c r="AY105" s="146"/>
    </row>
    <row r="106" spans="1:51">
      <c r="A106" s="168" t="s">
        <v>131</v>
      </c>
      <c r="B106" s="156" t="s">
        <v>265</v>
      </c>
      <c r="C106" s="170" t="s">
        <v>266</v>
      </c>
      <c r="D106" s="166" t="s">
        <v>26</v>
      </c>
      <c r="E106" s="167" t="s">
        <v>40</v>
      </c>
      <c r="F106" s="98" t="s">
        <v>148</v>
      </c>
      <c r="G106" s="99" t="s">
        <v>147</v>
      </c>
      <c r="H106" s="99" t="s">
        <v>147</v>
      </c>
      <c r="I106" s="98" t="s">
        <v>148</v>
      </c>
      <c r="J106" s="98" t="s">
        <v>148</v>
      </c>
      <c r="K106" s="100">
        <v>3</v>
      </c>
      <c r="L106" s="98" t="s">
        <v>148</v>
      </c>
      <c r="M106" s="98" t="s">
        <v>148</v>
      </c>
      <c r="N106" s="99" t="s">
        <v>147</v>
      </c>
      <c r="O106" s="99" t="s">
        <v>147</v>
      </c>
      <c r="P106" s="98" t="s">
        <v>148</v>
      </c>
      <c r="Q106" s="98" t="s">
        <v>148</v>
      </c>
      <c r="R106" s="102">
        <v>450</v>
      </c>
      <c r="S106" s="269">
        <v>450</v>
      </c>
      <c r="T106" s="100">
        <v>105</v>
      </c>
      <c r="U106" s="99" t="s">
        <v>147</v>
      </c>
      <c r="V106" s="99" t="s">
        <v>147</v>
      </c>
      <c r="W106" s="102" t="s">
        <v>148</v>
      </c>
      <c r="X106" s="102" t="s">
        <v>148</v>
      </c>
      <c r="Y106" s="102" t="s">
        <v>148</v>
      </c>
      <c r="Z106" s="100">
        <v>6</v>
      </c>
      <c r="AA106" s="192" t="s">
        <v>187</v>
      </c>
      <c r="AB106" s="192" t="s">
        <v>187</v>
      </c>
      <c r="AC106" s="192" t="s">
        <v>187</v>
      </c>
      <c r="AD106" s="192" t="s">
        <v>187</v>
      </c>
      <c r="AE106" s="192" t="s">
        <v>187</v>
      </c>
      <c r="AF106" s="192" t="s">
        <v>187</v>
      </c>
      <c r="AG106" s="192" t="s">
        <v>187</v>
      </c>
      <c r="AH106" s="192" t="s">
        <v>187</v>
      </c>
      <c r="AI106" s="192" t="s">
        <v>187</v>
      </c>
      <c r="AJ106" s="192" t="s">
        <v>187</v>
      </c>
      <c r="AK106" s="146"/>
      <c r="AL106" s="146"/>
      <c r="AM106" s="146"/>
      <c r="AN106" s="146"/>
      <c r="AO106" s="146"/>
      <c r="AP106" s="146"/>
      <c r="AQ106" s="146"/>
      <c r="AR106" s="146"/>
      <c r="AS106" s="146"/>
      <c r="AT106" s="146"/>
      <c r="AU106" s="146"/>
      <c r="AV106" s="146"/>
      <c r="AW106" s="146"/>
      <c r="AX106" s="146"/>
      <c r="AY106" s="146"/>
    </row>
    <row r="107" spans="1:51">
      <c r="A107" s="171" t="s">
        <v>133</v>
      </c>
      <c r="B107" s="156" t="s">
        <v>300</v>
      </c>
      <c r="C107" s="170" t="s">
        <v>266</v>
      </c>
      <c r="D107" s="169" t="s">
        <v>26</v>
      </c>
      <c r="E107" s="172" t="s">
        <v>40</v>
      </c>
      <c r="F107" s="100">
        <v>11</v>
      </c>
      <c r="G107" s="99" t="s">
        <v>147</v>
      </c>
      <c r="H107" s="99" t="s">
        <v>147</v>
      </c>
      <c r="I107" s="98" t="s">
        <v>174</v>
      </c>
      <c r="J107" s="100">
        <v>10</v>
      </c>
      <c r="K107" s="98" t="s">
        <v>148</v>
      </c>
      <c r="L107" s="98" t="s">
        <v>148</v>
      </c>
      <c r="M107" s="100">
        <v>53</v>
      </c>
      <c r="N107" s="99" t="s">
        <v>147</v>
      </c>
      <c r="O107" s="99" t="s">
        <v>147</v>
      </c>
      <c r="P107" s="98" t="s">
        <v>148</v>
      </c>
      <c r="Q107" s="98" t="s">
        <v>148</v>
      </c>
      <c r="R107" s="98" t="s">
        <v>148</v>
      </c>
      <c r="S107" s="270" t="s">
        <v>148</v>
      </c>
      <c r="T107" s="102">
        <v>450</v>
      </c>
      <c r="U107" s="102" t="s">
        <v>148</v>
      </c>
      <c r="V107" s="102" t="s">
        <v>148</v>
      </c>
      <c r="W107" s="102" t="s">
        <v>148</v>
      </c>
      <c r="X107" s="100">
        <v>25</v>
      </c>
      <c r="Y107" s="102" t="s">
        <v>148</v>
      </c>
      <c r="Z107" s="102" t="s">
        <v>278</v>
      </c>
      <c r="AA107" s="192" t="s">
        <v>187</v>
      </c>
      <c r="AB107" s="192" t="s">
        <v>187</v>
      </c>
      <c r="AC107" s="192" t="s">
        <v>187</v>
      </c>
      <c r="AD107" s="192" t="s">
        <v>187</v>
      </c>
      <c r="AE107" s="192" t="s">
        <v>187</v>
      </c>
      <c r="AF107" s="192" t="s">
        <v>187</v>
      </c>
      <c r="AG107" s="192" t="s">
        <v>187</v>
      </c>
      <c r="AH107" s="192" t="s">
        <v>187</v>
      </c>
      <c r="AI107" s="192" t="s">
        <v>187</v>
      </c>
      <c r="AJ107" s="192" t="s">
        <v>187</v>
      </c>
      <c r="AK107" s="146"/>
      <c r="AL107" s="146"/>
      <c r="AM107" s="146"/>
      <c r="AN107" s="146"/>
      <c r="AO107" s="146"/>
      <c r="AP107" s="146"/>
      <c r="AQ107" s="146"/>
      <c r="AR107" s="146"/>
      <c r="AS107" s="146"/>
      <c r="AT107" s="146"/>
      <c r="AU107" s="146"/>
      <c r="AV107" s="146"/>
      <c r="AW107" s="146"/>
      <c r="AX107" s="146"/>
      <c r="AY107" s="146"/>
    </row>
    <row r="108" spans="1:51">
      <c r="A108" s="163" t="s">
        <v>23</v>
      </c>
      <c r="B108" s="156" t="s">
        <v>265</v>
      </c>
      <c r="C108" s="170" t="s">
        <v>266</v>
      </c>
      <c r="D108" s="173" t="s">
        <v>22</v>
      </c>
      <c r="E108" s="174" t="s">
        <v>25</v>
      </c>
      <c r="F108" s="104" t="s">
        <v>12</v>
      </c>
      <c r="G108" s="99" t="s">
        <v>147</v>
      </c>
      <c r="H108" s="99" t="s">
        <v>147</v>
      </c>
      <c r="I108" s="98" t="s">
        <v>148</v>
      </c>
      <c r="J108" s="98" t="s">
        <v>148</v>
      </c>
      <c r="K108" s="98" t="s">
        <v>148</v>
      </c>
      <c r="L108" s="98" t="s">
        <v>148</v>
      </c>
      <c r="M108" s="98" t="s">
        <v>148</v>
      </c>
      <c r="N108" s="99" t="s">
        <v>147</v>
      </c>
      <c r="O108" s="99" t="s">
        <v>147</v>
      </c>
      <c r="P108" s="98" t="s">
        <v>148</v>
      </c>
      <c r="Q108" s="98" t="s">
        <v>148</v>
      </c>
      <c r="R108" s="98" t="s">
        <v>148</v>
      </c>
      <c r="S108" s="270" t="s">
        <v>148</v>
      </c>
      <c r="T108" s="98" t="s">
        <v>148</v>
      </c>
      <c r="U108" s="99" t="s">
        <v>147</v>
      </c>
      <c r="V108" s="99" t="s">
        <v>147</v>
      </c>
      <c r="W108" s="102" t="s">
        <v>148</v>
      </c>
      <c r="X108" s="102" t="s">
        <v>148</v>
      </c>
      <c r="Y108" s="102" t="s">
        <v>148</v>
      </c>
      <c r="Z108" s="102" t="s">
        <v>148</v>
      </c>
      <c r="AA108" s="192" t="s">
        <v>187</v>
      </c>
      <c r="AB108" s="192" t="s">
        <v>187</v>
      </c>
      <c r="AC108" s="192" t="s">
        <v>187</v>
      </c>
      <c r="AD108" s="192" t="s">
        <v>187</v>
      </c>
      <c r="AE108" s="192" t="s">
        <v>187</v>
      </c>
      <c r="AF108" s="192" t="s">
        <v>187</v>
      </c>
      <c r="AG108" s="192" t="s">
        <v>187</v>
      </c>
      <c r="AH108" s="192" t="s">
        <v>187</v>
      </c>
      <c r="AI108" s="192" t="s">
        <v>187</v>
      </c>
      <c r="AJ108" s="192" t="s">
        <v>187</v>
      </c>
      <c r="AK108" s="146"/>
      <c r="AL108" s="146"/>
      <c r="AM108" s="146"/>
      <c r="AN108" s="146"/>
      <c r="AO108" s="146"/>
      <c r="AP108" s="146"/>
      <c r="AQ108" s="146"/>
      <c r="AR108" s="146"/>
      <c r="AS108" s="146"/>
      <c r="AT108" s="146"/>
      <c r="AU108" s="146"/>
      <c r="AV108" s="146"/>
      <c r="AW108" s="146"/>
      <c r="AX108" s="146"/>
      <c r="AY108" s="146"/>
    </row>
    <row r="109" spans="1:51">
      <c r="A109" s="164" t="s">
        <v>55</v>
      </c>
      <c r="B109" s="156" t="s">
        <v>265</v>
      </c>
      <c r="C109" s="170" t="s">
        <v>266</v>
      </c>
      <c r="D109" s="157" t="s">
        <v>22</v>
      </c>
      <c r="E109" s="158" t="s">
        <v>56</v>
      </c>
      <c r="F109" s="98" t="s">
        <v>148</v>
      </c>
      <c r="G109" s="99" t="s">
        <v>147</v>
      </c>
      <c r="H109" s="98" t="s">
        <v>148</v>
      </c>
      <c r="I109" s="98" t="s">
        <v>148</v>
      </c>
      <c r="J109" s="98" t="s">
        <v>148</v>
      </c>
      <c r="K109" s="98" t="s">
        <v>148</v>
      </c>
      <c r="L109" s="99" t="s">
        <v>147</v>
      </c>
      <c r="M109" s="98" t="s">
        <v>148</v>
      </c>
      <c r="N109" s="98" t="s">
        <v>148</v>
      </c>
      <c r="O109" s="99" t="s">
        <v>147</v>
      </c>
      <c r="P109" s="104" t="s">
        <v>12</v>
      </c>
      <c r="Q109" s="98" t="s">
        <v>148</v>
      </c>
      <c r="R109" s="98" t="s">
        <v>148</v>
      </c>
      <c r="S109" s="270" t="s">
        <v>148</v>
      </c>
      <c r="T109" s="98" t="s">
        <v>148</v>
      </c>
      <c r="U109" s="99" t="s">
        <v>147</v>
      </c>
      <c r="V109" s="99" t="s">
        <v>147</v>
      </c>
      <c r="W109" s="102" t="s">
        <v>148</v>
      </c>
      <c r="X109" s="102" t="s">
        <v>148</v>
      </c>
      <c r="Y109" s="102" t="s">
        <v>148</v>
      </c>
      <c r="Z109" s="102" t="s">
        <v>148</v>
      </c>
      <c r="AA109" s="192" t="s">
        <v>187</v>
      </c>
      <c r="AB109" s="192" t="s">
        <v>187</v>
      </c>
      <c r="AC109" s="192" t="s">
        <v>187</v>
      </c>
      <c r="AD109" s="192" t="s">
        <v>187</v>
      </c>
      <c r="AE109" s="192" t="s">
        <v>187</v>
      </c>
      <c r="AF109" s="192" t="s">
        <v>187</v>
      </c>
      <c r="AG109" s="192" t="s">
        <v>187</v>
      </c>
      <c r="AH109" s="192" t="s">
        <v>187</v>
      </c>
      <c r="AI109" s="192" t="s">
        <v>187</v>
      </c>
      <c r="AJ109" s="192" t="s">
        <v>187</v>
      </c>
      <c r="AK109" s="146"/>
      <c r="AL109" s="146"/>
      <c r="AM109" s="146"/>
      <c r="AN109" s="146"/>
      <c r="AO109" s="146"/>
      <c r="AP109" s="146"/>
      <c r="AQ109" s="146"/>
      <c r="AR109" s="146"/>
      <c r="AS109" s="146"/>
      <c r="AT109" s="146"/>
      <c r="AU109" s="146"/>
      <c r="AV109" s="146"/>
      <c r="AW109" s="146"/>
      <c r="AX109" s="146"/>
      <c r="AY109" s="146"/>
    </row>
    <row r="110" spans="1:51">
      <c r="A110" s="164" t="s">
        <v>61</v>
      </c>
      <c r="B110" s="156" t="s">
        <v>265</v>
      </c>
      <c r="C110" s="170" t="s">
        <v>266</v>
      </c>
      <c r="D110" s="157" t="s">
        <v>22</v>
      </c>
      <c r="E110" s="158" t="s">
        <v>63</v>
      </c>
      <c r="F110" s="98" t="s">
        <v>148</v>
      </c>
      <c r="G110" s="98" t="s">
        <v>148</v>
      </c>
      <c r="H110" s="99" t="s">
        <v>147</v>
      </c>
      <c r="I110" s="98" t="s">
        <v>148</v>
      </c>
      <c r="J110" s="98" t="s">
        <v>148</v>
      </c>
      <c r="K110" s="98" t="s">
        <v>148</v>
      </c>
      <c r="L110" s="98" t="s">
        <v>148</v>
      </c>
      <c r="M110" s="98" t="s">
        <v>148</v>
      </c>
      <c r="N110" s="99" t="s">
        <v>147</v>
      </c>
      <c r="O110" s="99" t="s">
        <v>147</v>
      </c>
      <c r="P110" s="98" t="s">
        <v>148</v>
      </c>
      <c r="Q110" s="98" t="s">
        <v>148</v>
      </c>
      <c r="R110" s="98" t="s">
        <v>148</v>
      </c>
      <c r="S110" s="270" t="s">
        <v>148</v>
      </c>
      <c r="T110" s="98" t="s">
        <v>148</v>
      </c>
      <c r="U110" s="99" t="s">
        <v>147</v>
      </c>
      <c r="V110" s="99" t="s">
        <v>147</v>
      </c>
      <c r="W110" s="102" t="s">
        <v>148</v>
      </c>
      <c r="X110" s="102" t="s">
        <v>148</v>
      </c>
      <c r="Y110" s="102" t="s">
        <v>148</v>
      </c>
      <c r="Z110" s="102" t="s">
        <v>148</v>
      </c>
      <c r="AA110" s="192" t="s">
        <v>187</v>
      </c>
      <c r="AB110" s="192" t="s">
        <v>187</v>
      </c>
      <c r="AC110" s="192" t="s">
        <v>187</v>
      </c>
      <c r="AD110" s="192" t="s">
        <v>187</v>
      </c>
      <c r="AE110" s="192" t="s">
        <v>187</v>
      </c>
      <c r="AF110" s="192" t="s">
        <v>187</v>
      </c>
      <c r="AG110" s="192" t="s">
        <v>187</v>
      </c>
      <c r="AH110" s="192" t="s">
        <v>187</v>
      </c>
      <c r="AI110" s="192" t="s">
        <v>187</v>
      </c>
      <c r="AJ110" s="192" t="s">
        <v>187</v>
      </c>
      <c r="AK110" s="146"/>
      <c r="AL110" s="146"/>
      <c r="AM110" s="146"/>
      <c r="AN110" s="146"/>
      <c r="AO110" s="146"/>
      <c r="AP110" s="146"/>
      <c r="AQ110" s="146"/>
      <c r="AR110" s="146"/>
      <c r="AS110" s="146"/>
      <c r="AT110" s="146"/>
      <c r="AU110" s="146"/>
      <c r="AV110" s="146"/>
      <c r="AW110" s="146"/>
      <c r="AX110" s="146"/>
      <c r="AY110" s="146"/>
    </row>
    <row r="111" spans="1:51">
      <c r="A111" s="164" t="s">
        <v>337</v>
      </c>
      <c r="B111" s="156" t="s">
        <v>265</v>
      </c>
      <c r="C111" s="170" t="s">
        <v>266</v>
      </c>
      <c r="D111" s="157" t="s">
        <v>22</v>
      </c>
      <c r="E111" s="158" t="s">
        <v>33</v>
      </c>
      <c r="F111" s="98" t="s">
        <v>148</v>
      </c>
      <c r="G111" s="99" t="s">
        <v>147</v>
      </c>
      <c r="H111" s="99" t="s">
        <v>147</v>
      </c>
      <c r="I111" s="98" t="s">
        <v>174</v>
      </c>
      <c r="J111" s="98" t="s">
        <v>148</v>
      </c>
      <c r="K111" s="98" t="s">
        <v>148</v>
      </c>
      <c r="L111" s="98" t="s">
        <v>148</v>
      </c>
      <c r="M111" s="98" t="s">
        <v>148</v>
      </c>
      <c r="N111" s="99" t="s">
        <v>147</v>
      </c>
      <c r="O111" s="99" t="s">
        <v>147</v>
      </c>
      <c r="P111" s="98" t="s">
        <v>148</v>
      </c>
      <c r="Q111" s="98" t="s">
        <v>148</v>
      </c>
      <c r="R111" s="98" t="s">
        <v>148</v>
      </c>
      <c r="S111" s="270" t="s">
        <v>148</v>
      </c>
      <c r="T111" s="270" t="s">
        <v>148</v>
      </c>
      <c r="U111" s="99" t="s">
        <v>147</v>
      </c>
      <c r="V111" s="99" t="s">
        <v>147</v>
      </c>
      <c r="W111" s="98" t="s">
        <v>148</v>
      </c>
      <c r="X111" s="98" t="s">
        <v>148</v>
      </c>
      <c r="Y111" s="98" t="s">
        <v>148</v>
      </c>
      <c r="Z111" s="98" t="s">
        <v>148</v>
      </c>
      <c r="AA111" s="192" t="s">
        <v>187</v>
      </c>
      <c r="AB111" s="192" t="s">
        <v>187</v>
      </c>
      <c r="AC111" s="192" t="s">
        <v>187</v>
      </c>
      <c r="AD111" s="192" t="s">
        <v>187</v>
      </c>
      <c r="AE111" s="192" t="s">
        <v>187</v>
      </c>
      <c r="AF111" s="192" t="s">
        <v>187</v>
      </c>
      <c r="AG111" s="192" t="s">
        <v>187</v>
      </c>
      <c r="AH111" s="192" t="s">
        <v>187</v>
      </c>
      <c r="AI111" s="192" t="s">
        <v>187</v>
      </c>
      <c r="AJ111" s="192" t="s">
        <v>187</v>
      </c>
      <c r="AK111" s="146"/>
      <c r="AL111" s="146"/>
      <c r="AM111" s="146"/>
      <c r="AN111" s="146"/>
      <c r="AO111" s="146"/>
      <c r="AP111" s="146"/>
      <c r="AQ111" s="146"/>
      <c r="AR111" s="146"/>
      <c r="AS111" s="146"/>
      <c r="AT111" s="146"/>
      <c r="AU111" s="146"/>
      <c r="AV111" s="146"/>
      <c r="AW111" s="146"/>
      <c r="AX111" s="146"/>
      <c r="AY111" s="146"/>
    </row>
    <row r="112" spans="1:51">
      <c r="A112" s="164" t="s">
        <v>66</v>
      </c>
      <c r="B112" s="156" t="s">
        <v>265</v>
      </c>
      <c r="C112" s="170" t="s">
        <v>266</v>
      </c>
      <c r="D112" s="157" t="s">
        <v>22</v>
      </c>
      <c r="E112" s="158" t="s">
        <v>30</v>
      </c>
      <c r="F112" s="98" t="s">
        <v>148</v>
      </c>
      <c r="G112" s="98" t="s">
        <v>148</v>
      </c>
      <c r="H112" s="99" t="s">
        <v>147</v>
      </c>
      <c r="I112" s="98" t="s">
        <v>148</v>
      </c>
      <c r="J112" s="98" t="s">
        <v>148</v>
      </c>
      <c r="K112" s="98" t="s">
        <v>148</v>
      </c>
      <c r="L112" s="98" t="s">
        <v>148</v>
      </c>
      <c r="M112" s="98" t="s">
        <v>148</v>
      </c>
      <c r="N112" s="99" t="s">
        <v>147</v>
      </c>
      <c r="O112" s="99" t="s">
        <v>147</v>
      </c>
      <c r="P112" s="98" t="s">
        <v>148</v>
      </c>
      <c r="Q112" s="98" t="s">
        <v>148</v>
      </c>
      <c r="R112" s="98" t="s">
        <v>148</v>
      </c>
      <c r="S112" s="270" t="s">
        <v>148</v>
      </c>
      <c r="T112" s="98" t="s">
        <v>148</v>
      </c>
      <c r="U112" s="99" t="s">
        <v>147</v>
      </c>
      <c r="V112" s="99" t="s">
        <v>147</v>
      </c>
      <c r="W112" s="102" t="s">
        <v>148</v>
      </c>
      <c r="X112" s="98" t="s">
        <v>148</v>
      </c>
      <c r="Y112" s="98" t="s">
        <v>148</v>
      </c>
      <c r="Z112" s="98" t="s">
        <v>148</v>
      </c>
      <c r="AA112" s="192" t="s">
        <v>187</v>
      </c>
      <c r="AB112" s="192" t="s">
        <v>187</v>
      </c>
      <c r="AC112" s="192" t="s">
        <v>187</v>
      </c>
      <c r="AD112" s="192" t="s">
        <v>187</v>
      </c>
      <c r="AE112" s="192" t="s">
        <v>187</v>
      </c>
      <c r="AF112" s="192" t="s">
        <v>187</v>
      </c>
      <c r="AG112" s="192" t="s">
        <v>187</v>
      </c>
      <c r="AH112" s="192" t="s">
        <v>187</v>
      </c>
      <c r="AI112" s="192" t="s">
        <v>187</v>
      </c>
      <c r="AJ112" s="192" t="s">
        <v>187</v>
      </c>
      <c r="AK112" s="146"/>
      <c r="AL112" s="146"/>
      <c r="AM112" s="146"/>
      <c r="AN112" s="146"/>
      <c r="AO112" s="146"/>
      <c r="AP112" s="146"/>
      <c r="AQ112" s="146"/>
      <c r="AR112" s="146"/>
      <c r="AS112" s="146"/>
      <c r="AT112" s="146"/>
      <c r="AU112" s="146"/>
      <c r="AV112" s="146"/>
      <c r="AW112" s="146"/>
      <c r="AX112" s="146"/>
      <c r="AY112" s="146"/>
    </row>
    <row r="113" spans="1:51">
      <c r="A113" s="164" t="s">
        <v>34</v>
      </c>
      <c r="B113" s="156" t="s">
        <v>338</v>
      </c>
      <c r="C113" s="169" t="s">
        <v>336</v>
      </c>
      <c r="D113" s="157" t="s">
        <v>26</v>
      </c>
      <c r="E113" s="158" t="s">
        <v>40</v>
      </c>
      <c r="F113" s="99" t="s">
        <v>147</v>
      </c>
      <c r="G113" s="98" t="s">
        <v>148</v>
      </c>
      <c r="H113" s="98" t="s">
        <v>148</v>
      </c>
      <c r="I113" s="98" t="s">
        <v>148</v>
      </c>
      <c r="J113" s="98" t="s">
        <v>148</v>
      </c>
      <c r="K113" s="98" t="s">
        <v>148</v>
      </c>
      <c r="L113" s="99" t="s">
        <v>147</v>
      </c>
      <c r="M113" s="99" t="s">
        <v>147</v>
      </c>
      <c r="N113" s="98" t="s">
        <v>148</v>
      </c>
      <c r="O113" s="98" t="s">
        <v>148</v>
      </c>
      <c r="P113" s="98" t="s">
        <v>148</v>
      </c>
      <c r="Q113" s="98" t="s">
        <v>148</v>
      </c>
      <c r="R113" s="98" t="s">
        <v>148</v>
      </c>
      <c r="S113" s="271" t="s">
        <v>147</v>
      </c>
      <c r="T113" s="271" t="s">
        <v>147</v>
      </c>
      <c r="U113" s="102" t="s">
        <v>148</v>
      </c>
      <c r="V113" s="102" t="s">
        <v>148</v>
      </c>
      <c r="W113" s="102" t="s">
        <v>148</v>
      </c>
      <c r="X113" s="102" t="s">
        <v>148</v>
      </c>
      <c r="Y113" s="102" t="s">
        <v>148</v>
      </c>
      <c r="Z113" s="192" t="s">
        <v>187</v>
      </c>
      <c r="AA113" s="192" t="s">
        <v>187</v>
      </c>
      <c r="AB113" s="192" t="s">
        <v>187</v>
      </c>
      <c r="AC113" s="192" t="s">
        <v>187</v>
      </c>
      <c r="AD113" s="192" t="s">
        <v>187</v>
      </c>
      <c r="AE113" s="192" t="s">
        <v>187</v>
      </c>
      <c r="AF113" s="192" t="s">
        <v>187</v>
      </c>
      <c r="AG113" s="192" t="s">
        <v>187</v>
      </c>
      <c r="AH113" s="192" t="s">
        <v>187</v>
      </c>
      <c r="AI113" s="192" t="s">
        <v>187</v>
      </c>
      <c r="AJ113" s="192" t="s">
        <v>187</v>
      </c>
      <c r="AK113" s="146"/>
      <c r="AL113" s="146"/>
      <c r="AM113" s="146"/>
      <c r="AN113" s="146"/>
      <c r="AO113" s="146"/>
      <c r="AP113" s="146"/>
      <c r="AQ113" s="146"/>
      <c r="AR113" s="146"/>
      <c r="AS113" s="146"/>
      <c r="AT113" s="146"/>
      <c r="AU113" s="146"/>
      <c r="AV113" s="146"/>
      <c r="AW113" s="146"/>
      <c r="AX113" s="146"/>
      <c r="AY113" s="146"/>
    </row>
    <row r="114" spans="1:51">
      <c r="A114" s="164" t="s">
        <v>27</v>
      </c>
      <c r="B114" s="156" t="s">
        <v>265</v>
      </c>
      <c r="C114" s="173" t="s">
        <v>266</v>
      </c>
      <c r="D114" s="157" t="s">
        <v>26</v>
      </c>
      <c r="E114" s="157" t="s">
        <v>40</v>
      </c>
      <c r="F114" s="104" t="s">
        <v>12</v>
      </c>
      <c r="G114" s="99" t="s">
        <v>147</v>
      </c>
      <c r="H114" s="99" t="s">
        <v>147</v>
      </c>
      <c r="I114" s="98" t="s">
        <v>148</v>
      </c>
      <c r="J114" s="98" t="s">
        <v>148</v>
      </c>
      <c r="K114" s="98" t="s">
        <v>148</v>
      </c>
      <c r="L114" s="98" t="s">
        <v>148</v>
      </c>
      <c r="M114" s="98" t="s">
        <v>148</v>
      </c>
      <c r="N114" s="99" t="s">
        <v>147</v>
      </c>
      <c r="O114" s="99" t="s">
        <v>147</v>
      </c>
      <c r="P114" s="98" t="s">
        <v>148</v>
      </c>
      <c r="Q114" s="98" t="s">
        <v>148</v>
      </c>
      <c r="R114" s="98" t="s">
        <v>148</v>
      </c>
      <c r="S114" s="268" t="s">
        <v>269</v>
      </c>
      <c r="T114" s="98" t="s">
        <v>148</v>
      </c>
      <c r="U114" s="99" t="s">
        <v>147</v>
      </c>
      <c r="V114" s="99" t="s">
        <v>147</v>
      </c>
      <c r="W114" s="102" t="s">
        <v>148</v>
      </c>
      <c r="X114" s="102" t="s">
        <v>148</v>
      </c>
      <c r="Y114" s="104" t="s">
        <v>12</v>
      </c>
      <c r="Z114" s="104" t="s">
        <v>12</v>
      </c>
      <c r="AA114" s="192" t="s">
        <v>187</v>
      </c>
      <c r="AB114" s="192" t="s">
        <v>187</v>
      </c>
      <c r="AC114" s="192" t="s">
        <v>187</v>
      </c>
      <c r="AD114" s="192" t="s">
        <v>187</v>
      </c>
      <c r="AE114" s="192" t="s">
        <v>187</v>
      </c>
      <c r="AF114" s="192" t="s">
        <v>187</v>
      </c>
      <c r="AG114" s="192" t="s">
        <v>187</v>
      </c>
      <c r="AH114" s="192" t="s">
        <v>187</v>
      </c>
      <c r="AI114" s="192" t="s">
        <v>187</v>
      </c>
      <c r="AJ114" s="192" t="s">
        <v>187</v>
      </c>
      <c r="AK114" s="146"/>
      <c r="AL114" s="146"/>
      <c r="AM114" s="146"/>
      <c r="AN114" s="146"/>
      <c r="AO114" s="146"/>
      <c r="AP114" s="146"/>
      <c r="AQ114" s="146"/>
      <c r="AR114" s="146"/>
      <c r="AS114" s="146"/>
      <c r="AT114" s="146"/>
      <c r="AU114" s="146"/>
      <c r="AV114" s="146"/>
      <c r="AW114" s="146"/>
      <c r="AX114" s="146"/>
      <c r="AY114" s="146"/>
    </row>
    <row r="115" spans="1:51">
      <c r="A115" s="146"/>
      <c r="B115" s="146"/>
      <c r="C115" s="146"/>
      <c r="D115" s="146"/>
      <c r="E115" s="146"/>
      <c r="F115" s="106" t="s">
        <v>187</v>
      </c>
      <c r="G115" s="102" t="s">
        <v>187</v>
      </c>
      <c r="H115" s="102" t="s">
        <v>187</v>
      </c>
      <c r="I115" s="102" t="s">
        <v>187</v>
      </c>
      <c r="J115" s="102" t="s">
        <v>187</v>
      </c>
      <c r="K115" s="102" t="s">
        <v>187</v>
      </c>
      <c r="L115" s="102" t="s">
        <v>187</v>
      </c>
      <c r="M115" s="102" t="s">
        <v>187</v>
      </c>
      <c r="N115" s="102" t="s">
        <v>187</v>
      </c>
      <c r="O115" s="102" t="s">
        <v>187</v>
      </c>
      <c r="P115" s="102" t="s">
        <v>187</v>
      </c>
      <c r="Q115" s="192" t="s">
        <v>187</v>
      </c>
      <c r="R115" s="192" t="s">
        <v>187</v>
      </c>
      <c r="S115" s="268" t="s">
        <v>187</v>
      </c>
      <c r="T115" s="192" t="s">
        <v>187</v>
      </c>
      <c r="U115" s="192" t="s">
        <v>187</v>
      </c>
      <c r="V115" s="192" t="s">
        <v>187</v>
      </c>
      <c r="W115" s="192" t="s">
        <v>187</v>
      </c>
      <c r="X115" s="192" t="s">
        <v>187</v>
      </c>
      <c r="Y115" s="192" t="s">
        <v>187</v>
      </c>
      <c r="Z115" s="192" t="s">
        <v>187</v>
      </c>
      <c r="AA115" s="192" t="s">
        <v>187</v>
      </c>
      <c r="AB115" s="192" t="s">
        <v>187</v>
      </c>
      <c r="AC115" s="192" t="s">
        <v>187</v>
      </c>
      <c r="AD115" s="192" t="s">
        <v>187</v>
      </c>
      <c r="AE115" s="192" t="s">
        <v>187</v>
      </c>
      <c r="AF115" s="192" t="s">
        <v>187</v>
      </c>
      <c r="AG115" s="192" t="s">
        <v>187</v>
      </c>
      <c r="AH115" s="192" t="s">
        <v>187</v>
      </c>
      <c r="AI115" s="192" t="s">
        <v>187</v>
      </c>
      <c r="AJ115" s="192" t="s">
        <v>187</v>
      </c>
      <c r="AK115" s="146"/>
      <c r="AL115" s="146"/>
      <c r="AM115" s="146"/>
      <c r="AN115" s="146"/>
      <c r="AO115" s="146"/>
      <c r="AP115" s="146"/>
      <c r="AQ115" s="146"/>
      <c r="AR115" s="146"/>
      <c r="AS115" s="146"/>
      <c r="AT115" s="146"/>
      <c r="AU115" s="146"/>
      <c r="AV115" s="146"/>
      <c r="AW115" s="146"/>
      <c r="AX115" s="146"/>
      <c r="AY115" s="146"/>
    </row>
    <row r="116" spans="1:51">
      <c r="A116" s="172"/>
      <c r="B116" s="172"/>
      <c r="C116" s="172"/>
      <c r="D116" s="172"/>
      <c r="E116" s="172"/>
      <c r="F116" s="193"/>
      <c r="G116" s="193"/>
      <c r="H116" s="193"/>
      <c r="I116" s="193"/>
      <c r="J116" s="193"/>
      <c r="K116" s="193"/>
      <c r="L116" s="193"/>
      <c r="M116" s="193"/>
      <c r="N116" s="193"/>
      <c r="O116" s="193"/>
      <c r="P116" s="193"/>
      <c r="Q116" s="193"/>
      <c r="R116" s="193"/>
      <c r="S116" s="267"/>
      <c r="T116" s="193"/>
      <c r="U116" s="193"/>
      <c r="V116" s="193"/>
      <c r="W116" s="193"/>
      <c r="X116" s="193"/>
      <c r="Y116" s="193"/>
      <c r="Z116" s="193"/>
      <c r="AA116" s="193"/>
      <c r="AB116" s="193"/>
      <c r="AC116" s="193"/>
      <c r="AD116" s="193"/>
      <c r="AE116" s="193"/>
      <c r="AF116" s="193"/>
      <c r="AG116" s="193"/>
      <c r="AH116" s="193"/>
      <c r="AI116" s="193"/>
      <c r="AJ116" s="193"/>
      <c r="AK116" s="146"/>
      <c r="AL116" s="146"/>
      <c r="AM116" s="146"/>
      <c r="AN116" s="146"/>
      <c r="AO116" s="146"/>
      <c r="AP116" s="146"/>
      <c r="AQ116" s="146"/>
      <c r="AR116" s="146"/>
      <c r="AS116" s="146"/>
      <c r="AT116" s="146"/>
      <c r="AU116" s="146"/>
      <c r="AV116" s="146"/>
      <c r="AW116" s="146"/>
      <c r="AX116" s="146"/>
      <c r="AY116" s="146"/>
    </row>
    <row r="117" spans="1:51">
      <c r="A117" s="172"/>
      <c r="B117" s="172"/>
      <c r="C117" s="172"/>
      <c r="D117" s="172"/>
      <c r="E117" s="172"/>
      <c r="F117" s="193"/>
      <c r="G117" s="193"/>
      <c r="H117" s="193"/>
      <c r="I117" s="193"/>
      <c r="J117" s="193"/>
      <c r="K117" s="193"/>
      <c r="L117" s="193"/>
      <c r="M117" s="193"/>
      <c r="N117" s="193"/>
      <c r="O117" s="193"/>
      <c r="P117" s="193"/>
      <c r="Q117" s="193"/>
      <c r="R117" s="193"/>
      <c r="S117" s="267"/>
      <c r="T117" s="193"/>
      <c r="U117" s="193"/>
      <c r="V117" s="193"/>
      <c r="W117" s="193"/>
      <c r="X117" s="193"/>
      <c r="Y117" s="193"/>
      <c r="Z117" s="193"/>
      <c r="AA117" s="193"/>
      <c r="AB117" s="193"/>
      <c r="AC117" s="193"/>
      <c r="AD117" s="193"/>
      <c r="AE117" s="193"/>
      <c r="AF117" s="193"/>
      <c r="AG117" s="193"/>
      <c r="AH117" s="193"/>
      <c r="AI117" s="193"/>
      <c r="AJ117" s="193"/>
      <c r="AK117" s="146"/>
      <c r="AL117" s="146"/>
      <c r="AM117" s="146"/>
      <c r="AN117" s="146"/>
      <c r="AO117" s="146"/>
      <c r="AP117" s="146"/>
      <c r="AQ117" s="146"/>
      <c r="AR117" s="146"/>
      <c r="AS117" s="146"/>
      <c r="AT117" s="146"/>
      <c r="AU117" s="146"/>
      <c r="AV117" s="146"/>
      <c r="AW117" s="146"/>
      <c r="AX117" s="146"/>
      <c r="AY117" s="146"/>
    </row>
    <row r="118" spans="1:51" ht="15.75">
      <c r="A118" s="175" t="s">
        <v>191</v>
      </c>
      <c r="B118" s="146"/>
      <c r="C118" s="146"/>
      <c r="D118" s="146"/>
      <c r="E118" s="175" t="s">
        <v>191</v>
      </c>
      <c r="F118" s="56">
        <f>SUM(F3:F114)</f>
        <v>2152</v>
      </c>
      <c r="G118" s="56">
        <f t="shared" ref="G118:AC118" si="0">SUM(G3:G114)</f>
        <v>78</v>
      </c>
      <c r="H118" s="56">
        <f t="shared" si="0"/>
        <v>42</v>
      </c>
      <c r="I118" s="56">
        <f t="shared" si="0"/>
        <v>1777</v>
      </c>
      <c r="J118" s="56">
        <f t="shared" si="0"/>
        <v>3091</v>
      </c>
      <c r="K118" s="56">
        <f t="shared" si="0"/>
        <v>2763</v>
      </c>
      <c r="L118" s="56">
        <f t="shared" si="0"/>
        <v>2339</v>
      </c>
      <c r="M118" s="56">
        <f t="shared" si="0"/>
        <v>3348</v>
      </c>
      <c r="N118" s="56">
        <f t="shared" si="0"/>
        <v>98</v>
      </c>
      <c r="O118" s="56">
        <f>SUM(O3:O114)</f>
        <v>0</v>
      </c>
      <c r="P118" s="56">
        <f>SUM(P3:P114)</f>
        <v>4115</v>
      </c>
      <c r="Q118" s="56">
        <f>SUM(Q3:Q114)</f>
        <v>1878</v>
      </c>
      <c r="R118" s="56">
        <f>SUM(R3:R114)</f>
        <v>992</v>
      </c>
      <c r="S118" s="56">
        <f>SUM(S3:S114)</f>
        <v>2329</v>
      </c>
      <c r="T118" s="56">
        <f>SUM(T3:T114)</f>
        <v>2765</v>
      </c>
      <c r="U118" s="56">
        <f>SUM(U3:U114)</f>
        <v>0</v>
      </c>
      <c r="V118" s="56">
        <f t="shared" si="0"/>
        <v>925</v>
      </c>
      <c r="W118" s="56">
        <f t="shared" si="0"/>
        <v>3186</v>
      </c>
      <c r="X118" s="56">
        <f t="shared" si="0"/>
        <v>2340</v>
      </c>
      <c r="Y118" s="56">
        <f t="shared" si="0"/>
        <v>1660</v>
      </c>
      <c r="Z118" s="56">
        <f t="shared" si="0"/>
        <v>1443</v>
      </c>
      <c r="AA118" s="56">
        <f t="shared" si="0"/>
        <v>0</v>
      </c>
      <c r="AB118" s="56">
        <f t="shared" si="0"/>
        <v>0</v>
      </c>
      <c r="AC118" s="56">
        <f t="shared" si="0"/>
        <v>0</v>
      </c>
      <c r="AD118" s="56">
        <f t="shared" ref="G118:AD118" si="1">SUM(AD3:AD114)</f>
        <v>0</v>
      </c>
      <c r="AE118" s="56">
        <f t="shared" ref="AE118:AJ118" si="2">SUM(AE3:AE114)</f>
        <v>0</v>
      </c>
      <c r="AF118" s="56">
        <f t="shared" si="2"/>
        <v>0</v>
      </c>
      <c r="AG118" s="56">
        <f t="shared" si="2"/>
        <v>0</v>
      </c>
      <c r="AH118" s="56">
        <f t="shared" si="2"/>
        <v>0</v>
      </c>
      <c r="AI118" s="56">
        <f t="shared" si="2"/>
        <v>0</v>
      </c>
      <c r="AJ118" s="56">
        <f t="shared" si="2"/>
        <v>0</v>
      </c>
      <c r="AK118" s="146"/>
      <c r="AL118" s="146"/>
      <c r="AM118" s="146"/>
      <c r="AN118" s="146"/>
      <c r="AO118" s="146"/>
      <c r="AP118" s="146"/>
      <c r="AQ118" s="146"/>
      <c r="AR118" s="146"/>
      <c r="AS118" s="146"/>
      <c r="AT118" s="146"/>
      <c r="AU118" s="146"/>
      <c r="AV118" s="146"/>
      <c r="AW118" s="146"/>
      <c r="AX118" s="146"/>
      <c r="AY118" s="146"/>
    </row>
    <row r="119" spans="1:51" ht="15.75">
      <c r="A119" s="177" t="s">
        <v>4</v>
      </c>
      <c r="B119" s="178" t="s">
        <v>187</v>
      </c>
      <c r="C119" s="178" t="s">
        <v>187</v>
      </c>
      <c r="D119" s="146"/>
      <c r="E119" s="177" t="s">
        <v>4</v>
      </c>
      <c r="F119" s="57">
        <f>F118-F120</f>
        <v>352</v>
      </c>
      <c r="G119" s="57">
        <f t="shared" ref="G119:AB119" si="3">G118-G120</f>
        <v>78</v>
      </c>
      <c r="H119" s="57">
        <f t="shared" si="3"/>
        <v>42</v>
      </c>
      <c r="I119" s="57">
        <f t="shared" si="3"/>
        <v>427</v>
      </c>
      <c r="J119" s="57">
        <f t="shared" si="3"/>
        <v>391</v>
      </c>
      <c r="K119" s="57">
        <f t="shared" si="3"/>
        <v>63</v>
      </c>
      <c r="L119" s="57">
        <f t="shared" si="3"/>
        <v>89</v>
      </c>
      <c r="M119" s="57">
        <f t="shared" si="3"/>
        <v>198</v>
      </c>
      <c r="N119" s="57">
        <f t="shared" si="3"/>
        <v>98</v>
      </c>
      <c r="O119" s="57">
        <f>O118-O120</f>
        <v>0</v>
      </c>
      <c r="P119" s="57">
        <f>P118-P120</f>
        <v>65</v>
      </c>
      <c r="Q119" s="57">
        <f>Q118-Q120</f>
        <v>78</v>
      </c>
      <c r="R119" s="57">
        <f>R118-R120</f>
        <v>92</v>
      </c>
      <c r="S119" s="57">
        <f>S118-S120</f>
        <v>79</v>
      </c>
      <c r="T119" s="57">
        <f>T118-T120</f>
        <v>515</v>
      </c>
      <c r="U119" s="57">
        <f>U118-U120</f>
        <v>0</v>
      </c>
      <c r="V119" s="57">
        <f t="shared" si="3"/>
        <v>25</v>
      </c>
      <c r="W119" s="57">
        <f t="shared" si="3"/>
        <v>36</v>
      </c>
      <c r="X119" s="57">
        <f t="shared" si="3"/>
        <v>90</v>
      </c>
      <c r="Y119" s="57">
        <f t="shared" si="3"/>
        <v>310</v>
      </c>
      <c r="Z119" s="57">
        <f t="shared" si="3"/>
        <v>93</v>
      </c>
      <c r="AA119" s="57">
        <f t="shared" si="3"/>
        <v>0</v>
      </c>
      <c r="AB119" s="57">
        <f t="shared" si="3"/>
        <v>0</v>
      </c>
      <c r="AC119" s="57">
        <f t="shared" ref="H119:AC119" si="4">AC118-AC120</f>
        <v>0</v>
      </c>
      <c r="AD119" s="57">
        <f t="shared" ref="AD119:AJ119" si="5">AD118-AD120</f>
        <v>0</v>
      </c>
      <c r="AE119" s="57">
        <f t="shared" si="5"/>
        <v>0</v>
      </c>
      <c r="AF119" s="57">
        <f t="shared" si="5"/>
        <v>0</v>
      </c>
      <c r="AG119" s="57">
        <f t="shared" si="5"/>
        <v>0</v>
      </c>
      <c r="AH119" s="57">
        <f t="shared" si="5"/>
        <v>0</v>
      </c>
      <c r="AI119" s="57">
        <f t="shared" si="5"/>
        <v>0</v>
      </c>
      <c r="AJ119" s="57">
        <f t="shared" si="5"/>
        <v>0</v>
      </c>
      <c r="AK119" s="146"/>
      <c r="AL119" s="146"/>
      <c r="AM119" s="146"/>
      <c r="AN119" s="146"/>
      <c r="AO119" s="146"/>
      <c r="AP119" s="146"/>
      <c r="AQ119" s="146"/>
      <c r="AR119" s="146"/>
      <c r="AS119" s="146"/>
      <c r="AT119" s="146"/>
      <c r="AU119" s="146"/>
      <c r="AV119" s="146"/>
      <c r="AW119" s="146"/>
      <c r="AX119" s="146"/>
      <c r="AY119" s="146"/>
    </row>
    <row r="120" spans="1:51" ht="15.75">
      <c r="A120" s="180" t="s">
        <v>11</v>
      </c>
      <c r="B120" s="181" t="s">
        <v>187</v>
      </c>
      <c r="C120" s="181" t="s">
        <v>187</v>
      </c>
      <c r="D120" s="146"/>
      <c r="E120" s="180" t="s">
        <v>11</v>
      </c>
      <c r="F120" s="57">
        <f>SUMIF(F3:F114,"450")</f>
        <v>1800</v>
      </c>
      <c r="G120" s="57">
        <f>SUMIF(G3:G114,"450")</f>
        <v>0</v>
      </c>
      <c r="H120" s="57">
        <f t="shared" ref="H120:AD120" si="6">SUMIF(H3:H114,"450")</f>
        <v>0</v>
      </c>
      <c r="I120" s="57">
        <f t="shared" si="6"/>
        <v>1350</v>
      </c>
      <c r="J120" s="57">
        <f t="shared" si="6"/>
        <v>2700</v>
      </c>
      <c r="K120" s="57">
        <f t="shared" si="6"/>
        <v>2700</v>
      </c>
      <c r="L120" s="57">
        <f t="shared" si="6"/>
        <v>2250</v>
      </c>
      <c r="M120" s="57">
        <f t="shared" si="6"/>
        <v>3150</v>
      </c>
      <c r="N120" s="57">
        <f t="shared" si="6"/>
        <v>0</v>
      </c>
      <c r="O120" s="57">
        <f>SUMIF(O3:O114,"450")</f>
        <v>0</v>
      </c>
      <c r="P120" s="57">
        <f>SUMIF(P3:P114,"450")</f>
        <v>4050</v>
      </c>
      <c r="Q120" s="57">
        <f>SUMIF(Q3:Q114,"450")</f>
        <v>1800</v>
      </c>
      <c r="R120" s="57">
        <f>SUMIF(R3:R114,"450")</f>
        <v>900</v>
      </c>
      <c r="S120" s="57">
        <f>SUMIF(S3:S114,"450")</f>
        <v>2250</v>
      </c>
      <c r="T120" s="57">
        <f>SUMIF(T3:T114,"450")</f>
        <v>2250</v>
      </c>
      <c r="U120" s="57">
        <f>SUMIF(U3:U114,"450")</f>
        <v>0</v>
      </c>
      <c r="V120" s="57">
        <f t="shared" si="6"/>
        <v>900</v>
      </c>
      <c r="W120" s="57">
        <f t="shared" si="6"/>
        <v>3150</v>
      </c>
      <c r="X120" s="57">
        <f t="shared" si="6"/>
        <v>2250</v>
      </c>
      <c r="Y120" s="57">
        <f t="shared" si="6"/>
        <v>1350</v>
      </c>
      <c r="Z120" s="57">
        <f t="shared" si="6"/>
        <v>1350</v>
      </c>
      <c r="AA120" s="57">
        <f t="shared" si="6"/>
        <v>0</v>
      </c>
      <c r="AB120" s="57">
        <f t="shared" si="6"/>
        <v>0</v>
      </c>
      <c r="AC120" s="57">
        <f t="shared" si="6"/>
        <v>0</v>
      </c>
      <c r="AD120" s="57">
        <f t="shared" si="6"/>
        <v>0</v>
      </c>
      <c r="AE120" s="57">
        <f t="shared" ref="AE120:AJ120" si="7">SUMIF(AE3:AE114,"450")</f>
        <v>0</v>
      </c>
      <c r="AF120" s="57">
        <f t="shared" si="7"/>
        <v>0</v>
      </c>
      <c r="AG120" s="57">
        <f t="shared" si="7"/>
        <v>0</v>
      </c>
      <c r="AH120" s="57">
        <f t="shared" si="7"/>
        <v>0</v>
      </c>
      <c r="AI120" s="57">
        <f t="shared" si="7"/>
        <v>0</v>
      </c>
      <c r="AJ120" s="57">
        <f t="shared" si="7"/>
        <v>0</v>
      </c>
      <c r="AK120" s="146"/>
      <c r="AL120" s="146"/>
      <c r="AM120" s="146"/>
      <c r="AN120" s="146"/>
      <c r="AO120" s="146"/>
      <c r="AP120" s="146"/>
      <c r="AQ120" s="146"/>
      <c r="AR120" s="146"/>
      <c r="AS120" s="146"/>
      <c r="AT120" s="146"/>
      <c r="AU120" s="146"/>
      <c r="AV120" s="146"/>
      <c r="AW120" s="146"/>
      <c r="AX120" s="146"/>
      <c r="AY120" s="146"/>
    </row>
    <row r="121" spans="1:51" ht="15.75">
      <c r="A121" s="182" t="s">
        <v>192</v>
      </c>
      <c r="B121" s="146"/>
      <c r="C121" s="146"/>
      <c r="D121" s="146"/>
      <c r="E121" s="182" t="s">
        <v>192</v>
      </c>
      <c r="F121" s="57">
        <f>F119+F120</f>
        <v>2152</v>
      </c>
      <c r="G121" s="57">
        <f t="shared" ref="G121:AJ121" si="8">G119+G120</f>
        <v>78</v>
      </c>
      <c r="H121" s="57">
        <f t="shared" si="8"/>
        <v>42</v>
      </c>
      <c r="I121" s="57">
        <f t="shared" si="8"/>
        <v>1777</v>
      </c>
      <c r="J121" s="57">
        <f t="shared" si="8"/>
        <v>3091</v>
      </c>
      <c r="K121" s="57">
        <f t="shared" si="8"/>
        <v>2763</v>
      </c>
      <c r="L121" s="57">
        <f t="shared" si="8"/>
        <v>2339</v>
      </c>
      <c r="M121" s="57">
        <f t="shared" si="8"/>
        <v>3348</v>
      </c>
      <c r="N121" s="57">
        <f>N119+N120</f>
        <v>98</v>
      </c>
      <c r="O121" s="57">
        <f>O119+O120</f>
        <v>0</v>
      </c>
      <c r="P121" s="57">
        <f>P119+P120</f>
        <v>4115</v>
      </c>
      <c r="Q121" s="57">
        <f>Q119+Q120</f>
        <v>1878</v>
      </c>
      <c r="R121" s="57">
        <f>R119+R120</f>
        <v>992</v>
      </c>
      <c r="S121" s="57">
        <f>S119+S120</f>
        <v>2329</v>
      </c>
      <c r="T121" s="57">
        <f>T119+T120</f>
        <v>2765</v>
      </c>
      <c r="U121" s="57">
        <f>U119+U120</f>
        <v>0</v>
      </c>
      <c r="V121" s="57">
        <f t="shared" si="8"/>
        <v>925</v>
      </c>
      <c r="W121" s="57">
        <f t="shared" si="8"/>
        <v>3186</v>
      </c>
      <c r="X121" s="57">
        <f t="shared" si="8"/>
        <v>2340</v>
      </c>
      <c r="Y121" s="57">
        <f t="shared" si="8"/>
        <v>1660</v>
      </c>
      <c r="Z121" s="57">
        <f t="shared" si="8"/>
        <v>1443</v>
      </c>
      <c r="AA121" s="57">
        <f t="shared" si="8"/>
        <v>0</v>
      </c>
      <c r="AB121" s="57">
        <f t="shared" si="8"/>
        <v>0</v>
      </c>
      <c r="AC121" s="57">
        <f t="shared" si="8"/>
        <v>0</v>
      </c>
      <c r="AD121" s="57">
        <f t="shared" si="8"/>
        <v>0</v>
      </c>
      <c r="AE121" s="57">
        <f t="shared" si="8"/>
        <v>0</v>
      </c>
      <c r="AF121" s="57">
        <f t="shared" si="8"/>
        <v>0</v>
      </c>
      <c r="AG121" s="57">
        <f t="shared" si="8"/>
        <v>0</v>
      </c>
      <c r="AH121" s="57">
        <f t="shared" si="8"/>
        <v>0</v>
      </c>
      <c r="AI121" s="57">
        <f t="shared" si="8"/>
        <v>0</v>
      </c>
      <c r="AJ121" s="57">
        <f t="shared" si="8"/>
        <v>0</v>
      </c>
      <c r="AK121" s="146"/>
      <c r="AL121" s="146"/>
      <c r="AM121" s="146"/>
      <c r="AN121" s="146"/>
      <c r="AO121" s="146"/>
      <c r="AP121" s="146"/>
      <c r="AQ121" s="146"/>
      <c r="AR121" s="146"/>
      <c r="AS121" s="146"/>
      <c r="AT121" s="146"/>
      <c r="AU121" s="146"/>
      <c r="AV121" s="146"/>
      <c r="AW121" s="146"/>
      <c r="AX121" s="146"/>
      <c r="AY121" s="146"/>
    </row>
    <row r="122" spans="1:51" ht="15.75">
      <c r="A122" s="182" t="s">
        <v>193</v>
      </c>
      <c r="B122" s="146"/>
      <c r="C122" s="146"/>
      <c r="D122" s="146"/>
      <c r="E122" s="182" t="s">
        <v>193</v>
      </c>
      <c r="F122" s="57">
        <f>COUNTA(F3:F114)</f>
        <v>112</v>
      </c>
      <c r="G122" s="57">
        <f t="shared" ref="G122:AE122" si="9">COUNTA(G3:G114)</f>
        <v>112</v>
      </c>
      <c r="H122" s="57">
        <f t="shared" si="9"/>
        <v>112</v>
      </c>
      <c r="I122" s="57">
        <f t="shared" si="9"/>
        <v>112</v>
      </c>
      <c r="J122" s="57">
        <f t="shared" si="9"/>
        <v>112</v>
      </c>
      <c r="K122" s="57">
        <f t="shared" si="9"/>
        <v>112</v>
      </c>
      <c r="L122" s="57">
        <f t="shared" si="9"/>
        <v>112</v>
      </c>
      <c r="M122" s="57">
        <f t="shared" si="9"/>
        <v>112</v>
      </c>
      <c r="N122" s="57">
        <f t="shared" si="9"/>
        <v>112</v>
      </c>
      <c r="O122" s="57">
        <f>COUNTA(O3:O114)</f>
        <v>112</v>
      </c>
      <c r="P122" s="57">
        <f>COUNTA(P3:P114)</f>
        <v>112</v>
      </c>
      <c r="Q122" s="57">
        <f>COUNTA(Q3:Q114)</f>
        <v>112</v>
      </c>
      <c r="R122" s="57">
        <f>COUNTA(R3:R114)</f>
        <v>112</v>
      </c>
      <c r="S122" s="57">
        <f>COUNTA(S3:S114)</f>
        <v>112</v>
      </c>
      <c r="T122" s="57">
        <f>COUNTA(T3:T114)</f>
        <v>112</v>
      </c>
      <c r="U122" s="57">
        <f>COUNTA(U3:U114)</f>
        <v>112</v>
      </c>
      <c r="V122" s="57">
        <f t="shared" si="9"/>
        <v>112</v>
      </c>
      <c r="W122" s="57">
        <f t="shared" si="9"/>
        <v>112</v>
      </c>
      <c r="X122" s="57">
        <f t="shared" si="9"/>
        <v>112</v>
      </c>
      <c r="Y122" s="57">
        <f t="shared" si="9"/>
        <v>112</v>
      </c>
      <c r="Z122" s="57">
        <f t="shared" si="9"/>
        <v>112</v>
      </c>
      <c r="AA122" s="57">
        <f t="shared" si="9"/>
        <v>110</v>
      </c>
      <c r="AB122" s="57">
        <f t="shared" si="9"/>
        <v>112</v>
      </c>
      <c r="AC122" s="57">
        <f t="shared" si="9"/>
        <v>112</v>
      </c>
      <c r="AD122" s="57">
        <f t="shared" si="9"/>
        <v>111</v>
      </c>
      <c r="AE122" s="57">
        <f t="shared" si="9"/>
        <v>111</v>
      </c>
      <c r="AF122" s="57">
        <f t="shared" ref="AF122:AJ122" si="10">COUNTA(AF3:AF114)</f>
        <v>111</v>
      </c>
      <c r="AG122" s="57">
        <f t="shared" si="10"/>
        <v>111</v>
      </c>
      <c r="AH122" s="57">
        <f t="shared" si="10"/>
        <v>111</v>
      </c>
      <c r="AI122" s="57">
        <f t="shared" si="10"/>
        <v>111</v>
      </c>
      <c r="AJ122" s="57">
        <f t="shared" si="10"/>
        <v>111</v>
      </c>
      <c r="AK122" s="146"/>
      <c r="AL122" s="146"/>
      <c r="AM122" s="146"/>
      <c r="AN122" s="146"/>
      <c r="AO122" s="146"/>
      <c r="AP122" s="146"/>
      <c r="AQ122" s="146"/>
      <c r="AR122" s="146"/>
      <c r="AS122" s="146"/>
      <c r="AT122" s="146"/>
      <c r="AU122" s="146"/>
      <c r="AV122" s="146"/>
      <c r="AW122" s="146"/>
      <c r="AX122" s="146"/>
      <c r="AY122" s="146"/>
    </row>
    <row r="123" spans="1:51" ht="15.75">
      <c r="A123" s="182" t="s">
        <v>194</v>
      </c>
      <c r="B123" s="146"/>
      <c r="C123" s="146"/>
      <c r="D123" s="146"/>
      <c r="E123" s="182" t="s">
        <v>194</v>
      </c>
      <c r="F123" s="57">
        <f>F122-F128-F129-F130-F131</f>
        <v>99</v>
      </c>
      <c r="G123" s="57">
        <f t="shared" ref="G123:AD123" si="11">G122-G128-G129-G130-G131</f>
        <v>37</v>
      </c>
      <c r="H123" s="57">
        <f t="shared" si="11"/>
        <v>32</v>
      </c>
      <c r="I123" s="57">
        <f t="shared" si="11"/>
        <v>95</v>
      </c>
      <c r="J123" s="57">
        <f t="shared" si="11"/>
        <v>92</v>
      </c>
      <c r="K123" s="57">
        <f t="shared" si="11"/>
        <v>92</v>
      </c>
      <c r="L123" s="57">
        <f t="shared" si="11"/>
        <v>95</v>
      </c>
      <c r="M123" s="57">
        <f t="shared" si="11"/>
        <v>94</v>
      </c>
      <c r="N123" s="57">
        <f t="shared" si="11"/>
        <v>28</v>
      </c>
      <c r="O123" s="57">
        <f>O122-O128-O129-O130-O131</f>
        <v>17</v>
      </c>
      <c r="P123" s="57">
        <f>P122-P128-P129-P130-P131</f>
        <v>95</v>
      </c>
      <c r="Q123" s="57">
        <f>Q122-Q128-Q129-Q130-Q131</f>
        <v>99</v>
      </c>
      <c r="R123" s="57">
        <f>R122-R128-R129-R130-R131</f>
        <v>99</v>
      </c>
      <c r="S123" s="57">
        <f>S122-S128-S129-S130-S131</f>
        <v>101</v>
      </c>
      <c r="T123" s="57">
        <f>T122-T128-T129-T130-T131</f>
        <v>101</v>
      </c>
      <c r="U123" s="57">
        <f>U122-U128-U129-U130-U131</f>
        <v>20</v>
      </c>
      <c r="V123" s="57">
        <f t="shared" si="11"/>
        <v>23</v>
      </c>
      <c r="W123" s="57">
        <f t="shared" si="11"/>
        <v>98</v>
      </c>
      <c r="X123" s="57">
        <f t="shared" si="11"/>
        <v>95</v>
      </c>
      <c r="Y123" s="57">
        <f t="shared" si="11"/>
        <v>96</v>
      </c>
      <c r="Z123" s="57">
        <f t="shared" si="11"/>
        <v>103</v>
      </c>
      <c r="AA123" s="57">
        <f t="shared" si="11"/>
        <v>110</v>
      </c>
      <c r="AB123" s="57">
        <f t="shared" si="11"/>
        <v>53</v>
      </c>
      <c r="AC123" s="57">
        <f t="shared" si="11"/>
        <v>53</v>
      </c>
      <c r="AD123" s="57">
        <f t="shared" si="11"/>
        <v>111</v>
      </c>
      <c r="AE123" s="57">
        <f t="shared" ref="AE123:AJ123" si="12">AE122-AE128-AE129-AE130-AE131</f>
        <v>111</v>
      </c>
      <c r="AF123" s="57">
        <f t="shared" si="12"/>
        <v>111</v>
      </c>
      <c r="AG123" s="57">
        <f t="shared" si="12"/>
        <v>111</v>
      </c>
      <c r="AH123" s="57">
        <f t="shared" si="12"/>
        <v>111</v>
      </c>
      <c r="AI123" s="57">
        <f t="shared" si="12"/>
        <v>53</v>
      </c>
      <c r="AJ123" s="57">
        <f t="shared" si="12"/>
        <v>53</v>
      </c>
      <c r="AK123" s="146"/>
      <c r="AL123" s="146"/>
      <c r="AM123" s="146"/>
      <c r="AN123" s="146"/>
      <c r="AO123" s="146"/>
      <c r="AP123" s="146"/>
      <c r="AQ123" s="146"/>
      <c r="AR123" s="146"/>
      <c r="AS123" s="146"/>
      <c r="AT123" s="146"/>
      <c r="AU123" s="146"/>
      <c r="AV123" s="146"/>
      <c r="AW123" s="146"/>
      <c r="AX123" s="146"/>
      <c r="AY123" s="146"/>
    </row>
    <row r="124" spans="1:51" ht="15.75">
      <c r="A124" s="182" t="s">
        <v>195</v>
      </c>
      <c r="B124" s="146"/>
      <c r="C124" s="146"/>
      <c r="D124" s="146"/>
      <c r="E124" s="182" t="s">
        <v>195</v>
      </c>
      <c r="F124" s="57">
        <f>F123+F131</f>
        <v>103</v>
      </c>
      <c r="G124" s="57">
        <f t="shared" ref="G124:AE124" si="13">G123+G131</f>
        <v>37</v>
      </c>
      <c r="H124" s="57">
        <f t="shared" si="13"/>
        <v>32</v>
      </c>
      <c r="I124" s="57">
        <f t="shared" si="13"/>
        <v>98</v>
      </c>
      <c r="J124" s="57">
        <f t="shared" si="13"/>
        <v>98</v>
      </c>
      <c r="K124" s="57">
        <f t="shared" si="13"/>
        <v>98</v>
      </c>
      <c r="L124" s="57">
        <f t="shared" si="13"/>
        <v>100</v>
      </c>
      <c r="M124" s="57">
        <f t="shared" si="13"/>
        <v>101</v>
      </c>
      <c r="N124" s="57">
        <f t="shared" si="13"/>
        <v>28</v>
      </c>
      <c r="O124" s="57">
        <f>O123+O131</f>
        <v>17</v>
      </c>
      <c r="P124" s="57">
        <f>P123+P131</f>
        <v>104</v>
      </c>
      <c r="Q124" s="57">
        <f>Q123+Q131</f>
        <v>103</v>
      </c>
      <c r="R124" s="57">
        <f>R123+R131</f>
        <v>101</v>
      </c>
      <c r="S124" s="57">
        <f>S123+S131</f>
        <v>106</v>
      </c>
      <c r="T124" s="57">
        <f>T123+T131</f>
        <v>106</v>
      </c>
      <c r="U124" s="57">
        <f>U123+U131</f>
        <v>20</v>
      </c>
      <c r="V124" s="57">
        <f t="shared" si="13"/>
        <v>25</v>
      </c>
      <c r="W124" s="57">
        <f t="shared" si="13"/>
        <v>105</v>
      </c>
      <c r="X124" s="57">
        <f t="shared" si="13"/>
        <v>100</v>
      </c>
      <c r="Y124" s="57">
        <f t="shared" si="13"/>
        <v>99</v>
      </c>
      <c r="Z124" s="57">
        <f t="shared" si="13"/>
        <v>106</v>
      </c>
      <c r="AA124" s="57">
        <f t="shared" si="13"/>
        <v>110</v>
      </c>
      <c r="AB124" s="57">
        <f t="shared" si="13"/>
        <v>53</v>
      </c>
      <c r="AC124" s="57">
        <f t="shared" si="13"/>
        <v>53</v>
      </c>
      <c r="AD124" s="57">
        <f t="shared" si="13"/>
        <v>111</v>
      </c>
      <c r="AE124" s="57">
        <f t="shared" si="13"/>
        <v>111</v>
      </c>
      <c r="AF124" s="57">
        <f t="shared" ref="AF124:AJ124" si="14">AF123+AF131</f>
        <v>111</v>
      </c>
      <c r="AG124" s="57">
        <f t="shared" si="14"/>
        <v>111</v>
      </c>
      <c r="AH124" s="57">
        <f t="shared" si="14"/>
        <v>111</v>
      </c>
      <c r="AI124" s="57">
        <f t="shared" si="14"/>
        <v>53</v>
      </c>
      <c r="AJ124" s="57">
        <f t="shared" si="14"/>
        <v>53</v>
      </c>
      <c r="AK124" s="146"/>
      <c r="AL124" s="146"/>
      <c r="AM124" s="146"/>
      <c r="AN124" s="146"/>
      <c r="AO124" s="146"/>
      <c r="AP124" s="146"/>
      <c r="AQ124" s="146"/>
      <c r="AR124" s="146"/>
      <c r="AS124" s="146"/>
      <c r="AT124" s="146"/>
      <c r="AU124" s="146"/>
      <c r="AV124" s="146"/>
      <c r="AW124" s="146"/>
      <c r="AX124" s="146"/>
      <c r="AY124" s="146"/>
    </row>
    <row r="125" spans="1:51" ht="15.75">
      <c r="A125" s="182" t="s">
        <v>7</v>
      </c>
      <c r="B125" s="146"/>
      <c r="C125" s="146"/>
      <c r="D125" s="146"/>
      <c r="E125" s="182" t="s">
        <v>7</v>
      </c>
      <c r="F125" s="57">
        <f>F124*450</f>
        <v>46350</v>
      </c>
      <c r="G125" s="57">
        <f t="shared" ref="G125:AB125" si="15">G124*450</f>
        <v>16650</v>
      </c>
      <c r="H125" s="57">
        <f t="shared" si="15"/>
        <v>14400</v>
      </c>
      <c r="I125" s="57">
        <f t="shared" si="15"/>
        <v>44100</v>
      </c>
      <c r="J125" s="57">
        <f t="shared" si="15"/>
        <v>44100</v>
      </c>
      <c r="K125" s="57">
        <f t="shared" si="15"/>
        <v>44100</v>
      </c>
      <c r="L125" s="57">
        <f t="shared" si="15"/>
        <v>45000</v>
      </c>
      <c r="M125" s="57">
        <f t="shared" si="15"/>
        <v>45450</v>
      </c>
      <c r="N125" s="57">
        <f t="shared" si="15"/>
        <v>12600</v>
      </c>
      <c r="O125" s="57">
        <f>O124*450</f>
        <v>7650</v>
      </c>
      <c r="P125" s="57">
        <f>P124*450</f>
        <v>46800</v>
      </c>
      <c r="Q125" s="57">
        <f>Q124*450</f>
        <v>46350</v>
      </c>
      <c r="R125" s="57">
        <f>R124*450</f>
        <v>45450</v>
      </c>
      <c r="S125" s="57">
        <f>S124*450</f>
        <v>47700</v>
      </c>
      <c r="T125" s="57">
        <f>T124*450</f>
        <v>47700</v>
      </c>
      <c r="U125" s="57">
        <f>U124*450</f>
        <v>9000</v>
      </c>
      <c r="V125" s="57">
        <f t="shared" si="15"/>
        <v>11250</v>
      </c>
      <c r="W125" s="57">
        <f t="shared" si="15"/>
        <v>47250</v>
      </c>
      <c r="X125" s="57">
        <f t="shared" si="15"/>
        <v>45000</v>
      </c>
      <c r="Y125" s="57">
        <f t="shared" si="15"/>
        <v>44550</v>
      </c>
      <c r="Z125" s="57">
        <f t="shared" si="15"/>
        <v>47700</v>
      </c>
      <c r="AA125" s="57">
        <f t="shared" si="15"/>
        <v>49500</v>
      </c>
      <c r="AB125" s="57">
        <f t="shared" si="15"/>
        <v>23850</v>
      </c>
      <c r="AC125" s="57">
        <f t="shared" ref="AC125:AJ125" si="16">AC124*450</f>
        <v>23850</v>
      </c>
      <c r="AD125" s="57">
        <f t="shared" si="16"/>
        <v>49950</v>
      </c>
      <c r="AE125" s="57">
        <f t="shared" si="16"/>
        <v>49950</v>
      </c>
      <c r="AF125" s="57">
        <f t="shared" si="16"/>
        <v>49950</v>
      </c>
      <c r="AG125" s="57">
        <f t="shared" si="16"/>
        <v>49950</v>
      </c>
      <c r="AH125" s="57">
        <f t="shared" si="16"/>
        <v>49950</v>
      </c>
      <c r="AI125" s="57">
        <f t="shared" si="16"/>
        <v>23850</v>
      </c>
      <c r="AJ125" s="57">
        <f t="shared" si="16"/>
        <v>23850</v>
      </c>
      <c r="AK125" s="146"/>
      <c r="AL125" s="146"/>
      <c r="AM125" s="146"/>
      <c r="AN125" s="146"/>
      <c r="AO125" s="146"/>
      <c r="AP125" s="146"/>
      <c r="AQ125" s="146"/>
      <c r="AR125" s="146"/>
      <c r="AS125" s="146"/>
      <c r="AT125" s="146"/>
      <c r="AU125" s="146"/>
      <c r="AV125" s="146"/>
      <c r="AW125" s="146"/>
      <c r="AX125" s="146"/>
      <c r="AY125" s="146"/>
    </row>
    <row r="126" spans="1:51" ht="15.75">
      <c r="A126" s="177" t="s">
        <v>8</v>
      </c>
      <c r="B126" s="178" t="s">
        <v>187</v>
      </c>
      <c r="C126" s="178" t="s">
        <v>187</v>
      </c>
      <c r="D126" s="146"/>
      <c r="E126" s="177" t="s">
        <v>8</v>
      </c>
      <c r="F126" s="57">
        <f>F125-F121</f>
        <v>44198</v>
      </c>
      <c r="G126" s="57">
        <f>G125-G121</f>
        <v>16572</v>
      </c>
      <c r="H126" s="57">
        <f t="shared" ref="H126:Z126" si="17">H125-H121</f>
        <v>14358</v>
      </c>
      <c r="I126" s="57">
        <f t="shared" si="17"/>
        <v>42323</v>
      </c>
      <c r="J126" s="57">
        <f t="shared" si="17"/>
        <v>41009</v>
      </c>
      <c r="K126" s="57">
        <f t="shared" si="17"/>
        <v>41337</v>
      </c>
      <c r="L126" s="57">
        <f t="shared" si="17"/>
        <v>42661</v>
      </c>
      <c r="M126" s="57">
        <f t="shared" si="17"/>
        <v>42102</v>
      </c>
      <c r="N126" s="57">
        <f t="shared" si="17"/>
        <v>12502</v>
      </c>
      <c r="O126" s="57">
        <f>O125-O121</f>
        <v>7650</v>
      </c>
      <c r="P126" s="57">
        <f>P125-P121</f>
        <v>42685</v>
      </c>
      <c r="Q126" s="57">
        <f>Q125-Q121</f>
        <v>44472</v>
      </c>
      <c r="R126" s="57">
        <f>R125-R121</f>
        <v>44458</v>
      </c>
      <c r="S126" s="57">
        <f>S125-S121</f>
        <v>45371</v>
      </c>
      <c r="T126" s="57">
        <f>T125-T121</f>
        <v>44935</v>
      </c>
      <c r="U126" s="57">
        <f>U125-U121</f>
        <v>9000</v>
      </c>
      <c r="V126" s="57">
        <f t="shared" si="17"/>
        <v>10325</v>
      </c>
      <c r="W126" s="57">
        <f t="shared" si="17"/>
        <v>44064</v>
      </c>
      <c r="X126" s="57">
        <f t="shared" si="17"/>
        <v>42660</v>
      </c>
      <c r="Y126" s="57">
        <f t="shared" si="17"/>
        <v>42890</v>
      </c>
      <c r="Z126" s="57">
        <f t="shared" si="17"/>
        <v>46257</v>
      </c>
      <c r="AA126" s="57">
        <f t="shared" ref="AA126:AJ126" si="18">AA125-AA121</f>
        <v>49500</v>
      </c>
      <c r="AB126" s="57">
        <f t="shared" si="18"/>
        <v>23850</v>
      </c>
      <c r="AC126" s="57">
        <f t="shared" si="18"/>
        <v>23850</v>
      </c>
      <c r="AD126" s="57">
        <f t="shared" si="18"/>
        <v>49950</v>
      </c>
      <c r="AE126" s="57">
        <f t="shared" si="18"/>
        <v>49950</v>
      </c>
      <c r="AF126" s="57">
        <f t="shared" si="18"/>
        <v>49950</v>
      </c>
      <c r="AG126" s="57">
        <f t="shared" si="18"/>
        <v>49950</v>
      </c>
      <c r="AH126" s="57">
        <f t="shared" si="18"/>
        <v>49950</v>
      </c>
      <c r="AI126" s="57">
        <f t="shared" si="18"/>
        <v>23850</v>
      </c>
      <c r="AJ126" s="57">
        <f t="shared" si="18"/>
        <v>23850</v>
      </c>
      <c r="AK126" s="146"/>
      <c r="AL126" s="146"/>
      <c r="AM126" s="146"/>
      <c r="AN126" s="146"/>
      <c r="AO126" s="146"/>
      <c r="AP126" s="146"/>
      <c r="AQ126" s="146"/>
      <c r="AR126" s="146"/>
      <c r="AS126" s="146"/>
      <c r="AT126" s="146"/>
      <c r="AU126" s="146"/>
      <c r="AV126" s="146"/>
      <c r="AW126" s="146"/>
      <c r="AX126" s="146"/>
      <c r="AY126" s="146"/>
    </row>
    <row r="127" spans="1:51" ht="15.75">
      <c r="A127" s="183" t="s">
        <v>9</v>
      </c>
      <c r="B127" s="184" t="s">
        <v>187</v>
      </c>
      <c r="C127" s="184" t="s">
        <v>187</v>
      </c>
      <c r="D127" s="146"/>
      <c r="E127" s="183" t="s">
        <v>9</v>
      </c>
      <c r="F127" s="60">
        <f>F126/F125</f>
        <v>0.9535706580366774</v>
      </c>
      <c r="G127" s="60">
        <f t="shared" ref="G127:AA127" si="19">G126/G125</f>
        <v>0.99531531531531536</v>
      </c>
      <c r="H127" s="60">
        <f t="shared" si="19"/>
        <v>0.99708333333333332</v>
      </c>
      <c r="I127" s="60">
        <f t="shared" si="19"/>
        <v>0.95970521541950116</v>
      </c>
      <c r="J127" s="60">
        <f t="shared" si="19"/>
        <v>0.92990929705215419</v>
      </c>
      <c r="K127" s="60">
        <f t="shared" si="19"/>
        <v>0.93734693877551023</v>
      </c>
      <c r="L127" s="60">
        <f t="shared" si="19"/>
        <v>0.94802222222222221</v>
      </c>
      <c r="M127" s="60">
        <f t="shared" si="19"/>
        <v>0.92633663366336638</v>
      </c>
      <c r="N127" s="60">
        <f t="shared" si="19"/>
        <v>0.99222222222222223</v>
      </c>
      <c r="O127" s="60">
        <f>O126/O125</f>
        <v>1</v>
      </c>
      <c r="P127" s="60">
        <f>P126/P125</f>
        <v>0.91207264957264955</v>
      </c>
      <c r="Q127" s="60">
        <f>Q126/Q125</f>
        <v>0.95948220064724921</v>
      </c>
      <c r="R127" s="60">
        <f>R126/R125</f>
        <v>0.97817381738173814</v>
      </c>
      <c r="S127" s="60">
        <f>S126/S125</f>
        <v>0.95117400419287212</v>
      </c>
      <c r="T127" s="60">
        <f>T126/T125</f>
        <v>0.9420335429769392</v>
      </c>
      <c r="U127" s="60">
        <f>U126/U125</f>
        <v>1</v>
      </c>
      <c r="V127" s="60">
        <f t="shared" si="19"/>
        <v>0.9177777777777778</v>
      </c>
      <c r="W127" s="60">
        <f t="shared" si="19"/>
        <v>0.93257142857142861</v>
      </c>
      <c r="X127" s="60">
        <f t="shared" si="19"/>
        <v>0.94799999999999995</v>
      </c>
      <c r="Y127" s="60">
        <f t="shared" si="19"/>
        <v>0.96273849607182937</v>
      </c>
      <c r="Z127" s="60">
        <f t="shared" si="19"/>
        <v>0.96974842767295599</v>
      </c>
      <c r="AA127" s="60">
        <f t="shared" si="19"/>
        <v>1</v>
      </c>
      <c r="AB127" s="60">
        <f t="shared" ref="AA127:AJ127" si="20">AB126/AB125</f>
        <v>1</v>
      </c>
      <c r="AC127" s="60">
        <f t="shared" si="20"/>
        <v>1</v>
      </c>
      <c r="AD127" s="60">
        <f t="shared" si="20"/>
        <v>1</v>
      </c>
      <c r="AE127" s="60">
        <f t="shared" si="20"/>
        <v>1</v>
      </c>
      <c r="AF127" s="60">
        <f t="shared" si="20"/>
        <v>1</v>
      </c>
      <c r="AG127" s="60">
        <f t="shared" si="20"/>
        <v>1</v>
      </c>
      <c r="AH127" s="60">
        <f t="shared" si="20"/>
        <v>1</v>
      </c>
      <c r="AI127" s="60">
        <f t="shared" si="20"/>
        <v>1</v>
      </c>
      <c r="AJ127" s="60">
        <f t="shared" si="20"/>
        <v>1</v>
      </c>
      <c r="AK127" s="146"/>
      <c r="AL127" s="146"/>
      <c r="AM127" s="146"/>
      <c r="AN127" s="146"/>
      <c r="AO127" s="146"/>
      <c r="AP127" s="146"/>
      <c r="AQ127" s="146"/>
      <c r="AR127" s="146"/>
      <c r="AS127" s="146"/>
      <c r="AT127" s="146"/>
      <c r="AU127" s="146"/>
      <c r="AV127" s="146"/>
      <c r="AW127" s="146"/>
      <c r="AX127" s="146"/>
      <c r="AY127" s="146"/>
    </row>
    <row r="128" spans="1:51" ht="15.75">
      <c r="A128" s="182" t="s">
        <v>147</v>
      </c>
      <c r="B128" s="146"/>
      <c r="C128" s="146"/>
      <c r="D128" s="146"/>
      <c r="E128" s="182" t="s">
        <v>147</v>
      </c>
      <c r="F128" s="57">
        <f>COUNTIF(F3:F114,"RD")</f>
        <v>6</v>
      </c>
      <c r="G128" s="57">
        <f t="shared" ref="G128:AB128" si="21">COUNTIF(G3:G114,"RD")</f>
        <v>75</v>
      </c>
      <c r="H128" s="57">
        <f t="shared" si="21"/>
        <v>80</v>
      </c>
      <c r="I128" s="57">
        <f t="shared" si="21"/>
        <v>11</v>
      </c>
      <c r="J128" s="57">
        <f t="shared" si="21"/>
        <v>12</v>
      </c>
      <c r="K128" s="57">
        <f t="shared" si="21"/>
        <v>13</v>
      </c>
      <c r="L128" s="57">
        <f t="shared" si="21"/>
        <v>7</v>
      </c>
      <c r="M128" s="57">
        <f t="shared" si="21"/>
        <v>6</v>
      </c>
      <c r="N128" s="57">
        <f t="shared" si="21"/>
        <v>83</v>
      </c>
      <c r="O128" s="57">
        <f>COUNTIF(O3:O114,"RD")</f>
        <v>93</v>
      </c>
      <c r="P128" s="57">
        <f>COUNTIF(P3:P114,"RD")</f>
        <v>6</v>
      </c>
      <c r="Q128" s="57">
        <f>COUNTIF(Q3:Q114,"RD")</f>
        <v>8</v>
      </c>
      <c r="R128" s="57">
        <f>COUNTIF(R3:R114,"RD")</f>
        <v>10</v>
      </c>
      <c r="S128" s="57">
        <f>COUNTIF(S3:S114,"RD")</f>
        <v>6</v>
      </c>
      <c r="T128" s="57">
        <f>COUNTIF(T3:T114,"RD")</f>
        <v>5</v>
      </c>
      <c r="U128" s="57">
        <f>COUNTIF(U3:U114,"RD")</f>
        <v>92</v>
      </c>
      <c r="V128" s="57">
        <f t="shared" si="21"/>
        <v>87</v>
      </c>
      <c r="W128" s="57">
        <f t="shared" si="21"/>
        <v>5</v>
      </c>
      <c r="X128" s="57">
        <f t="shared" si="21"/>
        <v>12</v>
      </c>
      <c r="Y128" s="57">
        <f t="shared" si="21"/>
        <v>12</v>
      </c>
      <c r="Z128" s="57">
        <f t="shared" si="21"/>
        <v>3</v>
      </c>
      <c r="AA128" s="57">
        <f t="shared" si="21"/>
        <v>0</v>
      </c>
      <c r="AB128" s="57">
        <f t="shared" si="21"/>
        <v>59</v>
      </c>
      <c r="AC128" s="57">
        <f t="shared" ref="Z128:AJ128" si="22">COUNTIF(AC3:AC114,"RD")</f>
        <v>59</v>
      </c>
      <c r="AD128" s="57">
        <f t="shared" si="22"/>
        <v>0</v>
      </c>
      <c r="AE128" s="57">
        <f t="shared" si="22"/>
        <v>0</v>
      </c>
      <c r="AF128" s="57">
        <f t="shared" si="22"/>
        <v>0</v>
      </c>
      <c r="AG128" s="57">
        <f t="shared" si="22"/>
        <v>0</v>
      </c>
      <c r="AH128" s="57">
        <f t="shared" si="22"/>
        <v>0</v>
      </c>
      <c r="AI128" s="57">
        <f t="shared" si="22"/>
        <v>58</v>
      </c>
      <c r="AJ128" s="57">
        <f t="shared" si="22"/>
        <v>58</v>
      </c>
      <c r="AK128" s="146"/>
      <c r="AL128" s="146"/>
      <c r="AM128" s="146"/>
      <c r="AN128" s="146"/>
      <c r="AO128" s="146"/>
      <c r="AP128" s="146"/>
      <c r="AQ128" s="146"/>
      <c r="AR128" s="146"/>
      <c r="AS128" s="146"/>
      <c r="AT128" s="146"/>
      <c r="AU128" s="146"/>
      <c r="AV128" s="146"/>
      <c r="AW128" s="146"/>
      <c r="AX128" s="146"/>
      <c r="AY128" s="146"/>
    </row>
    <row r="129" spans="1:51" ht="15.75">
      <c r="A129" s="182" t="s">
        <v>12</v>
      </c>
      <c r="B129" s="146"/>
      <c r="C129" s="146"/>
      <c r="D129" s="146"/>
      <c r="E129" s="182" t="s">
        <v>12</v>
      </c>
      <c r="F129" s="57">
        <f>COUNTIF(F3:F114,"VL")</f>
        <v>3</v>
      </c>
      <c r="G129" s="57">
        <f t="shared" ref="G129:AC129" si="23">COUNTIF(G3:G114,"VL")</f>
        <v>0</v>
      </c>
      <c r="H129" s="57">
        <f t="shared" si="23"/>
        <v>0</v>
      </c>
      <c r="I129" s="57">
        <f t="shared" si="23"/>
        <v>3</v>
      </c>
      <c r="J129" s="57">
        <f t="shared" si="23"/>
        <v>2</v>
      </c>
      <c r="K129" s="57">
        <f t="shared" si="23"/>
        <v>1</v>
      </c>
      <c r="L129" s="57">
        <f t="shared" si="23"/>
        <v>5</v>
      </c>
      <c r="M129" s="57">
        <f t="shared" si="23"/>
        <v>5</v>
      </c>
      <c r="N129" s="57">
        <f t="shared" si="23"/>
        <v>1</v>
      </c>
      <c r="O129" s="57">
        <f>COUNTIF(O3:O114,"VL")</f>
        <v>2</v>
      </c>
      <c r="P129" s="57">
        <f>COUNTIF(P3:P114,"VL")</f>
        <v>2</v>
      </c>
      <c r="Q129" s="57">
        <f>COUNTIF(Q3:Q114,"VL")</f>
        <v>0</v>
      </c>
      <c r="R129" s="57">
        <f>COUNTIF(R3:R114,"VL")</f>
        <v>0</v>
      </c>
      <c r="S129" s="57">
        <f>COUNTIF(S3:S114,"VL")</f>
        <v>0</v>
      </c>
      <c r="T129" s="57">
        <f>COUNTIF(T3:T114,"VL")</f>
        <v>1</v>
      </c>
      <c r="U129" s="57">
        <f>COUNTIF(U3:U114,"VL")</f>
        <v>0</v>
      </c>
      <c r="V129" s="57">
        <f t="shared" si="23"/>
        <v>0</v>
      </c>
      <c r="W129" s="57">
        <f t="shared" si="23"/>
        <v>2</v>
      </c>
      <c r="X129" s="57">
        <f t="shared" si="23"/>
        <v>0</v>
      </c>
      <c r="Y129" s="57">
        <f t="shared" si="23"/>
        <v>1</v>
      </c>
      <c r="Z129" s="57">
        <f t="shared" si="23"/>
        <v>3</v>
      </c>
      <c r="AA129" s="57">
        <f t="shared" si="23"/>
        <v>0</v>
      </c>
      <c r="AB129" s="57">
        <f t="shared" si="23"/>
        <v>0</v>
      </c>
      <c r="AC129" s="57">
        <f t="shared" si="23"/>
        <v>0</v>
      </c>
      <c r="AD129" s="57">
        <f t="shared" ref="AB129:AJ129" si="24">COUNTIF(AD3:AD114,"VL")</f>
        <v>0</v>
      </c>
      <c r="AE129" s="57">
        <f t="shared" si="24"/>
        <v>0</v>
      </c>
      <c r="AF129" s="57">
        <f t="shared" si="24"/>
        <v>0</v>
      </c>
      <c r="AG129" s="57">
        <f t="shared" si="24"/>
        <v>0</v>
      </c>
      <c r="AH129" s="57">
        <f t="shared" si="24"/>
        <v>0</v>
      </c>
      <c r="AI129" s="57">
        <f t="shared" si="24"/>
        <v>0</v>
      </c>
      <c r="AJ129" s="57">
        <f t="shared" si="24"/>
        <v>0</v>
      </c>
      <c r="AK129" s="146"/>
      <c r="AL129" s="146"/>
      <c r="AM129" s="146"/>
      <c r="AN129" s="146"/>
      <c r="AO129" s="146"/>
      <c r="AP129" s="146"/>
      <c r="AQ129" s="146"/>
      <c r="AR129" s="146"/>
      <c r="AS129" s="146"/>
      <c r="AT129" s="146"/>
      <c r="AU129" s="146"/>
      <c r="AV129" s="146"/>
      <c r="AW129" s="146"/>
      <c r="AX129" s="146"/>
      <c r="AY129" s="146"/>
    </row>
    <row r="130" spans="1:51" ht="15.75">
      <c r="A130" s="182" t="s">
        <v>14</v>
      </c>
      <c r="B130" s="146"/>
      <c r="C130" s="146"/>
      <c r="D130" s="146"/>
      <c r="E130" s="182" t="s">
        <v>14</v>
      </c>
      <c r="F130" s="57">
        <f>COUNTIF(F3:F114,"LWOP")</f>
        <v>0</v>
      </c>
      <c r="G130" s="57">
        <f t="shared" ref="G130:AA130" si="25">COUNTIF(G3:G114,"LWOP")</f>
        <v>0</v>
      </c>
      <c r="H130" s="57">
        <f t="shared" si="25"/>
        <v>0</v>
      </c>
      <c r="I130" s="57">
        <f t="shared" si="25"/>
        <v>0</v>
      </c>
      <c r="J130" s="57">
        <f t="shared" si="25"/>
        <v>0</v>
      </c>
      <c r="K130" s="57">
        <f t="shared" si="25"/>
        <v>0</v>
      </c>
      <c r="L130" s="57">
        <f t="shared" si="25"/>
        <v>0</v>
      </c>
      <c r="M130" s="57">
        <f t="shared" si="25"/>
        <v>0</v>
      </c>
      <c r="N130" s="57">
        <f t="shared" si="25"/>
        <v>0</v>
      </c>
      <c r="O130" s="57">
        <f>COUNTIF(O3:O114,"LWOP")</f>
        <v>0</v>
      </c>
      <c r="P130" s="57">
        <f>COUNTIF(P3:P114,"LWOP")</f>
        <v>0</v>
      </c>
      <c r="Q130" s="57">
        <f>COUNTIF(Q3:Q114,"LWOP")</f>
        <v>1</v>
      </c>
      <c r="R130" s="57">
        <f>COUNTIF(R3:R114,"LWOP")</f>
        <v>1</v>
      </c>
      <c r="S130" s="57">
        <f>COUNTIF(S3:S114,"LWOP")</f>
        <v>0</v>
      </c>
      <c r="T130" s="57">
        <f>COUNTIF(T3:T114,"LWOP")</f>
        <v>0</v>
      </c>
      <c r="U130" s="57">
        <f>COUNTIF(U3:U114,"LWOP")</f>
        <v>0</v>
      </c>
      <c r="V130" s="57">
        <f t="shared" si="25"/>
        <v>0</v>
      </c>
      <c r="W130" s="57">
        <f t="shared" si="25"/>
        <v>0</v>
      </c>
      <c r="X130" s="57">
        <f t="shared" si="25"/>
        <v>0</v>
      </c>
      <c r="Y130" s="57">
        <f t="shared" si="25"/>
        <v>0</v>
      </c>
      <c r="Z130" s="57">
        <f t="shared" si="25"/>
        <v>0</v>
      </c>
      <c r="AA130" s="57">
        <f t="shared" si="25"/>
        <v>0</v>
      </c>
      <c r="AB130" s="57">
        <f t="shared" ref="AB130:AJ130" si="26">COUNTIF(AB3:AB114,"LWOP")</f>
        <v>0</v>
      </c>
      <c r="AC130" s="57">
        <f t="shared" si="26"/>
        <v>0</v>
      </c>
      <c r="AD130" s="57">
        <f t="shared" si="26"/>
        <v>0</v>
      </c>
      <c r="AE130" s="57">
        <f t="shared" si="26"/>
        <v>0</v>
      </c>
      <c r="AF130" s="57">
        <f t="shared" si="26"/>
        <v>0</v>
      </c>
      <c r="AG130" s="57">
        <f t="shared" si="26"/>
        <v>0</v>
      </c>
      <c r="AH130" s="57">
        <f t="shared" si="26"/>
        <v>0</v>
      </c>
      <c r="AI130" s="57">
        <f t="shared" si="26"/>
        <v>0</v>
      </c>
      <c r="AJ130" s="57">
        <f t="shared" si="26"/>
        <v>0</v>
      </c>
      <c r="AM130" s="146"/>
      <c r="AN130" s="146"/>
      <c r="AO130" s="146"/>
      <c r="AP130" s="146"/>
      <c r="AQ130" s="146"/>
      <c r="AR130" s="146"/>
      <c r="AS130" s="146"/>
      <c r="AT130" s="146"/>
      <c r="AU130" s="146"/>
      <c r="AV130" s="146"/>
      <c r="AW130" s="146"/>
      <c r="AX130" s="146"/>
      <c r="AY130" s="146"/>
    </row>
    <row r="131" spans="1:51" ht="15.75">
      <c r="A131" s="182" t="s">
        <v>11</v>
      </c>
      <c r="B131" s="146"/>
      <c r="C131" s="146"/>
      <c r="D131" s="146"/>
      <c r="E131" s="182" t="s">
        <v>11</v>
      </c>
      <c r="F131" s="57">
        <f>COUNTIF(F3:F114,"450")</f>
        <v>4</v>
      </c>
      <c r="G131" s="57">
        <f t="shared" ref="G131:AC131" si="27">COUNTIF(G3:G114,"450")</f>
        <v>0</v>
      </c>
      <c r="H131" s="57">
        <f t="shared" si="27"/>
        <v>0</v>
      </c>
      <c r="I131" s="57">
        <f t="shared" si="27"/>
        <v>3</v>
      </c>
      <c r="J131" s="57">
        <f t="shared" si="27"/>
        <v>6</v>
      </c>
      <c r="K131" s="57">
        <f t="shared" si="27"/>
        <v>6</v>
      </c>
      <c r="L131" s="57">
        <f t="shared" si="27"/>
        <v>5</v>
      </c>
      <c r="M131" s="57">
        <f t="shared" si="27"/>
        <v>7</v>
      </c>
      <c r="N131" s="57">
        <f t="shared" si="27"/>
        <v>0</v>
      </c>
      <c r="O131" s="57">
        <f>COUNTIF(O3:O114,"450")</f>
        <v>0</v>
      </c>
      <c r="P131" s="57">
        <f>COUNTIF(P3:P114,"450")</f>
        <v>9</v>
      </c>
      <c r="Q131" s="57">
        <f>COUNTIF(Q3:Q114,"450")</f>
        <v>4</v>
      </c>
      <c r="R131" s="57">
        <f>COUNTIF(R3:R114,"450")</f>
        <v>2</v>
      </c>
      <c r="S131" s="57">
        <f>COUNTIF(S3:S114,"450")</f>
        <v>5</v>
      </c>
      <c r="T131" s="57">
        <f>COUNTIF(T3:T114,"450")</f>
        <v>5</v>
      </c>
      <c r="U131" s="57">
        <f>COUNTIF(U3:U114,"450")</f>
        <v>0</v>
      </c>
      <c r="V131" s="57">
        <f t="shared" si="27"/>
        <v>2</v>
      </c>
      <c r="W131" s="57">
        <f t="shared" si="27"/>
        <v>7</v>
      </c>
      <c r="X131" s="57">
        <f t="shared" si="27"/>
        <v>5</v>
      </c>
      <c r="Y131" s="57">
        <f t="shared" si="27"/>
        <v>3</v>
      </c>
      <c r="Z131" s="57">
        <f t="shared" si="27"/>
        <v>3</v>
      </c>
      <c r="AA131" s="57">
        <f t="shared" si="27"/>
        <v>0</v>
      </c>
      <c r="AB131" s="57">
        <f t="shared" si="27"/>
        <v>0</v>
      </c>
      <c r="AC131" s="57">
        <f t="shared" si="27"/>
        <v>0</v>
      </c>
      <c r="AD131" s="57">
        <f t="shared" ref="AA131:AJ131" si="28">COUNTIF(AD3:AD114,"450")</f>
        <v>0</v>
      </c>
      <c r="AE131" s="57">
        <f t="shared" si="28"/>
        <v>0</v>
      </c>
      <c r="AF131" s="57">
        <f t="shared" si="28"/>
        <v>0</v>
      </c>
      <c r="AG131" s="57">
        <f t="shared" si="28"/>
        <v>0</v>
      </c>
      <c r="AH131" s="57">
        <f t="shared" si="28"/>
        <v>0</v>
      </c>
      <c r="AI131" s="57">
        <f t="shared" si="28"/>
        <v>0</v>
      </c>
      <c r="AJ131" s="57">
        <f t="shared" si="28"/>
        <v>0</v>
      </c>
      <c r="AM131" s="146"/>
      <c r="AN131" s="146"/>
      <c r="AO131" s="146"/>
      <c r="AP131" s="146"/>
      <c r="AQ131" s="146"/>
      <c r="AR131" s="146"/>
      <c r="AS131" s="146"/>
      <c r="AT131" s="146"/>
      <c r="AU131" s="146"/>
      <c r="AV131" s="146"/>
      <c r="AW131" s="146"/>
      <c r="AX131" s="146"/>
      <c r="AY131" s="146"/>
    </row>
    <row r="132" spans="1:51">
      <c r="A132" s="178" t="s">
        <v>196</v>
      </c>
      <c r="B132" s="178" t="s">
        <v>187</v>
      </c>
      <c r="C132" s="178" t="s">
        <v>187</v>
      </c>
      <c r="D132" s="146"/>
      <c r="E132" s="178" t="s">
        <v>196</v>
      </c>
      <c r="F132" s="194">
        <f>F119/F126</f>
        <v>7.9641612742658036E-3</v>
      </c>
      <c r="G132" s="194">
        <f t="shared" ref="G132:AD132" si="29">G119/G126</f>
        <v>4.7067342505430852E-3</v>
      </c>
      <c r="H132" s="194">
        <f t="shared" si="29"/>
        <v>2.9251984956122023E-3</v>
      </c>
      <c r="I132" s="194">
        <f t="shared" si="29"/>
        <v>1.0089076861281101E-2</v>
      </c>
      <c r="J132" s="194">
        <f t="shared" si="29"/>
        <v>9.534492428491307E-3</v>
      </c>
      <c r="K132" s="194">
        <f t="shared" si="29"/>
        <v>1.5240583496625298E-3</v>
      </c>
      <c r="L132" s="194">
        <f t="shared" si="29"/>
        <v>2.0862145753732918E-3</v>
      </c>
      <c r="M132" s="194">
        <f t="shared" si="29"/>
        <v>4.70286447199658E-3</v>
      </c>
      <c r="N132" s="194">
        <f t="shared" si="29"/>
        <v>7.8387458006718928E-3</v>
      </c>
      <c r="O132" s="194">
        <f>O119/O126</f>
        <v>0</v>
      </c>
      <c r="P132" s="194">
        <f>P119/P126</f>
        <v>1.5227831791027294E-3</v>
      </c>
      <c r="Q132" s="194">
        <f>Q119/Q126</f>
        <v>1.7539125742039934E-3</v>
      </c>
      <c r="R132" s="194">
        <f>R119/R126</f>
        <v>2.0693688425030368E-3</v>
      </c>
      <c r="S132" s="194">
        <f>S119/S126</f>
        <v>1.7412003261995548E-3</v>
      </c>
      <c r="T132" s="194">
        <f>T119/T126</f>
        <v>1.146099922109714E-2</v>
      </c>
      <c r="U132" s="194">
        <f>U119/U126</f>
        <v>0</v>
      </c>
      <c r="V132" s="194">
        <f t="shared" si="29"/>
        <v>2.4213075060532689E-3</v>
      </c>
      <c r="W132" s="194">
        <f t="shared" si="29"/>
        <v>8.1699346405228761E-4</v>
      </c>
      <c r="X132" s="194">
        <f t="shared" si="29"/>
        <v>2.1097046413502108E-3</v>
      </c>
      <c r="Y132" s="194">
        <f t="shared" si="29"/>
        <v>7.2277920261133131E-3</v>
      </c>
      <c r="Z132" s="194">
        <f t="shared" si="29"/>
        <v>2.0105065179324209E-3</v>
      </c>
      <c r="AA132" s="194">
        <f t="shared" si="29"/>
        <v>0</v>
      </c>
      <c r="AB132" s="194">
        <f t="shared" si="29"/>
        <v>0</v>
      </c>
      <c r="AC132" s="194">
        <f t="shared" si="29"/>
        <v>0</v>
      </c>
      <c r="AD132" s="194">
        <f t="shared" si="29"/>
        <v>0</v>
      </c>
      <c r="AE132" s="194">
        <f t="shared" ref="AB132:AJ132" si="30">AE119/AE126</f>
        <v>0</v>
      </c>
      <c r="AF132" s="194">
        <f t="shared" si="30"/>
        <v>0</v>
      </c>
      <c r="AG132" s="194">
        <f t="shared" si="30"/>
        <v>0</v>
      </c>
      <c r="AH132" s="194">
        <f t="shared" si="30"/>
        <v>0</v>
      </c>
      <c r="AI132" s="194">
        <f t="shared" si="30"/>
        <v>0</v>
      </c>
      <c r="AJ132" s="194">
        <f t="shared" si="30"/>
        <v>0</v>
      </c>
      <c r="AM132" s="146"/>
      <c r="AN132" s="146"/>
      <c r="AO132" s="146"/>
      <c r="AP132" s="146"/>
      <c r="AQ132" s="146"/>
      <c r="AR132" s="146"/>
      <c r="AS132" s="146"/>
      <c r="AT132" s="146"/>
      <c r="AU132" s="146"/>
      <c r="AV132" s="146"/>
      <c r="AW132" s="146"/>
      <c r="AX132" s="146"/>
      <c r="AY132" s="146"/>
    </row>
    <row r="133" spans="1:51">
      <c r="A133" s="181" t="s">
        <v>197</v>
      </c>
      <c r="B133" s="181" t="s">
        <v>187</v>
      </c>
      <c r="C133" s="181" t="s">
        <v>187</v>
      </c>
      <c r="D133" s="146"/>
      <c r="E133" s="181" t="s">
        <v>197</v>
      </c>
      <c r="F133" s="194">
        <f>F120/F125</f>
        <v>3.8834951456310676E-2</v>
      </c>
      <c r="G133" s="194">
        <f t="shared" ref="G133:AD133" si="31">G120/G125</f>
        <v>0</v>
      </c>
      <c r="H133" s="194">
        <f t="shared" si="31"/>
        <v>0</v>
      </c>
      <c r="I133" s="194">
        <f t="shared" si="31"/>
        <v>3.0612244897959183E-2</v>
      </c>
      <c r="J133" s="194">
        <f t="shared" si="31"/>
        <v>6.1224489795918366E-2</v>
      </c>
      <c r="K133" s="194">
        <f t="shared" si="31"/>
        <v>6.1224489795918366E-2</v>
      </c>
      <c r="L133" s="194">
        <f t="shared" si="31"/>
        <v>0.05</v>
      </c>
      <c r="M133" s="194">
        <f t="shared" si="31"/>
        <v>6.9306930693069313E-2</v>
      </c>
      <c r="N133" s="194">
        <f t="shared" si="31"/>
        <v>0</v>
      </c>
      <c r="O133" s="194">
        <f>O120/O125</f>
        <v>0</v>
      </c>
      <c r="P133" s="194">
        <f>P120/P125</f>
        <v>8.6538461538461536E-2</v>
      </c>
      <c r="Q133" s="194">
        <f>Q120/Q125</f>
        <v>3.8834951456310676E-2</v>
      </c>
      <c r="R133" s="194">
        <f>R120/R125</f>
        <v>1.9801980198019802E-2</v>
      </c>
      <c r="S133" s="194">
        <f>S120/S125</f>
        <v>4.716981132075472E-2</v>
      </c>
      <c r="T133" s="194">
        <f>T120/T125</f>
        <v>4.716981132075472E-2</v>
      </c>
      <c r="U133" s="194">
        <f>U120/U125</f>
        <v>0</v>
      </c>
      <c r="V133" s="194">
        <f t="shared" si="31"/>
        <v>0.08</v>
      </c>
      <c r="W133" s="194">
        <f t="shared" si="31"/>
        <v>6.6666666666666666E-2</v>
      </c>
      <c r="X133" s="194">
        <f t="shared" si="31"/>
        <v>0.05</v>
      </c>
      <c r="Y133" s="194">
        <f t="shared" si="31"/>
        <v>3.0303030303030304E-2</v>
      </c>
      <c r="Z133" s="194">
        <f t="shared" si="31"/>
        <v>2.8301886792452831E-2</v>
      </c>
      <c r="AA133" s="194">
        <f t="shared" si="31"/>
        <v>0</v>
      </c>
      <c r="AB133" s="194">
        <f t="shared" si="31"/>
        <v>0</v>
      </c>
      <c r="AC133" s="194">
        <f t="shared" si="31"/>
        <v>0</v>
      </c>
      <c r="AD133" s="194">
        <f t="shared" si="31"/>
        <v>0</v>
      </c>
      <c r="AE133" s="194">
        <f t="shared" ref="AE133:AJ133" si="32">AE120/AE125</f>
        <v>0</v>
      </c>
      <c r="AF133" s="194">
        <f t="shared" si="32"/>
        <v>0</v>
      </c>
      <c r="AG133" s="194">
        <f t="shared" si="32"/>
        <v>0</v>
      </c>
      <c r="AH133" s="194">
        <f t="shared" si="32"/>
        <v>0</v>
      </c>
      <c r="AI133" s="194">
        <f t="shared" si="32"/>
        <v>0</v>
      </c>
      <c r="AJ133" s="194">
        <f t="shared" si="32"/>
        <v>0</v>
      </c>
      <c r="AM133" s="146"/>
      <c r="AN133" s="146"/>
      <c r="AO133" s="146"/>
      <c r="AP133" s="146"/>
      <c r="AQ133" s="146"/>
      <c r="AR133" s="146"/>
      <c r="AS133" s="146"/>
      <c r="AT133" s="146"/>
      <c r="AU133" s="146"/>
      <c r="AV133" s="146"/>
      <c r="AW133" s="146"/>
      <c r="AX133" s="146"/>
      <c r="AY133" s="146"/>
    </row>
    <row r="134" spans="1:51">
      <c r="AI134" s="195"/>
    </row>
    <row r="135" spans="1:51">
      <c r="AI135" s="195"/>
    </row>
    <row r="136" spans="1:51">
      <c r="AI136" s="195"/>
    </row>
    <row r="137" spans="1:51">
      <c r="AI137" s="195"/>
    </row>
    <row r="138" spans="1:51">
      <c r="AI138" s="195"/>
    </row>
    <row r="139" spans="1:51">
      <c r="AI139" s="195"/>
    </row>
    <row r="140" spans="1:51">
      <c r="J140" s="15" t="s">
        <v>339</v>
      </c>
      <c r="AI140" s="195"/>
    </row>
    <row r="141" spans="1:51">
      <c r="AI141" s="195"/>
    </row>
    <row r="142" spans="1:51">
      <c r="AI142" s="195"/>
    </row>
    <row r="143" spans="1:51">
      <c r="AI143" s="195"/>
    </row>
    <row r="144" spans="1:51">
      <c r="AI144" s="195"/>
    </row>
    <row r="145" spans="35:35">
      <c r="AI145" s="195"/>
    </row>
    <row r="146" spans="35:35">
      <c r="AI146" s="195"/>
    </row>
    <row r="147" spans="35:35">
      <c r="AI147" s="195"/>
    </row>
    <row r="148" spans="35:35">
      <c r="AI148" s="195"/>
    </row>
    <row r="149" spans="35:35">
      <c r="AI149" s="195"/>
    </row>
    <row r="150" spans="35:35">
      <c r="AI150" s="195"/>
    </row>
    <row r="151" spans="35:35">
      <c r="AI151" s="195"/>
    </row>
    <row r="152" spans="35:35">
      <c r="AI152" s="195"/>
    </row>
    <row r="153" spans="35:35">
      <c r="AI153" s="195"/>
    </row>
  </sheetData>
  <autoFilter ref="A2:AV133" xr:uid="{847987DF-FC0C-451E-B99E-C78446EA4E17}"/>
  <phoneticPr fontId="9" type="noConversion"/>
  <conditionalFormatting sqref="F35:N115 F34:T34 V5:Y5 AA5:AJ5 V30:Y30 AA30:AJ30 F1:N33 V9:Y9 AA9:AJ9 V1:AJ4 V6:AJ8 V31:AJ49 V50:Y50 AA50:AJ50 V51:AJ54 V55:Y55 AA55:AJ55 V72:Y72 AA72:AJ72 V10:AJ18 V19:Y19 AA19:AJ19 V20:AJ29 V56:AJ71 V73:AJ115">
    <cfRule type="cellIs" dxfId="6022" priority="1412" operator="equal">
      <formula>450</formula>
    </cfRule>
  </conditionalFormatting>
  <conditionalFormatting sqref="F35:N115 F34:T34 V5:Y5 AA5:AJ5 V30:Y30 AA30:AJ30 F3:N33 V9:Y9 AA9:AJ9 V3:AJ4 V6:AJ8 V31:AJ49 V50:Y50 AA50:AJ50 V51:AJ54 V55:Y55 AA55:AJ55 V72:Y72 AA72:AJ72 V10:AJ18 V19:Y19 AA19:AJ19 V20:AJ29 V56:AJ71 V73:AJ115">
    <cfRule type="containsText" dxfId="6021" priority="1411" operator="containsText" text="VL">
      <formula>NOT(ISERROR(SEARCH("VL",F3)))</formula>
    </cfRule>
  </conditionalFormatting>
  <conditionalFormatting sqref="F35:N115 F34:T34 V5:Y5 AA5:AJ5 V30:Y30 AA30:AJ30 F3:N33 V9:Y9 AA9:AJ9 V3:AJ4 V6:AJ8 V31:AJ49 V50:Y50 AA50:AJ50 V51:AJ54 V55:Y55 AA55:AJ55 V72:Y72 AA72:AJ72 V10:AJ18 V19:Y19 AA19:AJ19 V20:AJ29 V56:AJ71 V73:AJ115">
    <cfRule type="cellIs" dxfId="6020" priority="1410" operator="equal">
      <formula>"LWOP"</formula>
    </cfRule>
  </conditionalFormatting>
  <conditionalFormatting sqref="V65:X65">
    <cfRule type="containsText" dxfId="6019" priority="1157" operator="containsText" text="P">
      <formula>NOT(ISERROR(SEARCH("P",V65)))</formula>
    </cfRule>
  </conditionalFormatting>
  <conditionalFormatting sqref="V65:X65">
    <cfRule type="containsText" dxfId="6018" priority="1156" operator="containsText" text="VL">
      <formula>NOT(ISERROR(SEARCH("VL",V65)))</formula>
    </cfRule>
  </conditionalFormatting>
  <conditionalFormatting sqref="V65:X65">
    <cfRule type="cellIs" dxfId="6017" priority="1155" operator="between">
      <formula>1</formula>
      <formula>449</formula>
    </cfRule>
  </conditionalFormatting>
  <conditionalFormatting sqref="V73">
    <cfRule type="containsText" dxfId="6016" priority="1145" operator="containsText" text="P">
      <formula>NOT(ISERROR(SEARCH("P",V73)))</formula>
    </cfRule>
  </conditionalFormatting>
  <conditionalFormatting sqref="V73">
    <cfRule type="containsText" dxfId="6015" priority="1144" operator="containsText" text="VL">
      <formula>NOT(ISERROR(SEARCH("VL",V73)))</formula>
    </cfRule>
  </conditionalFormatting>
  <conditionalFormatting sqref="V73">
    <cfRule type="cellIs" dxfId="6014" priority="1143" operator="between">
      <formula>1</formula>
      <formula>449</formula>
    </cfRule>
  </conditionalFormatting>
  <conditionalFormatting sqref="V73">
    <cfRule type="containsText" dxfId="6013" priority="1142" operator="containsText" text="P">
      <formula>NOT(ISERROR(SEARCH("P",V73)))</formula>
    </cfRule>
  </conditionalFormatting>
  <conditionalFormatting sqref="V73">
    <cfRule type="containsText" dxfId="6012" priority="1141" operator="containsText" text="VL">
      <formula>NOT(ISERROR(SEARCH("VL",V73)))</formula>
    </cfRule>
  </conditionalFormatting>
  <conditionalFormatting sqref="V73">
    <cfRule type="cellIs" dxfId="6011" priority="1140" operator="between">
      <formula>1</formula>
      <formula>449</formula>
    </cfRule>
  </conditionalFormatting>
  <conditionalFormatting sqref="V81">
    <cfRule type="containsText" dxfId="6010" priority="1136" operator="containsText" text="P">
      <formula>NOT(ISERROR(SEARCH("P",V81)))</formula>
    </cfRule>
  </conditionalFormatting>
  <conditionalFormatting sqref="V81">
    <cfRule type="containsText" dxfId="6009" priority="1135" operator="containsText" text="VL">
      <formula>NOT(ISERROR(SEARCH("VL",V81)))</formula>
    </cfRule>
  </conditionalFormatting>
  <conditionalFormatting sqref="V81">
    <cfRule type="cellIs" dxfId="6008" priority="1134" operator="between">
      <formula>1</formula>
      <formula>449</formula>
    </cfRule>
  </conditionalFormatting>
  <conditionalFormatting sqref="V81">
    <cfRule type="containsText" dxfId="6007" priority="1133" operator="containsText" text="P">
      <formula>NOT(ISERROR(SEARCH("P",V81)))</formula>
    </cfRule>
  </conditionalFormatting>
  <conditionalFormatting sqref="V81">
    <cfRule type="containsText" dxfId="6006" priority="1132" operator="containsText" text="VL">
      <formula>NOT(ISERROR(SEARCH("VL",V81)))</formula>
    </cfRule>
  </conditionalFormatting>
  <conditionalFormatting sqref="V81">
    <cfRule type="cellIs" dxfId="6005" priority="1131" operator="between">
      <formula>1</formula>
      <formula>449</formula>
    </cfRule>
  </conditionalFormatting>
  <conditionalFormatting sqref="V104">
    <cfRule type="containsText" dxfId="6004" priority="1124" operator="containsText" text="P">
      <formula>NOT(ISERROR(SEARCH("P",V104)))</formula>
    </cfRule>
  </conditionalFormatting>
  <conditionalFormatting sqref="V104">
    <cfRule type="containsText" dxfId="6003" priority="1123" operator="containsText" text="VL">
      <formula>NOT(ISERROR(SEARCH("VL",V104)))</formula>
    </cfRule>
  </conditionalFormatting>
  <conditionalFormatting sqref="V104">
    <cfRule type="cellIs" dxfId="6002" priority="1122" operator="between">
      <formula>1</formula>
      <formula>449</formula>
    </cfRule>
  </conditionalFormatting>
  <conditionalFormatting sqref="V104">
    <cfRule type="containsText" dxfId="6001" priority="1121" operator="containsText" text="P">
      <formula>NOT(ISERROR(SEARCH("P",V104)))</formula>
    </cfRule>
  </conditionalFormatting>
  <conditionalFormatting sqref="V104">
    <cfRule type="containsText" dxfId="6000" priority="1120" operator="containsText" text="VL">
      <formula>NOT(ISERROR(SEARCH("VL",V104)))</formula>
    </cfRule>
  </conditionalFormatting>
  <conditionalFormatting sqref="V104">
    <cfRule type="cellIs" dxfId="5999" priority="1119" operator="between">
      <formula>1</formula>
      <formula>449</formula>
    </cfRule>
  </conditionalFormatting>
  <conditionalFormatting sqref="W62">
    <cfRule type="containsText" dxfId="5998" priority="1118" operator="containsText" text="P">
      <formula>NOT(ISERROR(SEARCH("P",W62)))</formula>
    </cfRule>
  </conditionalFormatting>
  <conditionalFormatting sqref="W62">
    <cfRule type="containsText" dxfId="5997" priority="1117" operator="containsText" text="VL">
      <formula>NOT(ISERROR(SEARCH("VL",W62)))</formula>
    </cfRule>
  </conditionalFormatting>
  <conditionalFormatting sqref="W62">
    <cfRule type="cellIs" dxfId="5996" priority="1116" operator="between">
      <formula>1</formula>
      <formula>449</formula>
    </cfRule>
  </conditionalFormatting>
  <conditionalFormatting sqref="W66:W67">
    <cfRule type="containsText" dxfId="5995" priority="1115" operator="containsText" text="P">
      <formula>NOT(ISERROR(SEARCH("P",W66)))</formula>
    </cfRule>
  </conditionalFormatting>
  <conditionalFormatting sqref="W66:W67">
    <cfRule type="containsText" dxfId="5994" priority="1114" operator="containsText" text="VL">
      <formula>NOT(ISERROR(SEARCH("VL",W66)))</formula>
    </cfRule>
  </conditionalFormatting>
  <conditionalFormatting sqref="W66:W67">
    <cfRule type="cellIs" dxfId="5993" priority="1113" operator="between">
      <formula>1</formula>
      <formula>449</formula>
    </cfRule>
  </conditionalFormatting>
  <conditionalFormatting sqref="V68">
    <cfRule type="containsText" dxfId="5992" priority="1112" operator="containsText" text="P">
      <formula>NOT(ISERROR(SEARCH("P",V68)))</formula>
    </cfRule>
  </conditionalFormatting>
  <conditionalFormatting sqref="V68">
    <cfRule type="containsText" dxfId="5991" priority="1111" operator="containsText" text="VL">
      <formula>NOT(ISERROR(SEARCH("VL",V68)))</formula>
    </cfRule>
  </conditionalFormatting>
  <conditionalFormatting sqref="V68">
    <cfRule type="cellIs" dxfId="5990" priority="1110" operator="between">
      <formula>1</formula>
      <formula>449</formula>
    </cfRule>
  </conditionalFormatting>
  <conditionalFormatting sqref="V69">
    <cfRule type="containsText" dxfId="5989" priority="1109" operator="containsText" text="P">
      <formula>NOT(ISERROR(SEARCH("P",V69)))</formula>
    </cfRule>
  </conditionalFormatting>
  <conditionalFormatting sqref="V69">
    <cfRule type="containsText" dxfId="5988" priority="1108" operator="containsText" text="VL">
      <formula>NOT(ISERROR(SEARCH("VL",V69)))</formula>
    </cfRule>
  </conditionalFormatting>
  <conditionalFormatting sqref="V69">
    <cfRule type="cellIs" dxfId="5987" priority="1107" operator="between">
      <formula>1</formula>
      <formula>449</formula>
    </cfRule>
  </conditionalFormatting>
  <conditionalFormatting sqref="V70:W70">
    <cfRule type="containsText" dxfId="5986" priority="1106" operator="containsText" text="P">
      <formula>NOT(ISERROR(SEARCH("P",V70)))</formula>
    </cfRule>
  </conditionalFormatting>
  <conditionalFormatting sqref="V70:W70">
    <cfRule type="containsText" dxfId="5985" priority="1105" operator="containsText" text="VL">
      <formula>NOT(ISERROR(SEARCH("VL",V70)))</formula>
    </cfRule>
  </conditionalFormatting>
  <conditionalFormatting sqref="V70:W70">
    <cfRule type="cellIs" dxfId="5984" priority="1104" operator="between">
      <formula>1</formula>
      <formula>449</formula>
    </cfRule>
  </conditionalFormatting>
  <conditionalFormatting sqref="V74:W74">
    <cfRule type="containsText" dxfId="5983" priority="1100" operator="containsText" text="P">
      <formula>NOT(ISERROR(SEARCH("P",V74)))</formula>
    </cfRule>
  </conditionalFormatting>
  <conditionalFormatting sqref="V74:W74">
    <cfRule type="containsText" dxfId="5982" priority="1099" operator="containsText" text="VL">
      <formula>NOT(ISERROR(SEARCH("VL",V74)))</formula>
    </cfRule>
  </conditionalFormatting>
  <conditionalFormatting sqref="V74:W74">
    <cfRule type="cellIs" dxfId="5981" priority="1098" operator="between">
      <formula>1</formula>
      <formula>449</formula>
    </cfRule>
  </conditionalFormatting>
  <conditionalFormatting sqref="V75:W75">
    <cfRule type="containsText" dxfId="5980" priority="1097" operator="containsText" text="P">
      <formula>NOT(ISERROR(SEARCH("P",V75)))</formula>
    </cfRule>
  </conditionalFormatting>
  <conditionalFormatting sqref="V75:W75">
    <cfRule type="containsText" dxfId="5979" priority="1096" operator="containsText" text="VL">
      <formula>NOT(ISERROR(SEARCH("VL",V75)))</formula>
    </cfRule>
  </conditionalFormatting>
  <conditionalFormatting sqref="V75:W75">
    <cfRule type="cellIs" dxfId="5978" priority="1095" operator="between">
      <formula>1</formula>
      <formula>449</formula>
    </cfRule>
  </conditionalFormatting>
  <conditionalFormatting sqref="V57:Z57">
    <cfRule type="containsText" dxfId="5977" priority="1094" operator="containsText" text="P">
      <formula>NOT(ISERROR(SEARCH("P",V57)))</formula>
    </cfRule>
  </conditionalFormatting>
  <conditionalFormatting sqref="V57:Z57">
    <cfRule type="containsText" dxfId="5976" priority="1093" operator="containsText" text="VL">
      <formula>NOT(ISERROR(SEARCH("VL",V57)))</formula>
    </cfRule>
  </conditionalFormatting>
  <conditionalFormatting sqref="V57:Z57">
    <cfRule type="cellIs" dxfId="5975" priority="1092" operator="between">
      <formula>1</formula>
      <formula>449</formula>
    </cfRule>
  </conditionalFormatting>
  <conditionalFormatting sqref="W77:Z77">
    <cfRule type="containsText" dxfId="5974" priority="1091" operator="containsText" text="P">
      <formula>NOT(ISERROR(SEARCH("P",W77)))</formula>
    </cfRule>
  </conditionalFormatting>
  <conditionalFormatting sqref="W77:Z77">
    <cfRule type="containsText" dxfId="5973" priority="1090" operator="containsText" text="VL">
      <formula>NOT(ISERROR(SEARCH("VL",W77)))</formula>
    </cfRule>
  </conditionalFormatting>
  <conditionalFormatting sqref="W77:Z77">
    <cfRule type="cellIs" dxfId="5972" priority="1089" operator="between">
      <formula>1</formula>
      <formula>449</formula>
    </cfRule>
  </conditionalFormatting>
  <conditionalFormatting sqref="V76:V77">
    <cfRule type="containsText" dxfId="5971" priority="1088" operator="containsText" text="P">
      <formula>NOT(ISERROR(SEARCH("P",V76)))</formula>
    </cfRule>
  </conditionalFormatting>
  <conditionalFormatting sqref="V76:V77">
    <cfRule type="containsText" dxfId="5970" priority="1087" operator="containsText" text="VL">
      <formula>NOT(ISERROR(SEARCH("VL",V76)))</formula>
    </cfRule>
  </conditionalFormatting>
  <conditionalFormatting sqref="V76:V77">
    <cfRule type="cellIs" dxfId="5969" priority="1086" operator="between">
      <formula>1</formula>
      <formula>449</formula>
    </cfRule>
  </conditionalFormatting>
  <conditionalFormatting sqref="W76:W77">
    <cfRule type="containsText" dxfId="5968" priority="1085" operator="containsText" text="P">
      <formula>NOT(ISERROR(SEARCH("P",W76)))</formula>
    </cfRule>
  </conditionalFormatting>
  <conditionalFormatting sqref="W76:W77">
    <cfRule type="containsText" dxfId="5967" priority="1084" operator="containsText" text="VL">
      <formula>NOT(ISERROR(SEARCH("VL",W76)))</formula>
    </cfRule>
  </conditionalFormatting>
  <conditionalFormatting sqref="W76:W77">
    <cfRule type="cellIs" dxfId="5966" priority="1083" operator="between">
      <formula>1</formula>
      <formula>449</formula>
    </cfRule>
  </conditionalFormatting>
  <conditionalFormatting sqref="V78:W78">
    <cfRule type="containsText" dxfId="5965" priority="1082" operator="containsText" text="P">
      <formula>NOT(ISERROR(SEARCH("P",V78)))</formula>
    </cfRule>
  </conditionalFormatting>
  <conditionalFormatting sqref="V78:W78">
    <cfRule type="containsText" dxfId="5964" priority="1081" operator="containsText" text="VL">
      <formula>NOT(ISERROR(SEARCH("VL",V78)))</formula>
    </cfRule>
  </conditionalFormatting>
  <conditionalFormatting sqref="V78:W78">
    <cfRule type="cellIs" dxfId="5963" priority="1080" operator="between">
      <formula>1</formula>
      <formula>449</formula>
    </cfRule>
  </conditionalFormatting>
  <conditionalFormatting sqref="W80">
    <cfRule type="containsText" dxfId="5962" priority="1079" operator="containsText" text="P">
      <formula>NOT(ISERROR(SEARCH("P",W80)))</formula>
    </cfRule>
  </conditionalFormatting>
  <conditionalFormatting sqref="W80">
    <cfRule type="containsText" dxfId="5961" priority="1078" operator="containsText" text="VL">
      <formula>NOT(ISERROR(SEARCH("VL",W80)))</formula>
    </cfRule>
  </conditionalFormatting>
  <conditionalFormatting sqref="W80">
    <cfRule type="cellIs" dxfId="5960" priority="1077" operator="between">
      <formula>1</formula>
      <formula>449</formula>
    </cfRule>
  </conditionalFormatting>
  <conditionalFormatting sqref="W80">
    <cfRule type="containsText" dxfId="5959" priority="1076" operator="containsText" text="P">
      <formula>NOT(ISERROR(SEARCH("P",W80)))</formula>
    </cfRule>
  </conditionalFormatting>
  <conditionalFormatting sqref="W80">
    <cfRule type="containsText" dxfId="5958" priority="1075" operator="containsText" text="VL">
      <formula>NOT(ISERROR(SEARCH("VL",W80)))</formula>
    </cfRule>
  </conditionalFormatting>
  <conditionalFormatting sqref="W80">
    <cfRule type="cellIs" dxfId="5957" priority="1074" operator="between">
      <formula>1</formula>
      <formula>449</formula>
    </cfRule>
  </conditionalFormatting>
  <conditionalFormatting sqref="W82:W84">
    <cfRule type="containsText" dxfId="5956" priority="1073" operator="containsText" text="P">
      <formula>NOT(ISERROR(SEARCH("P",W82)))</formula>
    </cfRule>
  </conditionalFormatting>
  <conditionalFormatting sqref="W82:W84">
    <cfRule type="containsText" dxfId="5955" priority="1072" operator="containsText" text="VL">
      <formula>NOT(ISERROR(SEARCH("VL",W82)))</formula>
    </cfRule>
  </conditionalFormatting>
  <conditionalFormatting sqref="W82:W84">
    <cfRule type="cellIs" dxfId="5954" priority="1071" operator="between">
      <formula>1</formula>
      <formula>449</formula>
    </cfRule>
  </conditionalFormatting>
  <conditionalFormatting sqref="W82:W84">
    <cfRule type="containsText" dxfId="5953" priority="1070" operator="containsText" text="P">
      <formula>NOT(ISERROR(SEARCH("P",W82)))</formula>
    </cfRule>
  </conditionalFormatting>
  <conditionalFormatting sqref="W82:W84">
    <cfRule type="containsText" dxfId="5952" priority="1069" operator="containsText" text="VL">
      <formula>NOT(ISERROR(SEARCH("VL",W82)))</formula>
    </cfRule>
  </conditionalFormatting>
  <conditionalFormatting sqref="W82:W84">
    <cfRule type="cellIs" dxfId="5951" priority="1068" operator="between">
      <formula>1</formula>
      <formula>449</formula>
    </cfRule>
  </conditionalFormatting>
  <conditionalFormatting sqref="V105:W105">
    <cfRule type="containsText" dxfId="5950" priority="1067" operator="containsText" text="P">
      <formula>NOT(ISERROR(SEARCH("P",V105)))</formula>
    </cfRule>
  </conditionalFormatting>
  <conditionalFormatting sqref="V105:W105">
    <cfRule type="containsText" dxfId="5949" priority="1066" operator="containsText" text="VL">
      <formula>NOT(ISERROR(SEARCH("VL",V105)))</formula>
    </cfRule>
  </conditionalFormatting>
  <conditionalFormatting sqref="V105:W105">
    <cfRule type="cellIs" dxfId="5948" priority="1065" operator="between">
      <formula>1</formula>
      <formula>449</formula>
    </cfRule>
  </conditionalFormatting>
  <conditionalFormatting sqref="V105:W105">
    <cfRule type="containsText" dxfId="5947" priority="1064" operator="containsText" text="P">
      <formula>NOT(ISERROR(SEARCH("P",V105)))</formula>
    </cfRule>
  </conditionalFormatting>
  <conditionalFormatting sqref="V105:W105">
    <cfRule type="containsText" dxfId="5946" priority="1063" operator="containsText" text="VL">
      <formula>NOT(ISERROR(SEARCH("VL",V105)))</formula>
    </cfRule>
  </conditionalFormatting>
  <conditionalFormatting sqref="V105:W105">
    <cfRule type="cellIs" dxfId="5945" priority="1062" operator="between">
      <formula>1</formula>
      <formula>449</formula>
    </cfRule>
  </conditionalFormatting>
  <conditionalFormatting sqref="W106:Z106">
    <cfRule type="containsText" dxfId="5944" priority="1061" operator="containsText" text="P">
      <formula>NOT(ISERROR(SEARCH("P",W106)))</formula>
    </cfRule>
  </conditionalFormatting>
  <conditionalFormatting sqref="W106:Z106">
    <cfRule type="containsText" dxfId="5943" priority="1060" operator="containsText" text="VL">
      <formula>NOT(ISERROR(SEARCH("VL",W106)))</formula>
    </cfRule>
  </conditionalFormatting>
  <conditionalFormatting sqref="W106:Z106">
    <cfRule type="cellIs" dxfId="5942" priority="1059" operator="between">
      <formula>1</formula>
      <formula>449</formula>
    </cfRule>
  </conditionalFormatting>
  <conditionalFormatting sqref="W106:Z106">
    <cfRule type="containsText" dxfId="5941" priority="1058" operator="containsText" text="P">
      <formula>NOT(ISERROR(SEARCH("P",W106)))</formula>
    </cfRule>
  </conditionalFormatting>
  <conditionalFormatting sqref="W106:Z106">
    <cfRule type="containsText" dxfId="5940" priority="1057" operator="containsText" text="VL">
      <formula>NOT(ISERROR(SEARCH("VL",W106)))</formula>
    </cfRule>
  </conditionalFormatting>
  <conditionalFormatting sqref="W106:Z106">
    <cfRule type="cellIs" dxfId="5939" priority="1056" operator="between">
      <formula>1</formula>
      <formula>449</formula>
    </cfRule>
  </conditionalFormatting>
  <conditionalFormatting sqref="V107:W107">
    <cfRule type="containsText" dxfId="5938" priority="1055" operator="containsText" text="P">
      <formula>NOT(ISERROR(SEARCH("P",V107)))</formula>
    </cfRule>
  </conditionalFormatting>
  <conditionalFormatting sqref="V107:W107">
    <cfRule type="containsText" dxfId="5937" priority="1054" operator="containsText" text="VL">
      <formula>NOT(ISERROR(SEARCH("VL",V107)))</formula>
    </cfRule>
  </conditionalFormatting>
  <conditionalFormatting sqref="V107:W107">
    <cfRule type="cellIs" dxfId="5936" priority="1053" operator="between">
      <formula>1</formula>
      <formula>449</formula>
    </cfRule>
  </conditionalFormatting>
  <conditionalFormatting sqref="V107:W107">
    <cfRule type="containsText" dxfId="5935" priority="1052" operator="containsText" text="P">
      <formula>NOT(ISERROR(SEARCH("P",V107)))</formula>
    </cfRule>
  </conditionalFormatting>
  <conditionalFormatting sqref="V107:W107">
    <cfRule type="containsText" dxfId="5934" priority="1051" operator="containsText" text="VL">
      <formula>NOT(ISERROR(SEARCH("VL",V107)))</formula>
    </cfRule>
  </conditionalFormatting>
  <conditionalFormatting sqref="V107:W107">
    <cfRule type="cellIs" dxfId="5933" priority="1050" operator="between">
      <formula>1</formula>
      <formula>449</formula>
    </cfRule>
  </conditionalFormatting>
  <conditionalFormatting sqref="W108:W110">
    <cfRule type="containsText" dxfId="5932" priority="1049" operator="containsText" text="P">
      <formula>NOT(ISERROR(SEARCH("P",W108)))</formula>
    </cfRule>
  </conditionalFormatting>
  <conditionalFormatting sqref="W108:W110">
    <cfRule type="containsText" dxfId="5931" priority="1048" operator="containsText" text="VL">
      <formula>NOT(ISERROR(SEARCH("VL",W108)))</formula>
    </cfRule>
  </conditionalFormatting>
  <conditionalFormatting sqref="W108:W110">
    <cfRule type="cellIs" dxfId="5930" priority="1047" operator="between">
      <formula>1</formula>
      <formula>449</formula>
    </cfRule>
  </conditionalFormatting>
  <conditionalFormatting sqref="W108:W110">
    <cfRule type="containsText" dxfId="5929" priority="1046" operator="containsText" text="P">
      <formula>NOT(ISERROR(SEARCH("P",W108)))</formula>
    </cfRule>
  </conditionalFormatting>
  <conditionalFormatting sqref="W108:W110">
    <cfRule type="containsText" dxfId="5928" priority="1045" operator="containsText" text="VL">
      <formula>NOT(ISERROR(SEARCH("VL",W108)))</formula>
    </cfRule>
  </conditionalFormatting>
  <conditionalFormatting sqref="W108:W110">
    <cfRule type="cellIs" dxfId="5927" priority="1044" operator="between">
      <formula>1</formula>
      <formula>449</formula>
    </cfRule>
  </conditionalFormatting>
  <conditionalFormatting sqref="W112:W114 V113:X113">
    <cfRule type="containsText" dxfId="5926" priority="1043" operator="containsText" text="P">
      <formula>NOT(ISERROR(SEARCH("P",V112)))</formula>
    </cfRule>
  </conditionalFormatting>
  <conditionalFormatting sqref="W112:W114 V113:X113">
    <cfRule type="containsText" dxfId="5925" priority="1042" operator="containsText" text="VL">
      <formula>NOT(ISERROR(SEARCH("VL",V112)))</formula>
    </cfRule>
  </conditionalFormatting>
  <conditionalFormatting sqref="W112:W114 V113:X113">
    <cfRule type="cellIs" dxfId="5924" priority="1041" operator="between">
      <formula>1</formula>
      <formula>449</formula>
    </cfRule>
  </conditionalFormatting>
  <conditionalFormatting sqref="W112:W114 V113:X113">
    <cfRule type="containsText" dxfId="5923" priority="1040" operator="containsText" text="P">
      <formula>NOT(ISERROR(SEARCH("P",V112)))</formula>
    </cfRule>
  </conditionalFormatting>
  <conditionalFormatting sqref="W112:W114 V113:X113">
    <cfRule type="containsText" dxfId="5922" priority="1039" operator="containsText" text="VL">
      <formula>NOT(ISERROR(SEARCH("VL",V112)))</formula>
    </cfRule>
  </conditionalFormatting>
  <conditionalFormatting sqref="W112:W114 V113:X113">
    <cfRule type="cellIs" dxfId="5921" priority="1038" operator="between">
      <formula>1</formula>
      <formula>449</formula>
    </cfRule>
  </conditionalFormatting>
  <conditionalFormatting sqref="W3:W4">
    <cfRule type="containsText" dxfId="5920" priority="1037" operator="containsText" text="P">
      <formula>NOT(ISERROR(SEARCH("P",W3)))</formula>
    </cfRule>
  </conditionalFormatting>
  <conditionalFormatting sqref="W3:W4">
    <cfRule type="containsText" dxfId="5919" priority="1036" operator="containsText" text="VL">
      <formula>NOT(ISERROR(SEARCH("VL",W3)))</formula>
    </cfRule>
  </conditionalFormatting>
  <conditionalFormatting sqref="W3:W4">
    <cfRule type="cellIs" dxfId="5918" priority="1035" operator="between">
      <formula>1</formula>
      <formula>449</formula>
    </cfRule>
  </conditionalFormatting>
  <conditionalFormatting sqref="W21:W22">
    <cfRule type="containsText" dxfId="5917" priority="1034" operator="containsText" text="P">
      <formula>NOT(ISERROR(SEARCH("P",W21)))</formula>
    </cfRule>
  </conditionalFormatting>
  <conditionalFormatting sqref="W21:W22">
    <cfRule type="containsText" dxfId="5916" priority="1033" operator="containsText" text="VL">
      <formula>NOT(ISERROR(SEARCH("VL",W21)))</formula>
    </cfRule>
  </conditionalFormatting>
  <conditionalFormatting sqref="W21:W22">
    <cfRule type="cellIs" dxfId="5915" priority="1032" operator="between">
      <formula>1</formula>
      <formula>449</formula>
    </cfRule>
  </conditionalFormatting>
  <conditionalFormatting sqref="W23:W24">
    <cfRule type="containsText" dxfId="5914" priority="1031" operator="containsText" text="P">
      <formula>NOT(ISERROR(SEARCH("P",W23)))</formula>
    </cfRule>
  </conditionalFormatting>
  <conditionalFormatting sqref="W23:W24">
    <cfRule type="containsText" dxfId="5913" priority="1030" operator="containsText" text="VL">
      <formula>NOT(ISERROR(SEARCH("VL",W23)))</formula>
    </cfRule>
  </conditionalFormatting>
  <conditionalFormatting sqref="W23:W24">
    <cfRule type="cellIs" dxfId="5912" priority="1029" operator="between">
      <formula>1</formula>
      <formula>449</formula>
    </cfRule>
  </conditionalFormatting>
  <conditionalFormatting sqref="W28:X28">
    <cfRule type="containsText" dxfId="5911" priority="1028" operator="containsText" text="P">
      <formula>NOT(ISERROR(SEARCH("P",W28)))</formula>
    </cfRule>
  </conditionalFormatting>
  <conditionalFormatting sqref="W28:X28">
    <cfRule type="containsText" dxfId="5910" priority="1027" operator="containsText" text="VL">
      <formula>NOT(ISERROR(SEARCH("VL",W28)))</formula>
    </cfRule>
  </conditionalFormatting>
  <conditionalFormatting sqref="W28:X28">
    <cfRule type="cellIs" dxfId="5909" priority="1026" operator="between">
      <formula>1</formula>
      <formula>449</formula>
    </cfRule>
  </conditionalFormatting>
  <conditionalFormatting sqref="W32">
    <cfRule type="containsText" dxfId="5908" priority="1025" operator="containsText" text="P">
      <formula>NOT(ISERROR(SEARCH("P",W32)))</formula>
    </cfRule>
  </conditionalFormatting>
  <conditionalFormatting sqref="W32">
    <cfRule type="containsText" dxfId="5907" priority="1024" operator="containsText" text="VL">
      <formula>NOT(ISERROR(SEARCH("VL",W32)))</formula>
    </cfRule>
  </conditionalFormatting>
  <conditionalFormatting sqref="W32">
    <cfRule type="cellIs" dxfId="5906" priority="1023" operator="between">
      <formula>1</formula>
      <formula>449</formula>
    </cfRule>
  </conditionalFormatting>
  <conditionalFormatting sqref="W42:W43">
    <cfRule type="containsText" dxfId="5905" priority="1022" operator="containsText" text="P">
      <formula>NOT(ISERROR(SEARCH("P",W42)))</formula>
    </cfRule>
  </conditionalFormatting>
  <conditionalFormatting sqref="W42:W43">
    <cfRule type="containsText" dxfId="5904" priority="1021" operator="containsText" text="VL">
      <formula>NOT(ISERROR(SEARCH("VL",W42)))</formula>
    </cfRule>
  </conditionalFormatting>
  <conditionalFormatting sqref="W42:W43">
    <cfRule type="cellIs" dxfId="5903" priority="1020" operator="between">
      <formula>1</formula>
      <formula>449</formula>
    </cfRule>
  </conditionalFormatting>
  <conditionalFormatting sqref="W47">
    <cfRule type="containsText" dxfId="5902" priority="1019" operator="containsText" text="P">
      <formula>NOT(ISERROR(SEARCH("P",W47)))</formula>
    </cfRule>
  </conditionalFormatting>
  <conditionalFormatting sqref="W47">
    <cfRule type="containsText" dxfId="5901" priority="1018" operator="containsText" text="VL">
      <formula>NOT(ISERROR(SEARCH("VL",W47)))</formula>
    </cfRule>
  </conditionalFormatting>
  <conditionalFormatting sqref="W47">
    <cfRule type="cellIs" dxfId="5900" priority="1017" operator="between">
      <formula>1</formula>
      <formula>449</formula>
    </cfRule>
  </conditionalFormatting>
  <conditionalFormatting sqref="W49:W50">
    <cfRule type="containsText" dxfId="5899" priority="1016" operator="containsText" text="P">
      <formula>NOT(ISERROR(SEARCH("P",W49)))</formula>
    </cfRule>
  </conditionalFormatting>
  <conditionalFormatting sqref="W49:W50">
    <cfRule type="containsText" dxfId="5898" priority="1015" operator="containsText" text="VL">
      <formula>NOT(ISERROR(SEARCH("VL",W49)))</formula>
    </cfRule>
  </conditionalFormatting>
  <conditionalFormatting sqref="W49:W50">
    <cfRule type="cellIs" dxfId="5897" priority="1014" operator="between">
      <formula>1</formula>
      <formula>449</formula>
    </cfRule>
  </conditionalFormatting>
  <conditionalFormatting sqref="W53">
    <cfRule type="containsText" dxfId="5896" priority="1013" operator="containsText" text="P">
      <formula>NOT(ISERROR(SEARCH("P",W53)))</formula>
    </cfRule>
  </conditionalFormatting>
  <conditionalFormatting sqref="W53">
    <cfRule type="containsText" dxfId="5895" priority="1012" operator="containsText" text="VL">
      <formula>NOT(ISERROR(SEARCH("VL",W53)))</formula>
    </cfRule>
  </conditionalFormatting>
  <conditionalFormatting sqref="W53">
    <cfRule type="cellIs" dxfId="5894" priority="1011" operator="between">
      <formula>1</formula>
      <formula>449</formula>
    </cfRule>
  </conditionalFormatting>
  <conditionalFormatting sqref="W16:W17">
    <cfRule type="containsText" dxfId="5893" priority="1010" operator="containsText" text="P">
      <formula>NOT(ISERROR(SEARCH("P",W16)))</formula>
    </cfRule>
  </conditionalFormatting>
  <conditionalFormatting sqref="W16:W17">
    <cfRule type="containsText" dxfId="5892" priority="1009" operator="containsText" text="VL">
      <formula>NOT(ISERROR(SEARCH("VL",W16)))</formula>
    </cfRule>
  </conditionalFormatting>
  <conditionalFormatting sqref="W16:W17">
    <cfRule type="cellIs" dxfId="5891" priority="1008" operator="between">
      <formula>1</formula>
      <formula>449</formula>
    </cfRule>
  </conditionalFormatting>
  <conditionalFormatting sqref="W16:W17">
    <cfRule type="containsText" dxfId="5890" priority="1007" operator="containsText" text="P">
      <formula>NOT(ISERROR(SEARCH("P",W16)))</formula>
    </cfRule>
  </conditionalFormatting>
  <conditionalFormatting sqref="W16:W17">
    <cfRule type="containsText" dxfId="5889" priority="1006" operator="containsText" text="VL">
      <formula>NOT(ISERROR(SEARCH("VL",W16)))</formula>
    </cfRule>
  </conditionalFormatting>
  <conditionalFormatting sqref="W16:W17">
    <cfRule type="cellIs" dxfId="5888" priority="1005" operator="between">
      <formula>1</formula>
      <formula>449</formula>
    </cfRule>
  </conditionalFormatting>
  <conditionalFormatting sqref="W31">
    <cfRule type="containsText" dxfId="5887" priority="1004" operator="containsText" text="P">
      <formula>NOT(ISERROR(SEARCH("P",W31)))</formula>
    </cfRule>
  </conditionalFormatting>
  <conditionalFormatting sqref="W31">
    <cfRule type="containsText" dxfId="5886" priority="1003" operator="containsText" text="VL">
      <formula>NOT(ISERROR(SEARCH("VL",W31)))</formula>
    </cfRule>
  </conditionalFormatting>
  <conditionalFormatting sqref="W31">
    <cfRule type="cellIs" dxfId="5885" priority="1002" operator="between">
      <formula>1</formula>
      <formula>449</formula>
    </cfRule>
  </conditionalFormatting>
  <conditionalFormatting sqref="W31">
    <cfRule type="containsText" dxfId="5884" priority="1001" operator="containsText" text="P">
      <formula>NOT(ISERROR(SEARCH("P",W31)))</formula>
    </cfRule>
  </conditionalFormatting>
  <conditionalFormatting sqref="W31">
    <cfRule type="containsText" dxfId="5883" priority="1000" operator="containsText" text="VL">
      <formula>NOT(ISERROR(SEARCH("VL",W31)))</formula>
    </cfRule>
  </conditionalFormatting>
  <conditionalFormatting sqref="W31">
    <cfRule type="cellIs" dxfId="5882" priority="999" operator="between">
      <formula>1</formula>
      <formula>449</formula>
    </cfRule>
  </conditionalFormatting>
  <conditionalFormatting sqref="W40:X40">
    <cfRule type="containsText" dxfId="5881" priority="998" operator="containsText" text="P">
      <formula>NOT(ISERROR(SEARCH("P",W40)))</formula>
    </cfRule>
  </conditionalFormatting>
  <conditionalFormatting sqref="W40:X40">
    <cfRule type="containsText" dxfId="5880" priority="997" operator="containsText" text="VL">
      <formula>NOT(ISERROR(SEARCH("VL",W40)))</formula>
    </cfRule>
  </conditionalFormatting>
  <conditionalFormatting sqref="W40:X40">
    <cfRule type="cellIs" dxfId="5879" priority="996" operator="between">
      <formula>1</formula>
      <formula>449</formula>
    </cfRule>
  </conditionalFormatting>
  <conditionalFormatting sqref="W40:X40">
    <cfRule type="containsText" dxfId="5878" priority="995" operator="containsText" text="P">
      <formula>NOT(ISERROR(SEARCH("P",W40)))</formula>
    </cfRule>
  </conditionalFormatting>
  <conditionalFormatting sqref="W40:X40">
    <cfRule type="containsText" dxfId="5877" priority="994" operator="containsText" text="VL">
      <formula>NOT(ISERROR(SEARCH("VL",W40)))</formula>
    </cfRule>
  </conditionalFormatting>
  <conditionalFormatting sqref="W40:X40">
    <cfRule type="cellIs" dxfId="5876" priority="993" operator="between">
      <formula>1</formula>
      <formula>449</formula>
    </cfRule>
  </conditionalFormatting>
  <conditionalFormatting sqref="W51">
    <cfRule type="containsText" dxfId="5875" priority="992" operator="containsText" text="P">
      <formula>NOT(ISERROR(SEARCH("P",W51)))</formula>
    </cfRule>
  </conditionalFormatting>
  <conditionalFormatting sqref="W51">
    <cfRule type="containsText" dxfId="5874" priority="991" operator="containsText" text="VL">
      <formula>NOT(ISERROR(SEARCH("VL",W51)))</formula>
    </cfRule>
  </conditionalFormatting>
  <conditionalFormatting sqref="W51">
    <cfRule type="cellIs" dxfId="5873" priority="990" operator="between">
      <formula>1</formula>
      <formula>449</formula>
    </cfRule>
  </conditionalFormatting>
  <conditionalFormatting sqref="W51">
    <cfRule type="containsText" dxfId="5872" priority="989" operator="containsText" text="P">
      <formula>NOT(ISERROR(SEARCH("P",W51)))</formula>
    </cfRule>
  </conditionalFormatting>
  <conditionalFormatting sqref="W51">
    <cfRule type="containsText" dxfId="5871" priority="988" operator="containsText" text="VL">
      <formula>NOT(ISERROR(SEARCH("VL",W51)))</formula>
    </cfRule>
  </conditionalFormatting>
  <conditionalFormatting sqref="W51">
    <cfRule type="cellIs" dxfId="5870" priority="987" operator="between">
      <formula>1</formula>
      <formula>449</formula>
    </cfRule>
  </conditionalFormatting>
  <conditionalFormatting sqref="W19:W20">
    <cfRule type="containsText" dxfId="5869" priority="986" operator="containsText" text="P">
      <formula>NOT(ISERROR(SEARCH("P",W19)))</formula>
    </cfRule>
  </conditionalFormatting>
  <conditionalFormatting sqref="W19:W20">
    <cfRule type="containsText" dxfId="5868" priority="985" operator="containsText" text="VL">
      <formula>NOT(ISERROR(SEARCH("VL",W19)))</formula>
    </cfRule>
  </conditionalFormatting>
  <conditionalFormatting sqref="W19:W20">
    <cfRule type="cellIs" dxfId="5867" priority="984" operator="between">
      <formula>1</formula>
      <formula>449</formula>
    </cfRule>
  </conditionalFormatting>
  <conditionalFormatting sqref="W26:W27">
    <cfRule type="containsText" dxfId="5866" priority="983" operator="containsText" text="P">
      <formula>NOT(ISERROR(SEARCH("P",W26)))</formula>
    </cfRule>
  </conditionalFormatting>
  <conditionalFormatting sqref="W26:W27">
    <cfRule type="containsText" dxfId="5865" priority="982" operator="containsText" text="VL">
      <formula>NOT(ISERROR(SEARCH("VL",W26)))</formula>
    </cfRule>
  </conditionalFormatting>
  <conditionalFormatting sqref="W26:W27">
    <cfRule type="cellIs" dxfId="5864" priority="981" operator="between">
      <formula>1</formula>
      <formula>449</formula>
    </cfRule>
  </conditionalFormatting>
  <conditionalFormatting sqref="W35:Z35">
    <cfRule type="containsText" dxfId="5863" priority="980" operator="containsText" text="P">
      <formula>NOT(ISERROR(SEARCH("P",W35)))</formula>
    </cfRule>
  </conditionalFormatting>
  <conditionalFormatting sqref="W35:Z35">
    <cfRule type="containsText" dxfId="5862" priority="979" operator="containsText" text="VL">
      <formula>NOT(ISERROR(SEARCH("VL",W35)))</formula>
    </cfRule>
  </conditionalFormatting>
  <conditionalFormatting sqref="W35:Z35">
    <cfRule type="cellIs" dxfId="5861" priority="978" operator="between">
      <formula>1</formula>
      <formula>449</formula>
    </cfRule>
  </conditionalFormatting>
  <conditionalFormatting sqref="W37:W38">
    <cfRule type="containsText" dxfId="5860" priority="977" operator="containsText" text="P">
      <formula>NOT(ISERROR(SEARCH("P",W37)))</formula>
    </cfRule>
  </conditionalFormatting>
  <conditionalFormatting sqref="W37:W38">
    <cfRule type="containsText" dxfId="5859" priority="976" operator="containsText" text="VL">
      <formula>NOT(ISERROR(SEARCH("VL",W37)))</formula>
    </cfRule>
  </conditionalFormatting>
  <conditionalFormatting sqref="W37:W38">
    <cfRule type="cellIs" dxfId="5858" priority="975" operator="between">
      <formula>1</formula>
      <formula>449</formula>
    </cfRule>
  </conditionalFormatting>
  <conditionalFormatting sqref="W46">
    <cfRule type="containsText" dxfId="5857" priority="974" operator="containsText" text="P">
      <formula>NOT(ISERROR(SEARCH("P",W46)))</formula>
    </cfRule>
  </conditionalFormatting>
  <conditionalFormatting sqref="W46">
    <cfRule type="containsText" dxfId="5856" priority="973" operator="containsText" text="VL">
      <formula>NOT(ISERROR(SEARCH("VL",W46)))</formula>
    </cfRule>
  </conditionalFormatting>
  <conditionalFormatting sqref="W46">
    <cfRule type="cellIs" dxfId="5855" priority="972" operator="between">
      <formula>1</formula>
      <formula>449</formula>
    </cfRule>
  </conditionalFormatting>
  <conditionalFormatting sqref="W15:Z15">
    <cfRule type="containsText" dxfId="5854" priority="971" operator="containsText" text="P">
      <formula>NOT(ISERROR(SEARCH("P",W15)))</formula>
    </cfRule>
  </conditionalFormatting>
  <conditionalFormatting sqref="W15:Z15">
    <cfRule type="containsText" dxfId="5853" priority="970" operator="containsText" text="VL">
      <formula>NOT(ISERROR(SEARCH("VL",W15)))</formula>
    </cfRule>
  </conditionalFormatting>
  <conditionalFormatting sqref="W15:Z15">
    <cfRule type="cellIs" dxfId="5852" priority="969" operator="between">
      <formula>1</formula>
      <formula>449</formula>
    </cfRule>
  </conditionalFormatting>
  <conditionalFormatting sqref="W18:Z18">
    <cfRule type="containsText" dxfId="5851" priority="968" operator="containsText" text="P">
      <formula>NOT(ISERROR(SEARCH("P",W18)))</formula>
    </cfRule>
  </conditionalFormatting>
  <conditionalFormatting sqref="W18:Z18">
    <cfRule type="containsText" dxfId="5850" priority="967" operator="containsText" text="VL">
      <formula>NOT(ISERROR(SEARCH("VL",W18)))</formula>
    </cfRule>
  </conditionalFormatting>
  <conditionalFormatting sqref="W18:Z18">
    <cfRule type="cellIs" dxfId="5849" priority="966" operator="between">
      <formula>1</formula>
      <formula>449</formula>
    </cfRule>
  </conditionalFormatting>
  <conditionalFormatting sqref="W29">
    <cfRule type="containsText" dxfId="5848" priority="965" operator="containsText" text="P">
      <formula>NOT(ISERROR(SEARCH("P",W29)))</formula>
    </cfRule>
  </conditionalFormatting>
  <conditionalFormatting sqref="W29">
    <cfRule type="containsText" dxfId="5847" priority="964" operator="containsText" text="VL">
      <formula>NOT(ISERROR(SEARCH("VL",W29)))</formula>
    </cfRule>
  </conditionalFormatting>
  <conditionalFormatting sqref="W29">
    <cfRule type="cellIs" dxfId="5846" priority="963" operator="between">
      <formula>1</formula>
      <formula>449</formula>
    </cfRule>
  </conditionalFormatting>
  <conditionalFormatting sqref="W33:Y34">
    <cfRule type="containsText" dxfId="5845" priority="962" operator="containsText" text="P">
      <formula>NOT(ISERROR(SEARCH("P",W33)))</formula>
    </cfRule>
  </conditionalFormatting>
  <conditionalFormatting sqref="W33:Y34">
    <cfRule type="containsText" dxfId="5844" priority="961" operator="containsText" text="VL">
      <formula>NOT(ISERROR(SEARCH("VL",W33)))</formula>
    </cfRule>
  </conditionalFormatting>
  <conditionalFormatting sqref="W33:Y34">
    <cfRule type="cellIs" dxfId="5843" priority="960" operator="between">
      <formula>1</formula>
      <formula>449</formula>
    </cfRule>
  </conditionalFormatting>
  <conditionalFormatting sqref="W36">
    <cfRule type="containsText" dxfId="5842" priority="959" operator="containsText" text="P">
      <formula>NOT(ISERROR(SEARCH("P",W36)))</formula>
    </cfRule>
  </conditionalFormatting>
  <conditionalFormatting sqref="W36">
    <cfRule type="containsText" dxfId="5841" priority="958" operator="containsText" text="VL">
      <formula>NOT(ISERROR(SEARCH("VL",W36)))</formula>
    </cfRule>
  </conditionalFormatting>
  <conditionalFormatting sqref="W36">
    <cfRule type="cellIs" dxfId="5840" priority="957" operator="between">
      <formula>1</formula>
      <formula>449</formula>
    </cfRule>
  </conditionalFormatting>
  <conditionalFormatting sqref="W39:Z39">
    <cfRule type="containsText" dxfId="5839" priority="956" operator="containsText" text="P">
      <formula>NOT(ISERROR(SEARCH("P",W39)))</formula>
    </cfRule>
  </conditionalFormatting>
  <conditionalFormatting sqref="W39:Z39">
    <cfRule type="containsText" dxfId="5838" priority="955" operator="containsText" text="VL">
      <formula>NOT(ISERROR(SEARCH("VL",W39)))</formula>
    </cfRule>
  </conditionalFormatting>
  <conditionalFormatting sqref="W45:Z45">
    <cfRule type="containsText" dxfId="5837" priority="953" operator="containsText" text="P">
      <formula>NOT(ISERROR(SEARCH("P",W45)))</formula>
    </cfRule>
  </conditionalFormatting>
  <conditionalFormatting sqref="W45:Z45">
    <cfRule type="containsText" dxfId="5836" priority="952" operator="containsText" text="VL">
      <formula>NOT(ISERROR(SEARCH("VL",W45)))</formula>
    </cfRule>
  </conditionalFormatting>
  <conditionalFormatting sqref="W52">
    <cfRule type="containsText" dxfId="5835" priority="950" operator="containsText" text="P">
      <formula>NOT(ISERROR(SEARCH("P",W52)))</formula>
    </cfRule>
  </conditionalFormatting>
  <conditionalFormatting sqref="W52">
    <cfRule type="containsText" dxfId="5834" priority="949" operator="containsText" text="VL">
      <formula>NOT(ISERROR(SEARCH("VL",W52)))</formula>
    </cfRule>
  </conditionalFormatting>
  <conditionalFormatting sqref="W111:Z111">
    <cfRule type="containsText" dxfId="5833" priority="947" operator="containsText" text="P">
      <formula>NOT(ISERROR(SEARCH("P",W111)))</formula>
    </cfRule>
  </conditionalFormatting>
  <conditionalFormatting sqref="W111:Z111">
    <cfRule type="containsText" dxfId="5832" priority="946" operator="containsText" text="VL">
      <formula>NOT(ISERROR(SEARCH("VL",W111)))</formula>
    </cfRule>
  </conditionalFormatting>
  <conditionalFormatting sqref="W111:Z111">
    <cfRule type="cellIs" dxfId="5831" priority="945" operator="between">
      <formula>1</formula>
      <formula>449</formula>
    </cfRule>
  </conditionalFormatting>
  <conditionalFormatting sqref="W41:Z41">
    <cfRule type="containsText" dxfId="5830" priority="944" operator="containsText" text="P">
      <formula>NOT(ISERROR(SEARCH("P",W41)))</formula>
    </cfRule>
  </conditionalFormatting>
  <conditionalFormatting sqref="W41:Z41">
    <cfRule type="containsText" dxfId="5829" priority="943" operator="containsText" text="VL">
      <formula>NOT(ISERROR(SEARCH("VL",W41)))</formula>
    </cfRule>
  </conditionalFormatting>
  <conditionalFormatting sqref="W41:Z41">
    <cfRule type="cellIs" dxfId="5828" priority="942" operator="between">
      <formula>1</formula>
      <formula>449</formula>
    </cfRule>
  </conditionalFormatting>
  <conditionalFormatting sqref="W41:Z41">
    <cfRule type="containsText" dxfId="5827" priority="941" operator="containsText" text="P">
      <formula>NOT(ISERROR(SEARCH("P",W41)))</formula>
    </cfRule>
  </conditionalFormatting>
  <conditionalFormatting sqref="W41:Z41">
    <cfRule type="containsText" dxfId="5826" priority="940" operator="containsText" text="VL">
      <formula>NOT(ISERROR(SEARCH("VL",W41)))</formula>
    </cfRule>
  </conditionalFormatting>
  <conditionalFormatting sqref="W55">
    <cfRule type="containsText" dxfId="5825" priority="938" operator="containsText" text="P">
      <formula>NOT(ISERROR(SEARCH("P",W55)))</formula>
    </cfRule>
  </conditionalFormatting>
  <conditionalFormatting sqref="W55">
    <cfRule type="containsText" dxfId="5824" priority="937" operator="containsText" text="VL">
      <formula>NOT(ISERROR(SEARCH("VL",W55)))</formula>
    </cfRule>
  </conditionalFormatting>
  <conditionalFormatting sqref="W55">
    <cfRule type="containsText" dxfId="5823" priority="935" operator="containsText" text="P">
      <formula>NOT(ISERROR(SEARCH("P",W55)))</formula>
    </cfRule>
  </conditionalFormatting>
  <conditionalFormatting sqref="W55">
    <cfRule type="containsText" dxfId="5822" priority="934" operator="containsText" text="VL">
      <formula>NOT(ISERROR(SEARCH("VL",W55)))</formula>
    </cfRule>
  </conditionalFormatting>
  <conditionalFormatting sqref="W55">
    <cfRule type="cellIs" dxfId="5821" priority="933" operator="between">
      <formula>1</formula>
      <formula>449</formula>
    </cfRule>
  </conditionalFormatting>
  <conditionalFormatting sqref="W6:Z6">
    <cfRule type="containsText" dxfId="5820" priority="932" operator="containsText" text="P">
      <formula>NOT(ISERROR(SEARCH("P",W6)))</formula>
    </cfRule>
  </conditionalFormatting>
  <conditionalFormatting sqref="W6:Z6">
    <cfRule type="containsText" dxfId="5819" priority="931" operator="containsText" text="VL">
      <formula>NOT(ISERROR(SEARCH("VL",W6)))</formula>
    </cfRule>
  </conditionalFormatting>
  <conditionalFormatting sqref="W58:W59">
    <cfRule type="containsText" dxfId="5818" priority="929" operator="containsText" text="P">
      <formula>NOT(ISERROR(SEARCH("P",W58)))</formula>
    </cfRule>
  </conditionalFormatting>
  <conditionalFormatting sqref="W58:W59">
    <cfRule type="containsText" dxfId="5817" priority="928" operator="containsText" text="VL">
      <formula>NOT(ISERROR(SEARCH("VL",W58)))</formula>
    </cfRule>
  </conditionalFormatting>
  <conditionalFormatting sqref="W7:W8">
    <cfRule type="containsText" dxfId="5816" priority="926" operator="containsText" text="P">
      <formula>NOT(ISERROR(SEARCH("P",W7)))</formula>
    </cfRule>
  </conditionalFormatting>
  <conditionalFormatting sqref="W7:W8">
    <cfRule type="containsText" dxfId="5815" priority="925" operator="containsText" text="VL">
      <formula>NOT(ISERROR(SEARCH("VL",W7)))</formula>
    </cfRule>
  </conditionalFormatting>
  <conditionalFormatting sqref="W7:W8">
    <cfRule type="cellIs" dxfId="5814" priority="924" operator="between">
      <formula>1</formula>
      <formula>449</formula>
    </cfRule>
  </conditionalFormatting>
  <conditionalFormatting sqref="W10:W12">
    <cfRule type="containsText" dxfId="5813" priority="923" operator="containsText" text="P">
      <formula>NOT(ISERROR(SEARCH("P",W10)))</formula>
    </cfRule>
  </conditionalFormatting>
  <conditionalFormatting sqref="W10:W12">
    <cfRule type="containsText" dxfId="5812" priority="922" operator="containsText" text="VL">
      <formula>NOT(ISERROR(SEARCH("VL",W10)))</formula>
    </cfRule>
  </conditionalFormatting>
  <conditionalFormatting sqref="W100">
    <cfRule type="containsText" dxfId="5811" priority="920" operator="containsText" text="P">
      <formula>NOT(ISERROR(SEARCH("P",W100)))</formula>
    </cfRule>
  </conditionalFormatting>
  <conditionalFormatting sqref="W100">
    <cfRule type="containsText" dxfId="5810" priority="919" operator="containsText" text="VL">
      <formula>NOT(ISERROR(SEARCH("VL",W100)))</formula>
    </cfRule>
  </conditionalFormatting>
  <conditionalFormatting sqref="W100">
    <cfRule type="containsText" dxfId="5809" priority="917" operator="containsText" text="P">
      <formula>NOT(ISERROR(SEARCH("P",W100)))</formula>
    </cfRule>
  </conditionalFormatting>
  <conditionalFormatting sqref="W100">
    <cfRule type="containsText" dxfId="5808" priority="916" operator="containsText" text="VL">
      <formula>NOT(ISERROR(SEARCH("VL",W100)))</formula>
    </cfRule>
  </conditionalFormatting>
  <conditionalFormatting sqref="V72">
    <cfRule type="containsText" dxfId="5807" priority="914" operator="containsText" text="P">
      <formula>NOT(ISERROR(SEARCH("P",V72)))</formula>
    </cfRule>
  </conditionalFormatting>
  <conditionalFormatting sqref="V72">
    <cfRule type="containsText" dxfId="5806" priority="913" operator="containsText" text="VL">
      <formula>NOT(ISERROR(SEARCH("VL",V72)))</formula>
    </cfRule>
  </conditionalFormatting>
  <conditionalFormatting sqref="W54">
    <cfRule type="containsText" dxfId="5805" priority="911" operator="containsText" text="P">
      <formula>NOT(ISERROR(SEARCH("P",W54)))</formula>
    </cfRule>
  </conditionalFormatting>
  <conditionalFormatting sqref="W54">
    <cfRule type="containsText" dxfId="5804" priority="910" operator="containsText" text="VL">
      <formula>NOT(ISERROR(SEARCH("VL",W54)))</formula>
    </cfRule>
  </conditionalFormatting>
  <conditionalFormatting sqref="F35:N115 F34:T34 V5:Y5 AA5:AJ5 V30:Y30 AA30:AJ30 F1:N33 V9:Y9 AA9:AJ9 V1:AJ4 V6:AJ8 V31:AJ49 V50:Y50 AA50:AJ50 V51:AJ54 V55:Y55 AA55:AJ55 V72:Y72 AA72:AJ72 V10:AJ18 V19:Y19 AA19:AJ19 V20:AJ29 V56:AJ71 V73:AJ115">
    <cfRule type="cellIs" dxfId="5803" priority="906" operator="between">
      <formula>1</formula>
      <formula>449</formula>
    </cfRule>
  </conditionalFormatting>
  <conditionalFormatting sqref="W58">
    <cfRule type="containsText" dxfId="5802" priority="904" operator="containsText" text="P">
      <formula>NOT(ISERROR(SEARCH("P",W58)))</formula>
    </cfRule>
  </conditionalFormatting>
  <conditionalFormatting sqref="W58">
    <cfRule type="containsText" dxfId="5801" priority="903" operator="containsText" text="VL">
      <formula>NOT(ISERROR(SEARCH("VL",W58)))</formula>
    </cfRule>
  </conditionalFormatting>
  <conditionalFormatting sqref="W58">
    <cfRule type="cellIs" dxfId="5800" priority="902" operator="between">
      <formula>1</formula>
      <formula>449</formula>
    </cfRule>
  </conditionalFormatting>
  <conditionalFormatting sqref="V58">
    <cfRule type="containsText" dxfId="5799" priority="901" operator="containsText" text="P">
      <formula>NOT(ISERROR(SEARCH("P",V58)))</formula>
    </cfRule>
  </conditionalFormatting>
  <conditionalFormatting sqref="V58">
    <cfRule type="containsText" dxfId="5798" priority="900" operator="containsText" text="VL">
      <formula>NOT(ISERROR(SEARCH("VL",V58)))</formula>
    </cfRule>
  </conditionalFormatting>
  <conditionalFormatting sqref="V58">
    <cfRule type="cellIs" dxfId="5797" priority="899" operator="between">
      <formula>1</formula>
      <formula>449</formula>
    </cfRule>
  </conditionalFormatting>
  <conditionalFormatting sqref="V61">
    <cfRule type="containsText" dxfId="5796" priority="898" operator="containsText" text="P">
      <formula>NOT(ISERROR(SEARCH("P",V61)))</formula>
    </cfRule>
  </conditionalFormatting>
  <conditionalFormatting sqref="V61">
    <cfRule type="containsText" dxfId="5795" priority="897" operator="containsText" text="VL">
      <formula>NOT(ISERROR(SEARCH("VL",V61)))</formula>
    </cfRule>
  </conditionalFormatting>
  <conditionalFormatting sqref="V61">
    <cfRule type="cellIs" dxfId="5794" priority="896" operator="between">
      <formula>1</formula>
      <formula>449</formula>
    </cfRule>
  </conditionalFormatting>
  <conditionalFormatting sqref="W79:X79">
    <cfRule type="containsText" dxfId="5793" priority="895" operator="containsText" text="P">
      <formula>NOT(ISERROR(SEARCH("P",W79)))</formula>
    </cfRule>
  </conditionalFormatting>
  <conditionalFormatting sqref="W79:X79">
    <cfRule type="containsText" dxfId="5792" priority="894" operator="containsText" text="VL">
      <formula>NOT(ISERROR(SEARCH("VL",W79)))</formula>
    </cfRule>
  </conditionalFormatting>
  <conditionalFormatting sqref="W79:X79">
    <cfRule type="cellIs" dxfId="5791" priority="893" operator="between">
      <formula>1</formula>
      <formula>449</formula>
    </cfRule>
  </conditionalFormatting>
  <conditionalFormatting sqref="W88:X88">
    <cfRule type="containsText" dxfId="5790" priority="892" operator="containsText" text="P">
      <formula>NOT(ISERROR(SEARCH("P",W88)))</formula>
    </cfRule>
  </conditionalFormatting>
  <conditionalFormatting sqref="W88:X88">
    <cfRule type="containsText" dxfId="5789" priority="891" operator="containsText" text="VL">
      <formula>NOT(ISERROR(SEARCH("VL",W88)))</formula>
    </cfRule>
  </conditionalFormatting>
  <conditionalFormatting sqref="W88:X88">
    <cfRule type="cellIs" dxfId="5788" priority="890" operator="between">
      <formula>1</formula>
      <formula>449</formula>
    </cfRule>
  </conditionalFormatting>
  <conditionalFormatting sqref="V96">
    <cfRule type="containsText" dxfId="5787" priority="880" operator="containsText" text="P">
      <formula>NOT(ISERROR(SEARCH("P",V96)))</formula>
    </cfRule>
  </conditionalFormatting>
  <conditionalFormatting sqref="V96">
    <cfRule type="containsText" dxfId="5786" priority="879" operator="containsText" text="VL">
      <formula>NOT(ISERROR(SEARCH("VL",V96)))</formula>
    </cfRule>
  </conditionalFormatting>
  <conditionalFormatting sqref="V96">
    <cfRule type="cellIs" dxfId="5785" priority="878" operator="between">
      <formula>1</formula>
      <formula>449</formula>
    </cfRule>
  </conditionalFormatting>
  <conditionalFormatting sqref="X3:X4">
    <cfRule type="containsText" dxfId="5784" priority="877" operator="containsText" text="P">
      <formula>NOT(ISERROR(SEARCH("P",X3)))</formula>
    </cfRule>
  </conditionalFormatting>
  <conditionalFormatting sqref="X3:X4">
    <cfRule type="containsText" dxfId="5783" priority="876" operator="containsText" text="VL">
      <formula>NOT(ISERROR(SEARCH("VL",X3)))</formula>
    </cfRule>
  </conditionalFormatting>
  <conditionalFormatting sqref="X3:X4">
    <cfRule type="cellIs" dxfId="5782" priority="875" operator="between">
      <formula>1</formula>
      <formula>449</formula>
    </cfRule>
  </conditionalFormatting>
  <conditionalFormatting sqref="X21:Y21">
    <cfRule type="containsText" dxfId="5781" priority="874" operator="containsText" text="P">
      <formula>NOT(ISERROR(SEARCH("P",X21)))</formula>
    </cfRule>
  </conditionalFormatting>
  <conditionalFormatting sqref="X21:Y21">
    <cfRule type="containsText" dxfId="5780" priority="873" operator="containsText" text="VL">
      <formula>NOT(ISERROR(SEARCH("VL",X21)))</formula>
    </cfRule>
  </conditionalFormatting>
  <conditionalFormatting sqref="X21:Y21">
    <cfRule type="cellIs" dxfId="5779" priority="872" operator="between">
      <formula>1</formula>
      <formula>449</formula>
    </cfRule>
  </conditionalFormatting>
  <conditionalFormatting sqref="X23:X24">
    <cfRule type="containsText" dxfId="5778" priority="871" operator="containsText" text="P">
      <formula>NOT(ISERROR(SEARCH("P",X23)))</formula>
    </cfRule>
  </conditionalFormatting>
  <conditionalFormatting sqref="X23:X24">
    <cfRule type="containsText" dxfId="5777" priority="870" operator="containsText" text="VL">
      <formula>NOT(ISERROR(SEARCH("VL",X23)))</formula>
    </cfRule>
  </conditionalFormatting>
  <conditionalFormatting sqref="X23:X24">
    <cfRule type="cellIs" dxfId="5776" priority="869" operator="between">
      <formula>1</formula>
      <formula>449</formula>
    </cfRule>
  </conditionalFormatting>
  <conditionalFormatting sqref="X32:Y32">
    <cfRule type="containsText" dxfId="5775" priority="868" operator="containsText" text="P">
      <formula>NOT(ISERROR(SEARCH("P",X32)))</formula>
    </cfRule>
  </conditionalFormatting>
  <conditionalFormatting sqref="X32:Y32">
    <cfRule type="containsText" dxfId="5774" priority="867" operator="containsText" text="VL">
      <formula>NOT(ISERROR(SEARCH("VL",X32)))</formula>
    </cfRule>
  </conditionalFormatting>
  <conditionalFormatting sqref="X32:Y32">
    <cfRule type="cellIs" dxfId="5773" priority="866" operator="between">
      <formula>1</formula>
      <formula>449</formula>
    </cfRule>
  </conditionalFormatting>
  <conditionalFormatting sqref="X43">
    <cfRule type="containsText" dxfId="5772" priority="865" operator="containsText" text="P">
      <formula>NOT(ISERROR(SEARCH("P",X43)))</formula>
    </cfRule>
  </conditionalFormatting>
  <conditionalFormatting sqref="X43">
    <cfRule type="containsText" dxfId="5771" priority="864" operator="containsText" text="VL">
      <formula>NOT(ISERROR(SEARCH("VL",X43)))</formula>
    </cfRule>
  </conditionalFormatting>
  <conditionalFormatting sqref="X43">
    <cfRule type="cellIs" dxfId="5770" priority="863" operator="between">
      <formula>1</formula>
      <formula>449</formula>
    </cfRule>
  </conditionalFormatting>
  <conditionalFormatting sqref="X47:Z47">
    <cfRule type="containsText" dxfId="5769" priority="862" operator="containsText" text="P">
      <formula>NOT(ISERROR(SEARCH("P",X47)))</formula>
    </cfRule>
  </conditionalFormatting>
  <conditionalFormatting sqref="X47:Z47">
    <cfRule type="containsText" dxfId="5768" priority="861" operator="containsText" text="VL">
      <formula>NOT(ISERROR(SEARCH("VL",X47)))</formula>
    </cfRule>
  </conditionalFormatting>
  <conditionalFormatting sqref="X47:Z47">
    <cfRule type="cellIs" dxfId="5767" priority="860" operator="between">
      <formula>1</formula>
      <formula>449</formula>
    </cfRule>
  </conditionalFormatting>
  <conditionalFormatting sqref="X49:X50">
    <cfRule type="containsText" dxfId="5766" priority="859" operator="containsText" text="P">
      <formula>NOT(ISERROR(SEARCH("P",X49)))</formula>
    </cfRule>
  </conditionalFormatting>
  <conditionalFormatting sqref="X49:X50">
    <cfRule type="containsText" dxfId="5765" priority="858" operator="containsText" text="VL">
      <formula>NOT(ISERROR(SEARCH("VL",X49)))</formula>
    </cfRule>
  </conditionalFormatting>
  <conditionalFormatting sqref="X49:X50">
    <cfRule type="cellIs" dxfId="5764" priority="857" operator="between">
      <formula>1</formula>
      <formula>449</formula>
    </cfRule>
  </conditionalFormatting>
  <conditionalFormatting sqref="X53:X54">
    <cfRule type="containsText" dxfId="5763" priority="856" operator="containsText" text="P">
      <formula>NOT(ISERROR(SEARCH("P",X53)))</formula>
    </cfRule>
  </conditionalFormatting>
  <conditionalFormatting sqref="X53:X54">
    <cfRule type="containsText" dxfId="5762" priority="855" operator="containsText" text="VL">
      <formula>NOT(ISERROR(SEARCH("VL",X53)))</formula>
    </cfRule>
  </conditionalFormatting>
  <conditionalFormatting sqref="X53:X54">
    <cfRule type="cellIs" dxfId="5761" priority="854" operator="between">
      <formula>1</formula>
      <formula>449</formula>
    </cfRule>
  </conditionalFormatting>
  <conditionalFormatting sqref="X112">
    <cfRule type="containsText" dxfId="5760" priority="853" operator="containsText" text="P">
      <formula>NOT(ISERROR(SEARCH("P",X112)))</formula>
    </cfRule>
  </conditionalFormatting>
  <conditionalFormatting sqref="X112">
    <cfRule type="containsText" dxfId="5759" priority="852" operator="containsText" text="VL">
      <formula>NOT(ISERROR(SEARCH("VL",X112)))</formula>
    </cfRule>
  </conditionalFormatting>
  <conditionalFormatting sqref="X112">
    <cfRule type="cellIs" dxfId="5758" priority="851" operator="between">
      <formula>1</formula>
      <formula>449</formula>
    </cfRule>
  </conditionalFormatting>
  <conditionalFormatting sqref="X13">
    <cfRule type="containsText" dxfId="5757" priority="850" operator="containsText" text="P">
      <formula>NOT(ISERROR(SEARCH("P",X13)))</formula>
    </cfRule>
  </conditionalFormatting>
  <conditionalFormatting sqref="X13">
    <cfRule type="containsText" dxfId="5756" priority="849" operator="containsText" text="VL">
      <formula>NOT(ISERROR(SEARCH("VL",X13)))</formula>
    </cfRule>
  </conditionalFormatting>
  <conditionalFormatting sqref="X13">
    <cfRule type="cellIs" dxfId="5755" priority="848" operator="between">
      <formula>1</formula>
      <formula>449</formula>
    </cfRule>
  </conditionalFormatting>
  <conditionalFormatting sqref="X13">
    <cfRule type="containsText" dxfId="5754" priority="847" operator="containsText" text="P">
      <formula>NOT(ISERROR(SEARCH("P",X13)))</formula>
    </cfRule>
  </conditionalFormatting>
  <conditionalFormatting sqref="X13">
    <cfRule type="containsText" dxfId="5753" priority="846" operator="containsText" text="VL">
      <formula>NOT(ISERROR(SEARCH("VL",X13)))</formula>
    </cfRule>
  </conditionalFormatting>
  <conditionalFormatting sqref="X13">
    <cfRule type="cellIs" dxfId="5752" priority="845" operator="between">
      <formula>1</formula>
      <formula>449</formula>
    </cfRule>
  </conditionalFormatting>
  <conditionalFormatting sqref="X16:Z16">
    <cfRule type="containsText" dxfId="5751" priority="844" operator="containsText" text="P">
      <formula>NOT(ISERROR(SEARCH("P",X16)))</formula>
    </cfRule>
  </conditionalFormatting>
  <conditionalFormatting sqref="X16:Z16">
    <cfRule type="containsText" dxfId="5750" priority="843" operator="containsText" text="VL">
      <formula>NOT(ISERROR(SEARCH("VL",X16)))</formula>
    </cfRule>
  </conditionalFormatting>
  <conditionalFormatting sqref="X16:Z16">
    <cfRule type="cellIs" dxfId="5749" priority="842" operator="between">
      <formula>1</formula>
      <formula>449</formula>
    </cfRule>
  </conditionalFormatting>
  <conditionalFormatting sqref="X16:Z16">
    <cfRule type="containsText" dxfId="5748" priority="841" operator="containsText" text="P">
      <formula>NOT(ISERROR(SEARCH("P",X16)))</formula>
    </cfRule>
  </conditionalFormatting>
  <conditionalFormatting sqref="X16:Z16">
    <cfRule type="containsText" dxfId="5747" priority="840" operator="containsText" text="VL">
      <formula>NOT(ISERROR(SEARCH("VL",X16)))</formula>
    </cfRule>
  </conditionalFormatting>
  <conditionalFormatting sqref="X16:Z16">
    <cfRule type="cellIs" dxfId="5746" priority="839" operator="between">
      <formula>1</formula>
      <formula>449</formula>
    </cfRule>
  </conditionalFormatting>
  <conditionalFormatting sqref="X17">
    <cfRule type="containsText" dxfId="5745" priority="838" operator="containsText" text="P">
      <formula>NOT(ISERROR(SEARCH("P",X17)))</formula>
    </cfRule>
  </conditionalFormatting>
  <conditionalFormatting sqref="X17">
    <cfRule type="containsText" dxfId="5744" priority="837" operator="containsText" text="VL">
      <formula>NOT(ISERROR(SEARCH("VL",X17)))</formula>
    </cfRule>
  </conditionalFormatting>
  <conditionalFormatting sqref="X17">
    <cfRule type="cellIs" dxfId="5743" priority="836" operator="between">
      <formula>1</formula>
      <formula>449</formula>
    </cfRule>
  </conditionalFormatting>
  <conditionalFormatting sqref="X17">
    <cfRule type="containsText" dxfId="5742" priority="835" operator="containsText" text="P">
      <formula>NOT(ISERROR(SEARCH("P",X17)))</formula>
    </cfRule>
  </conditionalFormatting>
  <conditionalFormatting sqref="X17">
    <cfRule type="containsText" dxfId="5741" priority="834" operator="containsText" text="VL">
      <formula>NOT(ISERROR(SEARCH("VL",X17)))</formula>
    </cfRule>
  </conditionalFormatting>
  <conditionalFormatting sqref="X17">
    <cfRule type="cellIs" dxfId="5740" priority="833" operator="between">
      <formula>1</formula>
      <formula>449</formula>
    </cfRule>
  </conditionalFormatting>
  <conditionalFormatting sqref="X51:Z51">
    <cfRule type="containsText" dxfId="5739" priority="832" operator="containsText" text="P">
      <formula>NOT(ISERROR(SEARCH("P",X51)))</formula>
    </cfRule>
  </conditionalFormatting>
  <conditionalFormatting sqref="X51:Z51">
    <cfRule type="containsText" dxfId="5738" priority="831" operator="containsText" text="VL">
      <formula>NOT(ISERROR(SEARCH("VL",X51)))</formula>
    </cfRule>
  </conditionalFormatting>
  <conditionalFormatting sqref="X51:Z51">
    <cfRule type="cellIs" dxfId="5737" priority="830" operator="between">
      <formula>1</formula>
      <formula>449</formula>
    </cfRule>
  </conditionalFormatting>
  <conditionalFormatting sqref="X51:Z51">
    <cfRule type="containsText" dxfId="5736" priority="829" operator="containsText" text="P">
      <formula>NOT(ISERROR(SEARCH("P",X51)))</formula>
    </cfRule>
  </conditionalFormatting>
  <conditionalFormatting sqref="X51:Z51">
    <cfRule type="containsText" dxfId="5735" priority="828" operator="containsText" text="VL">
      <formula>NOT(ISERROR(SEARCH("VL",X51)))</formula>
    </cfRule>
  </conditionalFormatting>
  <conditionalFormatting sqref="X51:Z51">
    <cfRule type="cellIs" dxfId="5734" priority="827" operator="between">
      <formula>1</formula>
      <formula>449</formula>
    </cfRule>
  </conditionalFormatting>
  <conditionalFormatting sqref="X19:X20">
    <cfRule type="containsText" dxfId="5733" priority="826" operator="containsText" text="P">
      <formula>NOT(ISERROR(SEARCH("P",X19)))</formula>
    </cfRule>
  </conditionalFormatting>
  <conditionalFormatting sqref="X19:X20">
    <cfRule type="containsText" dxfId="5732" priority="825" operator="containsText" text="VL">
      <formula>NOT(ISERROR(SEARCH("VL",X19)))</formula>
    </cfRule>
  </conditionalFormatting>
  <conditionalFormatting sqref="X19:X20">
    <cfRule type="cellIs" dxfId="5731" priority="824" operator="between">
      <formula>1</formula>
      <formula>449</formula>
    </cfRule>
  </conditionalFormatting>
  <conditionalFormatting sqref="X26:X27">
    <cfRule type="containsText" dxfId="5730" priority="823" operator="containsText" text="P">
      <formula>NOT(ISERROR(SEARCH("P",X26)))</formula>
    </cfRule>
  </conditionalFormatting>
  <conditionalFormatting sqref="X26:X27">
    <cfRule type="containsText" dxfId="5729" priority="822" operator="containsText" text="VL">
      <formula>NOT(ISERROR(SEARCH("VL",X26)))</formula>
    </cfRule>
  </conditionalFormatting>
  <conditionalFormatting sqref="X26:X27">
    <cfRule type="cellIs" dxfId="5728" priority="821" operator="between">
      <formula>1</formula>
      <formula>449</formula>
    </cfRule>
  </conditionalFormatting>
  <conditionalFormatting sqref="X37:X38">
    <cfRule type="containsText" dxfId="5727" priority="820" operator="containsText" text="P">
      <formula>NOT(ISERROR(SEARCH("P",X37)))</formula>
    </cfRule>
  </conditionalFormatting>
  <conditionalFormatting sqref="X37:X38">
    <cfRule type="containsText" dxfId="5726" priority="819" operator="containsText" text="VL">
      <formula>NOT(ISERROR(SEARCH("VL",X37)))</formula>
    </cfRule>
  </conditionalFormatting>
  <conditionalFormatting sqref="X37:X38">
    <cfRule type="cellIs" dxfId="5725" priority="818" operator="between">
      <formula>1</formula>
      <formula>449</formula>
    </cfRule>
  </conditionalFormatting>
  <conditionalFormatting sqref="X46">
    <cfRule type="containsText" dxfId="5724" priority="817" operator="containsText" text="P">
      <formula>NOT(ISERROR(SEARCH("P",X46)))</formula>
    </cfRule>
  </conditionalFormatting>
  <conditionalFormatting sqref="X46">
    <cfRule type="containsText" dxfId="5723" priority="816" operator="containsText" text="VL">
      <formula>NOT(ISERROR(SEARCH("VL",X46)))</formula>
    </cfRule>
  </conditionalFormatting>
  <conditionalFormatting sqref="X46">
    <cfRule type="cellIs" dxfId="5722" priority="815" operator="between">
      <formula>1</formula>
      <formula>449</formula>
    </cfRule>
  </conditionalFormatting>
  <conditionalFormatting sqref="X14">
    <cfRule type="containsText" dxfId="5721" priority="814" operator="containsText" text="P">
      <formula>NOT(ISERROR(SEARCH("P",X14)))</formula>
    </cfRule>
  </conditionalFormatting>
  <conditionalFormatting sqref="X14">
    <cfRule type="containsText" dxfId="5720" priority="813" operator="containsText" text="VL">
      <formula>NOT(ISERROR(SEARCH("VL",X14)))</formula>
    </cfRule>
  </conditionalFormatting>
  <conditionalFormatting sqref="X14">
    <cfRule type="cellIs" dxfId="5719" priority="812" operator="between">
      <formula>1</formula>
      <formula>449</formula>
    </cfRule>
  </conditionalFormatting>
  <conditionalFormatting sqref="X29:Z29">
    <cfRule type="containsText" dxfId="5718" priority="811" operator="containsText" text="P">
      <formula>NOT(ISERROR(SEARCH("P",X29)))</formula>
    </cfRule>
  </conditionalFormatting>
  <conditionalFormatting sqref="X29:Z29">
    <cfRule type="containsText" dxfId="5717" priority="810" operator="containsText" text="VL">
      <formula>NOT(ISERROR(SEARCH("VL",X29)))</formula>
    </cfRule>
  </conditionalFormatting>
  <conditionalFormatting sqref="X29:Z29">
    <cfRule type="cellIs" dxfId="5716" priority="809" operator="between">
      <formula>1</formula>
      <formula>449</formula>
    </cfRule>
  </conditionalFormatting>
  <conditionalFormatting sqref="X36:Z36">
    <cfRule type="containsText" dxfId="5715" priority="808" operator="containsText" text="P">
      <formula>NOT(ISERROR(SEARCH("P",X36)))</formula>
    </cfRule>
  </conditionalFormatting>
  <conditionalFormatting sqref="X36:Z36">
    <cfRule type="containsText" dxfId="5714" priority="807" operator="containsText" text="VL">
      <formula>NOT(ISERROR(SEARCH("VL",X36)))</formula>
    </cfRule>
  </conditionalFormatting>
  <conditionalFormatting sqref="X36:Z36">
    <cfRule type="cellIs" dxfId="5713" priority="806" operator="between">
      <formula>1</formula>
      <formula>449</formula>
    </cfRule>
  </conditionalFormatting>
  <conditionalFormatting sqref="X52:Z52">
    <cfRule type="containsText" dxfId="5712" priority="805" operator="containsText" text="P">
      <formula>NOT(ISERROR(SEARCH("P",X52)))</formula>
    </cfRule>
  </conditionalFormatting>
  <conditionalFormatting sqref="X52:Z52">
    <cfRule type="containsText" dxfId="5711" priority="804" operator="containsText" text="VL">
      <formula>NOT(ISERROR(SEARCH("VL",X52)))</formula>
    </cfRule>
  </conditionalFormatting>
  <conditionalFormatting sqref="X56">
    <cfRule type="containsText" dxfId="5710" priority="803" operator="containsText" text="P">
      <formula>NOT(ISERROR(SEARCH("P",X56)))</formula>
    </cfRule>
  </conditionalFormatting>
  <conditionalFormatting sqref="X56">
    <cfRule type="containsText" dxfId="5709" priority="802" operator="containsText" text="VL">
      <formula>NOT(ISERROR(SEARCH("VL",X56)))</formula>
    </cfRule>
  </conditionalFormatting>
  <conditionalFormatting sqref="X56">
    <cfRule type="cellIs" dxfId="5708" priority="801" operator="between">
      <formula>1</formula>
      <formula>449</formula>
    </cfRule>
  </conditionalFormatting>
  <conditionalFormatting sqref="X56">
    <cfRule type="containsText" dxfId="5707" priority="800" operator="containsText" text="P">
      <formula>NOT(ISERROR(SEARCH("P",X56)))</formula>
    </cfRule>
  </conditionalFormatting>
  <conditionalFormatting sqref="X56">
    <cfRule type="containsText" dxfId="5706" priority="799" operator="containsText" text="VL">
      <formula>NOT(ISERROR(SEARCH("VL",X56)))</formula>
    </cfRule>
  </conditionalFormatting>
  <conditionalFormatting sqref="X59:X60">
    <cfRule type="containsText" dxfId="5705" priority="798" operator="containsText" text="P">
      <formula>NOT(ISERROR(SEARCH("P",X59)))</formula>
    </cfRule>
  </conditionalFormatting>
  <conditionalFormatting sqref="X59:X60">
    <cfRule type="containsText" dxfId="5704" priority="797" operator="containsText" text="VL">
      <formula>NOT(ISERROR(SEARCH("VL",X59)))</formula>
    </cfRule>
  </conditionalFormatting>
  <conditionalFormatting sqref="X62">
    <cfRule type="containsText" dxfId="5703" priority="796" operator="containsText" text="P">
      <formula>NOT(ISERROR(SEARCH("P",X62)))</formula>
    </cfRule>
  </conditionalFormatting>
  <conditionalFormatting sqref="X62">
    <cfRule type="containsText" dxfId="5702" priority="795" operator="containsText" text="VL">
      <formula>NOT(ISERROR(SEARCH("VL",X62)))</formula>
    </cfRule>
  </conditionalFormatting>
  <conditionalFormatting sqref="X62">
    <cfRule type="cellIs" dxfId="5701" priority="794" operator="between">
      <formula>1</formula>
      <formula>449</formula>
    </cfRule>
  </conditionalFormatting>
  <conditionalFormatting sqref="Y62">
    <cfRule type="containsText" dxfId="5700" priority="793" operator="containsText" text="P">
      <formula>NOT(ISERROR(SEARCH("P",Y62)))</formula>
    </cfRule>
  </conditionalFormatting>
  <conditionalFormatting sqref="Y62">
    <cfRule type="containsText" dxfId="5699" priority="792" operator="containsText" text="VL">
      <formula>NOT(ISERROR(SEARCH("VL",Y62)))</formula>
    </cfRule>
  </conditionalFormatting>
  <conditionalFormatting sqref="Y62">
    <cfRule type="cellIs" dxfId="5698" priority="791" operator="between">
      <formula>1</formula>
      <formula>449</formula>
    </cfRule>
  </conditionalFormatting>
  <conditionalFormatting sqref="X62">
    <cfRule type="containsText" dxfId="5697" priority="790" operator="containsText" text="P">
      <formula>NOT(ISERROR(SEARCH("P",X62)))</formula>
    </cfRule>
  </conditionalFormatting>
  <conditionalFormatting sqref="X62">
    <cfRule type="containsText" dxfId="5696" priority="789" operator="containsText" text="VL">
      <formula>NOT(ISERROR(SEARCH("VL",X62)))</formula>
    </cfRule>
  </conditionalFormatting>
  <conditionalFormatting sqref="X62">
    <cfRule type="cellIs" dxfId="5695" priority="788" operator="between">
      <formula>1</formula>
      <formula>449</formula>
    </cfRule>
  </conditionalFormatting>
  <conditionalFormatting sqref="X62">
    <cfRule type="containsText" dxfId="5694" priority="787" operator="containsText" text="P">
      <formula>NOT(ISERROR(SEARCH("P",X62)))</formula>
    </cfRule>
  </conditionalFormatting>
  <conditionalFormatting sqref="X62">
    <cfRule type="containsText" dxfId="5693" priority="786" operator="containsText" text="VL">
      <formula>NOT(ISERROR(SEARCH("VL",X62)))</formula>
    </cfRule>
  </conditionalFormatting>
  <conditionalFormatting sqref="X62">
    <cfRule type="cellIs" dxfId="5692" priority="785" operator="between">
      <formula>1</formula>
      <formula>449</formula>
    </cfRule>
  </conditionalFormatting>
  <conditionalFormatting sqref="X64:Z64">
    <cfRule type="containsText" dxfId="5691" priority="784" operator="containsText" text="P">
      <formula>NOT(ISERROR(SEARCH("P",X64)))</formula>
    </cfRule>
  </conditionalFormatting>
  <conditionalFormatting sqref="X64:Z64">
    <cfRule type="containsText" dxfId="5690" priority="783" operator="containsText" text="VL">
      <formula>NOT(ISERROR(SEARCH("VL",X64)))</formula>
    </cfRule>
  </conditionalFormatting>
  <conditionalFormatting sqref="X64:Z64">
    <cfRule type="cellIs" dxfId="5689" priority="782" operator="between">
      <formula>1</formula>
      <formula>449</formula>
    </cfRule>
  </conditionalFormatting>
  <conditionalFormatting sqref="X7:X8">
    <cfRule type="containsText" dxfId="5688" priority="781" operator="containsText" text="P">
      <formula>NOT(ISERROR(SEARCH("P",X7)))</formula>
    </cfRule>
  </conditionalFormatting>
  <conditionalFormatting sqref="X7:X8">
    <cfRule type="containsText" dxfId="5687" priority="780" operator="containsText" text="VL">
      <formula>NOT(ISERROR(SEARCH("VL",X7)))</formula>
    </cfRule>
  </conditionalFormatting>
  <conditionalFormatting sqref="X7:X8">
    <cfRule type="cellIs" dxfId="5686" priority="779" operator="between">
      <formula>1</formula>
      <formula>449</formula>
    </cfRule>
  </conditionalFormatting>
  <conditionalFormatting sqref="X10:X12">
    <cfRule type="containsText" dxfId="5685" priority="778" operator="containsText" text="P">
      <formula>NOT(ISERROR(SEARCH("P",X10)))</formula>
    </cfRule>
  </conditionalFormatting>
  <conditionalFormatting sqref="X10:X12">
    <cfRule type="containsText" dxfId="5684" priority="777" operator="containsText" text="VL">
      <formula>NOT(ISERROR(SEARCH("VL",X10)))</formula>
    </cfRule>
  </conditionalFormatting>
  <conditionalFormatting sqref="X72:Y72">
    <cfRule type="containsText" dxfId="5683" priority="776" operator="containsText" text="P">
      <formula>NOT(ISERROR(SEARCH("P",X72)))</formula>
    </cfRule>
  </conditionalFormatting>
  <conditionalFormatting sqref="X72:Y72">
    <cfRule type="containsText" dxfId="5682" priority="775" operator="containsText" text="VL">
      <formula>NOT(ISERROR(SEARCH("VL",X72)))</formula>
    </cfRule>
  </conditionalFormatting>
  <conditionalFormatting sqref="X72:Y72">
    <cfRule type="cellIs" dxfId="5681" priority="774" operator="between">
      <formula>1</formula>
      <formula>449</formula>
    </cfRule>
  </conditionalFormatting>
  <conditionalFormatting sqref="X74">
    <cfRule type="containsText" dxfId="5680" priority="773" operator="containsText" text="P">
      <formula>NOT(ISERROR(SEARCH("P",X74)))</formula>
    </cfRule>
  </conditionalFormatting>
  <conditionalFormatting sqref="X74">
    <cfRule type="containsText" dxfId="5679" priority="772" operator="containsText" text="VL">
      <formula>NOT(ISERROR(SEARCH("VL",X74)))</formula>
    </cfRule>
  </conditionalFormatting>
  <conditionalFormatting sqref="X74">
    <cfRule type="cellIs" dxfId="5678" priority="771" operator="between">
      <formula>1</formula>
      <formula>449</formula>
    </cfRule>
  </conditionalFormatting>
  <conditionalFormatting sqref="X82:X83">
    <cfRule type="containsText" dxfId="5677" priority="770" operator="containsText" text="P">
      <formula>NOT(ISERROR(SEARCH("P",X82)))</formula>
    </cfRule>
  </conditionalFormatting>
  <conditionalFormatting sqref="X82:X83">
    <cfRule type="containsText" dxfId="5676" priority="769" operator="containsText" text="VL">
      <formula>NOT(ISERROR(SEARCH("VL",X82)))</formula>
    </cfRule>
  </conditionalFormatting>
  <conditionalFormatting sqref="X82:X83">
    <cfRule type="cellIs" dxfId="5675" priority="768" operator="between">
      <formula>1</formula>
      <formula>449</formula>
    </cfRule>
  </conditionalFormatting>
  <conditionalFormatting sqref="X82:X83">
    <cfRule type="containsText" dxfId="5674" priority="767" operator="containsText" text="P">
      <formula>NOT(ISERROR(SEARCH("P",X82)))</formula>
    </cfRule>
  </conditionalFormatting>
  <conditionalFormatting sqref="X82:X83">
    <cfRule type="containsText" dxfId="5673" priority="766" operator="containsText" text="VL">
      <formula>NOT(ISERROR(SEARCH("VL",X82)))</formula>
    </cfRule>
  </conditionalFormatting>
  <conditionalFormatting sqref="X82:X83">
    <cfRule type="cellIs" dxfId="5672" priority="765" operator="between">
      <formula>1</formula>
      <formula>449</formula>
    </cfRule>
  </conditionalFormatting>
  <conditionalFormatting sqref="X98:Z98">
    <cfRule type="containsText" dxfId="5671" priority="764" operator="containsText" text="P">
      <formula>NOT(ISERROR(SEARCH("P",X98)))</formula>
    </cfRule>
  </conditionalFormatting>
  <conditionalFormatting sqref="X98:Z98">
    <cfRule type="containsText" dxfId="5670" priority="763" operator="containsText" text="VL">
      <formula>NOT(ISERROR(SEARCH("VL",X98)))</formula>
    </cfRule>
  </conditionalFormatting>
  <conditionalFormatting sqref="X98:Z98">
    <cfRule type="cellIs" dxfId="5669" priority="762" operator="between">
      <formula>1</formula>
      <formula>449</formula>
    </cfRule>
  </conditionalFormatting>
  <conditionalFormatting sqref="X98:Z98">
    <cfRule type="containsText" dxfId="5668" priority="761" operator="containsText" text="P">
      <formula>NOT(ISERROR(SEARCH("P",X98)))</formula>
    </cfRule>
  </conditionalFormatting>
  <conditionalFormatting sqref="X98:Z98">
    <cfRule type="containsText" dxfId="5667" priority="760" operator="containsText" text="VL">
      <formula>NOT(ISERROR(SEARCH("VL",X98)))</formula>
    </cfRule>
  </conditionalFormatting>
  <conditionalFormatting sqref="X98:Z98">
    <cfRule type="cellIs" dxfId="5666" priority="759" operator="between">
      <formula>1</formula>
      <formula>449</formula>
    </cfRule>
  </conditionalFormatting>
  <conditionalFormatting sqref="X77:X78">
    <cfRule type="containsText" dxfId="5665" priority="758" operator="containsText" text="P">
      <formula>NOT(ISERROR(SEARCH("P",X77)))</formula>
    </cfRule>
  </conditionalFormatting>
  <conditionalFormatting sqref="X77:X78">
    <cfRule type="containsText" dxfId="5664" priority="757" operator="containsText" text="VL">
      <formula>NOT(ISERROR(SEARCH("VL",X77)))</formula>
    </cfRule>
  </conditionalFormatting>
  <conditionalFormatting sqref="X77:X78">
    <cfRule type="cellIs" dxfId="5663" priority="756" operator="between">
      <formula>1</formula>
      <formula>449</formula>
    </cfRule>
  </conditionalFormatting>
  <conditionalFormatting sqref="X78:AA78">
    <cfRule type="containsText" dxfId="5662" priority="755" operator="containsText" text="P">
      <formula>NOT(ISERROR(SEARCH("P",X78)))</formula>
    </cfRule>
  </conditionalFormatting>
  <conditionalFormatting sqref="X78:AA78">
    <cfRule type="containsText" dxfId="5661" priority="754" operator="containsText" text="VL">
      <formula>NOT(ISERROR(SEARCH("VL",X78)))</formula>
    </cfRule>
  </conditionalFormatting>
  <conditionalFormatting sqref="X78:AA78">
    <cfRule type="cellIs" dxfId="5660" priority="753" operator="between">
      <formula>1</formula>
      <formula>449</formula>
    </cfRule>
  </conditionalFormatting>
  <conditionalFormatting sqref="X80">
    <cfRule type="containsText" dxfId="5659" priority="752" operator="containsText" text="P">
      <formula>NOT(ISERROR(SEARCH("P",X80)))</formula>
    </cfRule>
  </conditionalFormatting>
  <conditionalFormatting sqref="X80">
    <cfRule type="containsText" dxfId="5658" priority="751" operator="containsText" text="VL">
      <formula>NOT(ISERROR(SEARCH("VL",X80)))</formula>
    </cfRule>
  </conditionalFormatting>
  <conditionalFormatting sqref="X80">
    <cfRule type="cellIs" dxfId="5657" priority="750" operator="between">
      <formula>1</formula>
      <formula>449</formula>
    </cfRule>
  </conditionalFormatting>
  <conditionalFormatting sqref="X80">
    <cfRule type="containsText" dxfId="5656" priority="749" operator="containsText" text="P">
      <formula>NOT(ISERROR(SEARCH("P",X80)))</formula>
    </cfRule>
  </conditionalFormatting>
  <conditionalFormatting sqref="X80">
    <cfRule type="containsText" dxfId="5655" priority="748" operator="containsText" text="VL">
      <formula>NOT(ISERROR(SEARCH("VL",X80)))</formula>
    </cfRule>
  </conditionalFormatting>
  <conditionalFormatting sqref="X80">
    <cfRule type="cellIs" dxfId="5654" priority="747" operator="between">
      <formula>1</formula>
      <formula>449</formula>
    </cfRule>
  </conditionalFormatting>
  <conditionalFormatting sqref="X84:X86">
    <cfRule type="containsText" dxfId="5653" priority="746" operator="containsText" text="P">
      <formula>NOT(ISERROR(SEARCH("P",X84)))</formula>
    </cfRule>
  </conditionalFormatting>
  <conditionalFormatting sqref="X84:X86">
    <cfRule type="containsText" dxfId="5652" priority="745" operator="containsText" text="VL">
      <formula>NOT(ISERROR(SEARCH("VL",X84)))</formula>
    </cfRule>
  </conditionalFormatting>
  <conditionalFormatting sqref="X84:X86">
    <cfRule type="cellIs" dxfId="5651" priority="744" operator="between">
      <formula>1</formula>
      <formula>449</formula>
    </cfRule>
  </conditionalFormatting>
  <conditionalFormatting sqref="X84:X86">
    <cfRule type="containsText" dxfId="5650" priority="743" operator="containsText" text="P">
      <formula>NOT(ISERROR(SEARCH("P",X84)))</formula>
    </cfRule>
  </conditionalFormatting>
  <conditionalFormatting sqref="X84:X86">
    <cfRule type="containsText" dxfId="5649" priority="742" operator="containsText" text="VL">
      <formula>NOT(ISERROR(SEARCH("VL",X84)))</formula>
    </cfRule>
  </conditionalFormatting>
  <conditionalFormatting sqref="X84:X86">
    <cfRule type="cellIs" dxfId="5648" priority="741" operator="between">
      <formula>1</formula>
      <formula>449</formula>
    </cfRule>
  </conditionalFormatting>
  <conditionalFormatting sqref="X90">
    <cfRule type="containsText" dxfId="5647" priority="740" operator="containsText" text="P">
      <formula>NOT(ISERROR(SEARCH("P",X90)))</formula>
    </cfRule>
  </conditionalFormatting>
  <conditionalFormatting sqref="X90">
    <cfRule type="containsText" dxfId="5646" priority="739" operator="containsText" text="VL">
      <formula>NOT(ISERROR(SEARCH("VL",X90)))</formula>
    </cfRule>
  </conditionalFormatting>
  <conditionalFormatting sqref="X90">
    <cfRule type="cellIs" dxfId="5645" priority="738" operator="between">
      <formula>1</formula>
      <formula>449</formula>
    </cfRule>
  </conditionalFormatting>
  <conditionalFormatting sqref="X90">
    <cfRule type="containsText" dxfId="5644" priority="737" operator="containsText" text="P">
      <formula>NOT(ISERROR(SEARCH("P",X90)))</formula>
    </cfRule>
  </conditionalFormatting>
  <conditionalFormatting sqref="X90">
    <cfRule type="containsText" dxfId="5643" priority="736" operator="containsText" text="VL">
      <formula>NOT(ISERROR(SEARCH("VL",X90)))</formula>
    </cfRule>
  </conditionalFormatting>
  <conditionalFormatting sqref="X90">
    <cfRule type="cellIs" dxfId="5642" priority="735" operator="between">
      <formula>1</formula>
      <formula>449</formula>
    </cfRule>
  </conditionalFormatting>
  <conditionalFormatting sqref="X114">
    <cfRule type="containsText" dxfId="5641" priority="734" operator="containsText" text="P">
      <formula>NOT(ISERROR(SEARCH("P",X114)))</formula>
    </cfRule>
  </conditionalFormatting>
  <conditionalFormatting sqref="X114">
    <cfRule type="containsText" dxfId="5640" priority="733" operator="containsText" text="VL">
      <formula>NOT(ISERROR(SEARCH("VL",X114)))</formula>
    </cfRule>
  </conditionalFormatting>
  <conditionalFormatting sqref="X114">
    <cfRule type="cellIs" dxfId="5639" priority="732" operator="between">
      <formula>1</formula>
      <formula>449</formula>
    </cfRule>
  </conditionalFormatting>
  <conditionalFormatting sqref="X114">
    <cfRule type="containsText" dxfId="5638" priority="731" operator="containsText" text="P">
      <formula>NOT(ISERROR(SEARCH("P",X114)))</formula>
    </cfRule>
  </conditionalFormatting>
  <conditionalFormatting sqref="X114">
    <cfRule type="containsText" dxfId="5637" priority="730" operator="containsText" text="VL">
      <formula>NOT(ISERROR(SEARCH("VL",X114)))</formula>
    </cfRule>
  </conditionalFormatting>
  <conditionalFormatting sqref="X114">
    <cfRule type="cellIs" dxfId="5636" priority="729" operator="between">
      <formula>1</formula>
      <formula>449</formula>
    </cfRule>
  </conditionalFormatting>
  <conditionalFormatting sqref="X108:X109">
    <cfRule type="containsText" dxfId="5635" priority="728" operator="containsText" text="P">
      <formula>NOT(ISERROR(SEARCH("P",X108)))</formula>
    </cfRule>
  </conditionalFormatting>
  <conditionalFormatting sqref="X108:X109">
    <cfRule type="containsText" dxfId="5634" priority="727" operator="containsText" text="VL">
      <formula>NOT(ISERROR(SEARCH("VL",X108)))</formula>
    </cfRule>
  </conditionalFormatting>
  <conditionalFormatting sqref="X108:X109">
    <cfRule type="cellIs" dxfId="5633" priority="726" operator="between">
      <formula>1</formula>
      <formula>449</formula>
    </cfRule>
  </conditionalFormatting>
  <conditionalFormatting sqref="X108:X109">
    <cfRule type="containsText" dxfId="5632" priority="725" operator="containsText" text="P">
      <formula>NOT(ISERROR(SEARCH("P",X108)))</formula>
    </cfRule>
  </conditionalFormatting>
  <conditionalFormatting sqref="X108:X109">
    <cfRule type="containsText" dxfId="5631" priority="724" operator="containsText" text="VL">
      <formula>NOT(ISERROR(SEARCH("VL",X108)))</formula>
    </cfRule>
  </conditionalFormatting>
  <conditionalFormatting sqref="X108:X109">
    <cfRule type="cellIs" dxfId="5630" priority="723" operator="between">
      <formula>1</formula>
      <formula>449</formula>
    </cfRule>
  </conditionalFormatting>
  <conditionalFormatting sqref="X110">
    <cfRule type="containsText" dxfId="5629" priority="722" operator="containsText" text="P">
      <formula>NOT(ISERROR(SEARCH("P",X110)))</formula>
    </cfRule>
  </conditionalFormatting>
  <conditionalFormatting sqref="X110">
    <cfRule type="containsText" dxfId="5628" priority="721" operator="containsText" text="VL">
      <formula>NOT(ISERROR(SEARCH("VL",X110)))</formula>
    </cfRule>
  </conditionalFormatting>
  <conditionalFormatting sqref="X110">
    <cfRule type="cellIs" dxfId="5627" priority="720" operator="between">
      <formula>1</formula>
      <formula>449</formula>
    </cfRule>
  </conditionalFormatting>
  <conditionalFormatting sqref="X110">
    <cfRule type="containsText" dxfId="5626" priority="719" operator="containsText" text="P">
      <formula>NOT(ISERROR(SEARCH("P",X110)))</formula>
    </cfRule>
  </conditionalFormatting>
  <conditionalFormatting sqref="X110">
    <cfRule type="containsText" dxfId="5625" priority="718" operator="containsText" text="VL">
      <formula>NOT(ISERROR(SEARCH("VL",X110)))</formula>
    </cfRule>
  </conditionalFormatting>
  <conditionalFormatting sqref="X110">
    <cfRule type="cellIs" dxfId="5624" priority="717" operator="between">
      <formula>1</formula>
      <formula>449</formula>
    </cfRule>
  </conditionalFormatting>
  <conditionalFormatting sqref="X66:X68">
    <cfRule type="containsText" dxfId="5623" priority="716" operator="containsText" text="P">
      <formula>NOT(ISERROR(SEARCH("P",X66)))</formula>
    </cfRule>
  </conditionalFormatting>
  <conditionalFormatting sqref="X66:X68">
    <cfRule type="containsText" dxfId="5622" priority="715" operator="containsText" text="VL">
      <formula>NOT(ISERROR(SEARCH("VL",X66)))</formula>
    </cfRule>
  </conditionalFormatting>
  <conditionalFormatting sqref="X66:X68">
    <cfRule type="cellIs" dxfId="5621" priority="714" operator="between">
      <formula>1</formula>
      <formula>449</formula>
    </cfRule>
  </conditionalFormatting>
  <conditionalFormatting sqref="X94:X95">
    <cfRule type="containsText" dxfId="5620" priority="713" operator="containsText" text="P">
      <formula>NOT(ISERROR(SEARCH("P",X94)))</formula>
    </cfRule>
  </conditionalFormatting>
  <conditionalFormatting sqref="X94:X95">
    <cfRule type="containsText" dxfId="5619" priority="712" operator="containsText" text="VL">
      <formula>NOT(ISERROR(SEARCH("VL",X94)))</formula>
    </cfRule>
  </conditionalFormatting>
  <conditionalFormatting sqref="X94:X95">
    <cfRule type="cellIs" dxfId="5618" priority="711" operator="between">
      <formula>1</formula>
      <formula>449</formula>
    </cfRule>
  </conditionalFormatting>
  <conditionalFormatting sqref="X89">
    <cfRule type="containsText" dxfId="5617" priority="710" operator="containsText" text="P">
      <formula>NOT(ISERROR(SEARCH("P",X89)))</formula>
    </cfRule>
  </conditionalFormatting>
  <conditionalFormatting sqref="X89">
    <cfRule type="containsText" dxfId="5616" priority="709" operator="containsText" text="VL">
      <formula>NOT(ISERROR(SEARCH("VL",X89)))</formula>
    </cfRule>
  </conditionalFormatting>
  <conditionalFormatting sqref="X89">
    <cfRule type="cellIs" dxfId="5615" priority="708" operator="between">
      <formula>1</formula>
      <formula>449</formula>
    </cfRule>
  </conditionalFormatting>
  <conditionalFormatting sqref="Y3:Y4">
    <cfRule type="containsText" dxfId="5614" priority="707" operator="containsText" text="P">
      <formula>NOT(ISERROR(SEARCH("P",Y3)))</formula>
    </cfRule>
  </conditionalFormatting>
  <conditionalFormatting sqref="Y3:Y4">
    <cfRule type="containsText" dxfId="5613" priority="706" operator="containsText" text="VL">
      <formula>NOT(ISERROR(SEARCH("VL",Y3)))</formula>
    </cfRule>
  </conditionalFormatting>
  <conditionalFormatting sqref="Y3:Y4">
    <cfRule type="cellIs" dxfId="5612" priority="705" operator="between">
      <formula>1</formula>
      <formula>449</formula>
    </cfRule>
  </conditionalFormatting>
  <conditionalFormatting sqref="Y23:Z23">
    <cfRule type="containsText" dxfId="5611" priority="704" operator="containsText" text="P">
      <formula>NOT(ISERROR(SEARCH("P",Y23)))</formula>
    </cfRule>
  </conditionalFormatting>
  <conditionalFormatting sqref="Y23:Z23">
    <cfRule type="containsText" dxfId="5610" priority="703" operator="containsText" text="VL">
      <formula>NOT(ISERROR(SEARCH("VL",Y23)))</formula>
    </cfRule>
  </conditionalFormatting>
  <conditionalFormatting sqref="Y23:Z23">
    <cfRule type="cellIs" dxfId="5609" priority="702" operator="between">
      <formula>1</formula>
      <formula>449</formula>
    </cfRule>
  </conditionalFormatting>
  <conditionalFormatting sqref="Y24:Z24">
    <cfRule type="containsText" dxfId="5608" priority="701" operator="containsText" text="P">
      <formula>NOT(ISERROR(SEARCH("P",Y24)))</formula>
    </cfRule>
  </conditionalFormatting>
  <conditionalFormatting sqref="Y24:Z24">
    <cfRule type="containsText" dxfId="5607" priority="700" operator="containsText" text="VL">
      <formula>NOT(ISERROR(SEARCH("VL",Y24)))</formula>
    </cfRule>
  </conditionalFormatting>
  <conditionalFormatting sqref="Y24:Z24">
    <cfRule type="cellIs" dxfId="5606" priority="699" operator="between">
      <formula>1</formula>
      <formula>449</formula>
    </cfRule>
  </conditionalFormatting>
  <conditionalFormatting sqref="Y42:Z42">
    <cfRule type="containsText" dxfId="5605" priority="698" operator="containsText" text="P">
      <formula>NOT(ISERROR(SEARCH("P",Y42)))</formula>
    </cfRule>
  </conditionalFormatting>
  <conditionalFormatting sqref="Y42:Z42">
    <cfRule type="containsText" dxfId="5604" priority="697" operator="containsText" text="VL">
      <formula>NOT(ISERROR(SEARCH("VL",Y42)))</formula>
    </cfRule>
  </conditionalFormatting>
  <conditionalFormatting sqref="Y42:Z42">
    <cfRule type="cellIs" dxfId="5603" priority="696" operator="between">
      <formula>1</formula>
      <formula>449</formula>
    </cfRule>
  </conditionalFormatting>
  <conditionalFormatting sqref="Y49:Z49">
    <cfRule type="containsText" dxfId="5602" priority="695" operator="containsText" text="P">
      <formula>NOT(ISERROR(SEARCH("P",Y49)))</formula>
    </cfRule>
  </conditionalFormatting>
  <conditionalFormatting sqref="Y49:Z49">
    <cfRule type="containsText" dxfId="5601" priority="694" operator="containsText" text="VL">
      <formula>NOT(ISERROR(SEARCH("VL",Y49)))</formula>
    </cfRule>
  </conditionalFormatting>
  <conditionalFormatting sqref="Y49:Z49">
    <cfRule type="cellIs" dxfId="5600" priority="693" operator="between">
      <formula>1</formula>
      <formula>449</formula>
    </cfRule>
  </conditionalFormatting>
  <conditionalFormatting sqref="Y49:Z49">
    <cfRule type="containsText" dxfId="5599" priority="692" operator="containsText" text="P">
      <formula>NOT(ISERROR(SEARCH("P",Y49)))</formula>
    </cfRule>
  </conditionalFormatting>
  <conditionalFormatting sqref="Y49:Z49">
    <cfRule type="containsText" dxfId="5598" priority="691" operator="containsText" text="VL">
      <formula>NOT(ISERROR(SEARCH("VL",Y49)))</formula>
    </cfRule>
  </conditionalFormatting>
  <conditionalFormatting sqref="Y49:Z49">
    <cfRule type="cellIs" dxfId="5597" priority="690" operator="between">
      <formula>1</formula>
      <formula>449</formula>
    </cfRule>
  </conditionalFormatting>
  <conditionalFormatting sqref="Y49:Z49">
    <cfRule type="containsText" dxfId="5596" priority="689" operator="containsText" text="P">
      <formula>NOT(ISERROR(SEARCH("P",Y49)))</formula>
    </cfRule>
  </conditionalFormatting>
  <conditionalFormatting sqref="Y49:Z49">
    <cfRule type="containsText" dxfId="5595" priority="688" operator="containsText" text="VL">
      <formula>NOT(ISERROR(SEARCH("VL",Y49)))</formula>
    </cfRule>
  </conditionalFormatting>
  <conditionalFormatting sqref="Y49:Z49">
    <cfRule type="cellIs" dxfId="5594" priority="687" operator="between">
      <formula>1</formula>
      <formula>449</formula>
    </cfRule>
  </conditionalFormatting>
  <conditionalFormatting sqref="Y49:Z49">
    <cfRule type="containsText" dxfId="5593" priority="686" operator="containsText" text="P">
      <formula>NOT(ISERROR(SEARCH("P",Y49)))</formula>
    </cfRule>
  </conditionalFormatting>
  <conditionalFormatting sqref="Y49:Z49">
    <cfRule type="containsText" dxfId="5592" priority="685" operator="containsText" text="VL">
      <formula>NOT(ISERROR(SEARCH("VL",Y49)))</formula>
    </cfRule>
  </conditionalFormatting>
  <conditionalFormatting sqref="Y49:Z49">
    <cfRule type="cellIs" dxfId="5591" priority="684" operator="between">
      <formula>1</formula>
      <formula>449</formula>
    </cfRule>
  </conditionalFormatting>
  <conditionalFormatting sqref="Y49:Z49">
    <cfRule type="containsText" dxfId="5590" priority="683" operator="containsText" text="P">
      <formula>NOT(ISERROR(SEARCH("P",Y49)))</formula>
    </cfRule>
  </conditionalFormatting>
  <conditionalFormatting sqref="Y49:Z49">
    <cfRule type="containsText" dxfId="5589" priority="682" operator="containsText" text="VL">
      <formula>NOT(ISERROR(SEARCH("VL",Y49)))</formula>
    </cfRule>
  </conditionalFormatting>
  <conditionalFormatting sqref="Y49:Z49">
    <cfRule type="cellIs" dxfId="5588" priority="681" operator="between">
      <formula>1</formula>
      <formula>449</formula>
    </cfRule>
  </conditionalFormatting>
  <conditionalFormatting sqref="Y50">
    <cfRule type="containsText" dxfId="5587" priority="680" operator="containsText" text="P">
      <formula>NOT(ISERROR(SEARCH("P",Y50)))</formula>
    </cfRule>
  </conditionalFormatting>
  <conditionalFormatting sqref="Y50">
    <cfRule type="containsText" dxfId="5586" priority="679" operator="containsText" text="VL">
      <formula>NOT(ISERROR(SEARCH("VL",Y50)))</formula>
    </cfRule>
  </conditionalFormatting>
  <conditionalFormatting sqref="Y50">
    <cfRule type="cellIs" dxfId="5585" priority="678" operator="between">
      <formula>1</formula>
      <formula>449</formula>
    </cfRule>
  </conditionalFormatting>
  <conditionalFormatting sqref="Y53:Z53">
    <cfRule type="containsText" dxfId="5584" priority="677" operator="containsText" text="P">
      <formula>NOT(ISERROR(SEARCH("P",Y53)))</formula>
    </cfRule>
  </conditionalFormatting>
  <conditionalFormatting sqref="Y53:Z53">
    <cfRule type="containsText" dxfId="5583" priority="676" operator="containsText" text="VL">
      <formula>NOT(ISERROR(SEARCH("VL",Y53)))</formula>
    </cfRule>
  </conditionalFormatting>
  <conditionalFormatting sqref="Y53:Z53">
    <cfRule type="cellIs" dxfId="5582" priority="675" operator="between">
      <formula>1</formula>
      <formula>449</formula>
    </cfRule>
  </conditionalFormatting>
  <conditionalFormatting sqref="Y54:Z54">
    <cfRule type="containsText" dxfId="5581" priority="674" operator="containsText" text="P">
      <formula>NOT(ISERROR(SEARCH("P",Y54)))</formula>
    </cfRule>
  </conditionalFormatting>
  <conditionalFormatting sqref="Y54:Z54">
    <cfRule type="containsText" dxfId="5580" priority="673" operator="containsText" text="VL">
      <formula>NOT(ISERROR(SEARCH("VL",Y54)))</formula>
    </cfRule>
  </conditionalFormatting>
  <conditionalFormatting sqref="Y54:Z54">
    <cfRule type="cellIs" dxfId="5579" priority="672" operator="between">
      <formula>1</formula>
      <formula>449</formula>
    </cfRule>
  </conditionalFormatting>
  <conditionalFormatting sqref="Y112:Z112">
    <cfRule type="containsText" dxfId="5578" priority="671" operator="containsText" text="P">
      <formula>NOT(ISERROR(SEARCH("P",Y112)))</formula>
    </cfRule>
  </conditionalFormatting>
  <conditionalFormatting sqref="Y112:Z112">
    <cfRule type="containsText" dxfId="5577" priority="670" operator="containsText" text="VL">
      <formula>NOT(ISERROR(SEARCH("VL",Y112)))</formula>
    </cfRule>
  </conditionalFormatting>
  <conditionalFormatting sqref="Y112:Z112">
    <cfRule type="cellIs" dxfId="5576" priority="669" operator="between">
      <formula>1</formula>
      <formula>449</formula>
    </cfRule>
  </conditionalFormatting>
  <conditionalFormatting sqref="Y17:Z17">
    <cfRule type="containsText" dxfId="5575" priority="668" operator="containsText" text="P">
      <formula>NOT(ISERROR(SEARCH("P",Y17)))</formula>
    </cfRule>
  </conditionalFormatting>
  <conditionalFormatting sqref="Y17:Z17">
    <cfRule type="containsText" dxfId="5574" priority="667" operator="containsText" text="VL">
      <formula>NOT(ISERROR(SEARCH("VL",Y17)))</formula>
    </cfRule>
  </conditionalFormatting>
  <conditionalFormatting sqref="Y17:Z17">
    <cfRule type="cellIs" dxfId="5573" priority="666" operator="between">
      <formula>1</formula>
      <formula>449</formula>
    </cfRule>
  </conditionalFormatting>
  <conditionalFormatting sqref="Y17:Z17">
    <cfRule type="containsText" dxfId="5572" priority="665" operator="containsText" text="P">
      <formula>NOT(ISERROR(SEARCH("P",Y17)))</formula>
    </cfRule>
  </conditionalFormatting>
  <conditionalFormatting sqref="Y17:Z17">
    <cfRule type="containsText" dxfId="5571" priority="664" operator="containsText" text="VL">
      <formula>NOT(ISERROR(SEARCH("VL",Y17)))</formula>
    </cfRule>
  </conditionalFormatting>
  <conditionalFormatting sqref="Y17:Z17">
    <cfRule type="cellIs" dxfId="5570" priority="663" operator="between">
      <formula>1</formula>
      <formula>449</formula>
    </cfRule>
  </conditionalFormatting>
  <conditionalFormatting sqref="Y31:Z31">
    <cfRule type="containsText" dxfId="5569" priority="662" operator="containsText" text="P">
      <formula>NOT(ISERROR(SEARCH("P",Y31)))</formula>
    </cfRule>
  </conditionalFormatting>
  <conditionalFormatting sqref="Y31:Z31">
    <cfRule type="containsText" dxfId="5568" priority="661" operator="containsText" text="VL">
      <formula>NOT(ISERROR(SEARCH("VL",Y31)))</formula>
    </cfRule>
  </conditionalFormatting>
  <conditionalFormatting sqref="Y31:Z31">
    <cfRule type="cellIs" dxfId="5567" priority="660" operator="between">
      <formula>1</formula>
      <formula>449</formula>
    </cfRule>
  </conditionalFormatting>
  <conditionalFormatting sqref="Y31:Z31">
    <cfRule type="containsText" dxfId="5566" priority="659" operator="containsText" text="P">
      <formula>NOT(ISERROR(SEARCH("P",Y31)))</formula>
    </cfRule>
  </conditionalFormatting>
  <conditionalFormatting sqref="Y31:Z31">
    <cfRule type="containsText" dxfId="5565" priority="658" operator="containsText" text="VL">
      <formula>NOT(ISERROR(SEARCH("VL",Y31)))</formula>
    </cfRule>
  </conditionalFormatting>
  <conditionalFormatting sqref="Y31:Z31">
    <cfRule type="cellIs" dxfId="5564" priority="657" operator="between">
      <formula>1</formula>
      <formula>449</formula>
    </cfRule>
  </conditionalFormatting>
  <conditionalFormatting sqref="Y108:Z108">
    <cfRule type="containsText" dxfId="5563" priority="656" operator="containsText" text="P">
      <formula>NOT(ISERROR(SEARCH("P",Y108)))</formula>
    </cfRule>
  </conditionalFormatting>
  <conditionalFormatting sqref="Y108:Z108">
    <cfRule type="containsText" dxfId="5562" priority="655" operator="containsText" text="VL">
      <formula>NOT(ISERROR(SEARCH("VL",Y108)))</formula>
    </cfRule>
  </conditionalFormatting>
  <conditionalFormatting sqref="Y108:Z108">
    <cfRule type="cellIs" dxfId="5561" priority="654" operator="between">
      <formula>1</formula>
      <formula>449</formula>
    </cfRule>
  </conditionalFormatting>
  <conditionalFormatting sqref="Y108:Z108">
    <cfRule type="containsText" dxfId="5560" priority="653" operator="containsText" text="P">
      <formula>NOT(ISERROR(SEARCH("P",Y108)))</formula>
    </cfRule>
  </conditionalFormatting>
  <conditionalFormatting sqref="Y108:Z108">
    <cfRule type="containsText" dxfId="5559" priority="652" operator="containsText" text="VL">
      <formula>NOT(ISERROR(SEARCH("VL",Y108)))</formula>
    </cfRule>
  </conditionalFormatting>
  <conditionalFormatting sqref="Y108:Z108">
    <cfRule type="cellIs" dxfId="5558" priority="651" operator="between">
      <formula>1</formula>
      <formula>449</formula>
    </cfRule>
  </conditionalFormatting>
  <conditionalFormatting sqref="Y19:Y20">
    <cfRule type="containsText" dxfId="5557" priority="650" operator="containsText" text="P">
      <formula>NOT(ISERROR(SEARCH("P",Y19)))</formula>
    </cfRule>
  </conditionalFormatting>
  <conditionalFormatting sqref="Y19:Y20">
    <cfRule type="containsText" dxfId="5556" priority="649" operator="containsText" text="VL">
      <formula>NOT(ISERROR(SEARCH("VL",Y19)))</formula>
    </cfRule>
  </conditionalFormatting>
  <conditionalFormatting sqref="Y19:Y20">
    <cfRule type="cellIs" dxfId="5555" priority="648" operator="between">
      <formula>1</formula>
      <formula>449</formula>
    </cfRule>
  </conditionalFormatting>
  <conditionalFormatting sqref="Y26:Z26">
    <cfRule type="containsText" dxfId="5554" priority="647" operator="containsText" text="P">
      <formula>NOT(ISERROR(SEARCH("P",Y26)))</formula>
    </cfRule>
  </conditionalFormatting>
  <conditionalFormatting sqref="Y26:Z26">
    <cfRule type="containsText" dxfId="5553" priority="646" operator="containsText" text="VL">
      <formula>NOT(ISERROR(SEARCH("VL",Y26)))</formula>
    </cfRule>
  </conditionalFormatting>
  <conditionalFormatting sqref="Y26:Z26">
    <cfRule type="cellIs" dxfId="5552" priority="645" operator="between">
      <formula>1</formula>
      <formula>449</formula>
    </cfRule>
  </conditionalFormatting>
  <conditionalFormatting sqref="Y27:Z27">
    <cfRule type="containsText" dxfId="5551" priority="644" operator="containsText" text="P">
      <formula>NOT(ISERROR(SEARCH("P",Y27)))</formula>
    </cfRule>
  </conditionalFormatting>
  <conditionalFormatting sqref="Y27:Z27">
    <cfRule type="containsText" dxfId="5550" priority="643" operator="containsText" text="VL">
      <formula>NOT(ISERROR(SEARCH("VL",Y27)))</formula>
    </cfRule>
  </conditionalFormatting>
  <conditionalFormatting sqref="Y27:Z27">
    <cfRule type="cellIs" dxfId="5549" priority="642" operator="between">
      <formula>1</formula>
      <formula>449</formula>
    </cfRule>
  </conditionalFormatting>
  <conditionalFormatting sqref="Y37:Z37">
    <cfRule type="containsText" dxfId="5548" priority="641" operator="containsText" text="P">
      <formula>NOT(ISERROR(SEARCH("P",Y37)))</formula>
    </cfRule>
  </conditionalFormatting>
  <conditionalFormatting sqref="Y37:Z37">
    <cfRule type="containsText" dxfId="5547" priority="640" operator="containsText" text="VL">
      <formula>NOT(ISERROR(SEARCH("VL",Y37)))</formula>
    </cfRule>
  </conditionalFormatting>
  <conditionalFormatting sqref="Y37:Z37">
    <cfRule type="cellIs" dxfId="5546" priority="639" operator="between">
      <formula>1</formula>
      <formula>449</formula>
    </cfRule>
  </conditionalFormatting>
  <conditionalFormatting sqref="Y38:Z38">
    <cfRule type="containsText" dxfId="5545" priority="638" operator="containsText" text="P">
      <formula>NOT(ISERROR(SEARCH("P",Y38)))</formula>
    </cfRule>
  </conditionalFormatting>
  <conditionalFormatting sqref="Y38:Z38">
    <cfRule type="containsText" dxfId="5544" priority="637" operator="containsText" text="VL">
      <formula>NOT(ISERROR(SEARCH("VL",Y38)))</formula>
    </cfRule>
  </conditionalFormatting>
  <conditionalFormatting sqref="Y38:Z38">
    <cfRule type="cellIs" dxfId="5543" priority="636" operator="between">
      <formula>1</formula>
      <formula>449</formula>
    </cfRule>
  </conditionalFormatting>
  <conditionalFormatting sqref="Y46:Z46">
    <cfRule type="containsText" dxfId="5542" priority="635" operator="containsText" text="P">
      <formula>NOT(ISERROR(SEARCH("P",Y46)))</formula>
    </cfRule>
  </conditionalFormatting>
  <conditionalFormatting sqref="Y46:Z46">
    <cfRule type="containsText" dxfId="5541" priority="634" operator="containsText" text="VL">
      <formula>NOT(ISERROR(SEARCH("VL",Y46)))</formula>
    </cfRule>
  </conditionalFormatting>
  <conditionalFormatting sqref="Y46:Z46">
    <cfRule type="cellIs" dxfId="5540" priority="633" operator="between">
      <formula>1</formula>
      <formula>449</formula>
    </cfRule>
  </conditionalFormatting>
  <conditionalFormatting sqref="Y110:Z110">
    <cfRule type="containsText" dxfId="5539" priority="632" operator="containsText" text="P">
      <formula>NOT(ISERROR(SEARCH("P",Y110)))</formula>
    </cfRule>
  </conditionalFormatting>
  <conditionalFormatting sqref="Y110:Z110">
    <cfRule type="containsText" dxfId="5538" priority="631" operator="containsText" text="VL">
      <formula>NOT(ISERROR(SEARCH("VL",Y110)))</formula>
    </cfRule>
  </conditionalFormatting>
  <conditionalFormatting sqref="Y110:Z110">
    <cfRule type="cellIs" dxfId="5537" priority="630" operator="between">
      <formula>1</formula>
      <formula>449</formula>
    </cfRule>
  </conditionalFormatting>
  <conditionalFormatting sqref="Y55">
    <cfRule type="containsText" dxfId="5536" priority="629" operator="containsText" text="P">
      <formula>NOT(ISERROR(SEARCH("P",Y55)))</formula>
    </cfRule>
  </conditionalFormatting>
  <conditionalFormatting sqref="Y55">
    <cfRule type="containsText" dxfId="5535" priority="628" operator="containsText" text="VL">
      <formula>NOT(ISERROR(SEARCH("VL",Y55)))</formula>
    </cfRule>
  </conditionalFormatting>
  <conditionalFormatting sqref="Y55">
    <cfRule type="cellIs" dxfId="5534" priority="627" operator="between">
      <formula>1</formula>
      <formula>449</formula>
    </cfRule>
  </conditionalFormatting>
  <conditionalFormatting sqref="Y55">
    <cfRule type="containsText" dxfId="5533" priority="626" operator="containsText" text="P">
      <formula>NOT(ISERROR(SEARCH("P",Y55)))</formula>
    </cfRule>
  </conditionalFormatting>
  <conditionalFormatting sqref="Y55">
    <cfRule type="containsText" dxfId="5532" priority="625" operator="containsText" text="VL">
      <formula>NOT(ISERROR(SEARCH("VL",Y55)))</formula>
    </cfRule>
  </conditionalFormatting>
  <conditionalFormatting sqref="Y59:Y61">
    <cfRule type="containsText" dxfId="5531" priority="624" operator="containsText" text="P">
      <formula>NOT(ISERROR(SEARCH("P",Y59)))</formula>
    </cfRule>
  </conditionalFormatting>
  <conditionalFormatting sqref="Y59:Y61">
    <cfRule type="containsText" dxfId="5530" priority="623" operator="containsText" text="VL">
      <formula>NOT(ISERROR(SEARCH("VL",Y59)))</formula>
    </cfRule>
  </conditionalFormatting>
  <conditionalFormatting sqref="Y59:Y61">
    <cfRule type="cellIs" dxfId="5529" priority="622" operator="between">
      <formula>1</formula>
      <formula>449</formula>
    </cfRule>
  </conditionalFormatting>
  <conditionalFormatting sqref="Y66:Z66">
    <cfRule type="containsText" dxfId="5528" priority="621" operator="containsText" text="P">
      <formula>NOT(ISERROR(SEARCH("P",Y66)))</formula>
    </cfRule>
  </conditionalFormatting>
  <conditionalFormatting sqref="Y66:Z66">
    <cfRule type="containsText" dxfId="5527" priority="620" operator="containsText" text="VL">
      <formula>NOT(ISERROR(SEARCH("VL",Y66)))</formula>
    </cfRule>
  </conditionalFormatting>
  <conditionalFormatting sqref="Y66:Z66">
    <cfRule type="cellIs" dxfId="5526" priority="619" operator="between">
      <formula>1</formula>
      <formula>449</formula>
    </cfRule>
  </conditionalFormatting>
  <conditionalFormatting sqref="Y7:Y8">
    <cfRule type="containsText" dxfId="5525" priority="618" operator="containsText" text="P">
      <formula>NOT(ISERROR(SEARCH("P",Y7)))</formula>
    </cfRule>
  </conditionalFormatting>
  <conditionalFormatting sqref="Y7:Y8">
    <cfRule type="containsText" dxfId="5524" priority="617" operator="containsText" text="VL">
      <formula>NOT(ISERROR(SEARCH("VL",Y7)))</formula>
    </cfRule>
  </conditionalFormatting>
  <conditionalFormatting sqref="Y7:Y8">
    <cfRule type="cellIs" dxfId="5523" priority="616" operator="between">
      <formula>1</formula>
      <formula>449</formula>
    </cfRule>
  </conditionalFormatting>
  <conditionalFormatting sqref="Y10:Z10">
    <cfRule type="containsText" dxfId="5522" priority="615" operator="containsText" text="P">
      <formula>NOT(ISERROR(SEARCH("P",Y10)))</formula>
    </cfRule>
  </conditionalFormatting>
  <conditionalFormatting sqref="Y10:Z10">
    <cfRule type="containsText" dxfId="5521" priority="614" operator="containsText" text="VL">
      <formula>NOT(ISERROR(SEARCH("VL",Y10)))</formula>
    </cfRule>
  </conditionalFormatting>
  <conditionalFormatting sqref="Y11:Z11">
    <cfRule type="containsText" dxfId="5520" priority="613" operator="containsText" text="P">
      <formula>NOT(ISERROR(SEARCH("P",Y11)))</formula>
    </cfRule>
  </conditionalFormatting>
  <conditionalFormatting sqref="Y11:Z11">
    <cfRule type="containsText" dxfId="5519" priority="612" operator="containsText" text="VL">
      <formula>NOT(ISERROR(SEARCH("VL",Y11)))</formula>
    </cfRule>
  </conditionalFormatting>
  <conditionalFormatting sqref="Y12:Z12">
    <cfRule type="containsText" dxfId="5518" priority="611" operator="containsText" text="P">
      <formula>NOT(ISERROR(SEARCH("P",Y12)))</formula>
    </cfRule>
  </conditionalFormatting>
  <conditionalFormatting sqref="Y12:Z12">
    <cfRule type="containsText" dxfId="5517" priority="610" operator="containsText" text="VL">
      <formula>NOT(ISERROR(SEARCH("VL",Y12)))</formula>
    </cfRule>
  </conditionalFormatting>
  <conditionalFormatting sqref="Y82:Z82">
    <cfRule type="containsText" dxfId="5516" priority="609" operator="containsText" text="P">
      <formula>NOT(ISERROR(SEARCH("P",Y82)))</formula>
    </cfRule>
  </conditionalFormatting>
  <conditionalFormatting sqref="Y82:Z82">
    <cfRule type="containsText" dxfId="5515" priority="608" operator="containsText" text="VL">
      <formula>NOT(ISERROR(SEARCH("VL",Y82)))</formula>
    </cfRule>
  </conditionalFormatting>
  <conditionalFormatting sqref="Y82:Z82">
    <cfRule type="cellIs" dxfId="5514" priority="607" operator="between">
      <formula>1</formula>
      <formula>449</formula>
    </cfRule>
  </conditionalFormatting>
  <conditionalFormatting sqref="Y82:Z82">
    <cfRule type="containsText" dxfId="5513" priority="606" operator="containsText" text="P">
      <formula>NOT(ISERROR(SEARCH("P",Y82)))</formula>
    </cfRule>
  </conditionalFormatting>
  <conditionalFormatting sqref="Y82:Z82">
    <cfRule type="containsText" dxfId="5512" priority="605" operator="containsText" text="VL">
      <formula>NOT(ISERROR(SEARCH("VL",Y82)))</formula>
    </cfRule>
  </conditionalFormatting>
  <conditionalFormatting sqref="Y82:Z82">
    <cfRule type="cellIs" dxfId="5511" priority="604" operator="between">
      <formula>1</formula>
      <formula>449</formula>
    </cfRule>
  </conditionalFormatting>
  <conditionalFormatting sqref="Y83">
    <cfRule type="containsText" dxfId="5510" priority="603" operator="containsText" text="P">
      <formula>NOT(ISERROR(SEARCH("P",Y83)))</formula>
    </cfRule>
  </conditionalFormatting>
  <conditionalFormatting sqref="Y83">
    <cfRule type="containsText" dxfId="5509" priority="602" operator="containsText" text="VL">
      <formula>NOT(ISERROR(SEARCH("VL",Y83)))</formula>
    </cfRule>
  </conditionalFormatting>
  <conditionalFormatting sqref="Y83">
    <cfRule type="cellIs" dxfId="5508" priority="601" operator="between">
      <formula>1</formula>
      <formula>449</formula>
    </cfRule>
  </conditionalFormatting>
  <conditionalFormatting sqref="Y83">
    <cfRule type="containsText" dxfId="5507" priority="600" operator="containsText" text="P">
      <formula>NOT(ISERROR(SEARCH("P",Y83)))</formula>
    </cfRule>
  </conditionalFormatting>
  <conditionalFormatting sqref="Y83">
    <cfRule type="containsText" dxfId="5506" priority="599" operator="containsText" text="VL">
      <formula>NOT(ISERROR(SEARCH("VL",Y83)))</formula>
    </cfRule>
  </conditionalFormatting>
  <conditionalFormatting sqref="Y83">
    <cfRule type="cellIs" dxfId="5505" priority="598" operator="between">
      <formula>1</formula>
      <formula>449</formula>
    </cfRule>
  </conditionalFormatting>
  <conditionalFormatting sqref="Y77:Z77">
    <cfRule type="containsText" dxfId="5504" priority="597" operator="containsText" text="P">
      <formula>NOT(ISERROR(SEARCH("P",Y77)))</formula>
    </cfRule>
  </conditionalFormatting>
  <conditionalFormatting sqref="Y77:Z77">
    <cfRule type="containsText" dxfId="5503" priority="596" operator="containsText" text="VL">
      <formula>NOT(ISERROR(SEARCH("VL",Y77)))</formula>
    </cfRule>
  </conditionalFormatting>
  <conditionalFormatting sqref="Y77:Z77">
    <cfRule type="cellIs" dxfId="5502" priority="595" operator="between">
      <formula>1</formula>
      <formula>449</formula>
    </cfRule>
  </conditionalFormatting>
  <conditionalFormatting sqref="Y78:AA78">
    <cfRule type="containsText" dxfId="5501" priority="594" operator="containsText" text="P">
      <formula>NOT(ISERROR(SEARCH("P",Y78)))</formula>
    </cfRule>
  </conditionalFormatting>
  <conditionalFormatting sqref="Y78:AA78">
    <cfRule type="containsText" dxfId="5500" priority="593" operator="containsText" text="VL">
      <formula>NOT(ISERROR(SEARCH("VL",Y78)))</formula>
    </cfRule>
  </conditionalFormatting>
  <conditionalFormatting sqref="Y78:AA78">
    <cfRule type="cellIs" dxfId="5499" priority="592" operator="between">
      <formula>1</formula>
      <formula>449</formula>
    </cfRule>
  </conditionalFormatting>
  <conditionalFormatting sqref="Y80:Z80">
    <cfRule type="containsText" dxfId="5498" priority="591" operator="containsText" text="P">
      <formula>NOT(ISERROR(SEARCH("P",Y80)))</formula>
    </cfRule>
  </conditionalFormatting>
  <conditionalFormatting sqref="Y80:Z80">
    <cfRule type="containsText" dxfId="5497" priority="590" operator="containsText" text="VL">
      <formula>NOT(ISERROR(SEARCH("VL",Y80)))</formula>
    </cfRule>
  </conditionalFormatting>
  <conditionalFormatting sqref="Y80:Z80">
    <cfRule type="cellIs" dxfId="5496" priority="589" operator="between">
      <formula>1</formula>
      <formula>449</formula>
    </cfRule>
  </conditionalFormatting>
  <conditionalFormatting sqref="Y80:Z80">
    <cfRule type="containsText" dxfId="5495" priority="588" operator="containsText" text="P">
      <formula>NOT(ISERROR(SEARCH("P",Y80)))</formula>
    </cfRule>
  </conditionalFormatting>
  <conditionalFormatting sqref="Y80:Z80">
    <cfRule type="containsText" dxfId="5494" priority="587" operator="containsText" text="VL">
      <formula>NOT(ISERROR(SEARCH("VL",Y80)))</formula>
    </cfRule>
  </conditionalFormatting>
  <conditionalFormatting sqref="Y80:Z80">
    <cfRule type="cellIs" dxfId="5493" priority="586" operator="between">
      <formula>1</formula>
      <formula>449</formula>
    </cfRule>
  </conditionalFormatting>
  <conditionalFormatting sqref="Y67">
    <cfRule type="containsText" dxfId="5492" priority="585" operator="containsText" text="P">
      <formula>NOT(ISERROR(SEARCH("P",Y67)))</formula>
    </cfRule>
  </conditionalFormatting>
  <conditionalFormatting sqref="Y67">
    <cfRule type="containsText" dxfId="5491" priority="584" operator="containsText" text="VL">
      <formula>NOT(ISERROR(SEARCH("VL",Y67)))</formula>
    </cfRule>
  </conditionalFormatting>
  <conditionalFormatting sqref="Y67">
    <cfRule type="cellIs" dxfId="5490" priority="583" operator="between">
      <formula>1</formula>
      <formula>449</formula>
    </cfRule>
  </conditionalFormatting>
  <conditionalFormatting sqref="Y84:Z84">
    <cfRule type="containsText" dxfId="5489" priority="582" operator="containsText" text="P">
      <formula>NOT(ISERROR(SEARCH("P",Y84)))</formula>
    </cfRule>
  </conditionalFormatting>
  <conditionalFormatting sqref="Y84:Z84">
    <cfRule type="containsText" dxfId="5488" priority="581" operator="containsText" text="VL">
      <formula>NOT(ISERROR(SEARCH("VL",Y84)))</formula>
    </cfRule>
  </conditionalFormatting>
  <conditionalFormatting sqref="Y84:Z84">
    <cfRule type="cellIs" dxfId="5487" priority="580" operator="between">
      <formula>1</formula>
      <formula>449</formula>
    </cfRule>
  </conditionalFormatting>
  <conditionalFormatting sqref="Y84:Z84">
    <cfRule type="containsText" dxfId="5486" priority="579" operator="containsText" text="P">
      <formula>NOT(ISERROR(SEARCH("P",Y84)))</formula>
    </cfRule>
  </conditionalFormatting>
  <conditionalFormatting sqref="Y84:Z84">
    <cfRule type="containsText" dxfId="5485" priority="578" operator="containsText" text="VL">
      <formula>NOT(ISERROR(SEARCH("VL",Y84)))</formula>
    </cfRule>
  </conditionalFormatting>
  <conditionalFormatting sqref="Y84:Z84">
    <cfRule type="cellIs" dxfId="5484" priority="577" operator="between">
      <formula>1</formula>
      <formula>449</formula>
    </cfRule>
  </conditionalFormatting>
  <conditionalFormatting sqref="Y97:Z97">
    <cfRule type="containsText" dxfId="5483" priority="576" operator="containsText" text="P">
      <formula>NOT(ISERROR(SEARCH("P",Y97)))</formula>
    </cfRule>
  </conditionalFormatting>
  <conditionalFormatting sqref="Y97:Z97">
    <cfRule type="containsText" dxfId="5482" priority="575" operator="containsText" text="VL">
      <formula>NOT(ISERROR(SEARCH("VL",Y97)))</formula>
    </cfRule>
  </conditionalFormatting>
  <conditionalFormatting sqref="Y97:Z97">
    <cfRule type="cellIs" dxfId="5481" priority="574" operator="between">
      <formula>1</formula>
      <formula>449</formula>
    </cfRule>
  </conditionalFormatting>
  <conditionalFormatting sqref="Y97:Z97">
    <cfRule type="containsText" dxfId="5480" priority="573" operator="containsText" text="P">
      <formula>NOT(ISERROR(SEARCH("P",Y97)))</formula>
    </cfRule>
  </conditionalFormatting>
  <conditionalFormatting sqref="Y97:Z97">
    <cfRule type="containsText" dxfId="5479" priority="572" operator="containsText" text="VL">
      <formula>NOT(ISERROR(SEARCH("VL",Y97)))</formula>
    </cfRule>
  </conditionalFormatting>
  <conditionalFormatting sqref="Y97:Z97">
    <cfRule type="cellIs" dxfId="5478" priority="571" operator="between">
      <formula>1</formula>
      <formula>449</formula>
    </cfRule>
  </conditionalFormatting>
  <conditionalFormatting sqref="Y107">
    <cfRule type="containsText" dxfId="5477" priority="570" operator="containsText" text="P">
      <formula>NOT(ISERROR(SEARCH("P",Y107)))</formula>
    </cfRule>
  </conditionalFormatting>
  <conditionalFormatting sqref="Y107">
    <cfRule type="containsText" dxfId="5476" priority="569" operator="containsText" text="VL">
      <formula>NOT(ISERROR(SEARCH("VL",Y107)))</formula>
    </cfRule>
  </conditionalFormatting>
  <conditionalFormatting sqref="Y107">
    <cfRule type="cellIs" dxfId="5475" priority="568" operator="between">
      <formula>1</formula>
      <formula>449</formula>
    </cfRule>
  </conditionalFormatting>
  <conditionalFormatting sqref="Y107">
    <cfRule type="containsText" dxfId="5474" priority="567" operator="containsText" text="P">
      <formula>NOT(ISERROR(SEARCH("P",Y107)))</formula>
    </cfRule>
  </conditionalFormatting>
  <conditionalFormatting sqref="Y107">
    <cfRule type="containsText" dxfId="5473" priority="566" operator="containsText" text="VL">
      <formula>NOT(ISERROR(SEARCH("VL",Y107)))</formula>
    </cfRule>
  </conditionalFormatting>
  <conditionalFormatting sqref="Y107">
    <cfRule type="cellIs" dxfId="5472" priority="565" operator="between">
      <formula>1</formula>
      <formula>449</formula>
    </cfRule>
  </conditionalFormatting>
  <conditionalFormatting sqref="Y109:Z109">
    <cfRule type="containsText" dxfId="5471" priority="564" operator="containsText" text="P">
      <formula>NOT(ISERROR(SEARCH("P",Y109)))</formula>
    </cfRule>
  </conditionalFormatting>
  <conditionalFormatting sqref="Y109:Z109">
    <cfRule type="containsText" dxfId="5470" priority="563" operator="containsText" text="VL">
      <formula>NOT(ISERROR(SEARCH("VL",Y109)))</formula>
    </cfRule>
  </conditionalFormatting>
  <conditionalFormatting sqref="Y109:Z109">
    <cfRule type="cellIs" dxfId="5469" priority="562" operator="between">
      <formula>1</formula>
      <formula>449</formula>
    </cfRule>
  </conditionalFormatting>
  <conditionalFormatting sqref="Y109:Z109">
    <cfRule type="containsText" dxfId="5468" priority="561" operator="containsText" text="P">
      <formula>NOT(ISERROR(SEARCH("P",Y109)))</formula>
    </cfRule>
  </conditionalFormatting>
  <conditionalFormatting sqref="Y109:Z109">
    <cfRule type="containsText" dxfId="5467" priority="560" operator="containsText" text="VL">
      <formula>NOT(ISERROR(SEARCH("VL",Y109)))</formula>
    </cfRule>
  </conditionalFormatting>
  <conditionalFormatting sqref="Y109:Z109">
    <cfRule type="cellIs" dxfId="5466" priority="559" operator="between">
      <formula>1</formula>
      <formula>449</formula>
    </cfRule>
  </conditionalFormatting>
  <conditionalFormatting sqref="Y105:AA105">
    <cfRule type="containsText" dxfId="5465" priority="558" operator="containsText" text="P">
      <formula>NOT(ISERROR(SEARCH("P",Y105)))</formula>
    </cfRule>
  </conditionalFormatting>
  <conditionalFormatting sqref="Y105:AA105">
    <cfRule type="containsText" dxfId="5464" priority="557" operator="containsText" text="VL">
      <formula>NOT(ISERROR(SEARCH("VL",Y105)))</formula>
    </cfRule>
  </conditionalFormatting>
  <conditionalFormatting sqref="Y105:AA105">
    <cfRule type="cellIs" dxfId="5463" priority="556" operator="between">
      <formula>1</formula>
      <formula>449</formula>
    </cfRule>
  </conditionalFormatting>
  <conditionalFormatting sqref="Y105:AA105">
    <cfRule type="containsText" dxfId="5462" priority="555" operator="containsText" text="P">
      <formula>NOT(ISERROR(SEARCH("P",Y105)))</formula>
    </cfRule>
  </conditionalFormatting>
  <conditionalFormatting sqref="Y105:AA105">
    <cfRule type="containsText" dxfId="5461" priority="554" operator="containsText" text="VL">
      <formula>NOT(ISERROR(SEARCH("VL",Y105)))</formula>
    </cfRule>
  </conditionalFormatting>
  <conditionalFormatting sqref="Y105:AA105">
    <cfRule type="cellIs" dxfId="5460" priority="553" operator="between">
      <formula>1</formula>
      <formula>449</formula>
    </cfRule>
  </conditionalFormatting>
  <conditionalFormatting sqref="Y79:Z79">
    <cfRule type="containsText" dxfId="5459" priority="552" operator="containsText" text="P">
      <formula>NOT(ISERROR(SEARCH("P",Y79)))</formula>
    </cfRule>
  </conditionalFormatting>
  <conditionalFormatting sqref="Y79:Z79">
    <cfRule type="containsText" dxfId="5458" priority="551" operator="containsText" text="VL">
      <formula>NOT(ISERROR(SEARCH("VL",Y79)))</formula>
    </cfRule>
  </conditionalFormatting>
  <conditionalFormatting sqref="Y79:Z79">
    <cfRule type="cellIs" dxfId="5457" priority="550" operator="between">
      <formula>1</formula>
      <formula>449</formula>
    </cfRule>
  </conditionalFormatting>
  <conditionalFormatting sqref="Y79:Z79">
    <cfRule type="containsText" dxfId="5456" priority="549" operator="containsText" text="P">
      <formula>NOT(ISERROR(SEARCH("P",Y79)))</formula>
    </cfRule>
  </conditionalFormatting>
  <conditionalFormatting sqref="Y79:Z79">
    <cfRule type="containsText" dxfId="5455" priority="548" operator="containsText" text="VL">
      <formula>NOT(ISERROR(SEARCH("VL",Y79)))</formula>
    </cfRule>
  </conditionalFormatting>
  <conditionalFormatting sqref="Y79:Z79">
    <cfRule type="cellIs" dxfId="5454" priority="547" operator="between">
      <formula>1</formula>
      <formula>449</formula>
    </cfRule>
  </conditionalFormatting>
  <conditionalFormatting sqref="Y88:Z88">
    <cfRule type="containsText" dxfId="5453" priority="546" operator="containsText" text="P">
      <formula>NOT(ISERROR(SEARCH("P",Y88)))</formula>
    </cfRule>
  </conditionalFormatting>
  <conditionalFormatting sqref="Y88:Z88">
    <cfRule type="containsText" dxfId="5452" priority="545" operator="containsText" text="VL">
      <formula>NOT(ISERROR(SEARCH("VL",Y88)))</formula>
    </cfRule>
  </conditionalFormatting>
  <conditionalFormatting sqref="Y88:Z88">
    <cfRule type="cellIs" dxfId="5451" priority="544" operator="between">
      <formula>1</formula>
      <formula>449</formula>
    </cfRule>
  </conditionalFormatting>
  <conditionalFormatting sqref="Y88:Z88">
    <cfRule type="containsText" dxfId="5450" priority="543" operator="containsText" text="P">
      <formula>NOT(ISERROR(SEARCH("P",Y88)))</formula>
    </cfRule>
  </conditionalFormatting>
  <conditionalFormatting sqref="Y88:Z88">
    <cfRule type="containsText" dxfId="5449" priority="542" operator="containsText" text="VL">
      <formula>NOT(ISERROR(SEARCH("VL",Y88)))</formula>
    </cfRule>
  </conditionalFormatting>
  <conditionalFormatting sqref="Y88:Z88">
    <cfRule type="cellIs" dxfId="5448" priority="541" operator="between">
      <formula>1</formula>
      <formula>449</formula>
    </cfRule>
  </conditionalFormatting>
  <conditionalFormatting sqref="Y94:Y96">
    <cfRule type="containsText" dxfId="5447" priority="540" operator="containsText" text="P">
      <formula>NOT(ISERROR(SEARCH("P",Y94)))</formula>
    </cfRule>
  </conditionalFormatting>
  <conditionalFormatting sqref="Y94:Y96">
    <cfRule type="containsText" dxfId="5446" priority="539" operator="containsText" text="VL">
      <formula>NOT(ISERROR(SEARCH("VL",Y94)))</formula>
    </cfRule>
  </conditionalFormatting>
  <conditionalFormatting sqref="Y94:Y96">
    <cfRule type="cellIs" dxfId="5445" priority="538" operator="between">
      <formula>1</formula>
      <formula>449</formula>
    </cfRule>
  </conditionalFormatting>
  <conditionalFormatting sqref="Y94:Y96">
    <cfRule type="containsText" dxfId="5444" priority="537" operator="containsText" text="P">
      <formula>NOT(ISERROR(SEARCH("P",Y94)))</formula>
    </cfRule>
  </conditionalFormatting>
  <conditionalFormatting sqref="Y94:Y96">
    <cfRule type="containsText" dxfId="5443" priority="536" operator="containsText" text="VL">
      <formula>NOT(ISERROR(SEARCH("VL",Y94)))</formula>
    </cfRule>
  </conditionalFormatting>
  <conditionalFormatting sqref="Y94:Y96">
    <cfRule type="cellIs" dxfId="5442" priority="535" operator="between">
      <formula>1</formula>
      <formula>449</formula>
    </cfRule>
  </conditionalFormatting>
  <conditionalFormatting sqref="Y101:Z101">
    <cfRule type="containsText" dxfId="5441" priority="534" operator="containsText" text="P">
      <formula>NOT(ISERROR(SEARCH("P",Y101)))</formula>
    </cfRule>
  </conditionalFormatting>
  <conditionalFormatting sqref="Y101:Z101">
    <cfRule type="containsText" dxfId="5440" priority="533" operator="containsText" text="VL">
      <formula>NOT(ISERROR(SEARCH("VL",Y101)))</formula>
    </cfRule>
  </conditionalFormatting>
  <conditionalFormatting sqref="Y101:Z101">
    <cfRule type="cellIs" dxfId="5439" priority="532" operator="between">
      <formula>1</formula>
      <formula>449</formula>
    </cfRule>
  </conditionalFormatting>
  <conditionalFormatting sqref="Y101:Z101">
    <cfRule type="containsText" dxfId="5438" priority="531" operator="containsText" text="P">
      <formula>NOT(ISERROR(SEARCH("P",Y101)))</formula>
    </cfRule>
  </conditionalFormatting>
  <conditionalFormatting sqref="Y101:Z101">
    <cfRule type="containsText" dxfId="5437" priority="530" operator="containsText" text="VL">
      <formula>NOT(ISERROR(SEARCH("VL",Y101)))</formula>
    </cfRule>
  </conditionalFormatting>
  <conditionalFormatting sqref="Y101:Z101">
    <cfRule type="cellIs" dxfId="5436" priority="529" operator="between">
      <formula>1</formula>
      <formula>449</formula>
    </cfRule>
  </conditionalFormatting>
  <conditionalFormatting sqref="R64:R70 R86:R87 R100 R102 R106 R108:R110 R114 R53:R62 R73 R89:R92 R96:S96 R112:T112 Q52:T52 Q88:T88 R3:R33 R75:R82 R35:R51">
    <cfRule type="containsText" dxfId="5435" priority="528" operator="containsText" text="P">
      <formula>NOT(ISERROR(SEARCH("P",Q3)))</formula>
    </cfRule>
  </conditionalFormatting>
  <conditionalFormatting sqref="R64:R70 R86:R87 R100 R102 R106 R108:R110 R114 R53:R62 R73 R89:R92 R96:S96 R112:T112 Q52:T52 Q88:T88 R3:R33 R75:R82 R35:R51">
    <cfRule type="containsText" dxfId="5434" priority="527" operator="containsText" text="VL">
      <formula>NOT(ISERROR(SEARCH("VL",Q3)))</formula>
    </cfRule>
  </conditionalFormatting>
  <conditionalFormatting sqref="R64:R70 R86:R87 R100 R102 R106 R108:R110 R114 R53:R62 R73 R89:R92 R96:S96 R112:T112 Q52:T52 Q88:T88 R3:R33 R75:R82 R35:R51">
    <cfRule type="cellIs" dxfId="5433" priority="526" operator="between">
      <formula>1</formula>
      <formula>449</formula>
    </cfRule>
  </conditionalFormatting>
  <conditionalFormatting sqref="Q92">
    <cfRule type="containsText" dxfId="5432" priority="525" operator="containsText" text="P">
      <formula>NOT(ISERROR(SEARCH("P",Q92)))</formula>
    </cfRule>
  </conditionalFormatting>
  <conditionalFormatting sqref="Q92">
    <cfRule type="containsText" dxfId="5431" priority="524" operator="containsText" text="VL">
      <formula>NOT(ISERROR(SEARCH("VL",Q92)))</formula>
    </cfRule>
  </conditionalFormatting>
  <conditionalFormatting sqref="Q92">
    <cfRule type="cellIs" dxfId="5430" priority="523" operator="between">
      <formula>1</formula>
      <formula>449</formula>
    </cfRule>
  </conditionalFormatting>
  <conditionalFormatting sqref="Q65">
    <cfRule type="containsText" dxfId="5429" priority="522" operator="containsText" text="P">
      <formula>NOT(ISERROR(SEARCH("P",Q65)))</formula>
    </cfRule>
  </conditionalFormatting>
  <conditionalFormatting sqref="Q65">
    <cfRule type="containsText" dxfId="5428" priority="521" operator="containsText" text="VL">
      <formula>NOT(ISERROR(SEARCH("VL",Q65)))</formula>
    </cfRule>
  </conditionalFormatting>
  <conditionalFormatting sqref="Q65">
    <cfRule type="cellIs" dxfId="5427" priority="520" operator="between">
      <formula>1</formula>
      <formula>449</formula>
    </cfRule>
  </conditionalFormatting>
  <conditionalFormatting sqref="Q74">
    <cfRule type="containsText" dxfId="5426" priority="519" operator="containsText" text="P">
      <formula>NOT(ISERROR(SEARCH("P",Q74)))</formula>
    </cfRule>
  </conditionalFormatting>
  <conditionalFormatting sqref="Q74">
    <cfRule type="containsText" dxfId="5425" priority="518" operator="containsText" text="VL">
      <formula>NOT(ISERROR(SEARCH("VL",Q74)))</formula>
    </cfRule>
  </conditionalFormatting>
  <conditionalFormatting sqref="Q74">
    <cfRule type="cellIs" dxfId="5424" priority="517" operator="between">
      <formula>1</formula>
      <formula>449</formula>
    </cfRule>
  </conditionalFormatting>
  <conditionalFormatting sqref="Q75">
    <cfRule type="containsText" dxfId="5423" priority="516" operator="containsText" text="P">
      <formula>NOT(ISERROR(SEARCH("P",Q75)))</formula>
    </cfRule>
  </conditionalFormatting>
  <conditionalFormatting sqref="Q75">
    <cfRule type="containsText" dxfId="5422" priority="515" operator="containsText" text="VL">
      <formula>NOT(ISERROR(SEARCH("VL",Q75)))</formula>
    </cfRule>
  </conditionalFormatting>
  <conditionalFormatting sqref="Q75">
    <cfRule type="cellIs" dxfId="5421" priority="514" operator="between">
      <formula>1</formula>
      <formula>449</formula>
    </cfRule>
  </conditionalFormatting>
  <conditionalFormatting sqref="Q89:Q90">
    <cfRule type="containsText" dxfId="5420" priority="513" operator="containsText" text="P">
      <formula>NOT(ISERROR(SEARCH("P",Q89)))</formula>
    </cfRule>
  </conditionalFormatting>
  <conditionalFormatting sqref="Q89:Q90">
    <cfRule type="containsText" dxfId="5419" priority="512" operator="containsText" text="VL">
      <formula>NOT(ISERROR(SEARCH("VL",Q89)))</formula>
    </cfRule>
  </conditionalFormatting>
  <conditionalFormatting sqref="Q89:Q90">
    <cfRule type="cellIs" dxfId="5418" priority="511" operator="between">
      <formula>1</formula>
      <formula>449</formula>
    </cfRule>
  </conditionalFormatting>
  <conditionalFormatting sqref="Q14">
    <cfRule type="containsText" dxfId="5417" priority="510" operator="containsText" text="P">
      <formula>NOT(ISERROR(SEARCH("P",Q14)))</formula>
    </cfRule>
  </conditionalFormatting>
  <conditionalFormatting sqref="Q14">
    <cfRule type="containsText" dxfId="5416" priority="509" operator="containsText" text="VL">
      <formula>NOT(ISERROR(SEARCH("VL",Q14)))</formula>
    </cfRule>
  </conditionalFormatting>
  <conditionalFormatting sqref="Q14">
    <cfRule type="cellIs" dxfId="5415" priority="508" operator="between">
      <formula>1</formula>
      <formula>449</formula>
    </cfRule>
  </conditionalFormatting>
  <conditionalFormatting sqref="O1:U33 U34 O35:U115">
    <cfRule type="cellIs" dxfId="5414" priority="507" operator="equal">
      <formula>450</formula>
    </cfRule>
  </conditionalFormatting>
  <conditionalFormatting sqref="O3:U33 U34 O35:U115">
    <cfRule type="containsText" dxfId="5413" priority="506" operator="containsText" text="VL">
      <formula>NOT(ISERROR(SEARCH("VL",O3)))</formula>
    </cfRule>
  </conditionalFormatting>
  <conditionalFormatting sqref="O3:U33 U34 O35:U115">
    <cfRule type="cellIs" dxfId="5412" priority="505" operator="equal">
      <formula>"LWOP"</formula>
    </cfRule>
  </conditionalFormatting>
  <conditionalFormatting sqref="S3:S4">
    <cfRule type="containsText" dxfId="5411" priority="504" operator="containsText" text="P">
      <formula>NOT(ISERROR(SEARCH("P",S3)))</formula>
    </cfRule>
  </conditionalFormatting>
  <conditionalFormatting sqref="S3:S4">
    <cfRule type="containsText" dxfId="5410" priority="503" operator="containsText" text="VL">
      <formula>NOT(ISERROR(SEARCH("VL",S3)))</formula>
    </cfRule>
  </conditionalFormatting>
  <conditionalFormatting sqref="S3:S4">
    <cfRule type="cellIs" dxfId="5409" priority="502" operator="between">
      <formula>1</formula>
      <formula>449</formula>
    </cfRule>
  </conditionalFormatting>
  <conditionalFormatting sqref="S13:S14">
    <cfRule type="containsText" dxfId="5408" priority="501" operator="containsText" text="P">
      <formula>NOT(ISERROR(SEARCH("P",S13)))</formula>
    </cfRule>
  </conditionalFormatting>
  <conditionalFormatting sqref="S13:S14">
    <cfRule type="containsText" dxfId="5407" priority="500" operator="containsText" text="VL">
      <formula>NOT(ISERROR(SEARCH("VL",S13)))</formula>
    </cfRule>
  </conditionalFormatting>
  <conditionalFormatting sqref="S13:S14">
    <cfRule type="cellIs" dxfId="5406" priority="499" operator="between">
      <formula>1</formula>
      <formula>449</formula>
    </cfRule>
  </conditionalFormatting>
  <conditionalFormatting sqref="S17:T17">
    <cfRule type="containsText" dxfId="5405" priority="498" operator="containsText" text="P">
      <formula>NOT(ISERROR(SEARCH("P",S17)))</formula>
    </cfRule>
  </conditionalFormatting>
  <conditionalFormatting sqref="S17:T17">
    <cfRule type="containsText" dxfId="5404" priority="497" operator="containsText" text="VL">
      <formula>NOT(ISERROR(SEARCH("VL",S17)))</formula>
    </cfRule>
  </conditionalFormatting>
  <conditionalFormatting sqref="S17:T17">
    <cfRule type="cellIs" dxfId="5403" priority="496" operator="between">
      <formula>1</formula>
      <formula>449</formula>
    </cfRule>
  </conditionalFormatting>
  <conditionalFormatting sqref="S18:T18">
    <cfRule type="containsText" dxfId="5402" priority="495" operator="containsText" text="P">
      <formula>NOT(ISERROR(SEARCH("P",S18)))</formula>
    </cfRule>
  </conditionalFormatting>
  <conditionalFormatting sqref="S18:T18">
    <cfRule type="containsText" dxfId="5401" priority="494" operator="containsText" text="VL">
      <formula>NOT(ISERROR(SEARCH("VL",S18)))</formula>
    </cfRule>
  </conditionalFormatting>
  <conditionalFormatting sqref="S18:T18">
    <cfRule type="cellIs" dxfId="5400" priority="493" operator="between">
      <formula>1</formula>
      <formula>449</formula>
    </cfRule>
  </conditionalFormatting>
  <conditionalFormatting sqref="S41">
    <cfRule type="containsText" dxfId="5399" priority="492" operator="containsText" text="P">
      <formula>NOT(ISERROR(SEARCH("P",S41)))</formula>
    </cfRule>
  </conditionalFormatting>
  <conditionalFormatting sqref="S41">
    <cfRule type="containsText" dxfId="5398" priority="491" operator="containsText" text="VL">
      <formula>NOT(ISERROR(SEARCH("VL",S41)))</formula>
    </cfRule>
  </conditionalFormatting>
  <conditionalFormatting sqref="S41">
    <cfRule type="cellIs" dxfId="5397" priority="490" operator="between">
      <formula>1</formula>
      <formula>449</formula>
    </cfRule>
  </conditionalFormatting>
  <conditionalFormatting sqref="S45:T45">
    <cfRule type="containsText" dxfId="5396" priority="489" operator="containsText" text="P">
      <formula>NOT(ISERROR(SEARCH("P",S45)))</formula>
    </cfRule>
  </conditionalFormatting>
  <conditionalFormatting sqref="S45:T45">
    <cfRule type="containsText" dxfId="5395" priority="488" operator="containsText" text="VL">
      <formula>NOT(ISERROR(SEARCH("VL",S45)))</formula>
    </cfRule>
  </conditionalFormatting>
  <conditionalFormatting sqref="S45:T45">
    <cfRule type="cellIs" dxfId="5394" priority="487" operator="between">
      <formula>1</formula>
      <formula>449</formula>
    </cfRule>
  </conditionalFormatting>
  <conditionalFormatting sqref="S108:T108">
    <cfRule type="containsText" dxfId="5393" priority="486" operator="containsText" text="P">
      <formula>NOT(ISERROR(SEARCH("P",S108)))</formula>
    </cfRule>
  </conditionalFormatting>
  <conditionalFormatting sqref="S108:T108">
    <cfRule type="containsText" dxfId="5392" priority="485" operator="containsText" text="VL">
      <formula>NOT(ISERROR(SEARCH("VL",S108)))</formula>
    </cfRule>
  </conditionalFormatting>
  <conditionalFormatting sqref="S108:T108">
    <cfRule type="cellIs" dxfId="5391" priority="484" operator="between">
      <formula>1</formula>
      <formula>449</formula>
    </cfRule>
  </conditionalFormatting>
  <conditionalFormatting sqref="S20">
    <cfRule type="containsText" dxfId="5390" priority="483" operator="containsText" text="P">
      <formula>NOT(ISERROR(SEARCH("P",S20)))</formula>
    </cfRule>
  </conditionalFormatting>
  <conditionalFormatting sqref="S20">
    <cfRule type="containsText" dxfId="5389" priority="482" operator="containsText" text="VL">
      <formula>NOT(ISERROR(SEARCH("VL",S20)))</formula>
    </cfRule>
  </conditionalFormatting>
  <conditionalFormatting sqref="S20">
    <cfRule type="cellIs" dxfId="5388" priority="481" operator="between">
      <formula>1</formula>
      <formula>449</formula>
    </cfRule>
  </conditionalFormatting>
  <conditionalFormatting sqref="S23">
    <cfRule type="containsText" dxfId="5387" priority="480" operator="containsText" text="P">
      <formula>NOT(ISERROR(SEARCH("P",S23)))</formula>
    </cfRule>
  </conditionalFormatting>
  <conditionalFormatting sqref="S23">
    <cfRule type="containsText" dxfId="5386" priority="479" operator="containsText" text="VL">
      <formula>NOT(ISERROR(SEARCH("VL",S23)))</formula>
    </cfRule>
  </conditionalFormatting>
  <conditionalFormatting sqref="S23">
    <cfRule type="cellIs" dxfId="5385" priority="478" operator="between">
      <formula>1</formula>
      <formula>449</formula>
    </cfRule>
  </conditionalFormatting>
  <conditionalFormatting sqref="S25:T26">
    <cfRule type="containsText" dxfId="5384" priority="477" operator="containsText" text="P">
      <formula>NOT(ISERROR(SEARCH("P",S25)))</formula>
    </cfRule>
  </conditionalFormatting>
  <conditionalFormatting sqref="S25:T26">
    <cfRule type="containsText" dxfId="5383" priority="476" operator="containsText" text="VL">
      <formula>NOT(ISERROR(SEARCH("VL",S25)))</formula>
    </cfRule>
  </conditionalFormatting>
  <conditionalFormatting sqref="S25:T26">
    <cfRule type="cellIs" dxfId="5382" priority="475" operator="between">
      <formula>1</formula>
      <formula>449</formula>
    </cfRule>
  </conditionalFormatting>
  <conditionalFormatting sqref="S27:T27">
    <cfRule type="containsText" dxfId="5381" priority="474" operator="containsText" text="P">
      <formula>NOT(ISERROR(SEARCH("P",S27)))</formula>
    </cfRule>
  </conditionalFormatting>
  <conditionalFormatting sqref="S27:T27">
    <cfRule type="containsText" dxfId="5380" priority="473" operator="containsText" text="VL">
      <formula>NOT(ISERROR(SEARCH("VL",S27)))</formula>
    </cfRule>
  </conditionalFormatting>
  <conditionalFormatting sqref="S27:T27">
    <cfRule type="cellIs" dxfId="5379" priority="472" operator="between">
      <formula>1</formula>
      <formula>449</formula>
    </cfRule>
  </conditionalFormatting>
  <conditionalFormatting sqref="S28:T28">
    <cfRule type="containsText" dxfId="5378" priority="471" operator="containsText" text="P">
      <formula>NOT(ISERROR(SEARCH("P",S28)))</formula>
    </cfRule>
  </conditionalFormatting>
  <conditionalFormatting sqref="S28:T28">
    <cfRule type="containsText" dxfId="5377" priority="470" operator="containsText" text="VL">
      <formula>NOT(ISERROR(SEARCH("VL",S28)))</formula>
    </cfRule>
  </conditionalFormatting>
  <conditionalFormatting sqref="S28:T28">
    <cfRule type="cellIs" dxfId="5376" priority="469" operator="between">
      <formula>1</formula>
      <formula>449</formula>
    </cfRule>
  </conditionalFormatting>
  <conditionalFormatting sqref="S30">
    <cfRule type="containsText" dxfId="5375" priority="468" operator="containsText" text="P">
      <formula>NOT(ISERROR(SEARCH("P",S30)))</formula>
    </cfRule>
  </conditionalFormatting>
  <conditionalFormatting sqref="S30">
    <cfRule type="containsText" dxfId="5374" priority="467" operator="containsText" text="VL">
      <formula>NOT(ISERROR(SEARCH("VL",S30)))</formula>
    </cfRule>
  </conditionalFormatting>
  <conditionalFormatting sqref="S30">
    <cfRule type="cellIs" dxfId="5373" priority="466" operator="between">
      <formula>1</formula>
      <formula>449</formula>
    </cfRule>
  </conditionalFormatting>
  <conditionalFormatting sqref="S31">
    <cfRule type="containsText" dxfId="5372" priority="465" operator="containsText" text="P">
      <formula>NOT(ISERROR(SEARCH("P",S31)))</formula>
    </cfRule>
  </conditionalFormatting>
  <conditionalFormatting sqref="S31">
    <cfRule type="containsText" dxfId="5371" priority="464" operator="containsText" text="VL">
      <formula>NOT(ISERROR(SEARCH("VL",S31)))</formula>
    </cfRule>
  </conditionalFormatting>
  <conditionalFormatting sqref="S31">
    <cfRule type="cellIs" dxfId="5370" priority="463" operator="between">
      <formula>1</formula>
      <formula>449</formula>
    </cfRule>
  </conditionalFormatting>
  <conditionalFormatting sqref="S35">
    <cfRule type="containsText" dxfId="5369" priority="462" operator="containsText" text="P">
      <formula>NOT(ISERROR(SEARCH("P",S35)))</formula>
    </cfRule>
  </conditionalFormatting>
  <conditionalFormatting sqref="S35">
    <cfRule type="containsText" dxfId="5368" priority="461" operator="containsText" text="VL">
      <formula>NOT(ISERROR(SEARCH("VL",S35)))</formula>
    </cfRule>
  </conditionalFormatting>
  <conditionalFormatting sqref="S35">
    <cfRule type="cellIs" dxfId="5367" priority="460" operator="between">
      <formula>1</formula>
      <formula>449</formula>
    </cfRule>
  </conditionalFormatting>
  <conditionalFormatting sqref="S36:T36">
    <cfRule type="containsText" dxfId="5366" priority="459" operator="containsText" text="P">
      <formula>NOT(ISERROR(SEARCH("P",S36)))</formula>
    </cfRule>
  </conditionalFormatting>
  <conditionalFormatting sqref="S36:T36">
    <cfRule type="containsText" dxfId="5365" priority="458" operator="containsText" text="VL">
      <formula>NOT(ISERROR(SEARCH("VL",S36)))</formula>
    </cfRule>
  </conditionalFormatting>
  <conditionalFormatting sqref="S36:T36">
    <cfRule type="cellIs" dxfId="5364" priority="457" operator="between">
      <formula>1</formula>
      <formula>449</formula>
    </cfRule>
  </conditionalFormatting>
  <conditionalFormatting sqref="S39:T39">
    <cfRule type="containsText" dxfId="5363" priority="456" operator="containsText" text="P">
      <formula>NOT(ISERROR(SEARCH("P",S39)))</formula>
    </cfRule>
  </conditionalFormatting>
  <conditionalFormatting sqref="S39:T39">
    <cfRule type="containsText" dxfId="5362" priority="455" operator="containsText" text="VL">
      <formula>NOT(ISERROR(SEARCH("VL",S39)))</formula>
    </cfRule>
  </conditionalFormatting>
  <conditionalFormatting sqref="S39:T39">
    <cfRule type="cellIs" dxfId="5361" priority="454" operator="between">
      <formula>1</formula>
      <formula>449</formula>
    </cfRule>
  </conditionalFormatting>
  <conditionalFormatting sqref="S47:T47">
    <cfRule type="containsText" dxfId="5360" priority="453" operator="containsText" text="P">
      <formula>NOT(ISERROR(SEARCH("P",S47)))</formula>
    </cfRule>
  </conditionalFormatting>
  <conditionalFormatting sqref="S47:T47">
    <cfRule type="containsText" dxfId="5359" priority="452" operator="containsText" text="VL">
      <formula>NOT(ISERROR(SEARCH("VL",S47)))</formula>
    </cfRule>
  </conditionalFormatting>
  <conditionalFormatting sqref="S47:T47">
    <cfRule type="cellIs" dxfId="5358" priority="451" operator="between">
      <formula>1</formula>
      <formula>449</formula>
    </cfRule>
  </conditionalFormatting>
  <conditionalFormatting sqref="S110:S111">
    <cfRule type="containsText" dxfId="5357" priority="450" operator="containsText" text="P">
      <formula>NOT(ISERROR(SEARCH("P",S110)))</formula>
    </cfRule>
  </conditionalFormatting>
  <conditionalFormatting sqref="S110:S111">
    <cfRule type="containsText" dxfId="5356" priority="449" operator="containsText" text="VL">
      <formula>NOT(ISERROR(SEARCH("VL",S110)))</formula>
    </cfRule>
  </conditionalFormatting>
  <conditionalFormatting sqref="S110:S111">
    <cfRule type="cellIs" dxfId="5355" priority="448" operator="between">
      <formula>1</formula>
      <formula>449</formula>
    </cfRule>
  </conditionalFormatting>
  <conditionalFormatting sqref="S15:S16">
    <cfRule type="containsText" dxfId="5354" priority="447" operator="containsText" text="P">
      <formula>NOT(ISERROR(SEARCH("P",S15)))</formula>
    </cfRule>
  </conditionalFormatting>
  <conditionalFormatting sqref="S15:S16">
    <cfRule type="containsText" dxfId="5353" priority="446" operator="containsText" text="VL">
      <formula>NOT(ISERROR(SEARCH("VL",S15)))</formula>
    </cfRule>
  </conditionalFormatting>
  <conditionalFormatting sqref="S15:S16">
    <cfRule type="cellIs" dxfId="5352" priority="445" operator="between">
      <formula>1</formula>
      <formula>449</formula>
    </cfRule>
  </conditionalFormatting>
  <conditionalFormatting sqref="S33:T33">
    <cfRule type="containsText" dxfId="5351" priority="444" operator="containsText" text="P">
      <formula>NOT(ISERROR(SEARCH("P",S33)))</formula>
    </cfRule>
  </conditionalFormatting>
  <conditionalFormatting sqref="S33:T33">
    <cfRule type="containsText" dxfId="5350" priority="443" operator="containsText" text="VL">
      <formula>NOT(ISERROR(SEARCH("VL",S33)))</formula>
    </cfRule>
  </conditionalFormatting>
  <conditionalFormatting sqref="S33:T33">
    <cfRule type="cellIs" dxfId="5349" priority="442" operator="between">
      <formula>1</formula>
      <formula>449</formula>
    </cfRule>
  </conditionalFormatting>
  <conditionalFormatting sqref="S46:T46">
    <cfRule type="containsText" dxfId="5348" priority="441" operator="containsText" text="P">
      <formula>NOT(ISERROR(SEARCH("P",S46)))</formula>
    </cfRule>
  </conditionalFormatting>
  <conditionalFormatting sqref="S46:T46">
    <cfRule type="containsText" dxfId="5347" priority="440" operator="containsText" text="VL">
      <formula>NOT(ISERROR(SEARCH("VL",S46)))</formula>
    </cfRule>
  </conditionalFormatting>
  <conditionalFormatting sqref="S46:T46">
    <cfRule type="cellIs" dxfId="5346" priority="439" operator="between">
      <formula>1</formula>
      <formula>449</formula>
    </cfRule>
  </conditionalFormatting>
  <conditionalFormatting sqref="S53:T53">
    <cfRule type="containsText" dxfId="5345" priority="438" operator="containsText" text="P">
      <formula>NOT(ISERROR(SEARCH("P",S53)))</formula>
    </cfRule>
  </conditionalFormatting>
  <conditionalFormatting sqref="S53:T53">
    <cfRule type="containsText" dxfId="5344" priority="437" operator="containsText" text="VL">
      <formula>NOT(ISERROR(SEARCH("VL",S53)))</formula>
    </cfRule>
  </conditionalFormatting>
  <conditionalFormatting sqref="S53:T53">
    <cfRule type="cellIs" dxfId="5343" priority="436" operator="between">
      <formula>1</formula>
      <formula>449</formula>
    </cfRule>
  </conditionalFormatting>
  <conditionalFormatting sqref="S21:T21">
    <cfRule type="containsText" dxfId="5342" priority="435" operator="containsText" text="P">
      <formula>NOT(ISERROR(SEARCH("P",S21)))</formula>
    </cfRule>
  </conditionalFormatting>
  <conditionalFormatting sqref="S21:T21">
    <cfRule type="containsText" dxfId="5341" priority="434" operator="containsText" text="VL">
      <formula>NOT(ISERROR(SEARCH("VL",S21)))</formula>
    </cfRule>
  </conditionalFormatting>
  <conditionalFormatting sqref="S21:T21">
    <cfRule type="cellIs" dxfId="5340" priority="433" operator="between">
      <formula>1</formula>
      <formula>449</formula>
    </cfRule>
  </conditionalFormatting>
  <conditionalFormatting sqref="S26">
    <cfRule type="containsText" dxfId="5339" priority="432" operator="containsText" text="P">
      <formula>NOT(ISERROR(SEARCH("P",S26)))</formula>
    </cfRule>
  </conditionalFormatting>
  <conditionalFormatting sqref="S26">
    <cfRule type="containsText" dxfId="5338" priority="431" operator="containsText" text="VL">
      <formula>NOT(ISERROR(SEARCH("VL",S26)))</formula>
    </cfRule>
  </conditionalFormatting>
  <conditionalFormatting sqref="S26">
    <cfRule type="cellIs" dxfId="5337" priority="430" operator="between">
      <formula>1</formula>
      <formula>449</formula>
    </cfRule>
  </conditionalFormatting>
  <conditionalFormatting sqref="S24:T24">
    <cfRule type="containsText" dxfId="5336" priority="429" operator="containsText" text="P">
      <formula>NOT(ISERROR(SEARCH("P",S24)))</formula>
    </cfRule>
  </conditionalFormatting>
  <conditionalFormatting sqref="S24:T24">
    <cfRule type="containsText" dxfId="5335" priority="428" operator="containsText" text="VL">
      <formula>NOT(ISERROR(SEARCH("VL",S24)))</formula>
    </cfRule>
  </conditionalFormatting>
  <conditionalFormatting sqref="S24:T24">
    <cfRule type="cellIs" dxfId="5334" priority="427" operator="between">
      <formula>1</formula>
      <formula>449</formula>
    </cfRule>
  </conditionalFormatting>
  <conditionalFormatting sqref="S32:T32">
    <cfRule type="containsText" dxfId="5333" priority="426" operator="containsText" text="P">
      <formula>NOT(ISERROR(SEARCH("P",S32)))</formula>
    </cfRule>
  </conditionalFormatting>
  <conditionalFormatting sqref="S32:T32">
    <cfRule type="containsText" dxfId="5332" priority="425" operator="containsText" text="VL">
      <formula>NOT(ISERROR(SEARCH("VL",S32)))</formula>
    </cfRule>
  </conditionalFormatting>
  <conditionalFormatting sqref="S32:T32">
    <cfRule type="cellIs" dxfId="5331" priority="424" operator="between">
      <formula>1</formula>
      <formula>449</formula>
    </cfRule>
  </conditionalFormatting>
  <conditionalFormatting sqref="S43:T43">
    <cfRule type="containsText" dxfId="5330" priority="423" operator="containsText" text="P">
      <formula>NOT(ISERROR(SEARCH("P",S43)))</formula>
    </cfRule>
  </conditionalFormatting>
  <conditionalFormatting sqref="S43:T43">
    <cfRule type="containsText" dxfId="5329" priority="422" operator="containsText" text="VL">
      <formula>NOT(ISERROR(SEARCH("VL",S43)))</formula>
    </cfRule>
  </conditionalFormatting>
  <conditionalFormatting sqref="S43:T43">
    <cfRule type="cellIs" dxfId="5328" priority="421" operator="between">
      <formula>1</formula>
      <formula>449</formula>
    </cfRule>
  </conditionalFormatting>
  <conditionalFormatting sqref="S49:T49">
    <cfRule type="containsText" dxfId="5327" priority="420" operator="containsText" text="P">
      <formula>NOT(ISERROR(SEARCH("P",S49)))</formula>
    </cfRule>
  </conditionalFormatting>
  <conditionalFormatting sqref="S49:T49">
    <cfRule type="containsText" dxfId="5326" priority="419" operator="containsText" text="VL">
      <formula>NOT(ISERROR(SEARCH("VL",S49)))</formula>
    </cfRule>
  </conditionalFormatting>
  <conditionalFormatting sqref="S49:T49">
    <cfRule type="cellIs" dxfId="5325" priority="418" operator="between">
      <formula>1</formula>
      <formula>449</formula>
    </cfRule>
  </conditionalFormatting>
  <conditionalFormatting sqref="S50">
    <cfRule type="containsText" dxfId="5324" priority="417" operator="containsText" text="P">
      <formula>NOT(ISERROR(SEARCH("P",S50)))</formula>
    </cfRule>
  </conditionalFormatting>
  <conditionalFormatting sqref="S50">
    <cfRule type="containsText" dxfId="5323" priority="416" operator="containsText" text="VL">
      <formula>NOT(ISERROR(SEARCH("VL",S50)))</formula>
    </cfRule>
  </conditionalFormatting>
  <conditionalFormatting sqref="S50">
    <cfRule type="cellIs" dxfId="5322" priority="415" operator="between">
      <formula>1</formula>
      <formula>449</formula>
    </cfRule>
  </conditionalFormatting>
  <conditionalFormatting sqref="S54:T54">
    <cfRule type="containsText" dxfId="5321" priority="414" operator="containsText" text="P">
      <formula>NOT(ISERROR(SEARCH("P",S54)))</formula>
    </cfRule>
  </conditionalFormatting>
  <conditionalFormatting sqref="S54:T54">
    <cfRule type="containsText" dxfId="5320" priority="413" operator="containsText" text="VL">
      <formula>NOT(ISERROR(SEARCH("VL",S54)))</formula>
    </cfRule>
  </conditionalFormatting>
  <conditionalFormatting sqref="S54:T54">
    <cfRule type="cellIs" dxfId="5319" priority="412" operator="between">
      <formula>1</formula>
      <formula>449</formula>
    </cfRule>
  </conditionalFormatting>
  <conditionalFormatting sqref="S42:T42">
    <cfRule type="containsText" dxfId="5318" priority="411" operator="containsText" text="P">
      <formula>NOT(ISERROR(SEARCH("P",S42)))</formula>
    </cfRule>
  </conditionalFormatting>
  <conditionalFormatting sqref="S42:T42">
    <cfRule type="containsText" dxfId="5317" priority="410" operator="containsText" text="VL">
      <formula>NOT(ISERROR(SEARCH("VL",S42)))</formula>
    </cfRule>
  </conditionalFormatting>
  <conditionalFormatting sqref="S42:T42">
    <cfRule type="cellIs" dxfId="5316" priority="409" operator="between">
      <formula>1</formula>
      <formula>449</formula>
    </cfRule>
  </conditionalFormatting>
  <conditionalFormatting sqref="S56:T56">
    <cfRule type="containsText" dxfId="5315" priority="408" operator="containsText" text="P">
      <formula>NOT(ISERROR(SEARCH("P",S56)))</formula>
    </cfRule>
  </conditionalFormatting>
  <conditionalFormatting sqref="S56:T56">
    <cfRule type="containsText" dxfId="5314" priority="407" operator="containsText" text="VL">
      <formula>NOT(ISERROR(SEARCH("VL",S56)))</formula>
    </cfRule>
  </conditionalFormatting>
  <conditionalFormatting sqref="S56:T56">
    <cfRule type="cellIs" dxfId="5313" priority="406" operator="between">
      <formula>1</formula>
      <formula>449</formula>
    </cfRule>
  </conditionalFormatting>
  <conditionalFormatting sqref="S5">
    <cfRule type="containsText" dxfId="5312" priority="405" operator="containsText" text="P">
      <formula>NOT(ISERROR(SEARCH("P",S5)))</formula>
    </cfRule>
  </conditionalFormatting>
  <conditionalFormatting sqref="S5">
    <cfRule type="containsText" dxfId="5311" priority="404" operator="containsText" text="VL">
      <formula>NOT(ISERROR(SEARCH("VL",S5)))</formula>
    </cfRule>
  </conditionalFormatting>
  <conditionalFormatting sqref="S5">
    <cfRule type="cellIs" dxfId="5310" priority="403" operator="between">
      <formula>1</formula>
      <formula>449</formula>
    </cfRule>
  </conditionalFormatting>
  <conditionalFormatting sqref="S6:T6">
    <cfRule type="containsText" dxfId="5309" priority="402" operator="containsText" text="P">
      <formula>NOT(ISERROR(SEARCH("P",S6)))</formula>
    </cfRule>
  </conditionalFormatting>
  <conditionalFormatting sqref="S6:T6">
    <cfRule type="containsText" dxfId="5308" priority="401" operator="containsText" text="VL">
      <formula>NOT(ISERROR(SEARCH("VL",S6)))</formula>
    </cfRule>
  </conditionalFormatting>
  <conditionalFormatting sqref="S6:T6">
    <cfRule type="cellIs" dxfId="5307" priority="400" operator="between">
      <formula>1</formula>
      <formula>449</formula>
    </cfRule>
  </conditionalFormatting>
  <conditionalFormatting sqref="S60:S62">
    <cfRule type="containsText" dxfId="5306" priority="399" operator="containsText" text="P">
      <formula>NOT(ISERROR(SEARCH("P",S60)))</formula>
    </cfRule>
  </conditionalFormatting>
  <conditionalFormatting sqref="S60:S62">
    <cfRule type="containsText" dxfId="5305" priority="398" operator="containsText" text="VL">
      <formula>NOT(ISERROR(SEARCH("VL",S60)))</formula>
    </cfRule>
  </conditionalFormatting>
  <conditionalFormatting sqref="S60:S62">
    <cfRule type="cellIs" dxfId="5304" priority="397" operator="between">
      <formula>1</formula>
      <formula>449</formula>
    </cfRule>
  </conditionalFormatting>
  <conditionalFormatting sqref="S64:S65">
    <cfRule type="containsText" dxfId="5303" priority="396" operator="containsText" text="P">
      <formula>NOT(ISERROR(SEARCH("P",S64)))</formula>
    </cfRule>
  </conditionalFormatting>
  <conditionalFormatting sqref="S64:S65">
    <cfRule type="containsText" dxfId="5302" priority="395" operator="containsText" text="VL">
      <formula>NOT(ISERROR(SEARCH("VL",S64)))</formula>
    </cfRule>
  </conditionalFormatting>
  <conditionalFormatting sqref="S64:S65">
    <cfRule type="cellIs" dxfId="5301" priority="394" operator="between">
      <formula>1</formula>
      <formula>449</formula>
    </cfRule>
  </conditionalFormatting>
  <conditionalFormatting sqref="S7:T7">
    <cfRule type="containsText" dxfId="5300" priority="393" operator="containsText" text="P">
      <formula>NOT(ISERROR(SEARCH("P",S7)))</formula>
    </cfRule>
  </conditionalFormatting>
  <conditionalFormatting sqref="S7:T7">
    <cfRule type="containsText" dxfId="5299" priority="392" operator="containsText" text="VL">
      <formula>NOT(ISERROR(SEARCH("VL",S7)))</formula>
    </cfRule>
  </conditionalFormatting>
  <conditionalFormatting sqref="S7:T7">
    <cfRule type="cellIs" dxfId="5298" priority="391" operator="between">
      <formula>1</formula>
      <formula>449</formula>
    </cfRule>
  </conditionalFormatting>
  <conditionalFormatting sqref="S10:T10">
    <cfRule type="containsText" dxfId="5297" priority="390" operator="containsText" text="P">
      <formula>NOT(ISERROR(SEARCH("P",S10)))</formula>
    </cfRule>
  </conditionalFormatting>
  <conditionalFormatting sqref="S10:T10">
    <cfRule type="containsText" dxfId="5296" priority="389" operator="containsText" text="VL">
      <formula>NOT(ISERROR(SEARCH("VL",S10)))</formula>
    </cfRule>
  </conditionalFormatting>
  <conditionalFormatting sqref="S10:T10">
    <cfRule type="cellIs" dxfId="5295" priority="388" operator="between">
      <formula>1</formula>
      <formula>449</formula>
    </cfRule>
  </conditionalFormatting>
  <conditionalFormatting sqref="S11:T11">
    <cfRule type="containsText" dxfId="5294" priority="387" operator="containsText" text="P">
      <formula>NOT(ISERROR(SEARCH("P",S11)))</formula>
    </cfRule>
  </conditionalFormatting>
  <conditionalFormatting sqref="S11:T11">
    <cfRule type="containsText" dxfId="5293" priority="386" operator="containsText" text="VL">
      <formula>NOT(ISERROR(SEARCH("VL",S11)))</formula>
    </cfRule>
  </conditionalFormatting>
  <conditionalFormatting sqref="S11:T11">
    <cfRule type="cellIs" dxfId="5292" priority="385" operator="between">
      <formula>1</formula>
      <formula>449</formula>
    </cfRule>
  </conditionalFormatting>
  <conditionalFormatting sqref="S12:T12">
    <cfRule type="containsText" dxfId="5291" priority="384" operator="containsText" text="P">
      <formula>NOT(ISERROR(SEARCH("P",S12)))</formula>
    </cfRule>
  </conditionalFormatting>
  <conditionalFormatting sqref="S12:T12">
    <cfRule type="containsText" dxfId="5290" priority="383" operator="containsText" text="VL">
      <formula>NOT(ISERROR(SEARCH("VL",S12)))</formula>
    </cfRule>
  </conditionalFormatting>
  <conditionalFormatting sqref="S12:T12">
    <cfRule type="cellIs" dxfId="5289" priority="382" operator="between">
      <formula>1</formula>
      <formula>449</formula>
    </cfRule>
  </conditionalFormatting>
  <conditionalFormatting sqref="S76:S77">
    <cfRule type="containsText" dxfId="5288" priority="381" operator="containsText" text="P">
      <formula>NOT(ISERROR(SEARCH("P",S76)))</formula>
    </cfRule>
  </conditionalFormatting>
  <conditionalFormatting sqref="S76:S77">
    <cfRule type="containsText" dxfId="5287" priority="380" operator="containsText" text="VL">
      <formula>NOT(ISERROR(SEARCH("VL",S76)))</formula>
    </cfRule>
  </conditionalFormatting>
  <conditionalFormatting sqref="S76:S77">
    <cfRule type="cellIs" dxfId="5286" priority="379" operator="between">
      <formula>1</formula>
      <formula>449</formula>
    </cfRule>
  </conditionalFormatting>
  <conditionalFormatting sqref="S81:T81">
    <cfRule type="containsText" dxfId="5285" priority="378" operator="containsText" text="P">
      <formula>NOT(ISERROR(SEARCH("P",S81)))</formula>
    </cfRule>
  </conditionalFormatting>
  <conditionalFormatting sqref="S81:T81">
    <cfRule type="containsText" dxfId="5284" priority="377" operator="containsText" text="VL">
      <formula>NOT(ISERROR(SEARCH("VL",S81)))</formula>
    </cfRule>
  </conditionalFormatting>
  <conditionalFormatting sqref="S81:T81">
    <cfRule type="cellIs" dxfId="5283" priority="376" operator="between">
      <formula>1</formula>
      <formula>449</formula>
    </cfRule>
  </conditionalFormatting>
  <conditionalFormatting sqref="S82">
    <cfRule type="containsText" dxfId="5282" priority="375" operator="containsText" text="P">
      <formula>NOT(ISERROR(SEARCH("P",S82)))</formula>
    </cfRule>
  </conditionalFormatting>
  <conditionalFormatting sqref="S82">
    <cfRule type="containsText" dxfId="5281" priority="374" operator="containsText" text="VL">
      <formula>NOT(ISERROR(SEARCH("VL",S82)))</formula>
    </cfRule>
  </conditionalFormatting>
  <conditionalFormatting sqref="S82">
    <cfRule type="cellIs" dxfId="5280" priority="373" operator="between">
      <formula>1</formula>
      <formula>449</formula>
    </cfRule>
  </conditionalFormatting>
  <conditionalFormatting sqref="S78:T78">
    <cfRule type="containsText" dxfId="5279" priority="372" operator="containsText" text="P">
      <formula>NOT(ISERROR(SEARCH("P",S78)))</formula>
    </cfRule>
  </conditionalFormatting>
  <conditionalFormatting sqref="S78:T78">
    <cfRule type="containsText" dxfId="5278" priority="371" operator="containsText" text="VL">
      <formula>NOT(ISERROR(SEARCH("VL",S78)))</formula>
    </cfRule>
  </conditionalFormatting>
  <conditionalFormatting sqref="S78:T78">
    <cfRule type="cellIs" dxfId="5277" priority="370" operator="between">
      <formula>1</formula>
      <formula>449</formula>
    </cfRule>
  </conditionalFormatting>
  <conditionalFormatting sqref="S86">
    <cfRule type="containsText" dxfId="5276" priority="369" operator="containsText" text="P">
      <formula>NOT(ISERROR(SEARCH("P",S86)))</formula>
    </cfRule>
  </conditionalFormatting>
  <conditionalFormatting sqref="S86">
    <cfRule type="containsText" dxfId="5275" priority="368" operator="containsText" text="VL">
      <formula>NOT(ISERROR(SEARCH("VL",S86)))</formula>
    </cfRule>
  </conditionalFormatting>
  <conditionalFormatting sqref="S86">
    <cfRule type="cellIs" dxfId="5274" priority="367" operator="between">
      <formula>1</formula>
      <formula>449</formula>
    </cfRule>
  </conditionalFormatting>
  <conditionalFormatting sqref="S75">
    <cfRule type="containsText" dxfId="5273" priority="366" operator="containsText" text="P">
      <formula>NOT(ISERROR(SEARCH("P",S75)))</formula>
    </cfRule>
  </conditionalFormatting>
  <conditionalFormatting sqref="S75">
    <cfRule type="containsText" dxfId="5272" priority="365" operator="containsText" text="VL">
      <formula>NOT(ISERROR(SEARCH("VL",S75)))</formula>
    </cfRule>
  </conditionalFormatting>
  <conditionalFormatting sqref="S75">
    <cfRule type="cellIs" dxfId="5271" priority="364" operator="between">
      <formula>1</formula>
      <formula>449</formula>
    </cfRule>
  </conditionalFormatting>
  <conditionalFormatting sqref="S87:T87">
    <cfRule type="containsText" dxfId="5270" priority="363" operator="containsText" text="P">
      <formula>NOT(ISERROR(SEARCH("P",S87)))</formula>
    </cfRule>
  </conditionalFormatting>
  <conditionalFormatting sqref="S87:T87">
    <cfRule type="containsText" dxfId="5269" priority="362" operator="containsText" text="VL">
      <formula>NOT(ISERROR(SEARCH("VL",S87)))</formula>
    </cfRule>
  </conditionalFormatting>
  <conditionalFormatting sqref="S87:T87">
    <cfRule type="cellIs" dxfId="5268" priority="361" operator="between">
      <formula>1</formula>
      <formula>449</formula>
    </cfRule>
  </conditionalFormatting>
  <conditionalFormatting sqref="S89:T89">
    <cfRule type="containsText" dxfId="5267" priority="360" operator="containsText" text="P">
      <formula>NOT(ISERROR(SEARCH("P",S89)))</formula>
    </cfRule>
  </conditionalFormatting>
  <conditionalFormatting sqref="S89:T89">
    <cfRule type="containsText" dxfId="5266" priority="359" operator="containsText" text="VL">
      <formula>NOT(ISERROR(SEARCH("VL",S89)))</formula>
    </cfRule>
  </conditionalFormatting>
  <conditionalFormatting sqref="S89:T89">
    <cfRule type="cellIs" dxfId="5265" priority="358" operator="between">
      <formula>1</formula>
      <formula>449</formula>
    </cfRule>
  </conditionalFormatting>
  <conditionalFormatting sqref="S91:S93">
    <cfRule type="containsText" dxfId="5264" priority="357" operator="containsText" text="P">
      <formula>NOT(ISERROR(SEARCH("P",S91)))</formula>
    </cfRule>
  </conditionalFormatting>
  <conditionalFormatting sqref="S91:S93">
    <cfRule type="containsText" dxfId="5263" priority="356" operator="containsText" text="VL">
      <formula>NOT(ISERROR(SEARCH("VL",S91)))</formula>
    </cfRule>
  </conditionalFormatting>
  <conditionalFormatting sqref="S91:S93">
    <cfRule type="cellIs" dxfId="5262" priority="355" operator="between">
      <formula>1</formula>
      <formula>449</formula>
    </cfRule>
  </conditionalFormatting>
  <conditionalFormatting sqref="S19:T19">
    <cfRule type="containsText" dxfId="5261" priority="354" operator="containsText" text="P">
      <formula>NOT(ISERROR(SEARCH("P",S19)))</formula>
    </cfRule>
  </conditionalFormatting>
  <conditionalFormatting sqref="S19:T19">
    <cfRule type="containsText" dxfId="5260" priority="353" operator="containsText" text="VL">
      <formula>NOT(ISERROR(SEARCH("VL",S19)))</formula>
    </cfRule>
  </conditionalFormatting>
  <conditionalFormatting sqref="S19:T19">
    <cfRule type="cellIs" dxfId="5259" priority="352" operator="between">
      <formula>1</formula>
      <formula>449</formula>
    </cfRule>
  </conditionalFormatting>
  <conditionalFormatting sqref="S29:T29">
    <cfRule type="containsText" dxfId="5258" priority="351" operator="containsText" text="P">
      <formula>NOT(ISERROR(SEARCH("P",S29)))</formula>
    </cfRule>
  </conditionalFormatting>
  <conditionalFormatting sqref="S29:T29">
    <cfRule type="containsText" dxfId="5257" priority="350" operator="containsText" text="VL">
      <formula>NOT(ISERROR(SEARCH("VL",S29)))</formula>
    </cfRule>
  </conditionalFormatting>
  <conditionalFormatting sqref="S29:T29">
    <cfRule type="cellIs" dxfId="5256" priority="349" operator="between">
      <formula>1</formula>
      <formula>449</formula>
    </cfRule>
  </conditionalFormatting>
  <conditionalFormatting sqref="S37:T37">
    <cfRule type="containsText" dxfId="5255" priority="348" operator="containsText" text="P">
      <formula>NOT(ISERROR(SEARCH("P",S37)))</formula>
    </cfRule>
  </conditionalFormatting>
  <conditionalFormatting sqref="S37:T37">
    <cfRule type="containsText" dxfId="5254" priority="347" operator="containsText" text="VL">
      <formula>NOT(ISERROR(SEARCH("VL",S37)))</formula>
    </cfRule>
  </conditionalFormatting>
  <conditionalFormatting sqref="S37:T37">
    <cfRule type="cellIs" dxfId="5253" priority="346" operator="between">
      <formula>1</formula>
      <formula>449</formula>
    </cfRule>
  </conditionalFormatting>
  <conditionalFormatting sqref="S51:T51">
    <cfRule type="containsText" dxfId="5252" priority="345" operator="containsText" text="P">
      <formula>NOT(ISERROR(SEARCH("P",S51)))</formula>
    </cfRule>
  </conditionalFormatting>
  <conditionalFormatting sqref="S51:T51">
    <cfRule type="containsText" dxfId="5251" priority="344" operator="containsText" text="VL">
      <formula>NOT(ISERROR(SEARCH("VL",S51)))</formula>
    </cfRule>
  </conditionalFormatting>
  <conditionalFormatting sqref="S51:T51">
    <cfRule type="cellIs" dxfId="5250" priority="343" operator="between">
      <formula>1</formula>
      <formula>449</formula>
    </cfRule>
  </conditionalFormatting>
  <conditionalFormatting sqref="S58">
    <cfRule type="containsText" dxfId="5249" priority="342" operator="containsText" text="P">
      <formula>NOT(ISERROR(SEARCH("P",S58)))</formula>
    </cfRule>
  </conditionalFormatting>
  <conditionalFormatting sqref="S58">
    <cfRule type="containsText" dxfId="5248" priority="341" operator="containsText" text="VL">
      <formula>NOT(ISERROR(SEARCH("VL",S58)))</formula>
    </cfRule>
  </conditionalFormatting>
  <conditionalFormatting sqref="S58">
    <cfRule type="cellIs" dxfId="5247" priority="340" operator="between">
      <formula>1</formula>
      <formula>449</formula>
    </cfRule>
  </conditionalFormatting>
  <conditionalFormatting sqref="S66:T66">
    <cfRule type="containsText" dxfId="5246" priority="339" operator="containsText" text="P">
      <formula>NOT(ISERROR(SEARCH("P",S66)))</formula>
    </cfRule>
  </conditionalFormatting>
  <conditionalFormatting sqref="S66:T66">
    <cfRule type="containsText" dxfId="5245" priority="338" operator="containsText" text="VL">
      <formula>NOT(ISERROR(SEARCH("VL",S66)))</formula>
    </cfRule>
  </conditionalFormatting>
  <conditionalFormatting sqref="S66:T66">
    <cfRule type="cellIs" dxfId="5244" priority="337" operator="between">
      <formula>1</formula>
      <formula>449</formula>
    </cfRule>
  </conditionalFormatting>
  <conditionalFormatting sqref="S67:S68">
    <cfRule type="containsText" dxfId="5243" priority="336" operator="containsText" text="P">
      <formula>NOT(ISERROR(SEARCH("P",S67)))</formula>
    </cfRule>
  </conditionalFormatting>
  <conditionalFormatting sqref="S67:S68">
    <cfRule type="containsText" dxfId="5242" priority="335" operator="containsText" text="VL">
      <formula>NOT(ISERROR(SEARCH("VL",S67)))</formula>
    </cfRule>
  </conditionalFormatting>
  <conditionalFormatting sqref="S67:S68">
    <cfRule type="cellIs" dxfId="5241" priority="334" operator="between">
      <formula>1</formula>
      <formula>449</formula>
    </cfRule>
  </conditionalFormatting>
  <conditionalFormatting sqref="S69:S71">
    <cfRule type="containsText" dxfId="5240" priority="333" operator="containsText" text="P">
      <formula>NOT(ISERROR(SEARCH("P",S69)))</formula>
    </cfRule>
  </conditionalFormatting>
  <conditionalFormatting sqref="S69:S71">
    <cfRule type="containsText" dxfId="5239" priority="332" operator="containsText" text="VL">
      <formula>NOT(ISERROR(SEARCH("VL",S69)))</formula>
    </cfRule>
  </conditionalFormatting>
  <conditionalFormatting sqref="S69:S71">
    <cfRule type="cellIs" dxfId="5238" priority="331" operator="between">
      <formula>1</formula>
      <formula>449</formula>
    </cfRule>
  </conditionalFormatting>
  <conditionalFormatting sqref="S79:T79">
    <cfRule type="containsText" dxfId="5237" priority="330" operator="containsText" text="P">
      <formula>NOT(ISERROR(SEARCH("P",S79)))</formula>
    </cfRule>
  </conditionalFormatting>
  <conditionalFormatting sqref="S79:T79">
    <cfRule type="containsText" dxfId="5236" priority="329" operator="containsText" text="VL">
      <formula>NOT(ISERROR(SEARCH("VL",S79)))</formula>
    </cfRule>
  </conditionalFormatting>
  <conditionalFormatting sqref="S79:T79">
    <cfRule type="cellIs" dxfId="5235" priority="328" operator="between">
      <formula>1</formula>
      <formula>449</formula>
    </cfRule>
  </conditionalFormatting>
  <conditionalFormatting sqref="S109:T109">
    <cfRule type="containsText" dxfId="5234" priority="327" operator="containsText" text="P">
      <formula>NOT(ISERROR(SEARCH("P",S109)))</formula>
    </cfRule>
  </conditionalFormatting>
  <conditionalFormatting sqref="S109:T109">
    <cfRule type="containsText" dxfId="5233" priority="326" operator="containsText" text="VL">
      <formula>NOT(ISERROR(SEARCH("VL",S109)))</formula>
    </cfRule>
  </conditionalFormatting>
  <conditionalFormatting sqref="S109:T109">
    <cfRule type="cellIs" dxfId="5232" priority="325" operator="between">
      <formula>1</formula>
      <formula>449</formula>
    </cfRule>
  </conditionalFormatting>
  <conditionalFormatting sqref="S73:T73">
    <cfRule type="containsText" dxfId="5231" priority="324" operator="containsText" text="P">
      <formula>NOT(ISERROR(SEARCH("P",S73)))</formula>
    </cfRule>
  </conditionalFormatting>
  <conditionalFormatting sqref="S73:T73">
    <cfRule type="containsText" dxfId="5230" priority="323" operator="containsText" text="VL">
      <formula>NOT(ISERROR(SEARCH("VL",S73)))</formula>
    </cfRule>
  </conditionalFormatting>
  <conditionalFormatting sqref="S73:T73">
    <cfRule type="cellIs" dxfId="5229" priority="322" operator="between">
      <formula>1</formula>
      <formula>449</formula>
    </cfRule>
  </conditionalFormatting>
  <conditionalFormatting sqref="T3:T4">
    <cfRule type="containsText" dxfId="5228" priority="321" operator="containsText" text="P">
      <formula>NOT(ISERROR(SEARCH("P",T3)))</formula>
    </cfRule>
  </conditionalFormatting>
  <conditionalFormatting sqref="T3:T4">
    <cfRule type="containsText" dxfId="5227" priority="320" operator="containsText" text="VL">
      <formula>NOT(ISERROR(SEARCH("VL",T3)))</formula>
    </cfRule>
  </conditionalFormatting>
  <conditionalFormatting sqref="T3:T4">
    <cfRule type="cellIs" dxfId="5226" priority="319" operator="between">
      <formula>1</formula>
      <formula>449</formula>
    </cfRule>
  </conditionalFormatting>
  <conditionalFormatting sqref="T13">
    <cfRule type="containsText" dxfId="5225" priority="318" operator="containsText" text="P">
      <formula>NOT(ISERROR(SEARCH("P",T13)))</formula>
    </cfRule>
  </conditionalFormatting>
  <conditionalFormatting sqref="T13">
    <cfRule type="containsText" dxfId="5224" priority="317" operator="containsText" text="VL">
      <formula>NOT(ISERROR(SEARCH("VL",T13)))</formula>
    </cfRule>
  </conditionalFormatting>
  <conditionalFormatting sqref="T13">
    <cfRule type="cellIs" dxfId="5223" priority="316" operator="between">
      <formula>1</formula>
      <formula>449</formula>
    </cfRule>
  </conditionalFormatting>
  <conditionalFormatting sqref="T16">
    <cfRule type="containsText" dxfId="5222" priority="315" operator="containsText" text="P">
      <formula>NOT(ISERROR(SEARCH("P",T16)))</formula>
    </cfRule>
  </conditionalFormatting>
  <conditionalFormatting sqref="T16">
    <cfRule type="containsText" dxfId="5221" priority="314" operator="containsText" text="VL">
      <formula>NOT(ISERROR(SEARCH("VL",T16)))</formula>
    </cfRule>
  </conditionalFormatting>
  <conditionalFormatting sqref="T16">
    <cfRule type="cellIs" dxfId="5220" priority="313" operator="between">
      <formula>1</formula>
      <formula>449</formula>
    </cfRule>
  </conditionalFormatting>
  <conditionalFormatting sqref="T35">
    <cfRule type="containsText" dxfId="5219" priority="312" operator="containsText" text="P">
      <formula>NOT(ISERROR(SEARCH("P",T35)))</formula>
    </cfRule>
  </conditionalFormatting>
  <conditionalFormatting sqref="T35">
    <cfRule type="containsText" dxfId="5218" priority="311" operator="containsText" text="VL">
      <formula>NOT(ISERROR(SEARCH("VL",T35)))</formula>
    </cfRule>
  </conditionalFormatting>
  <conditionalFormatting sqref="T35">
    <cfRule type="cellIs" dxfId="5217" priority="310" operator="between">
      <formula>1</formula>
      <formula>449</formula>
    </cfRule>
  </conditionalFormatting>
  <conditionalFormatting sqref="T38">
    <cfRule type="containsText" dxfId="5216" priority="309" operator="containsText" text="P">
      <formula>NOT(ISERROR(SEARCH("P",T38)))</formula>
    </cfRule>
  </conditionalFormatting>
  <conditionalFormatting sqref="T38">
    <cfRule type="containsText" dxfId="5215" priority="308" operator="containsText" text="VL">
      <formula>NOT(ISERROR(SEARCH("VL",T38)))</formula>
    </cfRule>
  </conditionalFormatting>
  <conditionalFormatting sqref="T38">
    <cfRule type="cellIs" dxfId="5214" priority="307" operator="between">
      <formula>1</formula>
      <formula>449</formula>
    </cfRule>
  </conditionalFormatting>
  <conditionalFormatting sqref="T110">
    <cfRule type="containsText" dxfId="5213" priority="306" operator="containsText" text="P">
      <formula>NOT(ISERROR(SEARCH("P",T110)))</formula>
    </cfRule>
  </conditionalFormatting>
  <conditionalFormatting sqref="T110">
    <cfRule type="containsText" dxfId="5212" priority="305" operator="containsText" text="VL">
      <formula>NOT(ISERROR(SEARCH("VL",T110)))</formula>
    </cfRule>
  </conditionalFormatting>
  <conditionalFormatting sqref="T110">
    <cfRule type="cellIs" dxfId="5211" priority="304" operator="between">
      <formula>1</formula>
      <formula>449</formula>
    </cfRule>
  </conditionalFormatting>
  <conditionalFormatting sqref="T14">
    <cfRule type="containsText" dxfId="5210" priority="303" operator="containsText" text="P">
      <formula>NOT(ISERROR(SEARCH("P",T14)))</formula>
    </cfRule>
  </conditionalFormatting>
  <conditionalFormatting sqref="T14">
    <cfRule type="containsText" dxfId="5209" priority="302" operator="containsText" text="VL">
      <formula>NOT(ISERROR(SEARCH("VL",T14)))</formula>
    </cfRule>
  </conditionalFormatting>
  <conditionalFormatting sqref="T14">
    <cfRule type="cellIs" dxfId="5208" priority="301" operator="between">
      <formula>1</formula>
      <formula>449</formula>
    </cfRule>
  </conditionalFormatting>
  <conditionalFormatting sqref="T60">
    <cfRule type="containsText" dxfId="5207" priority="300" operator="containsText" text="P">
      <formula>NOT(ISERROR(SEARCH("P",T60)))</formula>
    </cfRule>
  </conditionalFormatting>
  <conditionalFormatting sqref="T60">
    <cfRule type="containsText" dxfId="5206" priority="299" operator="containsText" text="VL">
      <formula>NOT(ISERROR(SEARCH("VL",T60)))</formula>
    </cfRule>
  </conditionalFormatting>
  <conditionalFormatting sqref="T60">
    <cfRule type="cellIs" dxfId="5205" priority="298" operator="between">
      <formula>1</formula>
      <formula>449</formula>
    </cfRule>
  </conditionalFormatting>
  <conditionalFormatting sqref="T62:U62">
    <cfRule type="containsText" dxfId="5204" priority="297" operator="containsText" text="P">
      <formula>NOT(ISERROR(SEARCH("P",T62)))</formula>
    </cfRule>
  </conditionalFormatting>
  <conditionalFormatting sqref="T62:U62">
    <cfRule type="containsText" dxfId="5203" priority="296" operator="containsText" text="VL">
      <formula>NOT(ISERROR(SEARCH("VL",T62)))</formula>
    </cfRule>
  </conditionalFormatting>
  <conditionalFormatting sqref="T62:U62">
    <cfRule type="cellIs" dxfId="5202" priority="295" operator="between">
      <formula>1</formula>
      <formula>449</formula>
    </cfRule>
  </conditionalFormatting>
  <conditionalFormatting sqref="T8">
    <cfRule type="containsText" dxfId="5201" priority="294" operator="containsText" text="P">
      <formula>NOT(ISERROR(SEARCH("P",T8)))</formula>
    </cfRule>
  </conditionalFormatting>
  <conditionalFormatting sqref="T8">
    <cfRule type="containsText" dxfId="5200" priority="293" operator="containsText" text="VL">
      <formula>NOT(ISERROR(SEARCH("VL",T8)))</formula>
    </cfRule>
  </conditionalFormatting>
  <conditionalFormatting sqref="T8">
    <cfRule type="cellIs" dxfId="5199" priority="292" operator="between">
      <formula>1</formula>
      <formula>449</formula>
    </cfRule>
  </conditionalFormatting>
  <conditionalFormatting sqref="T82">
    <cfRule type="containsText" dxfId="5198" priority="291" operator="containsText" text="P">
      <formula>NOT(ISERROR(SEARCH("P",T82)))</formula>
    </cfRule>
  </conditionalFormatting>
  <conditionalFormatting sqref="T82">
    <cfRule type="containsText" dxfId="5197" priority="290" operator="containsText" text="VL">
      <formula>NOT(ISERROR(SEARCH("VL",T82)))</formula>
    </cfRule>
  </conditionalFormatting>
  <conditionalFormatting sqref="T82">
    <cfRule type="cellIs" dxfId="5196" priority="289" operator="between">
      <formula>1</formula>
      <formula>449</formula>
    </cfRule>
  </conditionalFormatting>
  <conditionalFormatting sqref="T77">
    <cfRule type="containsText" dxfId="5195" priority="288" operator="containsText" text="P">
      <formula>NOT(ISERROR(SEARCH("P",T77)))</formula>
    </cfRule>
  </conditionalFormatting>
  <conditionalFormatting sqref="T77">
    <cfRule type="containsText" dxfId="5194" priority="287" operator="containsText" text="VL">
      <formula>NOT(ISERROR(SEARCH("VL",T77)))</formula>
    </cfRule>
  </conditionalFormatting>
  <conditionalFormatting sqref="T77">
    <cfRule type="cellIs" dxfId="5193" priority="286" operator="between">
      <formula>1</formula>
      <formula>449</formula>
    </cfRule>
  </conditionalFormatting>
  <conditionalFormatting sqref="T80">
    <cfRule type="containsText" dxfId="5192" priority="285" operator="containsText" text="P">
      <formula>NOT(ISERROR(SEARCH("P",T80)))</formula>
    </cfRule>
  </conditionalFormatting>
  <conditionalFormatting sqref="T80">
    <cfRule type="containsText" dxfId="5191" priority="284" operator="containsText" text="VL">
      <formula>NOT(ISERROR(SEARCH("VL",T80)))</formula>
    </cfRule>
  </conditionalFormatting>
  <conditionalFormatting sqref="T80">
    <cfRule type="cellIs" dxfId="5190" priority="283" operator="between">
      <formula>1</formula>
      <formula>449</formula>
    </cfRule>
  </conditionalFormatting>
  <conditionalFormatting sqref="T114">
    <cfRule type="containsText" dxfId="5189" priority="282" operator="containsText" text="P">
      <formula>NOT(ISERROR(SEARCH("P",T114)))</formula>
    </cfRule>
  </conditionalFormatting>
  <conditionalFormatting sqref="T114">
    <cfRule type="containsText" dxfId="5188" priority="281" operator="containsText" text="VL">
      <formula>NOT(ISERROR(SEARCH("VL",T114)))</formula>
    </cfRule>
  </conditionalFormatting>
  <conditionalFormatting sqref="T114">
    <cfRule type="cellIs" dxfId="5187" priority="280" operator="between">
      <formula>1</formula>
      <formula>449</formula>
    </cfRule>
  </conditionalFormatting>
  <conditionalFormatting sqref="T15">
    <cfRule type="containsText" dxfId="5186" priority="279" operator="containsText" text="P">
      <formula>NOT(ISERROR(SEARCH("P",T15)))</formula>
    </cfRule>
  </conditionalFormatting>
  <conditionalFormatting sqref="T15">
    <cfRule type="containsText" dxfId="5185" priority="278" operator="containsText" text="VL">
      <formula>NOT(ISERROR(SEARCH("VL",T15)))</formula>
    </cfRule>
  </conditionalFormatting>
  <conditionalFormatting sqref="T15">
    <cfRule type="cellIs" dxfId="5184" priority="277" operator="between">
      <formula>1</formula>
      <formula>449</formula>
    </cfRule>
  </conditionalFormatting>
  <conditionalFormatting sqref="T69">
    <cfRule type="containsText" dxfId="5183" priority="276" operator="containsText" text="P">
      <formula>NOT(ISERROR(SEARCH("P",T69)))</formula>
    </cfRule>
  </conditionalFormatting>
  <conditionalFormatting sqref="T69">
    <cfRule type="containsText" dxfId="5182" priority="275" operator="containsText" text="VL">
      <formula>NOT(ISERROR(SEARCH("VL",T69)))</formula>
    </cfRule>
  </conditionalFormatting>
  <conditionalFormatting sqref="T69">
    <cfRule type="cellIs" dxfId="5181" priority="274" operator="between">
      <formula>1</formula>
      <formula>449</formula>
    </cfRule>
  </conditionalFormatting>
  <conditionalFormatting sqref="T90">
    <cfRule type="containsText" dxfId="5180" priority="273" operator="containsText" text="P">
      <formula>NOT(ISERROR(SEARCH("P",T90)))</formula>
    </cfRule>
  </conditionalFormatting>
  <conditionalFormatting sqref="T90">
    <cfRule type="containsText" dxfId="5179" priority="272" operator="containsText" text="VL">
      <formula>NOT(ISERROR(SEARCH("VL",T90)))</formula>
    </cfRule>
  </conditionalFormatting>
  <conditionalFormatting sqref="T90">
    <cfRule type="cellIs" dxfId="5178" priority="271" operator="between">
      <formula>1</formula>
      <formula>449</formula>
    </cfRule>
  </conditionalFormatting>
  <conditionalFormatting sqref="T91">
    <cfRule type="containsText" dxfId="5177" priority="270" operator="containsText" text="P">
      <formula>NOT(ISERROR(SEARCH("P",T91)))</formula>
    </cfRule>
  </conditionalFormatting>
  <conditionalFormatting sqref="T91">
    <cfRule type="containsText" dxfId="5176" priority="269" operator="containsText" text="VL">
      <formula>NOT(ISERROR(SEARCH("VL",T91)))</formula>
    </cfRule>
  </conditionalFormatting>
  <conditionalFormatting sqref="T91">
    <cfRule type="cellIs" dxfId="5175" priority="268" operator="between">
      <formula>1</formula>
      <formula>449</formula>
    </cfRule>
  </conditionalFormatting>
  <conditionalFormatting sqref="T92">
    <cfRule type="containsText" dxfId="5174" priority="267" operator="containsText" text="P">
      <formula>NOT(ISERROR(SEARCH("P",T92)))</formula>
    </cfRule>
  </conditionalFormatting>
  <conditionalFormatting sqref="T92">
    <cfRule type="containsText" dxfId="5173" priority="266" operator="containsText" text="VL">
      <formula>NOT(ISERROR(SEARCH("VL",T92)))</formula>
    </cfRule>
  </conditionalFormatting>
  <conditionalFormatting sqref="T92">
    <cfRule type="cellIs" dxfId="5172" priority="265" operator="between">
      <formula>1</formula>
      <formula>449</formula>
    </cfRule>
  </conditionalFormatting>
  <conditionalFormatting sqref="T92">
    <cfRule type="containsText" dxfId="5171" priority="264" operator="containsText" text="P">
      <formula>NOT(ISERROR(SEARCH("P",T92)))</formula>
    </cfRule>
  </conditionalFormatting>
  <conditionalFormatting sqref="T92">
    <cfRule type="containsText" dxfId="5170" priority="263" operator="containsText" text="VL">
      <formula>NOT(ISERROR(SEARCH("VL",T92)))</formula>
    </cfRule>
  </conditionalFormatting>
  <conditionalFormatting sqref="T92">
    <cfRule type="cellIs" dxfId="5169" priority="262" operator="between">
      <formula>1</formula>
      <formula>449</formula>
    </cfRule>
  </conditionalFormatting>
  <conditionalFormatting sqref="T111">
    <cfRule type="containsText" dxfId="5168" priority="261" operator="containsText" text="P">
      <formula>NOT(ISERROR(SEARCH("P",T111)))</formula>
    </cfRule>
  </conditionalFormatting>
  <conditionalFormatting sqref="T111">
    <cfRule type="containsText" dxfId="5167" priority="260" operator="containsText" text="VL">
      <formula>NOT(ISERROR(SEARCH("VL",T111)))</formula>
    </cfRule>
  </conditionalFormatting>
  <conditionalFormatting sqref="T111">
    <cfRule type="cellIs" dxfId="5166" priority="259" operator="between">
      <formula>1</formula>
      <formula>449</formula>
    </cfRule>
  </conditionalFormatting>
  <conditionalFormatting sqref="T58">
    <cfRule type="containsText" dxfId="5165" priority="258" operator="containsText" text="P">
      <formula>NOT(ISERROR(SEARCH("P",T58)))</formula>
    </cfRule>
  </conditionalFormatting>
  <conditionalFormatting sqref="T58">
    <cfRule type="containsText" dxfId="5164" priority="257" operator="containsText" text="VL">
      <formula>NOT(ISERROR(SEARCH("VL",T58)))</formula>
    </cfRule>
  </conditionalFormatting>
  <conditionalFormatting sqref="T58">
    <cfRule type="cellIs" dxfId="5163" priority="256" operator="between">
      <formula>1</formula>
      <formula>449</formula>
    </cfRule>
  </conditionalFormatting>
  <conditionalFormatting sqref="T63">
    <cfRule type="containsText" dxfId="5162" priority="255" operator="containsText" text="P">
      <formula>NOT(ISERROR(SEARCH("P",T63)))</formula>
    </cfRule>
  </conditionalFormatting>
  <conditionalFormatting sqref="T63">
    <cfRule type="containsText" dxfId="5161" priority="254" operator="containsText" text="VL">
      <formula>NOT(ISERROR(SEARCH("VL",T63)))</formula>
    </cfRule>
  </conditionalFormatting>
  <conditionalFormatting sqref="T63">
    <cfRule type="cellIs" dxfId="5160" priority="253" operator="between">
      <formula>1</formula>
      <formula>449</formula>
    </cfRule>
  </conditionalFormatting>
  <conditionalFormatting sqref="T65:U65">
    <cfRule type="containsText" dxfId="5159" priority="252" operator="containsText" text="P">
      <formula>NOT(ISERROR(SEARCH("P",T65)))</formula>
    </cfRule>
  </conditionalFormatting>
  <conditionalFormatting sqref="T65:U65">
    <cfRule type="containsText" dxfId="5158" priority="251" operator="containsText" text="VL">
      <formula>NOT(ISERROR(SEARCH("VL",T65)))</formula>
    </cfRule>
  </conditionalFormatting>
  <conditionalFormatting sqref="T65:U65">
    <cfRule type="cellIs" dxfId="5157" priority="250" operator="between">
      <formula>1</formula>
      <formula>449</formula>
    </cfRule>
  </conditionalFormatting>
  <conditionalFormatting sqref="T68">
    <cfRule type="containsText" dxfId="5156" priority="249" operator="containsText" text="P">
      <formula>NOT(ISERROR(SEARCH("P",T68)))</formula>
    </cfRule>
  </conditionalFormatting>
  <conditionalFormatting sqref="T68">
    <cfRule type="containsText" dxfId="5155" priority="248" operator="containsText" text="VL">
      <formula>NOT(ISERROR(SEARCH("VL",T68)))</formula>
    </cfRule>
  </conditionalFormatting>
  <conditionalFormatting sqref="T68">
    <cfRule type="cellIs" dxfId="5154" priority="247" operator="between">
      <formula>1</formula>
      <formula>449</formula>
    </cfRule>
  </conditionalFormatting>
  <conditionalFormatting sqref="T93:T94">
    <cfRule type="containsText" dxfId="5153" priority="246" operator="containsText" text="P">
      <formula>NOT(ISERROR(SEARCH("P",T93)))</formula>
    </cfRule>
  </conditionalFormatting>
  <conditionalFormatting sqref="T93:T94">
    <cfRule type="containsText" dxfId="5152" priority="245" operator="containsText" text="VL">
      <formula>NOT(ISERROR(SEARCH("VL",T93)))</formula>
    </cfRule>
  </conditionalFormatting>
  <conditionalFormatting sqref="T93:T94">
    <cfRule type="cellIs" dxfId="5151" priority="244" operator="between">
      <formula>1</formula>
      <formula>449</formula>
    </cfRule>
  </conditionalFormatting>
  <conditionalFormatting sqref="T55">
    <cfRule type="containsText" dxfId="5150" priority="243" operator="containsText" text="P">
      <formula>NOT(ISERROR(SEARCH("P",T55)))</formula>
    </cfRule>
  </conditionalFormatting>
  <conditionalFormatting sqref="T55">
    <cfRule type="containsText" dxfId="5149" priority="242" operator="containsText" text="VL">
      <formula>NOT(ISERROR(SEARCH("VL",T55)))</formula>
    </cfRule>
  </conditionalFormatting>
  <conditionalFormatting sqref="T55">
    <cfRule type="cellIs" dxfId="5148" priority="241" operator="between">
      <formula>1</formula>
      <formula>449</formula>
    </cfRule>
  </conditionalFormatting>
  <conditionalFormatting sqref="T93">
    <cfRule type="containsText" dxfId="5147" priority="240" operator="containsText" text="P">
      <formula>NOT(ISERROR(SEARCH("P",T93)))</formula>
    </cfRule>
  </conditionalFormatting>
  <conditionalFormatting sqref="T93">
    <cfRule type="containsText" dxfId="5146" priority="239" operator="containsText" text="VL">
      <formula>NOT(ISERROR(SEARCH("VL",T93)))</formula>
    </cfRule>
  </conditionalFormatting>
  <conditionalFormatting sqref="T93">
    <cfRule type="cellIs" dxfId="5145" priority="238" operator="between">
      <formula>1</formula>
      <formula>449</formula>
    </cfRule>
  </conditionalFormatting>
  <conditionalFormatting sqref="T81:U81">
    <cfRule type="containsText" dxfId="5144" priority="237" operator="containsText" text="P">
      <formula>NOT(ISERROR(SEARCH("P",T81)))</formula>
    </cfRule>
  </conditionalFormatting>
  <conditionalFormatting sqref="T81:U81">
    <cfRule type="containsText" dxfId="5143" priority="236" operator="containsText" text="VL">
      <formula>NOT(ISERROR(SEARCH("VL",T81)))</formula>
    </cfRule>
  </conditionalFormatting>
  <conditionalFormatting sqref="T81:U81">
    <cfRule type="cellIs" dxfId="5142" priority="235" operator="between">
      <formula>1</formula>
      <formula>449</formula>
    </cfRule>
  </conditionalFormatting>
  <conditionalFormatting sqref="T81:U81">
    <cfRule type="containsText" dxfId="5141" priority="234" operator="containsText" text="P">
      <formula>NOT(ISERROR(SEARCH("P",T81)))</formula>
    </cfRule>
  </conditionalFormatting>
  <conditionalFormatting sqref="T81:U81">
    <cfRule type="containsText" dxfId="5140" priority="233" operator="containsText" text="VL">
      <formula>NOT(ISERROR(SEARCH("VL",T81)))</formula>
    </cfRule>
  </conditionalFormatting>
  <conditionalFormatting sqref="T81:U81">
    <cfRule type="cellIs" dxfId="5139" priority="232" operator="between">
      <formula>1</formula>
      <formula>449</formula>
    </cfRule>
  </conditionalFormatting>
  <conditionalFormatting sqref="T75">
    <cfRule type="containsText" dxfId="5138" priority="231" operator="containsText" text="P">
      <formula>NOT(ISERROR(SEARCH("P",T75)))</formula>
    </cfRule>
  </conditionalFormatting>
  <conditionalFormatting sqref="T75">
    <cfRule type="containsText" dxfId="5137" priority="230" operator="containsText" text="VL">
      <formula>NOT(ISERROR(SEARCH("VL",T75)))</formula>
    </cfRule>
  </conditionalFormatting>
  <conditionalFormatting sqref="T75">
    <cfRule type="cellIs" dxfId="5136" priority="229" operator="between">
      <formula>1</formula>
      <formula>449</formula>
    </cfRule>
  </conditionalFormatting>
  <conditionalFormatting sqref="T75">
    <cfRule type="containsText" dxfId="5135" priority="228" operator="containsText" text="P">
      <formula>NOT(ISERROR(SEARCH("P",T75)))</formula>
    </cfRule>
  </conditionalFormatting>
  <conditionalFormatting sqref="T75">
    <cfRule type="containsText" dxfId="5134" priority="227" operator="containsText" text="VL">
      <formula>NOT(ISERROR(SEARCH("VL",T75)))</formula>
    </cfRule>
  </conditionalFormatting>
  <conditionalFormatting sqref="T75">
    <cfRule type="cellIs" dxfId="5133" priority="226" operator="between">
      <formula>1</formula>
      <formula>449</formula>
    </cfRule>
  </conditionalFormatting>
  <conditionalFormatting sqref="T104:U104">
    <cfRule type="containsText" dxfId="5132" priority="225" operator="containsText" text="P">
      <formula>NOT(ISERROR(SEARCH("P",T104)))</formula>
    </cfRule>
  </conditionalFormatting>
  <conditionalFormatting sqref="T104:U104">
    <cfRule type="containsText" dxfId="5131" priority="224" operator="containsText" text="VL">
      <formula>NOT(ISERROR(SEARCH("VL",T104)))</formula>
    </cfRule>
  </conditionalFormatting>
  <conditionalFormatting sqref="T104:U104">
    <cfRule type="cellIs" dxfId="5130" priority="223" operator="between">
      <formula>1</formula>
      <formula>449</formula>
    </cfRule>
  </conditionalFormatting>
  <conditionalFormatting sqref="T104:U104">
    <cfRule type="containsText" dxfId="5129" priority="222" operator="containsText" text="P">
      <formula>NOT(ISERROR(SEARCH("P",T104)))</formula>
    </cfRule>
  </conditionalFormatting>
  <conditionalFormatting sqref="T104:U104">
    <cfRule type="containsText" dxfId="5128" priority="221" operator="containsText" text="VL">
      <formula>NOT(ISERROR(SEARCH("VL",T104)))</formula>
    </cfRule>
  </conditionalFormatting>
  <conditionalFormatting sqref="T104:U104">
    <cfRule type="cellIs" dxfId="5127" priority="220" operator="between">
      <formula>1</formula>
      <formula>449</formula>
    </cfRule>
  </conditionalFormatting>
  <conditionalFormatting sqref="U68">
    <cfRule type="containsText" dxfId="5126" priority="219" operator="containsText" text="P">
      <formula>NOT(ISERROR(SEARCH("P",U68)))</formula>
    </cfRule>
  </conditionalFormatting>
  <conditionalFormatting sqref="U68">
    <cfRule type="containsText" dxfId="5125" priority="218" operator="containsText" text="VL">
      <formula>NOT(ISERROR(SEARCH("VL",U68)))</formula>
    </cfRule>
  </conditionalFormatting>
  <conditionalFormatting sqref="U68">
    <cfRule type="cellIs" dxfId="5124" priority="217" operator="between">
      <formula>1</formula>
      <formula>449</formula>
    </cfRule>
  </conditionalFormatting>
  <conditionalFormatting sqref="U69">
    <cfRule type="containsText" dxfId="5123" priority="216" operator="containsText" text="P">
      <formula>NOT(ISERROR(SEARCH("P",U69)))</formula>
    </cfRule>
  </conditionalFormatting>
  <conditionalFormatting sqref="U69">
    <cfRule type="containsText" dxfId="5122" priority="215" operator="containsText" text="VL">
      <formula>NOT(ISERROR(SEARCH("VL",U69)))</formula>
    </cfRule>
  </conditionalFormatting>
  <conditionalFormatting sqref="U69">
    <cfRule type="cellIs" dxfId="5121" priority="214" operator="between">
      <formula>1</formula>
      <formula>449</formula>
    </cfRule>
  </conditionalFormatting>
  <conditionalFormatting sqref="U70">
    <cfRule type="containsText" dxfId="5120" priority="213" operator="containsText" text="P">
      <formula>NOT(ISERROR(SEARCH("P",U70)))</formula>
    </cfRule>
  </conditionalFormatting>
  <conditionalFormatting sqref="U70">
    <cfRule type="containsText" dxfId="5119" priority="212" operator="containsText" text="VL">
      <formula>NOT(ISERROR(SEARCH("VL",U70)))</formula>
    </cfRule>
  </conditionalFormatting>
  <conditionalFormatting sqref="U70">
    <cfRule type="cellIs" dxfId="5118" priority="211" operator="between">
      <formula>1</formula>
      <formula>449</formula>
    </cfRule>
  </conditionalFormatting>
  <conditionalFormatting sqref="U71">
    <cfRule type="containsText" dxfId="5117" priority="210" operator="containsText" text="P">
      <formula>NOT(ISERROR(SEARCH("P",U71)))</formula>
    </cfRule>
  </conditionalFormatting>
  <conditionalFormatting sqref="U71">
    <cfRule type="containsText" dxfId="5116" priority="209" operator="containsText" text="VL">
      <formula>NOT(ISERROR(SEARCH("VL",U71)))</formula>
    </cfRule>
  </conditionalFormatting>
  <conditionalFormatting sqref="U71">
    <cfRule type="cellIs" dxfId="5115" priority="208" operator="between">
      <formula>1</formula>
      <formula>449</formula>
    </cfRule>
  </conditionalFormatting>
  <conditionalFormatting sqref="U74">
    <cfRule type="containsText" dxfId="5114" priority="207" operator="containsText" text="P">
      <formula>NOT(ISERROR(SEARCH("P",U74)))</formula>
    </cfRule>
  </conditionalFormatting>
  <conditionalFormatting sqref="U74">
    <cfRule type="containsText" dxfId="5113" priority="206" operator="containsText" text="VL">
      <formula>NOT(ISERROR(SEARCH("VL",U74)))</formula>
    </cfRule>
  </conditionalFormatting>
  <conditionalFormatting sqref="U74">
    <cfRule type="cellIs" dxfId="5112" priority="205" operator="between">
      <formula>1</formula>
      <formula>449</formula>
    </cfRule>
  </conditionalFormatting>
  <conditionalFormatting sqref="U75">
    <cfRule type="containsText" dxfId="5111" priority="204" operator="containsText" text="P">
      <formula>NOT(ISERROR(SEARCH("P",U75)))</formula>
    </cfRule>
  </conditionalFormatting>
  <conditionalFormatting sqref="U75">
    <cfRule type="containsText" dxfId="5110" priority="203" operator="containsText" text="VL">
      <formula>NOT(ISERROR(SEARCH("VL",U75)))</formula>
    </cfRule>
  </conditionalFormatting>
  <conditionalFormatting sqref="U75">
    <cfRule type="cellIs" dxfId="5109" priority="202" operator="between">
      <formula>1</formula>
      <formula>449</formula>
    </cfRule>
  </conditionalFormatting>
  <conditionalFormatting sqref="U76:U77">
    <cfRule type="containsText" dxfId="5108" priority="201" operator="containsText" text="P">
      <formula>NOT(ISERROR(SEARCH("P",U76)))</formula>
    </cfRule>
  </conditionalFormatting>
  <conditionalFormatting sqref="U76:U77">
    <cfRule type="containsText" dxfId="5107" priority="200" operator="containsText" text="VL">
      <formula>NOT(ISERROR(SEARCH("VL",U76)))</formula>
    </cfRule>
  </conditionalFormatting>
  <conditionalFormatting sqref="U76:U77">
    <cfRule type="cellIs" dxfId="5106" priority="199" operator="between">
      <formula>1</formula>
      <formula>449</formula>
    </cfRule>
  </conditionalFormatting>
  <conditionalFormatting sqref="U78">
    <cfRule type="containsText" dxfId="5105" priority="198" operator="containsText" text="P">
      <formula>NOT(ISERROR(SEARCH("P",U78)))</formula>
    </cfRule>
  </conditionalFormatting>
  <conditionalFormatting sqref="U78">
    <cfRule type="containsText" dxfId="5104" priority="197" operator="containsText" text="VL">
      <formula>NOT(ISERROR(SEARCH("VL",U78)))</formula>
    </cfRule>
  </conditionalFormatting>
  <conditionalFormatting sqref="U78">
    <cfRule type="cellIs" dxfId="5103" priority="196" operator="between">
      <formula>1</formula>
      <formula>449</formula>
    </cfRule>
  </conditionalFormatting>
  <conditionalFormatting sqref="U105">
    <cfRule type="containsText" dxfId="5102" priority="195" operator="containsText" text="P">
      <formula>NOT(ISERROR(SEARCH("P",U105)))</formula>
    </cfRule>
  </conditionalFormatting>
  <conditionalFormatting sqref="U105">
    <cfRule type="containsText" dxfId="5101" priority="194" operator="containsText" text="VL">
      <formula>NOT(ISERROR(SEARCH("VL",U105)))</formula>
    </cfRule>
  </conditionalFormatting>
  <conditionalFormatting sqref="U105">
    <cfRule type="cellIs" dxfId="5100" priority="193" operator="between">
      <formula>1</formula>
      <formula>449</formula>
    </cfRule>
  </conditionalFormatting>
  <conditionalFormatting sqref="U105">
    <cfRule type="containsText" dxfId="5099" priority="192" operator="containsText" text="P">
      <formula>NOT(ISERROR(SEARCH("P",U105)))</formula>
    </cfRule>
  </conditionalFormatting>
  <conditionalFormatting sqref="U105">
    <cfRule type="containsText" dxfId="5098" priority="191" operator="containsText" text="VL">
      <formula>NOT(ISERROR(SEARCH("VL",U105)))</formula>
    </cfRule>
  </conditionalFormatting>
  <conditionalFormatting sqref="U105">
    <cfRule type="cellIs" dxfId="5097" priority="190" operator="between">
      <formula>1</formula>
      <formula>449</formula>
    </cfRule>
  </conditionalFormatting>
  <conditionalFormatting sqref="U107">
    <cfRule type="containsText" dxfId="5096" priority="189" operator="containsText" text="P">
      <formula>NOT(ISERROR(SEARCH("P",U107)))</formula>
    </cfRule>
  </conditionalFormatting>
  <conditionalFormatting sqref="U107">
    <cfRule type="containsText" dxfId="5095" priority="188" operator="containsText" text="VL">
      <formula>NOT(ISERROR(SEARCH("VL",U107)))</formula>
    </cfRule>
  </conditionalFormatting>
  <conditionalFormatting sqref="U107">
    <cfRule type="cellIs" dxfId="5094" priority="187" operator="between">
      <formula>1</formula>
      <formula>449</formula>
    </cfRule>
  </conditionalFormatting>
  <conditionalFormatting sqref="U107">
    <cfRule type="containsText" dxfId="5093" priority="186" operator="containsText" text="P">
      <formula>NOT(ISERROR(SEARCH("P",U107)))</formula>
    </cfRule>
  </conditionalFormatting>
  <conditionalFormatting sqref="U107">
    <cfRule type="containsText" dxfId="5092" priority="185" operator="containsText" text="VL">
      <formula>NOT(ISERROR(SEARCH("VL",U107)))</formula>
    </cfRule>
  </conditionalFormatting>
  <conditionalFormatting sqref="U107">
    <cfRule type="cellIs" dxfId="5091" priority="184" operator="between">
      <formula>1</formula>
      <formula>449</formula>
    </cfRule>
  </conditionalFormatting>
  <conditionalFormatting sqref="U113">
    <cfRule type="containsText" dxfId="5090" priority="183" operator="containsText" text="P">
      <formula>NOT(ISERROR(SEARCH("P",U113)))</formula>
    </cfRule>
  </conditionalFormatting>
  <conditionalFormatting sqref="U113">
    <cfRule type="containsText" dxfId="5089" priority="182" operator="containsText" text="VL">
      <formula>NOT(ISERROR(SEARCH("VL",U113)))</formula>
    </cfRule>
  </conditionalFormatting>
  <conditionalFormatting sqref="U113">
    <cfRule type="cellIs" dxfId="5088" priority="181" operator="between">
      <formula>1</formula>
      <formula>449</formula>
    </cfRule>
  </conditionalFormatting>
  <conditionalFormatting sqref="U113">
    <cfRule type="containsText" dxfId="5087" priority="180" operator="containsText" text="P">
      <formula>NOT(ISERROR(SEARCH("P",U113)))</formula>
    </cfRule>
  </conditionalFormatting>
  <conditionalFormatting sqref="U113">
    <cfRule type="containsText" dxfId="5086" priority="179" operator="containsText" text="VL">
      <formula>NOT(ISERROR(SEARCH("VL",U113)))</formula>
    </cfRule>
  </conditionalFormatting>
  <conditionalFormatting sqref="U113">
    <cfRule type="cellIs" dxfId="5085" priority="178" operator="between">
      <formula>1</formula>
      <formula>449</formula>
    </cfRule>
  </conditionalFormatting>
  <conditionalFormatting sqref="U72">
    <cfRule type="containsText" dxfId="5084" priority="177" operator="containsText" text="P">
      <formula>NOT(ISERROR(SEARCH("P",U72)))</formula>
    </cfRule>
  </conditionalFormatting>
  <conditionalFormatting sqref="U72">
    <cfRule type="containsText" dxfId="5083" priority="176" operator="containsText" text="VL">
      <formula>NOT(ISERROR(SEARCH("VL",U72)))</formula>
    </cfRule>
  </conditionalFormatting>
  <conditionalFormatting sqref="O1:U33 U34 O35:U115">
    <cfRule type="cellIs" dxfId="5082" priority="175" operator="between">
      <formula>1</formula>
      <formula>449</formula>
    </cfRule>
  </conditionalFormatting>
  <conditionalFormatting sqref="U96">
    <cfRule type="containsText" dxfId="5081" priority="174" operator="containsText" text="P">
      <formula>NOT(ISERROR(SEARCH("P",U96)))</formula>
    </cfRule>
  </conditionalFormatting>
  <conditionalFormatting sqref="U96">
    <cfRule type="containsText" dxfId="5080" priority="173" operator="containsText" text="VL">
      <formula>NOT(ISERROR(SEARCH("VL",U96)))</formula>
    </cfRule>
  </conditionalFormatting>
  <conditionalFormatting sqref="U96">
    <cfRule type="cellIs" dxfId="5079" priority="172" operator="between">
      <formula>1</formula>
      <formula>449</formula>
    </cfRule>
  </conditionalFormatting>
  <conditionalFormatting sqref="U96">
    <cfRule type="containsText" dxfId="5078" priority="171" operator="containsText" text="P">
      <formula>NOT(ISERROR(SEARCH("P",U96)))</formula>
    </cfRule>
  </conditionalFormatting>
  <conditionalFormatting sqref="U96">
    <cfRule type="containsText" dxfId="5077" priority="170" operator="containsText" text="VL">
      <formula>NOT(ISERROR(SEARCH("VL",U96)))</formula>
    </cfRule>
  </conditionalFormatting>
  <conditionalFormatting sqref="U96">
    <cfRule type="cellIs" dxfId="5076" priority="169" operator="between">
      <formula>1</formula>
      <formula>449</formula>
    </cfRule>
  </conditionalFormatting>
  <conditionalFormatting sqref="U96">
    <cfRule type="containsText" dxfId="5075" priority="168" operator="containsText" text="P">
      <formula>NOT(ISERROR(SEARCH("P",U96)))</formula>
    </cfRule>
  </conditionalFormatting>
  <conditionalFormatting sqref="U96">
    <cfRule type="containsText" dxfId="5074" priority="167" operator="containsText" text="VL">
      <formula>NOT(ISERROR(SEARCH("VL",U96)))</formula>
    </cfRule>
  </conditionalFormatting>
  <conditionalFormatting sqref="U96">
    <cfRule type="cellIs" dxfId="5073" priority="166" operator="between">
      <formula>1</formula>
      <formula>449</formula>
    </cfRule>
  </conditionalFormatting>
  <conditionalFormatting sqref="Q64">
    <cfRule type="containsText" dxfId="5072" priority="165" operator="containsText" text="P">
      <formula>NOT(ISERROR(SEARCH("P",Q64)))</formula>
    </cfRule>
  </conditionalFormatting>
  <conditionalFormatting sqref="Q64">
    <cfRule type="containsText" dxfId="5071" priority="164" operator="containsText" text="VL">
      <formula>NOT(ISERROR(SEARCH("VL",Q64)))</formula>
    </cfRule>
  </conditionalFormatting>
  <conditionalFormatting sqref="Q64">
    <cfRule type="cellIs" dxfId="5070" priority="163" operator="between">
      <formula>1</formula>
      <formula>449</formula>
    </cfRule>
  </conditionalFormatting>
  <conditionalFormatting sqref="Q64">
    <cfRule type="containsText" dxfId="5069" priority="162" operator="containsText" text="P">
      <formula>NOT(ISERROR(SEARCH("P",Q64)))</formula>
    </cfRule>
  </conditionalFormatting>
  <conditionalFormatting sqref="Q64">
    <cfRule type="containsText" dxfId="5068" priority="161" operator="containsText" text="VL">
      <formula>NOT(ISERROR(SEARCH("VL",Q64)))</formula>
    </cfRule>
  </conditionalFormatting>
  <conditionalFormatting sqref="Q64">
    <cfRule type="cellIs" dxfId="5067" priority="160" operator="between">
      <formula>1</formula>
      <formula>449</formula>
    </cfRule>
  </conditionalFormatting>
  <conditionalFormatting sqref="T64:U64">
    <cfRule type="containsText" dxfId="5066" priority="159" operator="containsText" text="P">
      <formula>NOT(ISERROR(SEARCH("P",T64)))</formula>
    </cfRule>
  </conditionalFormatting>
  <conditionalFormatting sqref="T64:U64">
    <cfRule type="containsText" dxfId="5065" priority="158" operator="containsText" text="VL">
      <formula>NOT(ISERROR(SEARCH("VL",T64)))</formula>
    </cfRule>
  </conditionalFormatting>
  <conditionalFormatting sqref="T64:U64">
    <cfRule type="cellIs" dxfId="5064" priority="157" operator="between">
      <formula>1</formula>
      <formula>449</formula>
    </cfRule>
  </conditionalFormatting>
  <conditionalFormatting sqref="Q64">
    <cfRule type="containsText" dxfId="5063" priority="156" operator="containsText" text="P">
      <formula>NOT(ISERROR(SEARCH("P",Q64)))</formula>
    </cfRule>
  </conditionalFormatting>
  <conditionalFormatting sqref="Q64">
    <cfRule type="containsText" dxfId="5062" priority="155" operator="containsText" text="VL">
      <formula>NOT(ISERROR(SEARCH("VL",Q64)))</formula>
    </cfRule>
  </conditionalFormatting>
  <conditionalFormatting sqref="Q64">
    <cfRule type="cellIs" dxfId="5061" priority="154" operator="between">
      <formula>1</formula>
      <formula>449</formula>
    </cfRule>
  </conditionalFormatting>
  <conditionalFormatting sqref="T102">
    <cfRule type="containsText" dxfId="5060" priority="153" operator="containsText" text="P">
      <formula>NOT(ISERROR(SEARCH("P",T102)))</formula>
    </cfRule>
  </conditionalFormatting>
  <conditionalFormatting sqref="T102">
    <cfRule type="containsText" dxfId="5059" priority="152" operator="containsText" text="VL">
      <formula>NOT(ISERROR(SEARCH("VL",T102)))</formula>
    </cfRule>
  </conditionalFormatting>
  <conditionalFormatting sqref="T102">
    <cfRule type="cellIs" dxfId="5058" priority="151" operator="between">
      <formula>1</formula>
      <formula>449</formula>
    </cfRule>
  </conditionalFormatting>
  <conditionalFormatting sqref="T102">
    <cfRule type="containsText" dxfId="5057" priority="150" operator="containsText" text="P">
      <formula>NOT(ISERROR(SEARCH("P",T102)))</formula>
    </cfRule>
  </conditionalFormatting>
  <conditionalFormatting sqref="T102">
    <cfRule type="containsText" dxfId="5056" priority="149" operator="containsText" text="VL">
      <formula>NOT(ISERROR(SEARCH("VL",T102)))</formula>
    </cfRule>
  </conditionalFormatting>
  <conditionalFormatting sqref="T102">
    <cfRule type="cellIs" dxfId="5055" priority="148" operator="between">
      <formula>1</formula>
      <formula>449</formula>
    </cfRule>
  </conditionalFormatting>
  <conditionalFormatting sqref="Y104">
    <cfRule type="containsText" dxfId="5054" priority="147" operator="containsText" text="P">
      <formula>NOT(ISERROR(SEARCH("P",Y104)))</formula>
    </cfRule>
  </conditionalFormatting>
  <conditionalFormatting sqref="Y104">
    <cfRule type="containsText" dxfId="5053" priority="146" operator="containsText" text="VL">
      <formula>NOT(ISERROR(SEARCH("VL",Y104)))</formula>
    </cfRule>
  </conditionalFormatting>
  <conditionalFormatting sqref="Y104">
    <cfRule type="cellIs" dxfId="5052" priority="145" operator="between">
      <formula>1</formula>
      <formula>449</formula>
    </cfRule>
  </conditionalFormatting>
  <conditionalFormatting sqref="Y104">
    <cfRule type="containsText" dxfId="5051" priority="144" operator="containsText" text="P">
      <formula>NOT(ISERROR(SEARCH("P",Y104)))</formula>
    </cfRule>
  </conditionalFormatting>
  <conditionalFormatting sqref="Y104">
    <cfRule type="containsText" dxfId="5050" priority="143" operator="containsText" text="VL">
      <formula>NOT(ISERROR(SEARCH("VL",Y104)))</formula>
    </cfRule>
  </conditionalFormatting>
  <conditionalFormatting sqref="Y104">
    <cfRule type="cellIs" dxfId="5049" priority="142" operator="between">
      <formula>1</formula>
      <formula>449</formula>
    </cfRule>
  </conditionalFormatting>
  <conditionalFormatting sqref="Y113">
    <cfRule type="containsText" dxfId="5048" priority="141" operator="containsText" text="P">
      <formula>NOT(ISERROR(SEARCH("P",Y113)))</formula>
    </cfRule>
  </conditionalFormatting>
  <conditionalFormatting sqref="Y113">
    <cfRule type="containsText" dxfId="5047" priority="140" operator="containsText" text="VL">
      <formula>NOT(ISERROR(SEARCH("VL",Y113)))</formula>
    </cfRule>
  </conditionalFormatting>
  <conditionalFormatting sqref="Y113">
    <cfRule type="cellIs" dxfId="5046" priority="139" operator="between">
      <formula>1</formula>
      <formula>449</formula>
    </cfRule>
  </conditionalFormatting>
  <conditionalFormatting sqref="Y113">
    <cfRule type="containsText" dxfId="5045" priority="138" operator="containsText" text="P">
      <formula>NOT(ISERROR(SEARCH("P",Y113)))</formula>
    </cfRule>
  </conditionalFormatting>
  <conditionalFormatting sqref="Y113">
    <cfRule type="containsText" dxfId="5044" priority="137" operator="containsText" text="VL">
      <formula>NOT(ISERROR(SEARCH("VL",Y113)))</formula>
    </cfRule>
  </conditionalFormatting>
  <conditionalFormatting sqref="Y113">
    <cfRule type="cellIs" dxfId="5043" priority="136" operator="between">
      <formula>1</formula>
      <formula>449</formula>
    </cfRule>
  </conditionalFormatting>
  <conditionalFormatting sqref="Z14">
    <cfRule type="containsText" dxfId="5042" priority="135" operator="containsText" text="P">
      <formula>NOT(ISERROR(SEARCH("P",Z14)))</formula>
    </cfRule>
  </conditionalFormatting>
  <conditionalFormatting sqref="Z14">
    <cfRule type="containsText" dxfId="5041" priority="134" operator="containsText" text="VL">
      <formula>NOT(ISERROR(SEARCH("VL",Z14)))</formula>
    </cfRule>
  </conditionalFormatting>
  <conditionalFormatting sqref="Z14">
    <cfRule type="cellIs" dxfId="5040" priority="133" operator="between">
      <formula>1</formula>
      <formula>449</formula>
    </cfRule>
  </conditionalFormatting>
  <conditionalFormatting sqref="Z59">
    <cfRule type="containsText" dxfId="5039" priority="132" operator="containsText" text="P">
      <formula>NOT(ISERROR(SEARCH("P",Z59)))</formula>
    </cfRule>
  </conditionalFormatting>
  <conditionalFormatting sqref="Z59">
    <cfRule type="containsText" dxfId="5038" priority="131" operator="containsText" text="VL">
      <formula>NOT(ISERROR(SEARCH("VL",Z59)))</formula>
    </cfRule>
  </conditionalFormatting>
  <conditionalFormatting sqref="Z59">
    <cfRule type="cellIs" dxfId="5037" priority="130" operator="between">
      <formula>1</formula>
      <formula>449</formula>
    </cfRule>
  </conditionalFormatting>
  <conditionalFormatting sqref="Z75">
    <cfRule type="containsText" dxfId="5036" priority="129" operator="containsText" text="P">
      <formula>NOT(ISERROR(SEARCH("P",Z75)))</formula>
    </cfRule>
  </conditionalFormatting>
  <conditionalFormatting sqref="Z75">
    <cfRule type="containsText" dxfId="5035" priority="128" operator="containsText" text="VL">
      <formula>NOT(ISERROR(SEARCH("VL",Z75)))</formula>
    </cfRule>
  </conditionalFormatting>
  <conditionalFormatting sqref="Z75">
    <cfRule type="cellIs" dxfId="5034" priority="127" operator="between">
      <formula>1</formula>
      <formula>449</formula>
    </cfRule>
  </conditionalFormatting>
  <conditionalFormatting sqref="Z76">
    <cfRule type="containsText" dxfId="5033" priority="126" operator="containsText" text="P">
      <formula>NOT(ISERROR(SEARCH("P",Z76)))</formula>
    </cfRule>
  </conditionalFormatting>
  <conditionalFormatting sqref="Z76">
    <cfRule type="containsText" dxfId="5032" priority="125" operator="containsText" text="VL">
      <formula>NOT(ISERROR(SEARCH("VL",Z76)))</formula>
    </cfRule>
  </conditionalFormatting>
  <conditionalFormatting sqref="Z76">
    <cfRule type="cellIs" dxfId="5031" priority="124" operator="between">
      <formula>1</formula>
      <formula>449</formula>
    </cfRule>
  </conditionalFormatting>
  <conditionalFormatting sqref="Z5">
    <cfRule type="cellIs" dxfId="5030" priority="123" operator="equal">
      <formula>450</formula>
    </cfRule>
  </conditionalFormatting>
  <conditionalFormatting sqref="Z5">
    <cfRule type="containsText" dxfId="5029" priority="122" operator="containsText" text="VL">
      <formula>NOT(ISERROR(SEARCH("VL",Z5)))</formula>
    </cfRule>
  </conditionalFormatting>
  <conditionalFormatting sqref="Z5">
    <cfRule type="cellIs" dxfId="5028" priority="121" operator="equal">
      <formula>"LWOP"</formula>
    </cfRule>
  </conditionalFormatting>
  <conditionalFormatting sqref="Z5">
    <cfRule type="containsText" dxfId="5027" priority="120" operator="containsText" text="P">
      <formula>NOT(ISERROR(SEARCH("P",Z5)))</formula>
    </cfRule>
  </conditionalFormatting>
  <conditionalFormatting sqref="Z5">
    <cfRule type="containsText" dxfId="5026" priority="119" operator="containsText" text="VL">
      <formula>NOT(ISERROR(SEARCH("VL",Z5)))</formula>
    </cfRule>
  </conditionalFormatting>
  <conditionalFormatting sqref="Z5">
    <cfRule type="cellIs" dxfId="5025" priority="118" operator="between">
      <formula>1</formula>
      <formula>449</formula>
    </cfRule>
  </conditionalFormatting>
  <conditionalFormatting sqref="Z5">
    <cfRule type="cellIs" dxfId="5024" priority="117" operator="between">
      <formula>1</formula>
      <formula>449</formula>
    </cfRule>
  </conditionalFormatting>
  <conditionalFormatting sqref="Z20">
    <cfRule type="containsText" dxfId="5023" priority="116" operator="containsText" text="P">
      <formula>NOT(ISERROR(SEARCH("P",Z20)))</formula>
    </cfRule>
  </conditionalFormatting>
  <conditionalFormatting sqref="Z20">
    <cfRule type="containsText" dxfId="5022" priority="115" operator="containsText" text="VL">
      <formula>NOT(ISERROR(SEARCH("VL",Z20)))</formula>
    </cfRule>
  </conditionalFormatting>
  <conditionalFormatting sqref="Z20">
    <cfRule type="cellIs" dxfId="5021" priority="114" operator="between">
      <formula>1</formula>
      <formula>449</formula>
    </cfRule>
  </conditionalFormatting>
  <conditionalFormatting sqref="Z7">
    <cfRule type="containsText" dxfId="5020" priority="113" operator="containsText" text="P">
      <formula>NOT(ISERROR(SEARCH("P",Z7)))</formula>
    </cfRule>
  </conditionalFormatting>
  <conditionalFormatting sqref="Z7">
    <cfRule type="containsText" dxfId="5019" priority="112" operator="containsText" text="VL">
      <formula>NOT(ISERROR(SEARCH("VL",Z7)))</formula>
    </cfRule>
  </conditionalFormatting>
  <conditionalFormatting sqref="Z7">
    <cfRule type="cellIs" dxfId="5018" priority="111" operator="between">
      <formula>1</formula>
      <formula>449</formula>
    </cfRule>
  </conditionalFormatting>
  <conditionalFormatting sqref="Z30">
    <cfRule type="cellIs" dxfId="5017" priority="110" operator="equal">
      <formula>450</formula>
    </cfRule>
  </conditionalFormatting>
  <conditionalFormatting sqref="Z30">
    <cfRule type="containsText" dxfId="5016" priority="109" operator="containsText" text="VL">
      <formula>NOT(ISERROR(SEARCH("VL",Z30)))</formula>
    </cfRule>
  </conditionalFormatting>
  <conditionalFormatting sqref="Z30">
    <cfRule type="cellIs" dxfId="5015" priority="108" operator="equal">
      <formula>"LWOP"</formula>
    </cfRule>
  </conditionalFormatting>
  <conditionalFormatting sqref="Z30">
    <cfRule type="containsText" dxfId="5014" priority="107" operator="containsText" text="P">
      <formula>NOT(ISERROR(SEARCH("P",Z30)))</formula>
    </cfRule>
  </conditionalFormatting>
  <conditionalFormatting sqref="Z30">
    <cfRule type="containsText" dxfId="5013" priority="106" operator="containsText" text="VL">
      <formula>NOT(ISERROR(SEARCH("VL",Z30)))</formula>
    </cfRule>
  </conditionalFormatting>
  <conditionalFormatting sqref="Z30">
    <cfRule type="cellIs" dxfId="5012" priority="105" operator="between">
      <formula>1</formula>
      <formula>449</formula>
    </cfRule>
  </conditionalFormatting>
  <conditionalFormatting sqref="Z30">
    <cfRule type="cellIs" dxfId="5011" priority="104" operator="between">
      <formula>1</formula>
      <formula>449</formula>
    </cfRule>
  </conditionalFormatting>
  <conditionalFormatting sqref="Z33">
    <cfRule type="containsText" dxfId="5010" priority="103" operator="containsText" text="P">
      <formula>NOT(ISERROR(SEARCH("P",Z33)))</formula>
    </cfRule>
  </conditionalFormatting>
  <conditionalFormatting sqref="Z33">
    <cfRule type="containsText" dxfId="5009" priority="102" operator="containsText" text="VL">
      <formula>NOT(ISERROR(SEARCH("VL",Z33)))</formula>
    </cfRule>
  </conditionalFormatting>
  <conditionalFormatting sqref="Z33">
    <cfRule type="cellIs" dxfId="5008" priority="101" operator="between">
      <formula>1</formula>
      <formula>449</formula>
    </cfRule>
  </conditionalFormatting>
  <conditionalFormatting sqref="Z34">
    <cfRule type="containsText" dxfId="5007" priority="100" operator="containsText" text="P">
      <formula>NOT(ISERROR(SEARCH("P",Z34)))</formula>
    </cfRule>
  </conditionalFormatting>
  <conditionalFormatting sqref="Z34">
    <cfRule type="containsText" dxfId="5006" priority="99" operator="containsText" text="VL">
      <formula>NOT(ISERROR(SEARCH("VL",Z34)))</formula>
    </cfRule>
  </conditionalFormatting>
  <conditionalFormatting sqref="Z34">
    <cfRule type="cellIs" dxfId="5005" priority="98" operator="between">
      <formula>1</formula>
      <formula>449</formula>
    </cfRule>
  </conditionalFormatting>
  <conditionalFormatting sqref="Z8">
    <cfRule type="containsText" dxfId="5004" priority="97" operator="containsText" text="P">
      <formula>NOT(ISERROR(SEARCH("P",Z8)))</formula>
    </cfRule>
  </conditionalFormatting>
  <conditionalFormatting sqref="Z8">
    <cfRule type="containsText" dxfId="5003" priority="96" operator="containsText" text="VL">
      <formula>NOT(ISERROR(SEARCH("VL",Z8)))</formula>
    </cfRule>
  </conditionalFormatting>
  <conditionalFormatting sqref="Z8">
    <cfRule type="cellIs" dxfId="5002" priority="95" operator="between">
      <formula>1</formula>
      <formula>449</formula>
    </cfRule>
  </conditionalFormatting>
  <conditionalFormatting sqref="Z3">
    <cfRule type="containsText" dxfId="5001" priority="94" operator="containsText" text="P">
      <formula>NOT(ISERROR(SEARCH("P",Z3)))</formula>
    </cfRule>
  </conditionalFormatting>
  <conditionalFormatting sqref="Z3">
    <cfRule type="containsText" dxfId="5000" priority="93" operator="containsText" text="VL">
      <formula>NOT(ISERROR(SEARCH("VL",Z3)))</formula>
    </cfRule>
  </conditionalFormatting>
  <conditionalFormatting sqref="Z3">
    <cfRule type="cellIs" dxfId="4999" priority="92" operator="between">
      <formula>1</formula>
      <formula>449</formula>
    </cfRule>
  </conditionalFormatting>
  <conditionalFormatting sqref="Z3">
    <cfRule type="containsText" dxfId="4998" priority="91" operator="containsText" text="P">
      <formula>NOT(ISERROR(SEARCH("P",Z3)))</formula>
    </cfRule>
  </conditionalFormatting>
  <conditionalFormatting sqref="Z3">
    <cfRule type="containsText" dxfId="4997" priority="90" operator="containsText" text="VL">
      <formula>NOT(ISERROR(SEARCH("VL",Z3)))</formula>
    </cfRule>
  </conditionalFormatting>
  <conditionalFormatting sqref="Z3">
    <cfRule type="cellIs" dxfId="4996" priority="89" operator="between">
      <formula>1</formula>
      <formula>449</formula>
    </cfRule>
  </conditionalFormatting>
  <conditionalFormatting sqref="Z40">
    <cfRule type="containsText" dxfId="4995" priority="88" operator="containsText" text="P">
      <formula>NOT(ISERROR(SEARCH("P",Z40)))</formula>
    </cfRule>
  </conditionalFormatting>
  <conditionalFormatting sqref="Z40">
    <cfRule type="containsText" dxfId="4994" priority="87" operator="containsText" text="VL">
      <formula>NOT(ISERROR(SEARCH("VL",Z40)))</formula>
    </cfRule>
  </conditionalFormatting>
  <conditionalFormatting sqref="Z40">
    <cfRule type="cellIs" dxfId="4993" priority="86" operator="between">
      <formula>1</formula>
      <formula>449</formula>
    </cfRule>
  </conditionalFormatting>
  <conditionalFormatting sqref="Z40">
    <cfRule type="containsText" dxfId="4992" priority="85" operator="containsText" text="P">
      <formula>NOT(ISERROR(SEARCH("P",Z40)))</formula>
    </cfRule>
  </conditionalFormatting>
  <conditionalFormatting sqref="Z40">
    <cfRule type="containsText" dxfId="4991" priority="84" operator="containsText" text="VL">
      <formula>NOT(ISERROR(SEARCH("VL",Z40)))</formula>
    </cfRule>
  </conditionalFormatting>
  <conditionalFormatting sqref="Z40">
    <cfRule type="cellIs" dxfId="4990" priority="83" operator="between">
      <formula>1</formula>
      <formula>449</formula>
    </cfRule>
  </conditionalFormatting>
  <conditionalFormatting sqref="Z9">
    <cfRule type="containsText" dxfId="4989" priority="82" operator="containsText" text="P">
      <formula>NOT(ISERROR(SEARCH("P",Z9)))</formula>
    </cfRule>
  </conditionalFormatting>
  <conditionalFormatting sqref="Z9">
    <cfRule type="containsText" dxfId="4988" priority="81" operator="containsText" text="VL">
      <formula>NOT(ISERROR(SEARCH("VL",Z9)))</formula>
    </cfRule>
  </conditionalFormatting>
  <conditionalFormatting sqref="Z9">
    <cfRule type="cellIs" dxfId="4987" priority="80" operator="between">
      <formula>1</formula>
      <formula>449</formula>
    </cfRule>
  </conditionalFormatting>
  <conditionalFormatting sqref="Z9">
    <cfRule type="cellIs" dxfId="4986" priority="79" operator="equal">
      <formula>450</formula>
    </cfRule>
  </conditionalFormatting>
  <conditionalFormatting sqref="Z9">
    <cfRule type="containsText" dxfId="4985" priority="78" operator="containsText" text="VL">
      <formula>NOT(ISERROR(SEARCH("VL",Z9)))</formula>
    </cfRule>
  </conditionalFormatting>
  <conditionalFormatting sqref="Z9">
    <cfRule type="cellIs" dxfId="4984" priority="77" operator="equal">
      <formula>"LWOP"</formula>
    </cfRule>
  </conditionalFormatting>
  <conditionalFormatting sqref="Z9">
    <cfRule type="cellIs" dxfId="4983" priority="76" operator="between">
      <formula>1</formula>
      <formula>449</formula>
    </cfRule>
  </conditionalFormatting>
  <conditionalFormatting sqref="Z43">
    <cfRule type="containsText" dxfId="4982" priority="75" operator="containsText" text="P">
      <formula>NOT(ISERROR(SEARCH("P",Z43)))</formula>
    </cfRule>
  </conditionalFormatting>
  <conditionalFormatting sqref="Z43">
    <cfRule type="containsText" dxfId="4981" priority="74" operator="containsText" text="VL">
      <formula>NOT(ISERROR(SEARCH("VL",Z43)))</formula>
    </cfRule>
  </conditionalFormatting>
  <conditionalFormatting sqref="Z43">
    <cfRule type="cellIs" dxfId="4980" priority="73" operator="between">
      <formula>1</formula>
      <formula>449</formula>
    </cfRule>
  </conditionalFormatting>
  <conditionalFormatting sqref="Z4">
    <cfRule type="containsText" dxfId="4979" priority="72" operator="containsText" text="P">
      <formula>NOT(ISERROR(SEARCH("P",Z4)))</formula>
    </cfRule>
  </conditionalFormatting>
  <conditionalFormatting sqref="Z4">
    <cfRule type="containsText" dxfId="4978" priority="71" operator="containsText" text="VL">
      <formula>NOT(ISERROR(SEARCH("VL",Z4)))</formula>
    </cfRule>
  </conditionalFormatting>
  <conditionalFormatting sqref="Z4">
    <cfRule type="cellIs" dxfId="4977" priority="70" operator="between">
      <formula>1</formula>
      <formula>449</formula>
    </cfRule>
  </conditionalFormatting>
  <conditionalFormatting sqref="Z100">
    <cfRule type="containsText" dxfId="4976" priority="69" operator="containsText" text="P">
      <formula>NOT(ISERROR(SEARCH("P",Z100)))</formula>
    </cfRule>
  </conditionalFormatting>
  <conditionalFormatting sqref="Z100">
    <cfRule type="containsText" dxfId="4975" priority="68" operator="containsText" text="VL">
      <formula>NOT(ISERROR(SEARCH("VL",Z100)))</formula>
    </cfRule>
  </conditionalFormatting>
  <conditionalFormatting sqref="Z100">
    <cfRule type="containsText" dxfId="4974" priority="67" operator="containsText" text="P">
      <formula>NOT(ISERROR(SEARCH("P",Z100)))</formula>
    </cfRule>
  </conditionalFormatting>
  <conditionalFormatting sqref="Z100">
    <cfRule type="containsText" dxfId="4973" priority="66" operator="containsText" text="VL">
      <formula>NOT(ISERROR(SEARCH("VL",Z100)))</formula>
    </cfRule>
  </conditionalFormatting>
  <conditionalFormatting sqref="Z50">
    <cfRule type="cellIs" dxfId="4972" priority="65" operator="equal">
      <formula>450</formula>
    </cfRule>
  </conditionalFormatting>
  <conditionalFormatting sqref="Z50">
    <cfRule type="containsText" dxfId="4971" priority="64" operator="containsText" text="VL">
      <formula>NOT(ISERROR(SEARCH("VL",Z50)))</formula>
    </cfRule>
  </conditionalFormatting>
  <conditionalFormatting sqref="Z50">
    <cfRule type="cellIs" dxfId="4970" priority="63" operator="equal">
      <formula>"LWOP"</formula>
    </cfRule>
  </conditionalFormatting>
  <conditionalFormatting sqref="Z50">
    <cfRule type="cellIs" dxfId="4969" priority="62" operator="between">
      <formula>1</formula>
      <formula>449</formula>
    </cfRule>
  </conditionalFormatting>
  <conditionalFormatting sqref="Z55">
    <cfRule type="cellIs" dxfId="4968" priority="61" operator="equal">
      <formula>450</formula>
    </cfRule>
  </conditionalFormatting>
  <conditionalFormatting sqref="Z55">
    <cfRule type="containsText" dxfId="4967" priority="60" operator="containsText" text="VL">
      <formula>NOT(ISERROR(SEARCH("VL",Z55)))</formula>
    </cfRule>
  </conditionalFormatting>
  <conditionalFormatting sqref="Z55">
    <cfRule type="cellIs" dxfId="4966" priority="59" operator="equal">
      <formula>"LWOP"</formula>
    </cfRule>
  </conditionalFormatting>
  <conditionalFormatting sqref="Z55">
    <cfRule type="containsText" dxfId="4965" priority="58" operator="containsText" text="P">
      <formula>NOT(ISERROR(SEARCH("P",Z55)))</formula>
    </cfRule>
  </conditionalFormatting>
  <conditionalFormatting sqref="Z55">
    <cfRule type="containsText" dxfId="4964" priority="57" operator="containsText" text="VL">
      <formula>NOT(ISERROR(SEARCH("VL",Z55)))</formula>
    </cfRule>
  </conditionalFormatting>
  <conditionalFormatting sqref="Z55">
    <cfRule type="cellIs" dxfId="4963" priority="56" operator="between">
      <formula>1</formula>
      <formula>449</formula>
    </cfRule>
  </conditionalFormatting>
  <conditionalFormatting sqref="Z55">
    <cfRule type="cellIs" dxfId="4962" priority="55" operator="between">
      <formula>1</formula>
      <formula>449</formula>
    </cfRule>
  </conditionalFormatting>
  <conditionalFormatting sqref="Z56">
    <cfRule type="containsText" dxfId="4961" priority="54" operator="containsText" text="P">
      <formula>NOT(ISERROR(SEARCH("P",Z56)))</formula>
    </cfRule>
  </conditionalFormatting>
  <conditionalFormatting sqref="Z56">
    <cfRule type="containsText" dxfId="4960" priority="53" operator="containsText" text="VL">
      <formula>NOT(ISERROR(SEARCH("VL",Z56)))</formula>
    </cfRule>
  </conditionalFormatting>
  <conditionalFormatting sqref="Z56">
    <cfRule type="cellIs" dxfId="4959" priority="52" operator="between">
      <formula>1</formula>
      <formula>449</formula>
    </cfRule>
  </conditionalFormatting>
  <conditionalFormatting sqref="Z56">
    <cfRule type="containsText" dxfId="4958" priority="51" operator="containsText" text="P">
      <formula>NOT(ISERROR(SEARCH("P",Z56)))</formula>
    </cfRule>
  </conditionalFormatting>
  <conditionalFormatting sqref="Z56">
    <cfRule type="containsText" dxfId="4957" priority="50" operator="containsText" text="VL">
      <formula>NOT(ISERROR(SEARCH("VL",Z56)))</formula>
    </cfRule>
  </conditionalFormatting>
  <conditionalFormatting sqref="Z72">
    <cfRule type="cellIs" dxfId="4956" priority="49" operator="equal">
      <formula>450</formula>
    </cfRule>
  </conditionalFormatting>
  <conditionalFormatting sqref="Z72">
    <cfRule type="containsText" dxfId="4955" priority="48" operator="containsText" text="VL">
      <formula>NOT(ISERROR(SEARCH("VL",Z72)))</formula>
    </cfRule>
  </conditionalFormatting>
  <conditionalFormatting sqref="Z72">
    <cfRule type="cellIs" dxfId="4954" priority="47" operator="equal">
      <formula>"LWOP"</formula>
    </cfRule>
  </conditionalFormatting>
  <conditionalFormatting sqref="Z72">
    <cfRule type="cellIs" dxfId="4953" priority="46" operator="between">
      <formula>1</formula>
      <formula>449</formula>
    </cfRule>
  </conditionalFormatting>
  <conditionalFormatting sqref="Z83">
    <cfRule type="containsText" dxfId="4952" priority="45" operator="containsText" text="P">
      <formula>NOT(ISERROR(SEARCH("P",Z83)))</formula>
    </cfRule>
  </conditionalFormatting>
  <conditionalFormatting sqref="Z83">
    <cfRule type="containsText" dxfId="4951" priority="44" operator="containsText" text="VL">
      <formula>NOT(ISERROR(SEARCH("VL",Z83)))</formula>
    </cfRule>
  </conditionalFormatting>
  <conditionalFormatting sqref="Z83">
    <cfRule type="cellIs" dxfId="4950" priority="43" operator="between">
      <formula>1</formula>
      <formula>449</formula>
    </cfRule>
  </conditionalFormatting>
  <conditionalFormatting sqref="Z83">
    <cfRule type="containsText" dxfId="4949" priority="42" operator="containsText" text="P">
      <formula>NOT(ISERROR(SEARCH("P",Z83)))</formula>
    </cfRule>
  </conditionalFormatting>
  <conditionalFormatting sqref="Z83">
    <cfRule type="containsText" dxfId="4948" priority="41" operator="containsText" text="VL">
      <formula>NOT(ISERROR(SEARCH("VL",Z83)))</formula>
    </cfRule>
  </conditionalFormatting>
  <conditionalFormatting sqref="Z83">
    <cfRule type="cellIs" dxfId="4947" priority="40" operator="between">
      <formula>1</formula>
      <formula>449</formula>
    </cfRule>
  </conditionalFormatting>
  <conditionalFormatting sqref="Z19">
    <cfRule type="cellIs" dxfId="4946" priority="39" operator="equal">
      <formula>450</formula>
    </cfRule>
  </conditionalFormatting>
  <conditionalFormatting sqref="Z19">
    <cfRule type="containsText" dxfId="4945" priority="38" operator="containsText" text="VL">
      <formula>NOT(ISERROR(SEARCH("VL",Z19)))</formula>
    </cfRule>
  </conditionalFormatting>
  <conditionalFormatting sqref="Z19">
    <cfRule type="cellIs" dxfId="4944" priority="37" operator="equal">
      <formula>"LWOP"</formula>
    </cfRule>
  </conditionalFormatting>
  <conditionalFormatting sqref="Z19">
    <cfRule type="cellIs" dxfId="4943" priority="36" operator="between">
      <formula>1</formula>
      <formula>449</formula>
    </cfRule>
  </conditionalFormatting>
  <conditionalFormatting sqref="Z67">
    <cfRule type="containsText" dxfId="4942" priority="35" operator="containsText" text="P">
      <formula>NOT(ISERROR(SEARCH("P",Z67)))</formula>
    </cfRule>
  </conditionalFormatting>
  <conditionalFormatting sqref="Z67">
    <cfRule type="containsText" dxfId="4941" priority="34" operator="containsText" text="VL">
      <formula>NOT(ISERROR(SEARCH("VL",Z67)))</formula>
    </cfRule>
  </conditionalFormatting>
  <conditionalFormatting sqref="Z67">
    <cfRule type="cellIs" dxfId="4940" priority="33" operator="between">
      <formula>1</formula>
      <formula>449</formula>
    </cfRule>
  </conditionalFormatting>
  <conditionalFormatting sqref="Z85">
    <cfRule type="containsText" dxfId="4939" priority="32" operator="containsText" text="P">
      <formula>NOT(ISERROR(SEARCH("P",Z85)))</formula>
    </cfRule>
  </conditionalFormatting>
  <conditionalFormatting sqref="Z85">
    <cfRule type="containsText" dxfId="4938" priority="31" operator="containsText" text="VL">
      <formula>NOT(ISERROR(SEARCH("VL",Z85)))</formula>
    </cfRule>
  </conditionalFormatting>
  <conditionalFormatting sqref="Z85">
    <cfRule type="cellIs" dxfId="4937" priority="30" operator="between">
      <formula>1</formula>
      <formula>449</formula>
    </cfRule>
  </conditionalFormatting>
  <conditionalFormatting sqref="Z85">
    <cfRule type="containsText" dxfId="4936" priority="29" operator="containsText" text="P">
      <formula>NOT(ISERROR(SEARCH("P",Z85)))</formula>
    </cfRule>
  </conditionalFormatting>
  <conditionalFormatting sqref="Z85">
    <cfRule type="containsText" dxfId="4935" priority="28" operator="containsText" text="VL">
      <formula>NOT(ISERROR(SEARCH("VL",Z85)))</formula>
    </cfRule>
  </conditionalFormatting>
  <conditionalFormatting sqref="Z85">
    <cfRule type="cellIs" dxfId="4934" priority="27" operator="between">
      <formula>1</formula>
      <formula>449</formula>
    </cfRule>
  </conditionalFormatting>
  <conditionalFormatting sqref="Z58">
    <cfRule type="containsText" dxfId="4933" priority="26" operator="containsText" text="P">
      <formula>NOT(ISERROR(SEARCH("P",Z58)))</formula>
    </cfRule>
  </conditionalFormatting>
  <conditionalFormatting sqref="Z58">
    <cfRule type="containsText" dxfId="4932" priority="25" operator="containsText" text="VL">
      <formula>NOT(ISERROR(SEARCH("VL",Z58)))</formula>
    </cfRule>
  </conditionalFormatting>
  <conditionalFormatting sqref="Z58">
    <cfRule type="containsText" dxfId="4931" priority="24" operator="containsText" text="P">
      <formula>NOT(ISERROR(SEARCH("P",Z58)))</formula>
    </cfRule>
  </conditionalFormatting>
  <conditionalFormatting sqref="Z58">
    <cfRule type="containsText" dxfId="4930" priority="23" operator="containsText" text="VL">
      <formula>NOT(ISERROR(SEARCH("VL",Z58)))</formula>
    </cfRule>
  </conditionalFormatting>
  <conditionalFormatting sqref="Z58">
    <cfRule type="cellIs" dxfId="4929" priority="22" operator="between">
      <formula>1</formula>
      <formula>449</formula>
    </cfRule>
  </conditionalFormatting>
  <conditionalFormatting sqref="Z68">
    <cfRule type="containsText" dxfId="4928" priority="21" operator="containsText" text="P">
      <formula>NOT(ISERROR(SEARCH("P",Z68)))</formula>
    </cfRule>
  </conditionalFormatting>
  <conditionalFormatting sqref="Z68">
    <cfRule type="containsText" dxfId="4927" priority="20" operator="containsText" text="VL">
      <formula>NOT(ISERROR(SEARCH("VL",Z68)))</formula>
    </cfRule>
  </conditionalFormatting>
  <conditionalFormatting sqref="Z68">
    <cfRule type="cellIs" dxfId="4926" priority="19" operator="between">
      <formula>1</formula>
      <formula>449</formula>
    </cfRule>
  </conditionalFormatting>
  <conditionalFormatting sqref="Z95">
    <cfRule type="containsText" dxfId="4925" priority="18" operator="containsText" text="P">
      <formula>NOT(ISERROR(SEARCH("P",Z95)))</formula>
    </cfRule>
  </conditionalFormatting>
  <conditionalFormatting sqref="Z95">
    <cfRule type="containsText" dxfId="4924" priority="17" operator="containsText" text="VL">
      <formula>NOT(ISERROR(SEARCH("VL",Z95)))</formula>
    </cfRule>
  </conditionalFormatting>
  <conditionalFormatting sqref="Z95">
    <cfRule type="cellIs" dxfId="4923" priority="16" operator="between">
      <formula>1</formula>
      <formula>449</formula>
    </cfRule>
  </conditionalFormatting>
  <conditionalFormatting sqref="Z95">
    <cfRule type="containsText" dxfId="4922" priority="15" operator="containsText" text="P">
      <formula>NOT(ISERROR(SEARCH("P",Z95)))</formula>
    </cfRule>
  </conditionalFormatting>
  <conditionalFormatting sqref="Z95">
    <cfRule type="containsText" dxfId="4921" priority="14" operator="containsText" text="VL">
      <formula>NOT(ISERROR(SEARCH("VL",Z95)))</formula>
    </cfRule>
  </conditionalFormatting>
  <conditionalFormatting sqref="Z95">
    <cfRule type="cellIs" dxfId="4920" priority="13" operator="between">
      <formula>1</formula>
      <formula>449</formula>
    </cfRule>
  </conditionalFormatting>
  <conditionalFormatting sqref="Z94">
    <cfRule type="containsText" dxfId="4919" priority="12" operator="containsText" text="P">
      <formula>NOT(ISERROR(SEARCH("P",Z94)))</formula>
    </cfRule>
  </conditionalFormatting>
  <conditionalFormatting sqref="Z94">
    <cfRule type="containsText" dxfId="4918" priority="11" operator="containsText" text="VL">
      <formula>NOT(ISERROR(SEARCH("VL",Z94)))</formula>
    </cfRule>
  </conditionalFormatting>
  <conditionalFormatting sqref="Z94">
    <cfRule type="cellIs" dxfId="4917" priority="10" operator="between">
      <formula>1</formula>
      <formula>449</formula>
    </cfRule>
  </conditionalFormatting>
  <conditionalFormatting sqref="Z94">
    <cfRule type="containsText" dxfId="4916" priority="9" operator="containsText" text="P">
      <formula>NOT(ISERROR(SEARCH("P",Z94)))</formula>
    </cfRule>
  </conditionalFormatting>
  <conditionalFormatting sqref="Z94">
    <cfRule type="containsText" dxfId="4915" priority="8" operator="containsText" text="VL">
      <formula>NOT(ISERROR(SEARCH("VL",Z94)))</formula>
    </cfRule>
  </conditionalFormatting>
  <conditionalFormatting sqref="Z94">
    <cfRule type="cellIs" dxfId="4914" priority="7" operator="between">
      <formula>1</formula>
      <formula>449</formula>
    </cfRule>
  </conditionalFormatting>
  <conditionalFormatting sqref="Z96">
    <cfRule type="containsText" dxfId="4913" priority="6" operator="containsText" text="P">
      <formula>NOT(ISERROR(SEARCH("P",Z96)))</formula>
    </cfRule>
  </conditionalFormatting>
  <conditionalFormatting sqref="Z96">
    <cfRule type="containsText" dxfId="4912" priority="5" operator="containsText" text="VL">
      <formula>NOT(ISERROR(SEARCH("VL",Z96)))</formula>
    </cfRule>
  </conditionalFormatting>
  <conditionalFormatting sqref="Z96">
    <cfRule type="cellIs" dxfId="4911" priority="4" operator="between">
      <formula>1</formula>
      <formula>449</formula>
    </cfRule>
  </conditionalFormatting>
  <conditionalFormatting sqref="Z96">
    <cfRule type="containsText" dxfId="4910" priority="3" operator="containsText" text="P">
      <formula>NOT(ISERROR(SEARCH("P",Z96)))</formula>
    </cfRule>
  </conditionalFormatting>
  <conditionalFormatting sqref="Z96">
    <cfRule type="containsText" dxfId="4909" priority="2" operator="containsText" text="VL">
      <formula>NOT(ISERROR(SEARCH("VL",Z96)))</formula>
    </cfRule>
  </conditionalFormatting>
  <conditionalFormatting sqref="Z96">
    <cfRule type="cellIs" dxfId="4908" priority="1" operator="between">
      <formula>1</formula>
      <formula>449</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84987-32C8-4C18-99E9-265BE197D585}">
  <sheetPr filterMode="1"/>
  <dimension ref="A1:AV43"/>
  <sheetViews>
    <sheetView workbookViewId="0">
      <pane xSplit="1" topLeftCell="B1" activePane="topRight" state="frozen"/>
      <selection pane="topRight" activeCell="I52" sqref="I52"/>
    </sheetView>
  </sheetViews>
  <sheetFormatPr defaultColWidth="9.140625" defaultRowHeight="15"/>
  <cols>
    <col min="1" max="1" width="18.140625" customWidth="1"/>
    <col min="2" max="2" width="11.42578125" customWidth="1"/>
    <col min="3" max="8" width="11.28515625" customWidth="1"/>
    <col min="9" max="34" width="13.85546875" customWidth="1"/>
  </cols>
  <sheetData>
    <row r="1" spans="1:48">
      <c r="C1" s="58"/>
      <c r="D1" s="50">
        <v>45839</v>
      </c>
      <c r="E1" s="50">
        <v>45840</v>
      </c>
      <c r="F1" s="50">
        <v>45841</v>
      </c>
      <c r="G1" s="50">
        <v>45842</v>
      </c>
      <c r="H1" s="50">
        <v>45843</v>
      </c>
      <c r="I1" s="50">
        <v>45844</v>
      </c>
      <c r="J1" s="50">
        <v>45845</v>
      </c>
      <c r="K1" s="50">
        <v>45846</v>
      </c>
      <c r="L1" s="50">
        <v>45847</v>
      </c>
      <c r="M1" s="50">
        <v>45848</v>
      </c>
      <c r="N1" s="50">
        <v>45849</v>
      </c>
      <c r="O1" s="50">
        <v>45850</v>
      </c>
      <c r="P1" s="50">
        <v>45851</v>
      </c>
      <c r="Q1" s="50">
        <v>45852</v>
      </c>
      <c r="R1" s="50">
        <v>45853</v>
      </c>
      <c r="S1" s="50">
        <v>45854</v>
      </c>
      <c r="T1" s="50">
        <v>45855</v>
      </c>
      <c r="U1" s="50">
        <v>45856</v>
      </c>
      <c r="V1" s="50">
        <v>45857</v>
      </c>
      <c r="W1" s="50">
        <v>45858</v>
      </c>
      <c r="X1" s="50">
        <v>45859</v>
      </c>
      <c r="Y1" s="50">
        <v>45860</v>
      </c>
      <c r="Z1" s="50">
        <v>45861</v>
      </c>
      <c r="AA1" s="50">
        <v>45862</v>
      </c>
      <c r="AB1" s="50">
        <v>45863</v>
      </c>
      <c r="AC1" s="50">
        <v>45864</v>
      </c>
      <c r="AD1" s="50">
        <v>45865</v>
      </c>
      <c r="AE1" s="50">
        <v>45866</v>
      </c>
      <c r="AF1" s="50">
        <v>45867</v>
      </c>
      <c r="AG1" s="50">
        <v>45868</v>
      </c>
      <c r="AH1" s="50">
        <v>45869</v>
      </c>
      <c r="AI1" s="52"/>
    </row>
    <row r="2" spans="1:48" hidden="1">
      <c r="A2" s="1" t="s">
        <v>2</v>
      </c>
      <c r="B2" s="1" t="s">
        <v>0</v>
      </c>
      <c r="C2" s="17" t="s">
        <v>3</v>
      </c>
      <c r="D2" s="94"/>
      <c r="E2" s="94"/>
      <c r="F2" s="94"/>
      <c r="G2" s="94"/>
      <c r="H2" s="94"/>
      <c r="I2" s="8" t="s">
        <v>135</v>
      </c>
      <c r="J2" s="8" t="s">
        <v>136</v>
      </c>
      <c r="K2" s="8" t="s">
        <v>137</v>
      </c>
      <c r="L2" s="8" t="s">
        <v>138</v>
      </c>
      <c r="M2" s="8" t="s">
        <v>139</v>
      </c>
      <c r="N2" s="8" t="s">
        <v>140</v>
      </c>
      <c r="O2" s="8" t="s">
        <v>141</v>
      </c>
      <c r="P2" s="8" t="s">
        <v>135</v>
      </c>
      <c r="Q2" s="8" t="s">
        <v>136</v>
      </c>
      <c r="R2" s="8" t="s">
        <v>137</v>
      </c>
      <c r="S2" s="8" t="s">
        <v>138</v>
      </c>
      <c r="T2" s="8" t="s">
        <v>139</v>
      </c>
      <c r="U2" s="8" t="s">
        <v>140</v>
      </c>
      <c r="V2" s="8" t="s">
        <v>141</v>
      </c>
      <c r="W2" s="8" t="s">
        <v>135</v>
      </c>
      <c r="X2" s="8" t="s">
        <v>136</v>
      </c>
      <c r="Y2" s="8" t="s">
        <v>137</v>
      </c>
      <c r="Z2" s="8" t="s">
        <v>138</v>
      </c>
      <c r="AA2" s="8" t="s">
        <v>139</v>
      </c>
      <c r="AB2" s="8" t="s">
        <v>140</v>
      </c>
      <c r="AC2" s="8" t="s">
        <v>141</v>
      </c>
      <c r="AD2" s="8" t="s">
        <v>135</v>
      </c>
      <c r="AE2" s="8" t="s">
        <v>136</v>
      </c>
      <c r="AF2" s="8" t="s">
        <v>137</v>
      </c>
      <c r="AG2" s="8" t="s">
        <v>138</v>
      </c>
      <c r="AH2" s="8" t="s">
        <v>139</v>
      </c>
      <c r="AI2" s="53" t="s">
        <v>4</v>
      </c>
      <c r="AJ2" s="1" t="s">
        <v>186</v>
      </c>
      <c r="AK2" s="1" t="s">
        <v>5</v>
      </c>
      <c r="AL2" s="1" t="s">
        <v>6</v>
      </c>
      <c r="AM2" s="1" t="s">
        <v>7</v>
      </c>
      <c r="AN2" s="1" t="s">
        <v>8</v>
      </c>
      <c r="AO2" s="1" t="s">
        <v>9</v>
      </c>
      <c r="AP2" s="1" t="s">
        <v>182</v>
      </c>
      <c r="AQ2" s="1" t="s">
        <v>183</v>
      </c>
      <c r="AR2" s="1" t="s">
        <v>147</v>
      </c>
      <c r="AS2" s="2" t="s">
        <v>12</v>
      </c>
      <c r="AT2" s="2" t="s">
        <v>14</v>
      </c>
      <c r="AU2" s="3" t="s">
        <v>184</v>
      </c>
      <c r="AV2" s="3" t="s">
        <v>185</v>
      </c>
    </row>
    <row r="3" spans="1:48" hidden="1">
      <c r="A3" s="61" t="s">
        <v>208</v>
      </c>
      <c r="B3" s="62" t="s">
        <v>37</v>
      </c>
      <c r="C3" s="61" t="s">
        <v>340</v>
      </c>
      <c r="D3" s="9" t="s">
        <v>147</v>
      </c>
      <c r="E3" s="9">
        <v>450</v>
      </c>
      <c r="F3" s="9">
        <v>17</v>
      </c>
      <c r="G3" s="9" t="s">
        <v>148</v>
      </c>
      <c r="H3" s="9" t="s">
        <v>148</v>
      </c>
      <c r="I3" s="9" t="s">
        <v>148</v>
      </c>
      <c r="J3" s="9" t="s">
        <v>147</v>
      </c>
      <c r="K3" s="9" t="s">
        <v>147</v>
      </c>
      <c r="L3" s="9">
        <v>450</v>
      </c>
      <c r="M3" s="9">
        <v>450</v>
      </c>
      <c r="N3" s="9">
        <v>450</v>
      </c>
      <c r="O3" s="9">
        <v>450</v>
      </c>
      <c r="P3" s="9">
        <v>450</v>
      </c>
      <c r="Q3" s="9" t="s">
        <v>147</v>
      </c>
      <c r="R3" s="9" t="s">
        <v>147</v>
      </c>
      <c r="S3" s="9">
        <v>450</v>
      </c>
      <c r="T3" s="9">
        <v>450</v>
      </c>
      <c r="U3" s="9"/>
      <c r="V3" s="9"/>
      <c r="W3" s="9"/>
      <c r="X3" s="9"/>
      <c r="Y3" s="9"/>
      <c r="Z3" s="9"/>
      <c r="AA3" s="9"/>
      <c r="AB3" s="9"/>
      <c r="AC3" s="9"/>
      <c r="AD3" s="9"/>
      <c r="AE3" s="9"/>
      <c r="AF3" s="9"/>
      <c r="AG3" s="9"/>
      <c r="AH3" s="9"/>
      <c r="AI3" s="54">
        <f>SUM(I3:AG3)</f>
        <v>3150</v>
      </c>
      <c r="AJ3" s="16">
        <f>AI3-AK3</f>
        <v>-450</v>
      </c>
      <c r="AK3" s="5">
        <f>SUMIF(C3:AG3,"450")</f>
        <v>3600</v>
      </c>
      <c r="AL3" s="16">
        <f>AJ3+AK3</f>
        <v>3150</v>
      </c>
      <c r="AM3">
        <f>AP3*450</f>
        <v>11700</v>
      </c>
      <c r="AN3">
        <f>AM3-AL3</f>
        <v>8550</v>
      </c>
      <c r="AO3">
        <f>AN3/AM3</f>
        <v>0.73076923076923073</v>
      </c>
      <c r="AP3">
        <f>AQ3-(AS3+AT3)</f>
        <v>26</v>
      </c>
      <c r="AQ3">
        <f>30-AR3</f>
        <v>26</v>
      </c>
      <c r="AR3" s="5">
        <f>COUNTIF(I3:AF3,"RD")</f>
        <v>4</v>
      </c>
      <c r="AS3" s="5">
        <f>COUNTIF(I3:AG3,"VL")</f>
        <v>0</v>
      </c>
      <c r="AT3" s="5">
        <f>COUNTIF(I3:AG3,"LWOP")</f>
        <v>0</v>
      </c>
      <c r="AU3" s="5">
        <f>COUNTIF(I3:AI3,"450")</f>
        <v>7</v>
      </c>
    </row>
    <row r="4" spans="1:48" hidden="1">
      <c r="A4" s="63" t="s">
        <v>215</v>
      </c>
      <c r="B4" s="62" t="s">
        <v>37</v>
      </c>
      <c r="C4" s="63" t="s">
        <v>340</v>
      </c>
      <c r="D4" s="9" t="s">
        <v>147</v>
      </c>
      <c r="E4" s="9" t="s">
        <v>148</v>
      </c>
      <c r="F4" s="9" t="s">
        <v>148</v>
      </c>
      <c r="G4" s="9" t="s">
        <v>148</v>
      </c>
      <c r="H4" s="9" t="s">
        <v>148</v>
      </c>
      <c r="I4" s="9" t="s">
        <v>148</v>
      </c>
      <c r="J4" s="9" t="s">
        <v>147</v>
      </c>
      <c r="K4" s="9" t="s">
        <v>147</v>
      </c>
      <c r="L4" s="9">
        <v>13</v>
      </c>
      <c r="M4" s="9">
        <v>4</v>
      </c>
      <c r="N4" s="9">
        <v>450</v>
      </c>
      <c r="O4" s="9" t="s">
        <v>148</v>
      </c>
      <c r="P4" s="9" t="s">
        <v>148</v>
      </c>
      <c r="Q4" s="9" t="s">
        <v>147</v>
      </c>
      <c r="R4" s="9" t="s">
        <v>147</v>
      </c>
      <c r="S4" s="9">
        <v>1</v>
      </c>
      <c r="T4" s="9">
        <v>13</v>
      </c>
      <c r="U4" s="9" t="s">
        <v>174</v>
      </c>
      <c r="V4" s="9" t="s">
        <v>148</v>
      </c>
      <c r="W4" s="9" t="s">
        <v>148</v>
      </c>
      <c r="X4" s="9" t="s">
        <v>147</v>
      </c>
      <c r="Y4" s="9" t="s">
        <v>147</v>
      </c>
      <c r="Z4" s="9" t="s">
        <v>148</v>
      </c>
      <c r="AA4" s="9" t="s">
        <v>148</v>
      </c>
      <c r="AB4" s="9" t="s">
        <v>148</v>
      </c>
      <c r="AC4" s="9">
        <v>450</v>
      </c>
      <c r="AD4" s="9" t="s">
        <v>148</v>
      </c>
      <c r="AE4" s="9"/>
      <c r="AF4" s="9" t="s">
        <v>147</v>
      </c>
      <c r="AG4" s="9" t="s">
        <v>147</v>
      </c>
      <c r="AH4" s="9"/>
      <c r="AI4" s="54">
        <f>SUM(I4:AG4)</f>
        <v>931</v>
      </c>
      <c r="AJ4" s="16">
        <f t="shared" ref="AJ4:AJ26" si="0">AI4-AK4</f>
        <v>31</v>
      </c>
      <c r="AK4" s="5">
        <f>SUMIF(C4:AG4,"450")</f>
        <v>900</v>
      </c>
      <c r="AL4" s="16">
        <f t="shared" ref="AL4:AL26" si="1">AJ4+AK4</f>
        <v>931</v>
      </c>
      <c r="AM4">
        <f t="shared" ref="AM4:AM26" si="2">AP4*450</f>
        <v>10350</v>
      </c>
      <c r="AN4">
        <f t="shared" ref="AN4:AN26" si="3">AM4-AL4</f>
        <v>9419</v>
      </c>
      <c r="AO4">
        <f t="shared" ref="AO4:AO26" si="4">AN4/AM4</f>
        <v>0.91004830917874391</v>
      </c>
      <c r="AP4">
        <f t="shared" ref="AP4:AP26" si="5">AQ4-(AS4+AT4)</f>
        <v>23</v>
      </c>
      <c r="AQ4">
        <f t="shared" ref="AQ4:AQ26" si="6">30-AR4</f>
        <v>23</v>
      </c>
      <c r="AR4" s="5">
        <f>COUNTIF(I4:AF4,"RD")</f>
        <v>7</v>
      </c>
      <c r="AS4" s="5">
        <f>COUNTIF(I4:AG4,"VL")</f>
        <v>0</v>
      </c>
      <c r="AT4" s="5">
        <f>COUNTIF(I4:AG4,"LWOP")</f>
        <v>0</v>
      </c>
      <c r="AU4" s="5">
        <f>COUNTIF(I4:AI4,"450")</f>
        <v>2</v>
      </c>
    </row>
    <row r="5" spans="1:48" hidden="1">
      <c r="A5" s="63" t="s">
        <v>318</v>
      </c>
      <c r="B5" s="62" t="s">
        <v>341</v>
      </c>
      <c r="C5" s="63" t="s">
        <v>340</v>
      </c>
      <c r="D5" s="9" t="s">
        <v>148</v>
      </c>
      <c r="E5" s="9" t="s">
        <v>148</v>
      </c>
      <c r="F5" s="9" t="s">
        <v>148</v>
      </c>
      <c r="G5" s="9" t="s">
        <v>148</v>
      </c>
      <c r="H5" s="9" t="s">
        <v>147</v>
      </c>
      <c r="I5" s="9" t="s">
        <v>147</v>
      </c>
      <c r="J5" s="9" t="s">
        <v>148</v>
      </c>
      <c r="K5" s="9" t="s">
        <v>148</v>
      </c>
      <c r="L5" s="9" t="s">
        <v>148</v>
      </c>
      <c r="M5" s="9" t="s">
        <v>148</v>
      </c>
      <c r="N5" s="9" t="s">
        <v>148</v>
      </c>
      <c r="O5" s="9" t="s">
        <v>147</v>
      </c>
      <c r="P5" s="9" t="s">
        <v>147</v>
      </c>
      <c r="Q5" s="9" t="s">
        <v>148</v>
      </c>
      <c r="R5" s="9" t="s">
        <v>148</v>
      </c>
      <c r="S5" s="9" t="s">
        <v>148</v>
      </c>
      <c r="T5" s="9" t="s">
        <v>148</v>
      </c>
      <c r="U5" s="9" t="s">
        <v>148</v>
      </c>
      <c r="V5" s="9" t="s">
        <v>147</v>
      </c>
      <c r="W5" s="9" t="s">
        <v>147</v>
      </c>
      <c r="X5" s="9" t="s">
        <v>148</v>
      </c>
      <c r="Y5" s="9">
        <v>450</v>
      </c>
      <c r="Z5" s="9" t="s">
        <v>148</v>
      </c>
      <c r="AA5" s="9" t="s">
        <v>148</v>
      </c>
      <c r="AB5" s="9" t="s">
        <v>148</v>
      </c>
      <c r="AC5" s="9" t="s">
        <v>147</v>
      </c>
      <c r="AD5" s="9" t="s">
        <v>147</v>
      </c>
      <c r="AE5" s="9" t="s">
        <v>148</v>
      </c>
      <c r="AF5" s="9" t="s">
        <v>148</v>
      </c>
      <c r="AG5" s="9" t="s">
        <v>148</v>
      </c>
      <c r="AH5" s="9"/>
      <c r="AI5" s="54">
        <f>SUM(I5:AG5)</f>
        <v>450</v>
      </c>
      <c r="AJ5" s="16">
        <f t="shared" si="0"/>
        <v>0</v>
      </c>
      <c r="AK5" s="5">
        <f>SUMIF(C5:AG5,"450")</f>
        <v>450</v>
      </c>
      <c r="AL5" s="16">
        <f t="shared" si="1"/>
        <v>450</v>
      </c>
      <c r="AM5">
        <f t="shared" si="2"/>
        <v>10350</v>
      </c>
      <c r="AN5">
        <f t="shared" si="3"/>
        <v>9900</v>
      </c>
      <c r="AO5">
        <f t="shared" si="4"/>
        <v>0.95652173913043481</v>
      </c>
      <c r="AP5">
        <f t="shared" si="5"/>
        <v>23</v>
      </c>
      <c r="AQ5">
        <f t="shared" si="6"/>
        <v>23</v>
      </c>
      <c r="AR5" s="5">
        <f>COUNTIF(I5:AF5,"RD")</f>
        <v>7</v>
      </c>
      <c r="AS5" s="5">
        <f>COUNTIF(I5:AG5,"VL")</f>
        <v>0</v>
      </c>
      <c r="AT5" s="5">
        <f>COUNTIF(I5:AG5,"LWOP")</f>
        <v>0</v>
      </c>
      <c r="AU5" s="5">
        <f>COUNTIF(I5:AI5,"450")</f>
        <v>2</v>
      </c>
    </row>
    <row r="6" spans="1:48" hidden="1">
      <c r="A6" s="63" t="s">
        <v>217</v>
      </c>
      <c r="B6" s="62" t="s">
        <v>341</v>
      </c>
      <c r="C6" s="63" t="s">
        <v>340</v>
      </c>
      <c r="D6" s="9" t="s">
        <v>148</v>
      </c>
      <c r="E6" s="9" t="s">
        <v>148</v>
      </c>
      <c r="F6" s="9" t="s">
        <v>148</v>
      </c>
      <c r="G6" s="9" t="s">
        <v>148</v>
      </c>
      <c r="H6" s="9" t="s">
        <v>147</v>
      </c>
      <c r="I6" s="9" t="s">
        <v>147</v>
      </c>
      <c r="J6" s="9" t="s">
        <v>148</v>
      </c>
      <c r="K6" s="9">
        <v>6</v>
      </c>
      <c r="L6" s="9" t="s">
        <v>148</v>
      </c>
      <c r="M6" s="9" t="s">
        <v>148</v>
      </c>
      <c r="N6" s="9" t="s">
        <v>148</v>
      </c>
      <c r="O6" s="9" t="s">
        <v>147</v>
      </c>
      <c r="P6" s="9" t="s">
        <v>147</v>
      </c>
      <c r="Q6" s="9" t="s">
        <v>148</v>
      </c>
      <c r="R6" s="9" t="s">
        <v>148</v>
      </c>
      <c r="S6" s="9" t="s">
        <v>148</v>
      </c>
      <c r="T6" s="9" t="s">
        <v>148</v>
      </c>
      <c r="U6" s="9" t="s">
        <v>148</v>
      </c>
      <c r="V6" s="9" t="s">
        <v>147</v>
      </c>
      <c r="W6" s="9" t="s">
        <v>147</v>
      </c>
      <c r="X6" s="9" t="s">
        <v>148</v>
      </c>
      <c r="Y6" s="9" t="s">
        <v>148</v>
      </c>
      <c r="Z6" s="9" t="s">
        <v>148</v>
      </c>
      <c r="AA6" s="9" t="s">
        <v>148</v>
      </c>
      <c r="AB6" s="9" t="s">
        <v>148</v>
      </c>
      <c r="AC6" s="9" t="s">
        <v>147</v>
      </c>
      <c r="AD6" s="9" t="s">
        <v>147</v>
      </c>
      <c r="AE6" s="9" t="s">
        <v>148</v>
      </c>
      <c r="AF6" s="9" t="s">
        <v>148</v>
      </c>
      <c r="AG6" s="9" t="s">
        <v>148</v>
      </c>
      <c r="AH6" s="9"/>
      <c r="AI6" s="54">
        <f>SUM(I6:AG6)</f>
        <v>6</v>
      </c>
      <c r="AJ6" s="16">
        <f t="shared" si="0"/>
        <v>6</v>
      </c>
      <c r="AK6" s="5">
        <f t="shared" ref="AK6:AK26" si="7">SUMIF(C6:AG6,"450")</f>
        <v>0</v>
      </c>
      <c r="AL6" s="16">
        <f t="shared" si="1"/>
        <v>6</v>
      </c>
      <c r="AM6">
        <f t="shared" si="2"/>
        <v>10350</v>
      </c>
      <c r="AN6">
        <f t="shared" si="3"/>
        <v>10344</v>
      </c>
      <c r="AO6">
        <f t="shared" si="4"/>
        <v>0.99942028985507247</v>
      </c>
      <c r="AP6">
        <f t="shared" si="5"/>
        <v>23</v>
      </c>
      <c r="AQ6">
        <f t="shared" si="6"/>
        <v>23</v>
      </c>
      <c r="AR6" s="5">
        <f>COUNTIF(I6:AF6,"RD")</f>
        <v>7</v>
      </c>
      <c r="AS6" s="5">
        <f>COUNTIF(I6:AG6,"VL")</f>
        <v>0</v>
      </c>
      <c r="AT6" s="5">
        <f>COUNTIF(I6:AG6,"LWOP")</f>
        <v>0</v>
      </c>
      <c r="AU6" s="5">
        <f>COUNTIF(I6:AI6,"450")</f>
        <v>0</v>
      </c>
    </row>
    <row r="7" spans="1:48" hidden="1">
      <c r="A7" s="63" t="s">
        <v>218</v>
      </c>
      <c r="B7" s="62" t="s">
        <v>22</v>
      </c>
      <c r="C7" s="63" t="s">
        <v>340</v>
      </c>
      <c r="D7" s="9" t="s">
        <v>148</v>
      </c>
      <c r="E7" s="9" t="s">
        <v>148</v>
      </c>
      <c r="F7" s="9" t="s">
        <v>148</v>
      </c>
      <c r="G7" s="9" t="s">
        <v>148</v>
      </c>
      <c r="H7" s="9" t="s">
        <v>147</v>
      </c>
      <c r="I7" s="9" t="s">
        <v>147</v>
      </c>
      <c r="J7" s="9" t="s">
        <v>148</v>
      </c>
      <c r="K7" s="9" t="s">
        <v>148</v>
      </c>
      <c r="L7" s="9">
        <v>42</v>
      </c>
      <c r="M7" s="9">
        <v>1</v>
      </c>
      <c r="N7" s="9" t="s">
        <v>148</v>
      </c>
      <c r="O7" s="9" t="s">
        <v>147</v>
      </c>
      <c r="P7" s="9" t="s">
        <v>147</v>
      </c>
      <c r="Q7" s="9" t="s">
        <v>148</v>
      </c>
      <c r="R7" s="9" t="s">
        <v>148</v>
      </c>
      <c r="S7" s="9" t="s">
        <v>148</v>
      </c>
      <c r="T7" s="9" t="s">
        <v>148</v>
      </c>
      <c r="U7" s="9" t="s">
        <v>148</v>
      </c>
      <c r="V7" s="9" t="s">
        <v>147</v>
      </c>
      <c r="W7" s="9" t="s">
        <v>147</v>
      </c>
      <c r="X7" s="9" t="s">
        <v>148</v>
      </c>
      <c r="Y7" s="9" t="s">
        <v>148</v>
      </c>
      <c r="Z7" s="9" t="s">
        <v>148</v>
      </c>
      <c r="AA7" s="9" t="s">
        <v>148</v>
      </c>
      <c r="AB7" s="9" t="s">
        <v>148</v>
      </c>
      <c r="AC7" s="9" t="s">
        <v>147</v>
      </c>
      <c r="AD7" s="9" t="s">
        <v>147</v>
      </c>
      <c r="AE7" s="9" t="s">
        <v>148</v>
      </c>
      <c r="AF7" s="9">
        <v>5</v>
      </c>
      <c r="AG7" s="9" t="s">
        <v>148</v>
      </c>
      <c r="AH7" s="9"/>
      <c r="AI7" s="54">
        <f>SUM(I7:AG7)</f>
        <v>48</v>
      </c>
      <c r="AJ7" s="16">
        <f t="shared" si="0"/>
        <v>48</v>
      </c>
      <c r="AK7" s="5">
        <f t="shared" si="7"/>
        <v>0</v>
      </c>
      <c r="AL7" s="16">
        <f t="shared" si="1"/>
        <v>48</v>
      </c>
      <c r="AM7">
        <f t="shared" si="2"/>
        <v>10350</v>
      </c>
      <c r="AN7">
        <f t="shared" si="3"/>
        <v>10302</v>
      </c>
      <c r="AO7">
        <f t="shared" si="4"/>
        <v>0.99536231884057969</v>
      </c>
      <c r="AP7">
        <f t="shared" si="5"/>
        <v>23</v>
      </c>
      <c r="AQ7">
        <f t="shared" si="6"/>
        <v>23</v>
      </c>
      <c r="AR7" s="5">
        <f>COUNTIF(I7:AF7,"RD")</f>
        <v>7</v>
      </c>
      <c r="AS7" s="5">
        <f>COUNTIF(I7:AG7,"VL")</f>
        <v>0</v>
      </c>
      <c r="AT7" s="5">
        <f>COUNTIF(I7:AG7,"LWOP")</f>
        <v>0</v>
      </c>
      <c r="AU7" s="5">
        <f>COUNTIF(I7:AI7,"450")</f>
        <v>0</v>
      </c>
    </row>
    <row r="8" spans="1:48" hidden="1">
      <c r="A8" s="63" t="s">
        <v>220</v>
      </c>
      <c r="B8" s="62" t="s">
        <v>267</v>
      </c>
      <c r="C8" s="63" t="s">
        <v>340</v>
      </c>
      <c r="D8" s="9">
        <v>450</v>
      </c>
      <c r="E8" s="9" t="s">
        <v>148</v>
      </c>
      <c r="F8" s="9" t="s">
        <v>148</v>
      </c>
      <c r="G8" s="9" t="s">
        <v>148</v>
      </c>
      <c r="H8" s="9" t="s">
        <v>147</v>
      </c>
      <c r="I8" s="9" t="s">
        <v>147</v>
      </c>
      <c r="J8" s="9" t="s">
        <v>148</v>
      </c>
      <c r="K8" s="9">
        <v>28</v>
      </c>
      <c r="L8" s="9" t="s">
        <v>148</v>
      </c>
      <c r="M8" s="9" t="s">
        <v>148</v>
      </c>
      <c r="N8" s="9" t="s">
        <v>148</v>
      </c>
      <c r="O8" s="9" t="s">
        <v>147</v>
      </c>
      <c r="P8" s="9" t="s">
        <v>147</v>
      </c>
      <c r="Q8" s="9">
        <v>1</v>
      </c>
      <c r="R8" s="9" t="s">
        <v>148</v>
      </c>
      <c r="S8" s="9">
        <v>2</v>
      </c>
      <c r="T8" s="9" t="s">
        <v>148</v>
      </c>
      <c r="U8" s="9" t="s">
        <v>148</v>
      </c>
      <c r="V8" s="9" t="s">
        <v>147</v>
      </c>
      <c r="W8" s="9" t="s">
        <v>147</v>
      </c>
      <c r="X8" s="9" t="s">
        <v>148</v>
      </c>
      <c r="Y8" s="9" t="s">
        <v>148</v>
      </c>
      <c r="Z8" s="9" t="s">
        <v>148</v>
      </c>
      <c r="AA8" s="9" t="s">
        <v>148</v>
      </c>
      <c r="AB8" s="9">
        <v>225</v>
      </c>
      <c r="AC8" s="9" t="s">
        <v>147</v>
      </c>
      <c r="AD8" s="9" t="s">
        <v>147</v>
      </c>
      <c r="AE8" s="9">
        <v>450</v>
      </c>
      <c r="AF8" s="9">
        <v>450</v>
      </c>
      <c r="AG8" s="9" t="s">
        <v>148</v>
      </c>
      <c r="AH8" s="9"/>
      <c r="AI8" s="54">
        <f>SUM(I8:AG8)</f>
        <v>1156</v>
      </c>
      <c r="AJ8" s="16">
        <f t="shared" si="0"/>
        <v>-194</v>
      </c>
      <c r="AK8" s="5">
        <f t="shared" si="7"/>
        <v>1350</v>
      </c>
      <c r="AL8" s="16">
        <f t="shared" si="1"/>
        <v>1156</v>
      </c>
      <c r="AM8">
        <f t="shared" si="2"/>
        <v>10350</v>
      </c>
      <c r="AN8">
        <f t="shared" si="3"/>
        <v>9194</v>
      </c>
      <c r="AO8">
        <f t="shared" si="4"/>
        <v>0.88830917874396131</v>
      </c>
      <c r="AP8">
        <f t="shared" si="5"/>
        <v>23</v>
      </c>
      <c r="AQ8">
        <f t="shared" si="6"/>
        <v>23</v>
      </c>
      <c r="AR8" s="5">
        <f>COUNTIF(I8:AF8,"RD")</f>
        <v>7</v>
      </c>
      <c r="AS8" s="5">
        <f>COUNTIF(I8:AG8,"VL")</f>
        <v>0</v>
      </c>
      <c r="AT8" s="5">
        <f>COUNTIF(I8:AG8,"LWOP")</f>
        <v>0</v>
      </c>
      <c r="AU8" s="5">
        <f>COUNTIF(I8:AI8,"450")</f>
        <v>2</v>
      </c>
    </row>
    <row r="9" spans="1:48" hidden="1">
      <c r="A9" s="63" t="s">
        <v>321</v>
      </c>
      <c r="B9" s="62" t="s">
        <v>341</v>
      </c>
      <c r="C9" s="63" t="s">
        <v>340</v>
      </c>
      <c r="D9" s="9" t="s">
        <v>148</v>
      </c>
      <c r="E9" s="9" t="s">
        <v>148</v>
      </c>
      <c r="F9" s="9" t="s">
        <v>148</v>
      </c>
      <c r="G9" s="9" t="s">
        <v>148</v>
      </c>
      <c r="H9" s="9" t="s">
        <v>147</v>
      </c>
      <c r="I9" s="9" t="s">
        <v>147</v>
      </c>
      <c r="J9" s="9" t="s">
        <v>148</v>
      </c>
      <c r="K9" s="9" t="s">
        <v>148</v>
      </c>
      <c r="L9" s="9" t="s">
        <v>148</v>
      </c>
      <c r="M9" s="9" t="s">
        <v>148</v>
      </c>
      <c r="N9" s="9" t="s">
        <v>148</v>
      </c>
      <c r="O9" s="9" t="s">
        <v>147</v>
      </c>
      <c r="P9" s="9" t="s">
        <v>147</v>
      </c>
      <c r="Q9" s="9" t="s">
        <v>148</v>
      </c>
      <c r="R9" s="9" t="s">
        <v>148</v>
      </c>
      <c r="S9" s="9" t="s">
        <v>148</v>
      </c>
      <c r="T9" s="9" t="s">
        <v>148</v>
      </c>
      <c r="U9" s="9" t="s">
        <v>148</v>
      </c>
      <c r="V9" s="9" t="s">
        <v>147</v>
      </c>
      <c r="W9" s="9" t="s">
        <v>147</v>
      </c>
      <c r="X9" s="9" t="s">
        <v>148</v>
      </c>
      <c r="Y9" s="9" t="s">
        <v>148</v>
      </c>
      <c r="Z9" s="9" t="s">
        <v>148</v>
      </c>
      <c r="AA9" s="9" t="s">
        <v>148</v>
      </c>
      <c r="AB9" s="9" t="s">
        <v>148</v>
      </c>
      <c r="AC9" s="9" t="s">
        <v>147</v>
      </c>
      <c r="AD9" s="9" t="s">
        <v>147</v>
      </c>
      <c r="AE9" s="9" t="s">
        <v>148</v>
      </c>
      <c r="AF9" s="9" t="s">
        <v>148</v>
      </c>
      <c r="AG9" s="9" t="s">
        <v>148</v>
      </c>
      <c r="AH9" s="9"/>
      <c r="AI9" s="54">
        <f>SUM(I9:AG9)</f>
        <v>0</v>
      </c>
      <c r="AJ9" s="16">
        <f t="shared" si="0"/>
        <v>0</v>
      </c>
      <c r="AK9" s="5">
        <f t="shared" si="7"/>
        <v>0</v>
      </c>
      <c r="AL9" s="16">
        <f t="shared" si="1"/>
        <v>0</v>
      </c>
      <c r="AM9">
        <f t="shared" si="2"/>
        <v>10350</v>
      </c>
      <c r="AN9">
        <f t="shared" si="3"/>
        <v>10350</v>
      </c>
      <c r="AO9">
        <f t="shared" si="4"/>
        <v>1</v>
      </c>
      <c r="AP9">
        <f t="shared" si="5"/>
        <v>23</v>
      </c>
      <c r="AQ9">
        <f t="shared" si="6"/>
        <v>23</v>
      </c>
      <c r="AR9" s="5">
        <f>COUNTIF(I9:AF9,"RD")</f>
        <v>7</v>
      </c>
      <c r="AS9" s="5">
        <f>COUNTIF(I9:AG9,"VL")</f>
        <v>0</v>
      </c>
      <c r="AT9" s="5">
        <f>COUNTIF(I9:AG9,"LWOP")</f>
        <v>0</v>
      </c>
      <c r="AU9" s="5">
        <f>COUNTIF(I9:AI9,"450")</f>
        <v>0</v>
      </c>
    </row>
    <row r="10" spans="1:48" hidden="1">
      <c r="A10" s="63" t="s">
        <v>224</v>
      </c>
      <c r="B10" s="62" t="s">
        <v>37</v>
      </c>
      <c r="C10" s="63" t="s">
        <v>340</v>
      </c>
      <c r="D10" s="9" t="s">
        <v>147</v>
      </c>
      <c r="E10" s="9" t="s">
        <v>148</v>
      </c>
      <c r="F10" s="9" t="s">
        <v>148</v>
      </c>
      <c r="G10" s="9">
        <v>21</v>
      </c>
      <c r="H10" s="9" t="s">
        <v>148</v>
      </c>
      <c r="I10" s="9" t="s">
        <v>148</v>
      </c>
      <c r="J10" s="9" t="s">
        <v>147</v>
      </c>
      <c r="K10" s="9" t="s">
        <v>147</v>
      </c>
      <c r="L10" s="9">
        <v>26</v>
      </c>
      <c r="M10" s="9">
        <v>18</v>
      </c>
      <c r="N10" s="9" t="s">
        <v>148</v>
      </c>
      <c r="O10" s="9">
        <v>33</v>
      </c>
      <c r="P10" s="9" t="s">
        <v>148</v>
      </c>
      <c r="Q10" s="9" t="s">
        <v>147</v>
      </c>
      <c r="R10" s="9" t="s">
        <v>147</v>
      </c>
      <c r="S10" s="9" t="s">
        <v>148</v>
      </c>
      <c r="T10" s="9" t="s">
        <v>148</v>
      </c>
      <c r="U10" s="9" t="s">
        <v>148</v>
      </c>
      <c r="V10" s="9" t="s">
        <v>148</v>
      </c>
      <c r="W10" s="9" t="s">
        <v>148</v>
      </c>
      <c r="X10" s="9" t="s">
        <v>147</v>
      </c>
      <c r="Y10" s="9" t="s">
        <v>147</v>
      </c>
      <c r="Z10" s="9" t="s">
        <v>148</v>
      </c>
      <c r="AA10" s="9" t="s">
        <v>148</v>
      </c>
      <c r="AB10" s="9" t="s">
        <v>148</v>
      </c>
      <c r="AC10" s="9" t="s">
        <v>148</v>
      </c>
      <c r="AD10" s="9" t="s">
        <v>148</v>
      </c>
      <c r="AE10" s="9" t="s">
        <v>148</v>
      </c>
      <c r="AF10" s="9" t="s">
        <v>147</v>
      </c>
      <c r="AG10" s="9" t="s">
        <v>147</v>
      </c>
      <c r="AH10" s="9"/>
      <c r="AI10" s="54">
        <f>SUM(I10:AG10)</f>
        <v>77</v>
      </c>
      <c r="AJ10" s="16">
        <f t="shared" si="0"/>
        <v>77</v>
      </c>
      <c r="AK10" s="5">
        <f t="shared" si="7"/>
        <v>0</v>
      </c>
      <c r="AL10" s="16">
        <f t="shared" si="1"/>
        <v>77</v>
      </c>
      <c r="AM10">
        <f t="shared" si="2"/>
        <v>10350</v>
      </c>
      <c r="AN10">
        <f t="shared" si="3"/>
        <v>10273</v>
      </c>
      <c r="AO10">
        <f t="shared" si="4"/>
        <v>0.99256038647342992</v>
      </c>
      <c r="AP10">
        <f t="shared" si="5"/>
        <v>23</v>
      </c>
      <c r="AQ10">
        <f t="shared" si="6"/>
        <v>23</v>
      </c>
      <c r="AR10" s="5">
        <f>COUNTIF(I10:AF10,"RD")</f>
        <v>7</v>
      </c>
      <c r="AS10" s="5">
        <f>COUNTIF(I10:AG10,"VL")</f>
        <v>0</v>
      </c>
      <c r="AT10" s="5">
        <f>COUNTIF(I10:AG10,"LWOP")</f>
        <v>0</v>
      </c>
      <c r="AU10" s="5">
        <f>COUNTIF(I10:AI10,"450")</f>
        <v>0</v>
      </c>
    </row>
    <row r="11" spans="1:48" hidden="1">
      <c r="A11" s="61" t="s">
        <v>225</v>
      </c>
      <c r="B11" s="62" t="s">
        <v>22</v>
      </c>
      <c r="C11" s="61" t="s">
        <v>63</v>
      </c>
      <c r="D11" s="9" t="s">
        <v>148</v>
      </c>
      <c r="E11" s="9" t="s">
        <v>148</v>
      </c>
      <c r="F11" s="9" t="s">
        <v>148</v>
      </c>
      <c r="G11" s="9" t="s">
        <v>148</v>
      </c>
      <c r="H11" s="9" t="s">
        <v>147</v>
      </c>
      <c r="I11" s="9" t="s">
        <v>147</v>
      </c>
      <c r="J11" s="9" t="s">
        <v>148</v>
      </c>
      <c r="K11" s="9" t="s">
        <v>148</v>
      </c>
      <c r="L11" s="9" t="s">
        <v>148</v>
      </c>
      <c r="M11" s="9">
        <v>15</v>
      </c>
      <c r="N11" s="9">
        <v>20</v>
      </c>
      <c r="O11" s="9" t="s">
        <v>147</v>
      </c>
      <c r="P11" s="9" t="s">
        <v>147</v>
      </c>
      <c r="Q11" s="9" t="s">
        <v>148</v>
      </c>
      <c r="R11" s="9" t="s">
        <v>148</v>
      </c>
      <c r="S11" s="9" t="s">
        <v>148</v>
      </c>
      <c r="T11" s="9">
        <v>10</v>
      </c>
      <c r="U11" s="9" t="s">
        <v>148</v>
      </c>
      <c r="V11" s="9" t="s">
        <v>147</v>
      </c>
      <c r="W11" s="9" t="s">
        <v>147</v>
      </c>
      <c r="X11" s="9" t="s">
        <v>148</v>
      </c>
      <c r="Y11" s="9">
        <v>450</v>
      </c>
      <c r="Z11" s="9" t="s">
        <v>148</v>
      </c>
      <c r="AA11" s="9" t="s">
        <v>148</v>
      </c>
      <c r="AB11" s="9" t="s">
        <v>148</v>
      </c>
      <c r="AC11" s="9" t="s">
        <v>147</v>
      </c>
      <c r="AD11" s="9" t="s">
        <v>147</v>
      </c>
      <c r="AE11" s="9" t="s">
        <v>148</v>
      </c>
      <c r="AF11" s="9" t="s">
        <v>148</v>
      </c>
      <c r="AG11" s="9" t="s">
        <v>148</v>
      </c>
      <c r="AH11" s="9"/>
      <c r="AI11" s="54">
        <f>SUM(I11:AG11)</f>
        <v>495</v>
      </c>
      <c r="AJ11" s="16">
        <f t="shared" si="0"/>
        <v>45</v>
      </c>
      <c r="AK11" s="5">
        <f>SUMIF(C11:AG11,"450")</f>
        <v>450</v>
      </c>
      <c r="AL11" s="16">
        <f t="shared" si="1"/>
        <v>495</v>
      </c>
      <c r="AM11">
        <f t="shared" si="2"/>
        <v>10350</v>
      </c>
      <c r="AN11">
        <f t="shared" si="3"/>
        <v>9855</v>
      </c>
      <c r="AO11">
        <f t="shared" si="4"/>
        <v>0.95217391304347831</v>
      </c>
      <c r="AP11">
        <f t="shared" si="5"/>
        <v>23</v>
      </c>
      <c r="AQ11">
        <f t="shared" si="6"/>
        <v>23</v>
      </c>
      <c r="AR11" s="5">
        <f>COUNTIF(I11:AF11,"RD")</f>
        <v>7</v>
      </c>
      <c r="AS11" s="5">
        <f>COUNTIF(I11:AG11,"VL")</f>
        <v>0</v>
      </c>
      <c r="AT11" s="5">
        <f>COUNTIF(I11:AG11,"LWOP")</f>
        <v>0</v>
      </c>
      <c r="AU11" s="5">
        <f>COUNTIF(I11:AI11,"450")</f>
        <v>1</v>
      </c>
    </row>
    <row r="12" spans="1:48" hidden="1">
      <c r="A12" s="63" t="s">
        <v>227</v>
      </c>
      <c r="B12" s="62" t="s">
        <v>22</v>
      </c>
      <c r="C12" s="63" t="s">
        <v>63</v>
      </c>
      <c r="D12" s="9" t="s">
        <v>148</v>
      </c>
      <c r="E12" s="9" t="s">
        <v>148</v>
      </c>
      <c r="F12" s="9" t="s">
        <v>148</v>
      </c>
      <c r="G12" s="9" t="s">
        <v>148</v>
      </c>
      <c r="H12" s="9" t="s">
        <v>147</v>
      </c>
      <c r="I12" s="9" t="s">
        <v>147</v>
      </c>
      <c r="J12" s="9" t="s">
        <v>148</v>
      </c>
      <c r="K12" s="9" t="s">
        <v>148</v>
      </c>
      <c r="L12" s="9" t="s">
        <v>148</v>
      </c>
      <c r="M12" s="9">
        <v>11</v>
      </c>
      <c r="N12" s="9" t="s">
        <v>148</v>
      </c>
      <c r="O12" s="9" t="s">
        <v>147</v>
      </c>
      <c r="P12" s="9" t="s">
        <v>147</v>
      </c>
      <c r="Q12" s="9" t="s">
        <v>148</v>
      </c>
      <c r="R12" s="9" t="s">
        <v>148</v>
      </c>
      <c r="S12" s="9" t="s">
        <v>148</v>
      </c>
      <c r="T12" s="9" t="s">
        <v>148</v>
      </c>
      <c r="U12" s="9" t="s">
        <v>148</v>
      </c>
      <c r="V12" s="9" t="s">
        <v>147</v>
      </c>
      <c r="W12" s="9" t="s">
        <v>147</v>
      </c>
      <c r="X12" s="9" t="s">
        <v>148</v>
      </c>
      <c r="Y12" s="9" t="s">
        <v>148</v>
      </c>
      <c r="Z12" s="9" t="s">
        <v>148</v>
      </c>
      <c r="AA12" s="9" t="s">
        <v>148</v>
      </c>
      <c r="AB12" s="9" t="s">
        <v>12</v>
      </c>
      <c r="AC12" s="9" t="s">
        <v>147</v>
      </c>
      <c r="AD12" s="9" t="s">
        <v>147</v>
      </c>
      <c r="AE12" s="9" t="s">
        <v>148</v>
      </c>
      <c r="AF12" s="9" t="s">
        <v>148</v>
      </c>
      <c r="AG12" s="9" t="s">
        <v>148</v>
      </c>
      <c r="AH12" s="9"/>
      <c r="AI12" s="54">
        <f>SUM(I12:AG12)</f>
        <v>11</v>
      </c>
      <c r="AJ12" s="16">
        <f t="shared" si="0"/>
        <v>11</v>
      </c>
      <c r="AK12" s="5">
        <f t="shared" si="7"/>
        <v>0</v>
      </c>
      <c r="AL12" s="16">
        <f t="shared" si="1"/>
        <v>11</v>
      </c>
      <c r="AM12">
        <f t="shared" si="2"/>
        <v>9900</v>
      </c>
      <c r="AN12">
        <f t="shared" si="3"/>
        <v>9889</v>
      </c>
      <c r="AO12">
        <f t="shared" si="4"/>
        <v>0.99888888888888894</v>
      </c>
      <c r="AP12">
        <f t="shared" si="5"/>
        <v>22</v>
      </c>
      <c r="AQ12">
        <f t="shared" si="6"/>
        <v>23</v>
      </c>
      <c r="AR12" s="5">
        <f>COUNTIF(I12:AF12,"RD")</f>
        <v>7</v>
      </c>
      <c r="AS12" s="5">
        <f>COUNTIF(I12:AG12,"VL")</f>
        <v>1</v>
      </c>
      <c r="AT12" s="5">
        <f>COUNTIF(I12:AG12,"LWOP")</f>
        <v>0</v>
      </c>
      <c r="AU12" s="5">
        <f>COUNTIF(I12:AI12,"450")</f>
        <v>0</v>
      </c>
    </row>
    <row r="13" spans="1:48" hidden="1">
      <c r="A13" s="63" t="s">
        <v>281</v>
      </c>
      <c r="B13" s="62" t="s">
        <v>22</v>
      </c>
      <c r="C13" s="63" t="s">
        <v>63</v>
      </c>
      <c r="D13" s="9" t="s">
        <v>148</v>
      </c>
      <c r="E13" s="9" t="s">
        <v>148</v>
      </c>
      <c r="F13" s="9" t="s">
        <v>148</v>
      </c>
      <c r="G13" s="9" t="s">
        <v>148</v>
      </c>
      <c r="H13" s="9" t="s">
        <v>147</v>
      </c>
      <c r="I13" s="9" t="s">
        <v>147</v>
      </c>
      <c r="J13" s="9" t="s">
        <v>148</v>
      </c>
      <c r="K13" s="9" t="s">
        <v>148</v>
      </c>
      <c r="L13" s="9" t="s">
        <v>148</v>
      </c>
      <c r="M13" s="9" t="s">
        <v>148</v>
      </c>
      <c r="N13" s="9" t="s">
        <v>148</v>
      </c>
      <c r="O13" s="9" t="s">
        <v>147</v>
      </c>
      <c r="P13" s="9" t="s">
        <v>147</v>
      </c>
      <c r="Q13" s="9" t="s">
        <v>148</v>
      </c>
      <c r="R13" s="9" t="s">
        <v>148</v>
      </c>
      <c r="S13" s="9" t="s">
        <v>148</v>
      </c>
      <c r="T13" s="9" t="s">
        <v>148</v>
      </c>
      <c r="U13" s="9" t="s">
        <v>148</v>
      </c>
      <c r="V13" s="9" t="s">
        <v>147</v>
      </c>
      <c r="W13" s="9" t="s">
        <v>147</v>
      </c>
      <c r="X13" s="9" t="s">
        <v>148</v>
      </c>
      <c r="Y13" s="9" t="s">
        <v>148</v>
      </c>
      <c r="Z13" s="9" t="s">
        <v>148</v>
      </c>
      <c r="AA13" s="9" t="s">
        <v>148</v>
      </c>
      <c r="AB13" s="9" t="s">
        <v>148</v>
      </c>
      <c r="AC13" s="9" t="s">
        <v>147</v>
      </c>
      <c r="AD13" s="9" t="s">
        <v>147</v>
      </c>
      <c r="AE13" s="9" t="s">
        <v>148</v>
      </c>
      <c r="AF13" s="9" t="s">
        <v>148</v>
      </c>
      <c r="AG13" s="9" t="s">
        <v>148</v>
      </c>
      <c r="AH13" s="9"/>
      <c r="AI13" s="54">
        <f>SUM(I13:AG13)</f>
        <v>0</v>
      </c>
      <c r="AJ13" s="16">
        <f t="shared" si="0"/>
        <v>0</v>
      </c>
      <c r="AK13" s="5">
        <f t="shared" si="7"/>
        <v>0</v>
      </c>
      <c r="AL13" s="16">
        <f t="shared" si="1"/>
        <v>0</v>
      </c>
      <c r="AM13">
        <f t="shared" si="2"/>
        <v>10350</v>
      </c>
      <c r="AN13">
        <f t="shared" si="3"/>
        <v>10350</v>
      </c>
      <c r="AO13">
        <f t="shared" si="4"/>
        <v>1</v>
      </c>
      <c r="AP13">
        <f t="shared" si="5"/>
        <v>23</v>
      </c>
      <c r="AQ13">
        <f t="shared" si="6"/>
        <v>23</v>
      </c>
      <c r="AR13" s="5">
        <f>COUNTIF(I13:AF13,"RD")</f>
        <v>7</v>
      </c>
      <c r="AS13" s="5">
        <f>COUNTIF(I13:AG13,"VL")</f>
        <v>0</v>
      </c>
      <c r="AT13" s="5">
        <f>COUNTIF(I13:AG13,"LWOP")</f>
        <v>0</v>
      </c>
      <c r="AU13" s="5">
        <f>COUNTIF(I13:AI13,"450")</f>
        <v>0</v>
      </c>
    </row>
    <row r="14" spans="1:48" hidden="1">
      <c r="A14" s="63" t="s">
        <v>286</v>
      </c>
      <c r="B14" s="62" t="s">
        <v>22</v>
      </c>
      <c r="C14" s="63" t="s">
        <v>63</v>
      </c>
      <c r="D14" s="9" t="s">
        <v>148</v>
      </c>
      <c r="E14" s="9" t="s">
        <v>148</v>
      </c>
      <c r="F14" s="9" t="s">
        <v>148</v>
      </c>
      <c r="G14" s="9" t="s">
        <v>148</v>
      </c>
      <c r="H14" s="9" t="s">
        <v>147</v>
      </c>
      <c r="I14" s="9" t="s">
        <v>147</v>
      </c>
      <c r="J14" s="9" t="s">
        <v>148</v>
      </c>
      <c r="K14" s="9" t="s">
        <v>148</v>
      </c>
      <c r="L14" s="9" t="s">
        <v>148</v>
      </c>
      <c r="M14" s="9" t="s">
        <v>148</v>
      </c>
      <c r="N14" s="9" t="s">
        <v>148</v>
      </c>
      <c r="O14" s="9" t="s">
        <v>147</v>
      </c>
      <c r="P14" s="9" t="s">
        <v>147</v>
      </c>
      <c r="Q14" s="9" t="s">
        <v>148</v>
      </c>
      <c r="R14" s="9" t="s">
        <v>148</v>
      </c>
      <c r="S14" s="9" t="s">
        <v>148</v>
      </c>
      <c r="T14" s="9" t="s">
        <v>148</v>
      </c>
      <c r="U14" s="9" t="s">
        <v>148</v>
      </c>
      <c r="V14" s="9" t="s">
        <v>147</v>
      </c>
      <c r="W14" s="9" t="s">
        <v>147</v>
      </c>
      <c r="X14" s="9" t="s">
        <v>148</v>
      </c>
      <c r="Y14" s="9" t="s">
        <v>148</v>
      </c>
      <c r="Z14" s="9" t="s">
        <v>148</v>
      </c>
      <c r="AA14" s="9" t="s">
        <v>148</v>
      </c>
      <c r="AB14" s="9" t="s">
        <v>148</v>
      </c>
      <c r="AC14" s="9" t="s">
        <v>147</v>
      </c>
      <c r="AD14" s="9" t="s">
        <v>147</v>
      </c>
      <c r="AE14" s="9" t="s">
        <v>148</v>
      </c>
      <c r="AF14" s="9" t="s">
        <v>148</v>
      </c>
      <c r="AG14" s="9" t="s">
        <v>148</v>
      </c>
      <c r="AH14" s="9"/>
      <c r="AI14" s="54">
        <f>SUM(I14:AG14)</f>
        <v>0</v>
      </c>
      <c r="AJ14" s="16">
        <f t="shared" si="0"/>
        <v>0</v>
      </c>
      <c r="AK14" s="5">
        <f t="shared" si="7"/>
        <v>0</v>
      </c>
      <c r="AL14" s="16">
        <f t="shared" si="1"/>
        <v>0</v>
      </c>
      <c r="AM14">
        <f t="shared" si="2"/>
        <v>10350</v>
      </c>
      <c r="AN14">
        <f t="shared" si="3"/>
        <v>10350</v>
      </c>
      <c r="AO14">
        <f t="shared" si="4"/>
        <v>1</v>
      </c>
      <c r="AP14">
        <f t="shared" si="5"/>
        <v>23</v>
      </c>
      <c r="AQ14">
        <f t="shared" si="6"/>
        <v>23</v>
      </c>
      <c r="AR14" s="5">
        <f>COUNTIF(I14:AF14,"RD")</f>
        <v>7</v>
      </c>
      <c r="AS14" s="5">
        <f>COUNTIF(I14:AG14,"VL")</f>
        <v>0</v>
      </c>
      <c r="AT14" s="5">
        <f>COUNTIF(I14:AG14,"LWOP")</f>
        <v>0</v>
      </c>
      <c r="AU14" s="5">
        <f>COUNTIF(I14:AI14,"450")</f>
        <v>0</v>
      </c>
    </row>
    <row r="15" spans="1:48">
      <c r="A15" s="63" t="s">
        <v>229</v>
      </c>
      <c r="B15" s="62" t="s">
        <v>22</v>
      </c>
      <c r="C15" s="63" t="s">
        <v>33</v>
      </c>
      <c r="D15" s="9" t="s">
        <v>148</v>
      </c>
      <c r="E15" s="9" t="s">
        <v>148</v>
      </c>
      <c r="F15" s="9" t="s">
        <v>148</v>
      </c>
      <c r="G15" s="9" t="s">
        <v>148</v>
      </c>
      <c r="H15" s="9" t="s">
        <v>147</v>
      </c>
      <c r="I15" s="9" t="s">
        <v>147</v>
      </c>
      <c r="J15" s="9" t="s">
        <v>148</v>
      </c>
      <c r="K15" s="9" t="s">
        <v>148</v>
      </c>
      <c r="L15" s="9" t="s">
        <v>148</v>
      </c>
      <c r="M15" s="9" t="s">
        <v>148</v>
      </c>
      <c r="N15" s="9" t="s">
        <v>148</v>
      </c>
      <c r="O15" s="9" t="s">
        <v>147</v>
      </c>
      <c r="P15" s="9" t="s">
        <v>147</v>
      </c>
      <c r="Q15" s="9" t="s">
        <v>148</v>
      </c>
      <c r="R15" s="9" t="s">
        <v>148</v>
      </c>
      <c r="S15" s="9" t="s">
        <v>148</v>
      </c>
      <c r="T15" s="9">
        <v>72</v>
      </c>
      <c r="U15" s="9" t="s">
        <v>148</v>
      </c>
      <c r="V15" s="9" t="s">
        <v>147</v>
      </c>
      <c r="W15" s="9" t="s">
        <v>147</v>
      </c>
      <c r="X15" s="9">
        <v>450</v>
      </c>
      <c r="Y15" s="9" t="s">
        <v>148</v>
      </c>
      <c r="Z15" s="9" t="s">
        <v>148</v>
      </c>
      <c r="AA15" s="9" t="s">
        <v>148</v>
      </c>
      <c r="AB15" s="9" t="s">
        <v>148</v>
      </c>
      <c r="AC15" s="9" t="s">
        <v>147</v>
      </c>
      <c r="AD15" s="9" t="s">
        <v>147</v>
      </c>
      <c r="AE15" s="9" t="s">
        <v>148</v>
      </c>
      <c r="AF15" s="9" t="s">
        <v>148</v>
      </c>
      <c r="AG15" s="9">
        <v>29</v>
      </c>
      <c r="AH15" s="9"/>
      <c r="AI15" s="54">
        <f>SUM(I15:AG15)</f>
        <v>551</v>
      </c>
      <c r="AJ15" s="16">
        <f t="shared" si="0"/>
        <v>101</v>
      </c>
      <c r="AK15" s="5">
        <f t="shared" si="7"/>
        <v>450</v>
      </c>
      <c r="AL15" s="16">
        <f t="shared" si="1"/>
        <v>551</v>
      </c>
      <c r="AM15">
        <f t="shared" si="2"/>
        <v>10350</v>
      </c>
      <c r="AN15">
        <f t="shared" si="3"/>
        <v>9799</v>
      </c>
      <c r="AO15">
        <f t="shared" si="4"/>
        <v>0.94676328502415463</v>
      </c>
      <c r="AP15">
        <f t="shared" si="5"/>
        <v>23</v>
      </c>
      <c r="AQ15">
        <f t="shared" si="6"/>
        <v>23</v>
      </c>
      <c r="AR15" s="5">
        <f>COUNTIF(I15:AF15,"RD")</f>
        <v>7</v>
      </c>
      <c r="AS15" s="5">
        <f>COUNTIF(I15:AG15,"VL")</f>
        <v>0</v>
      </c>
      <c r="AT15" s="5">
        <f>COUNTIF(I15:AG15,"LWOP")</f>
        <v>0</v>
      </c>
      <c r="AU15" s="5">
        <f>COUNTIF(I15:AI15,"450")</f>
        <v>1</v>
      </c>
    </row>
    <row r="16" spans="1:48">
      <c r="A16" s="63" t="s">
        <v>230</v>
      </c>
      <c r="B16" s="62" t="s">
        <v>60</v>
      </c>
      <c r="C16" s="63" t="s">
        <v>340</v>
      </c>
      <c r="D16" s="9" t="s">
        <v>148</v>
      </c>
      <c r="E16" s="9" t="s">
        <v>148</v>
      </c>
      <c r="F16" s="9">
        <v>31</v>
      </c>
      <c r="G16" s="9" t="s">
        <v>148</v>
      </c>
      <c r="H16" s="9" t="s">
        <v>147</v>
      </c>
      <c r="I16" s="9" t="s">
        <v>147</v>
      </c>
      <c r="J16" s="9" t="s">
        <v>148</v>
      </c>
      <c r="K16" s="9" t="s">
        <v>148</v>
      </c>
      <c r="L16" s="9" t="s">
        <v>148</v>
      </c>
      <c r="M16" s="9" t="s">
        <v>148</v>
      </c>
      <c r="N16" s="9" t="s">
        <v>148</v>
      </c>
      <c r="O16" s="9" t="s">
        <v>147</v>
      </c>
      <c r="P16" s="9" t="s">
        <v>147</v>
      </c>
      <c r="Q16" s="9" t="s">
        <v>148</v>
      </c>
      <c r="R16" s="9" t="s">
        <v>148</v>
      </c>
      <c r="S16" s="9" t="s">
        <v>148</v>
      </c>
      <c r="T16" s="9" t="s">
        <v>148</v>
      </c>
      <c r="U16" s="9" t="s">
        <v>148</v>
      </c>
      <c r="V16" s="9" t="s">
        <v>147</v>
      </c>
      <c r="W16" s="9" t="s">
        <v>147</v>
      </c>
      <c r="X16" s="9" t="s">
        <v>148</v>
      </c>
      <c r="Y16" s="9" t="s">
        <v>148</v>
      </c>
      <c r="Z16" s="9" t="s">
        <v>148</v>
      </c>
      <c r="AA16" s="9" t="s">
        <v>148</v>
      </c>
      <c r="AB16" s="9" t="s">
        <v>148</v>
      </c>
      <c r="AC16" s="9" t="s">
        <v>147</v>
      </c>
      <c r="AD16" s="9" t="s">
        <v>147</v>
      </c>
      <c r="AE16" s="9" t="s">
        <v>148</v>
      </c>
      <c r="AF16" s="9" t="s">
        <v>148</v>
      </c>
      <c r="AG16" s="9">
        <v>450</v>
      </c>
      <c r="AH16" s="9"/>
      <c r="AI16" s="54">
        <f>SUM(I16:AG16)</f>
        <v>450</v>
      </c>
      <c r="AJ16" s="16">
        <f t="shared" si="0"/>
        <v>0</v>
      </c>
      <c r="AK16" s="5">
        <f t="shared" si="7"/>
        <v>450</v>
      </c>
      <c r="AL16" s="16">
        <f t="shared" si="1"/>
        <v>450</v>
      </c>
      <c r="AM16">
        <f t="shared" si="2"/>
        <v>10350</v>
      </c>
      <c r="AN16">
        <f t="shared" si="3"/>
        <v>9900</v>
      </c>
      <c r="AO16">
        <f t="shared" si="4"/>
        <v>0.95652173913043481</v>
      </c>
      <c r="AP16">
        <f t="shared" si="5"/>
        <v>23</v>
      </c>
      <c r="AQ16">
        <f t="shared" si="6"/>
        <v>23</v>
      </c>
      <c r="AR16" s="5">
        <f>COUNTIF(I16:AF16,"RD")</f>
        <v>7</v>
      </c>
      <c r="AS16" s="5">
        <f>COUNTIF(I16:AG16,"VL")</f>
        <v>0</v>
      </c>
      <c r="AT16" s="5">
        <f>COUNTIF(I16:AG16,"LWOP")</f>
        <v>0</v>
      </c>
      <c r="AU16" s="5">
        <f>COUNTIF(I16:AI16,"450")</f>
        <v>2</v>
      </c>
    </row>
    <row r="17" spans="1:47" hidden="1">
      <c r="A17" s="63" t="s">
        <v>231</v>
      </c>
      <c r="B17" s="62" t="s">
        <v>22</v>
      </c>
      <c r="C17" s="63" t="s">
        <v>33</v>
      </c>
      <c r="D17" s="9" t="s">
        <v>148</v>
      </c>
      <c r="E17" s="9" t="s">
        <v>148</v>
      </c>
      <c r="F17" s="9" t="s">
        <v>148</v>
      </c>
      <c r="G17" s="9" t="s">
        <v>148</v>
      </c>
      <c r="H17" s="9" t="s">
        <v>147</v>
      </c>
      <c r="I17" s="9" t="s">
        <v>147</v>
      </c>
      <c r="J17" s="9" t="s">
        <v>148</v>
      </c>
      <c r="K17" s="9" t="s">
        <v>148</v>
      </c>
      <c r="L17" s="9" t="s">
        <v>148</v>
      </c>
      <c r="M17" s="9" t="s">
        <v>148</v>
      </c>
      <c r="N17" s="9" t="s">
        <v>148</v>
      </c>
      <c r="O17" s="9" t="s">
        <v>147</v>
      </c>
      <c r="P17" s="9" t="s">
        <v>147</v>
      </c>
      <c r="Q17" s="9" t="s">
        <v>148</v>
      </c>
      <c r="R17" s="9" t="s">
        <v>148</v>
      </c>
      <c r="S17" s="9" t="s">
        <v>148</v>
      </c>
      <c r="T17" s="9">
        <v>1</v>
      </c>
      <c r="U17" s="9" t="s">
        <v>148</v>
      </c>
      <c r="V17" s="9" t="s">
        <v>147</v>
      </c>
      <c r="W17" s="9" t="s">
        <v>147</v>
      </c>
      <c r="X17" s="9" t="s">
        <v>148</v>
      </c>
      <c r="Y17" s="9" t="s">
        <v>148</v>
      </c>
      <c r="Z17" s="9" t="s">
        <v>148</v>
      </c>
      <c r="AA17" s="9" t="s">
        <v>148</v>
      </c>
      <c r="AB17" s="9" t="s">
        <v>148</v>
      </c>
      <c r="AC17" s="9" t="s">
        <v>147</v>
      </c>
      <c r="AD17" s="9" t="s">
        <v>147</v>
      </c>
      <c r="AE17" s="9" t="s">
        <v>148</v>
      </c>
      <c r="AF17" s="9">
        <v>4</v>
      </c>
      <c r="AG17" s="9" t="s">
        <v>148</v>
      </c>
      <c r="AH17" s="9"/>
      <c r="AI17" s="54">
        <f>SUM(I17:AG17)</f>
        <v>5</v>
      </c>
      <c r="AJ17" s="16">
        <f t="shared" si="0"/>
        <v>5</v>
      </c>
      <c r="AK17" s="5">
        <f t="shared" si="7"/>
        <v>0</v>
      </c>
      <c r="AL17" s="16">
        <f t="shared" si="1"/>
        <v>5</v>
      </c>
      <c r="AM17">
        <f t="shared" si="2"/>
        <v>10350</v>
      </c>
      <c r="AN17">
        <f t="shared" si="3"/>
        <v>10345</v>
      </c>
      <c r="AO17">
        <f t="shared" si="4"/>
        <v>0.99951690821256034</v>
      </c>
      <c r="AP17">
        <f t="shared" si="5"/>
        <v>23</v>
      </c>
      <c r="AQ17">
        <f t="shared" si="6"/>
        <v>23</v>
      </c>
      <c r="AR17" s="5">
        <f>COUNTIF(I17:AF17,"RD")</f>
        <v>7</v>
      </c>
      <c r="AS17" s="5">
        <f>COUNTIF(I17:AG17,"VL")</f>
        <v>0</v>
      </c>
      <c r="AT17" s="5">
        <f>COUNTIF(I17:AG17,"LWOP")</f>
        <v>0</v>
      </c>
      <c r="AU17" s="5">
        <f>COUNTIF(I17:AI17,"450")</f>
        <v>0</v>
      </c>
    </row>
    <row r="18" spans="1:47" hidden="1">
      <c r="A18" s="61" t="s">
        <v>232</v>
      </c>
      <c r="B18" s="62" t="s">
        <v>341</v>
      </c>
      <c r="C18" s="63" t="s">
        <v>340</v>
      </c>
      <c r="D18" s="9" t="s">
        <v>148</v>
      </c>
      <c r="E18" s="9" t="s">
        <v>148</v>
      </c>
      <c r="F18" s="9" t="s">
        <v>148</v>
      </c>
      <c r="G18" s="9" t="s">
        <v>148</v>
      </c>
      <c r="H18" s="9" t="s">
        <v>147</v>
      </c>
      <c r="I18" s="9" t="s">
        <v>147</v>
      </c>
      <c r="J18" s="9" t="s">
        <v>148</v>
      </c>
      <c r="K18" s="9" t="s">
        <v>148</v>
      </c>
      <c r="L18" s="9" t="s">
        <v>148</v>
      </c>
      <c r="M18" s="9" t="s">
        <v>148</v>
      </c>
      <c r="N18" s="9" t="s">
        <v>148</v>
      </c>
      <c r="O18" s="9" t="s">
        <v>147</v>
      </c>
      <c r="P18" s="9" t="s">
        <v>147</v>
      </c>
      <c r="Q18" s="9" t="s">
        <v>148</v>
      </c>
      <c r="R18" s="9" t="s">
        <v>148</v>
      </c>
      <c r="S18" s="9" t="s">
        <v>148</v>
      </c>
      <c r="T18" s="9">
        <v>450</v>
      </c>
      <c r="U18" s="9"/>
      <c r="V18" s="9" t="s">
        <v>147</v>
      </c>
      <c r="W18" s="9" t="s">
        <v>147</v>
      </c>
      <c r="X18" s="9"/>
      <c r="Y18" s="9"/>
      <c r="Z18" s="9"/>
      <c r="AA18" s="9"/>
      <c r="AB18" s="9"/>
      <c r="AC18" s="9" t="s">
        <v>147</v>
      </c>
      <c r="AD18" s="9" t="s">
        <v>147</v>
      </c>
      <c r="AE18" s="9"/>
      <c r="AF18" s="9"/>
      <c r="AG18" s="9"/>
      <c r="AH18" s="9"/>
      <c r="AI18" s="54">
        <f>SUM(I18:AG18)</f>
        <v>450</v>
      </c>
      <c r="AJ18" s="16">
        <f t="shared" si="0"/>
        <v>0</v>
      </c>
      <c r="AK18" s="5">
        <f t="shared" si="7"/>
        <v>450</v>
      </c>
      <c r="AL18" s="16">
        <f t="shared" si="1"/>
        <v>450</v>
      </c>
      <c r="AM18">
        <f t="shared" si="2"/>
        <v>10350</v>
      </c>
      <c r="AN18">
        <f t="shared" si="3"/>
        <v>9900</v>
      </c>
      <c r="AO18">
        <f t="shared" si="4"/>
        <v>0.95652173913043481</v>
      </c>
      <c r="AP18">
        <f t="shared" si="5"/>
        <v>23</v>
      </c>
      <c r="AQ18">
        <f t="shared" si="6"/>
        <v>23</v>
      </c>
      <c r="AR18" s="5">
        <f>COUNTIF(I18:AF18,"RD")</f>
        <v>7</v>
      </c>
      <c r="AS18" s="5">
        <f>COUNTIF(I18:AG18,"VL")</f>
        <v>0</v>
      </c>
      <c r="AT18" s="5">
        <f>COUNTIF(I18:AG18,"LWOP")</f>
        <v>0</v>
      </c>
      <c r="AU18" s="5">
        <f>COUNTIF(I18:AI18,"450")</f>
        <v>2</v>
      </c>
    </row>
    <row r="19" spans="1:47" hidden="1">
      <c r="A19" s="63" t="s">
        <v>333</v>
      </c>
      <c r="B19" s="62" t="s">
        <v>341</v>
      </c>
      <c r="C19" s="63" t="s">
        <v>340</v>
      </c>
      <c r="D19" s="9" t="s">
        <v>148</v>
      </c>
      <c r="E19" s="9" t="s">
        <v>148</v>
      </c>
      <c r="F19" s="9" t="s">
        <v>148</v>
      </c>
      <c r="G19" s="9" t="s">
        <v>148</v>
      </c>
      <c r="H19" s="9" t="s">
        <v>147</v>
      </c>
      <c r="I19" s="9" t="s">
        <v>147</v>
      </c>
      <c r="J19" s="9" t="s">
        <v>148</v>
      </c>
      <c r="K19" s="9" t="s">
        <v>148</v>
      </c>
      <c r="L19" s="9" t="s">
        <v>148</v>
      </c>
      <c r="M19" s="9" t="s">
        <v>148</v>
      </c>
      <c r="N19" s="9" t="s">
        <v>148</v>
      </c>
      <c r="O19" s="9" t="s">
        <v>147</v>
      </c>
      <c r="P19" s="9" t="s">
        <v>147</v>
      </c>
      <c r="Q19" s="9" t="s">
        <v>148</v>
      </c>
      <c r="R19" s="9" t="s">
        <v>148</v>
      </c>
      <c r="S19" s="9" t="s">
        <v>148</v>
      </c>
      <c r="T19" s="9" t="s">
        <v>148</v>
      </c>
      <c r="U19" s="9" t="s">
        <v>148</v>
      </c>
      <c r="V19" s="9" t="s">
        <v>147</v>
      </c>
      <c r="W19" s="9" t="s">
        <v>147</v>
      </c>
      <c r="X19" s="9" t="s">
        <v>148</v>
      </c>
      <c r="Y19" s="9" t="s">
        <v>148</v>
      </c>
      <c r="Z19" s="9" t="s">
        <v>148</v>
      </c>
      <c r="AA19" s="9" t="s">
        <v>148</v>
      </c>
      <c r="AB19" s="9" t="s">
        <v>148</v>
      </c>
      <c r="AC19" s="9" t="s">
        <v>147</v>
      </c>
      <c r="AD19" s="9" t="s">
        <v>147</v>
      </c>
      <c r="AE19" s="9" t="s">
        <v>148</v>
      </c>
      <c r="AF19" s="9" t="s">
        <v>148</v>
      </c>
      <c r="AG19" s="9" t="s">
        <v>148</v>
      </c>
      <c r="AH19" s="9"/>
      <c r="AI19" s="54">
        <f>SUM(I19:AG19)</f>
        <v>0</v>
      </c>
      <c r="AJ19" s="16">
        <f t="shared" si="0"/>
        <v>0</v>
      </c>
      <c r="AK19" s="5">
        <f t="shared" si="7"/>
        <v>0</v>
      </c>
      <c r="AL19" s="16">
        <f t="shared" si="1"/>
        <v>0</v>
      </c>
      <c r="AM19">
        <f t="shared" si="2"/>
        <v>10350</v>
      </c>
      <c r="AN19">
        <f t="shared" si="3"/>
        <v>10350</v>
      </c>
      <c r="AO19">
        <f t="shared" si="4"/>
        <v>1</v>
      </c>
      <c r="AP19">
        <f t="shared" si="5"/>
        <v>23</v>
      </c>
      <c r="AQ19">
        <f t="shared" si="6"/>
        <v>23</v>
      </c>
      <c r="AR19" s="5">
        <f>COUNTIF(I19:AF19,"RD")</f>
        <v>7</v>
      </c>
      <c r="AS19" s="5">
        <f>COUNTIF(I19:AG19,"VL")</f>
        <v>0</v>
      </c>
      <c r="AT19" s="5">
        <f>COUNTIF(I19:AG19,"LWOP")</f>
        <v>0</v>
      </c>
      <c r="AU19" s="5">
        <f>COUNTIF(I19:AI19,"450")</f>
        <v>0</v>
      </c>
    </row>
    <row r="20" spans="1:47" hidden="1">
      <c r="A20" s="63" t="s">
        <v>235</v>
      </c>
      <c r="B20" s="62" t="s">
        <v>341</v>
      </c>
      <c r="C20" s="63" t="s">
        <v>340</v>
      </c>
      <c r="D20" s="9" t="s">
        <v>148</v>
      </c>
      <c r="E20" s="9" t="s">
        <v>148</v>
      </c>
      <c r="F20" s="9" t="s">
        <v>148</v>
      </c>
      <c r="G20" s="9" t="s">
        <v>148</v>
      </c>
      <c r="H20" s="9" t="s">
        <v>147</v>
      </c>
      <c r="I20" s="9" t="s">
        <v>147</v>
      </c>
      <c r="J20" s="9" t="s">
        <v>148</v>
      </c>
      <c r="K20" s="9" t="s">
        <v>148</v>
      </c>
      <c r="L20" s="9" t="s">
        <v>148</v>
      </c>
      <c r="M20" s="9" t="s">
        <v>148</v>
      </c>
      <c r="N20" s="9" t="s">
        <v>148</v>
      </c>
      <c r="O20" s="9" t="s">
        <v>147</v>
      </c>
      <c r="P20" s="9" t="s">
        <v>147</v>
      </c>
      <c r="Q20" s="9" t="s">
        <v>148</v>
      </c>
      <c r="R20" s="9" t="s">
        <v>148</v>
      </c>
      <c r="S20" s="9" t="s">
        <v>148</v>
      </c>
      <c r="T20" s="9" t="s">
        <v>148</v>
      </c>
      <c r="U20" s="9" t="s">
        <v>148</v>
      </c>
      <c r="V20" s="9" t="s">
        <v>147</v>
      </c>
      <c r="W20" s="9" t="s">
        <v>147</v>
      </c>
      <c r="X20" s="9" t="s">
        <v>148</v>
      </c>
      <c r="Y20" s="9" t="s">
        <v>342</v>
      </c>
      <c r="Z20" s="9" t="s">
        <v>148</v>
      </c>
      <c r="AA20" s="9" t="s">
        <v>148</v>
      </c>
      <c r="AB20" s="9" t="s">
        <v>148</v>
      </c>
      <c r="AC20" s="9" t="s">
        <v>147</v>
      </c>
      <c r="AD20" s="9" t="s">
        <v>147</v>
      </c>
      <c r="AE20" s="9">
        <v>450</v>
      </c>
      <c r="AF20" s="9" t="s">
        <v>148</v>
      </c>
      <c r="AG20" s="9" t="s">
        <v>148</v>
      </c>
      <c r="AH20" s="9"/>
      <c r="AI20" s="54">
        <f>SUM(I20:AG20)</f>
        <v>450</v>
      </c>
      <c r="AJ20" s="16">
        <f t="shared" si="0"/>
        <v>0</v>
      </c>
      <c r="AK20" s="5">
        <f t="shared" si="7"/>
        <v>450</v>
      </c>
      <c r="AL20" s="16">
        <f t="shared" si="1"/>
        <v>450</v>
      </c>
      <c r="AM20">
        <f t="shared" si="2"/>
        <v>10350</v>
      </c>
      <c r="AN20">
        <f t="shared" si="3"/>
        <v>9900</v>
      </c>
      <c r="AO20">
        <f t="shared" si="4"/>
        <v>0.95652173913043481</v>
      </c>
      <c r="AP20">
        <f t="shared" si="5"/>
        <v>23</v>
      </c>
      <c r="AQ20">
        <f t="shared" si="6"/>
        <v>23</v>
      </c>
      <c r="AR20" s="5">
        <f>COUNTIF(I20:AF20,"RD")</f>
        <v>7</v>
      </c>
      <c r="AS20" s="5">
        <f>COUNTIF(I20:AG20,"VL")</f>
        <v>0</v>
      </c>
      <c r="AT20" s="5">
        <f>COUNTIF(I20:AG20,"LWOP")</f>
        <v>0</v>
      </c>
      <c r="AU20" s="5">
        <f>COUNTIF(I20:AI20,"450")</f>
        <v>2</v>
      </c>
    </row>
    <row r="21" spans="1:47" hidden="1">
      <c r="A21" s="63" t="s">
        <v>268</v>
      </c>
      <c r="B21" s="62" t="s">
        <v>267</v>
      </c>
      <c r="C21" s="63" t="s">
        <v>340</v>
      </c>
      <c r="D21" s="9" t="s">
        <v>148</v>
      </c>
      <c r="E21" s="9" t="s">
        <v>148</v>
      </c>
      <c r="F21" s="9" t="s">
        <v>148</v>
      </c>
      <c r="G21" s="9" t="s">
        <v>148</v>
      </c>
      <c r="H21" s="9" t="s">
        <v>147</v>
      </c>
      <c r="I21" s="9" t="s">
        <v>147</v>
      </c>
      <c r="J21" s="9" t="s">
        <v>148</v>
      </c>
      <c r="K21" s="9" t="s">
        <v>148</v>
      </c>
      <c r="L21" s="9" t="s">
        <v>148</v>
      </c>
      <c r="M21" s="9" t="s">
        <v>148</v>
      </c>
      <c r="N21" s="9" t="s">
        <v>148</v>
      </c>
      <c r="O21" s="9" t="s">
        <v>147</v>
      </c>
      <c r="P21" s="9" t="s">
        <v>147</v>
      </c>
      <c r="Q21" s="9" t="s">
        <v>148</v>
      </c>
      <c r="R21" s="9" t="s">
        <v>148</v>
      </c>
      <c r="S21" s="9" t="s">
        <v>148</v>
      </c>
      <c r="T21" s="9" t="s">
        <v>148</v>
      </c>
      <c r="U21" s="9" t="s">
        <v>148</v>
      </c>
      <c r="V21" s="9" t="s">
        <v>147</v>
      </c>
      <c r="W21" s="9" t="s">
        <v>147</v>
      </c>
      <c r="X21" s="9" t="s">
        <v>148</v>
      </c>
      <c r="Y21" s="9" t="s">
        <v>148</v>
      </c>
      <c r="Z21" s="9" t="s">
        <v>148</v>
      </c>
      <c r="AA21" s="9" t="s">
        <v>148</v>
      </c>
      <c r="AB21" s="9" t="s">
        <v>148</v>
      </c>
      <c r="AC21" s="9" t="s">
        <v>147</v>
      </c>
      <c r="AD21" s="9" t="s">
        <v>147</v>
      </c>
      <c r="AE21" s="9" t="s">
        <v>148</v>
      </c>
      <c r="AF21" s="9" t="s">
        <v>148</v>
      </c>
      <c r="AG21" s="9" t="s">
        <v>148</v>
      </c>
      <c r="AH21" s="9"/>
      <c r="AI21" s="54">
        <f>SUM(I21:AG21)</f>
        <v>0</v>
      </c>
      <c r="AJ21" s="16">
        <f t="shared" si="0"/>
        <v>0</v>
      </c>
      <c r="AK21" s="5">
        <f t="shared" si="7"/>
        <v>0</v>
      </c>
      <c r="AL21" s="16">
        <f t="shared" si="1"/>
        <v>0</v>
      </c>
      <c r="AM21">
        <f t="shared" si="2"/>
        <v>10350</v>
      </c>
      <c r="AN21">
        <f t="shared" si="3"/>
        <v>10350</v>
      </c>
      <c r="AO21">
        <f t="shared" si="4"/>
        <v>1</v>
      </c>
      <c r="AP21">
        <f t="shared" si="5"/>
        <v>23</v>
      </c>
      <c r="AQ21">
        <f t="shared" si="6"/>
        <v>23</v>
      </c>
      <c r="AR21" s="5">
        <f>COUNTIF(I21:AF21,"RD")</f>
        <v>7</v>
      </c>
      <c r="AS21" s="5">
        <f>COUNTIF(I21:AG21,"VL")</f>
        <v>0</v>
      </c>
      <c r="AT21" s="5">
        <f>COUNTIF(I21:AG21,"LWOP")</f>
        <v>0</v>
      </c>
      <c r="AU21" s="5">
        <f>COUNTIF(I21:AI21,"450")</f>
        <v>0</v>
      </c>
    </row>
    <row r="22" spans="1:47" hidden="1">
      <c r="A22" s="63" t="s">
        <v>236</v>
      </c>
      <c r="B22" s="62" t="s">
        <v>37</v>
      </c>
      <c r="C22" s="63" t="s">
        <v>340</v>
      </c>
      <c r="D22" s="9" t="s">
        <v>147</v>
      </c>
      <c r="E22" s="9" t="s">
        <v>148</v>
      </c>
      <c r="F22" s="9" t="s">
        <v>148</v>
      </c>
      <c r="G22" s="9">
        <v>22</v>
      </c>
      <c r="H22" s="9" t="s">
        <v>148</v>
      </c>
      <c r="I22" s="9" t="s">
        <v>148</v>
      </c>
      <c r="J22" s="9" t="s">
        <v>147</v>
      </c>
      <c r="K22" s="9" t="s">
        <v>147</v>
      </c>
      <c r="L22" s="9">
        <v>23</v>
      </c>
      <c r="M22" s="9">
        <v>19</v>
      </c>
      <c r="N22" s="9" t="s">
        <v>148</v>
      </c>
      <c r="O22" s="9">
        <v>450</v>
      </c>
      <c r="P22" s="9">
        <v>450</v>
      </c>
      <c r="Q22" s="9" t="s">
        <v>147</v>
      </c>
      <c r="R22" s="9" t="s">
        <v>147</v>
      </c>
      <c r="S22" s="9" t="s">
        <v>148</v>
      </c>
      <c r="T22" s="9" t="s">
        <v>148</v>
      </c>
      <c r="U22" s="9" t="s">
        <v>148</v>
      </c>
      <c r="V22" s="9" t="s">
        <v>148</v>
      </c>
      <c r="W22" s="9" t="s">
        <v>148</v>
      </c>
      <c r="X22" s="9" t="s">
        <v>147</v>
      </c>
      <c r="Y22" s="9" t="s">
        <v>147</v>
      </c>
      <c r="Z22" s="9" t="s">
        <v>148</v>
      </c>
      <c r="AA22" s="9" t="s">
        <v>148</v>
      </c>
      <c r="AB22" s="9" t="s">
        <v>148</v>
      </c>
      <c r="AC22" s="9">
        <v>225</v>
      </c>
      <c r="AD22" s="9">
        <v>450</v>
      </c>
      <c r="AE22" s="9" t="s">
        <v>148</v>
      </c>
      <c r="AF22" s="9" t="s">
        <v>148</v>
      </c>
      <c r="AG22" s="9"/>
      <c r="AH22" s="9"/>
      <c r="AI22" s="54">
        <f>SUM(I22:AG22)</f>
        <v>1617</v>
      </c>
      <c r="AJ22" s="16">
        <f t="shared" si="0"/>
        <v>267</v>
      </c>
      <c r="AK22" s="5">
        <f t="shared" si="7"/>
        <v>1350</v>
      </c>
      <c r="AL22" s="16">
        <f t="shared" si="1"/>
        <v>1617</v>
      </c>
      <c r="AM22">
        <f t="shared" si="2"/>
        <v>10800</v>
      </c>
      <c r="AN22">
        <f t="shared" si="3"/>
        <v>9183</v>
      </c>
      <c r="AO22">
        <f t="shared" si="4"/>
        <v>0.8502777777777778</v>
      </c>
      <c r="AP22">
        <f t="shared" si="5"/>
        <v>24</v>
      </c>
      <c r="AQ22">
        <f t="shared" si="6"/>
        <v>24</v>
      </c>
      <c r="AR22" s="5">
        <f>COUNTIF(I22:AF22,"RD")</f>
        <v>6</v>
      </c>
      <c r="AS22" s="5">
        <f>COUNTIF(I22:AG22,"VL")</f>
        <v>0</v>
      </c>
      <c r="AT22" s="5">
        <f>COUNTIF(I22:AG22,"LWOP")</f>
        <v>0</v>
      </c>
      <c r="AU22" s="5">
        <f>COUNTIF(I22:AI22,"450")</f>
        <v>3</v>
      </c>
    </row>
    <row r="23" spans="1:47" hidden="1">
      <c r="A23" s="63" t="s">
        <v>237</v>
      </c>
      <c r="B23" s="62" t="s">
        <v>22</v>
      </c>
      <c r="C23" s="63" t="s">
        <v>30</v>
      </c>
      <c r="D23" s="9" t="s">
        <v>148</v>
      </c>
      <c r="E23" s="9" t="s">
        <v>148</v>
      </c>
      <c r="F23" s="9" t="s">
        <v>148</v>
      </c>
      <c r="G23" s="9" t="s">
        <v>148</v>
      </c>
      <c r="H23" s="9" t="s">
        <v>147</v>
      </c>
      <c r="I23" s="9" t="s">
        <v>147</v>
      </c>
      <c r="J23" s="9" t="s">
        <v>148</v>
      </c>
      <c r="K23" s="9">
        <v>32</v>
      </c>
      <c r="L23" s="9" t="s">
        <v>148</v>
      </c>
      <c r="M23" s="9" t="s">
        <v>148</v>
      </c>
      <c r="N23" s="9">
        <v>28</v>
      </c>
      <c r="O23" s="9" t="s">
        <v>147</v>
      </c>
      <c r="P23" s="9" t="s">
        <v>147</v>
      </c>
      <c r="Q23" s="9" t="s">
        <v>148</v>
      </c>
      <c r="R23" s="9">
        <v>26</v>
      </c>
      <c r="S23" s="9" t="s">
        <v>148</v>
      </c>
      <c r="T23" s="9">
        <v>17</v>
      </c>
      <c r="U23" s="9" t="s">
        <v>148</v>
      </c>
      <c r="V23" s="9" t="s">
        <v>147</v>
      </c>
      <c r="W23" s="9" t="s">
        <v>147</v>
      </c>
      <c r="X23" s="9" t="s">
        <v>148</v>
      </c>
      <c r="Y23" s="9" t="s">
        <v>148</v>
      </c>
      <c r="Z23" s="9" t="s">
        <v>148</v>
      </c>
      <c r="AA23" s="9" t="s">
        <v>148</v>
      </c>
      <c r="AB23" s="9" t="s">
        <v>148</v>
      </c>
      <c r="AC23" s="9" t="s">
        <v>147</v>
      </c>
      <c r="AD23" s="9" t="s">
        <v>147</v>
      </c>
      <c r="AE23" s="9" t="s">
        <v>148</v>
      </c>
      <c r="AF23" s="9" t="s">
        <v>148</v>
      </c>
      <c r="AG23" s="9" t="s">
        <v>148</v>
      </c>
      <c r="AH23" s="9"/>
      <c r="AI23" s="54">
        <f>SUM(I23:AG23)</f>
        <v>103</v>
      </c>
      <c r="AJ23" s="16">
        <f t="shared" si="0"/>
        <v>103</v>
      </c>
      <c r="AK23" s="5">
        <f t="shared" si="7"/>
        <v>0</v>
      </c>
      <c r="AL23" s="16">
        <f t="shared" si="1"/>
        <v>103</v>
      </c>
      <c r="AM23">
        <f t="shared" si="2"/>
        <v>10350</v>
      </c>
      <c r="AN23">
        <f t="shared" si="3"/>
        <v>10247</v>
      </c>
      <c r="AO23">
        <f t="shared" si="4"/>
        <v>0.99004830917874398</v>
      </c>
      <c r="AP23">
        <f t="shared" si="5"/>
        <v>23</v>
      </c>
      <c r="AQ23">
        <f t="shared" si="6"/>
        <v>23</v>
      </c>
      <c r="AR23" s="5">
        <f>COUNTIF(I23:AF23,"RD")</f>
        <v>7</v>
      </c>
      <c r="AS23" s="5">
        <f>COUNTIF(I23:AG23,"VL")</f>
        <v>0</v>
      </c>
      <c r="AT23" s="5">
        <f>COUNTIF(I23:AG23,"LWOP")</f>
        <v>0</v>
      </c>
      <c r="AU23" s="5">
        <f>COUNTIF(I23:AI23,"450")</f>
        <v>0</v>
      </c>
    </row>
    <row r="24" spans="1:47" hidden="1">
      <c r="A24" s="61" t="s">
        <v>238</v>
      </c>
      <c r="B24" s="62" t="s">
        <v>22</v>
      </c>
      <c r="C24" s="63" t="s">
        <v>30</v>
      </c>
      <c r="D24" s="9" t="s">
        <v>148</v>
      </c>
      <c r="E24" s="9" t="s">
        <v>148</v>
      </c>
      <c r="F24" s="9">
        <v>17</v>
      </c>
      <c r="G24" s="9" t="s">
        <v>148</v>
      </c>
      <c r="H24" s="9" t="s">
        <v>147</v>
      </c>
      <c r="I24" s="9" t="s">
        <v>147</v>
      </c>
      <c r="J24" s="9" t="s">
        <v>148</v>
      </c>
      <c r="K24" s="9">
        <v>35</v>
      </c>
      <c r="L24" s="9">
        <v>3</v>
      </c>
      <c r="M24" s="9">
        <v>2</v>
      </c>
      <c r="N24" s="9">
        <v>4</v>
      </c>
      <c r="O24" s="9" t="s">
        <v>147</v>
      </c>
      <c r="P24" s="9" t="s">
        <v>147</v>
      </c>
      <c r="Q24" s="9">
        <v>5</v>
      </c>
      <c r="R24" s="9" t="s">
        <v>148</v>
      </c>
      <c r="S24" s="9" t="s">
        <v>148</v>
      </c>
      <c r="T24" s="9" t="s">
        <v>148</v>
      </c>
      <c r="U24" s="9">
        <v>25</v>
      </c>
      <c r="V24" s="9" t="s">
        <v>147</v>
      </c>
      <c r="W24" s="9" t="s">
        <v>147</v>
      </c>
      <c r="X24" s="9">
        <v>450</v>
      </c>
      <c r="Y24" s="9" t="s">
        <v>174</v>
      </c>
      <c r="Z24" s="9" t="s">
        <v>148</v>
      </c>
      <c r="AA24" s="9" t="s">
        <v>148</v>
      </c>
      <c r="AB24" s="9" t="s">
        <v>148</v>
      </c>
      <c r="AC24" s="9" t="s">
        <v>147</v>
      </c>
      <c r="AD24" s="9" t="s">
        <v>147</v>
      </c>
      <c r="AE24" s="9" t="s">
        <v>148</v>
      </c>
      <c r="AF24" s="9" t="s">
        <v>148</v>
      </c>
      <c r="AG24" s="9" t="s">
        <v>148</v>
      </c>
      <c r="AH24" s="9"/>
      <c r="AI24" s="54">
        <f>SUM(I24:AG24)</f>
        <v>524</v>
      </c>
      <c r="AJ24" s="16">
        <f t="shared" si="0"/>
        <v>74</v>
      </c>
      <c r="AK24" s="5">
        <f t="shared" si="7"/>
        <v>450</v>
      </c>
      <c r="AL24" s="16">
        <f t="shared" si="1"/>
        <v>524</v>
      </c>
      <c r="AM24">
        <f t="shared" si="2"/>
        <v>10350</v>
      </c>
      <c r="AN24">
        <f t="shared" si="3"/>
        <v>9826</v>
      </c>
      <c r="AO24">
        <f t="shared" si="4"/>
        <v>0.94937198067632855</v>
      </c>
      <c r="AP24">
        <f t="shared" si="5"/>
        <v>23</v>
      </c>
      <c r="AQ24">
        <f t="shared" si="6"/>
        <v>23</v>
      </c>
      <c r="AR24" s="5">
        <f>COUNTIF(I24:AF24,"RD")</f>
        <v>7</v>
      </c>
      <c r="AS24" s="5">
        <f>COUNTIF(I24:AG24,"VL")</f>
        <v>0</v>
      </c>
      <c r="AT24" s="5">
        <f>COUNTIF(I24:AG24,"LWOP")</f>
        <v>0</v>
      </c>
      <c r="AU24" s="5">
        <f>COUNTIF(I24:AI24,"450")</f>
        <v>1</v>
      </c>
    </row>
    <row r="25" spans="1:47" hidden="1">
      <c r="A25" s="63" t="s">
        <v>240</v>
      </c>
      <c r="B25" s="62" t="s">
        <v>37</v>
      </c>
      <c r="C25" s="63" t="s">
        <v>340</v>
      </c>
      <c r="D25" s="9" t="s">
        <v>147</v>
      </c>
      <c r="E25" s="9" t="s">
        <v>148</v>
      </c>
      <c r="F25" s="9" t="s">
        <v>148</v>
      </c>
      <c r="G25" s="9">
        <v>124</v>
      </c>
      <c r="H25" s="9" t="s">
        <v>148</v>
      </c>
      <c r="I25" s="9" t="s">
        <v>148</v>
      </c>
      <c r="J25" s="9" t="s">
        <v>147</v>
      </c>
      <c r="K25" s="9" t="s">
        <v>147</v>
      </c>
      <c r="L25" s="9" t="s">
        <v>148</v>
      </c>
      <c r="M25" s="9" t="s">
        <v>148</v>
      </c>
      <c r="N25" s="9" t="s">
        <v>148</v>
      </c>
      <c r="O25" s="9" t="s">
        <v>148</v>
      </c>
      <c r="P25" s="9" t="s">
        <v>148</v>
      </c>
      <c r="Q25" s="9" t="s">
        <v>147</v>
      </c>
      <c r="R25" s="9" t="s">
        <v>147</v>
      </c>
      <c r="S25" s="9" t="s">
        <v>148</v>
      </c>
      <c r="T25" s="9" t="s">
        <v>148</v>
      </c>
      <c r="U25" s="9" t="s">
        <v>174</v>
      </c>
      <c r="V25" s="9" t="s">
        <v>174</v>
      </c>
      <c r="W25" s="9" t="s">
        <v>174</v>
      </c>
      <c r="X25" s="9" t="s">
        <v>147</v>
      </c>
      <c r="Y25" s="9" t="s">
        <v>147</v>
      </c>
      <c r="Z25" s="9" t="s">
        <v>343</v>
      </c>
      <c r="AA25" s="9" t="s">
        <v>148</v>
      </c>
      <c r="AB25" s="9" t="s">
        <v>148</v>
      </c>
      <c r="AC25" s="9">
        <v>45</v>
      </c>
      <c r="AD25" s="9">
        <v>29</v>
      </c>
      <c r="AE25" s="9" t="s">
        <v>147</v>
      </c>
      <c r="AF25" s="9" t="s">
        <v>148</v>
      </c>
      <c r="AG25" s="9" t="s">
        <v>148</v>
      </c>
      <c r="AH25" s="9"/>
      <c r="AI25" s="54">
        <f>SUM(I25:AG25)</f>
        <v>74</v>
      </c>
      <c r="AJ25" s="16">
        <f t="shared" si="0"/>
        <v>74</v>
      </c>
      <c r="AK25" s="5">
        <f t="shared" si="7"/>
        <v>0</v>
      </c>
      <c r="AL25" s="16">
        <f t="shared" si="1"/>
        <v>74</v>
      </c>
      <c r="AM25">
        <f t="shared" si="2"/>
        <v>10350</v>
      </c>
      <c r="AN25">
        <f t="shared" si="3"/>
        <v>10276</v>
      </c>
      <c r="AO25">
        <f t="shared" si="4"/>
        <v>0.99285024154589374</v>
      </c>
      <c r="AP25">
        <f t="shared" si="5"/>
        <v>23</v>
      </c>
      <c r="AQ25">
        <f t="shared" si="6"/>
        <v>23</v>
      </c>
      <c r="AR25" s="5">
        <f>COUNTIF(I25:AF25,"RD")</f>
        <v>7</v>
      </c>
      <c r="AS25" s="5">
        <f>COUNTIF(I25:AG25,"VL")</f>
        <v>0</v>
      </c>
      <c r="AT25" s="5">
        <f>COUNTIF(I25:AG25,"LWOP")</f>
        <v>0</v>
      </c>
      <c r="AU25" s="5">
        <f>COUNTIF(I25:AI25,"450")</f>
        <v>0</v>
      </c>
    </row>
    <row r="26" spans="1:47" hidden="1">
      <c r="A26" s="61" t="s">
        <v>239</v>
      </c>
      <c r="B26" s="62" t="s">
        <v>37</v>
      </c>
      <c r="C26" s="63" t="s">
        <v>340</v>
      </c>
      <c r="D26" s="9" t="s">
        <v>147</v>
      </c>
      <c r="E26" s="9" t="s">
        <v>148</v>
      </c>
      <c r="F26" s="9">
        <v>24</v>
      </c>
      <c r="G26" s="9">
        <v>48</v>
      </c>
      <c r="H26" s="9">
        <v>39</v>
      </c>
      <c r="I26" s="9">
        <v>54</v>
      </c>
      <c r="J26" s="9" t="s">
        <v>147</v>
      </c>
      <c r="K26" s="9" t="s">
        <v>147</v>
      </c>
      <c r="L26" s="9">
        <v>7</v>
      </c>
      <c r="M26" s="9">
        <v>450</v>
      </c>
      <c r="N26" s="9">
        <v>450</v>
      </c>
      <c r="O26" s="9">
        <v>22</v>
      </c>
      <c r="P26" s="9">
        <v>42</v>
      </c>
      <c r="Q26" s="9" t="s">
        <v>147</v>
      </c>
      <c r="R26" s="9" t="s">
        <v>147</v>
      </c>
      <c r="S26" s="9">
        <v>1</v>
      </c>
      <c r="T26" s="9">
        <v>25</v>
      </c>
      <c r="U26" s="9" t="s">
        <v>148</v>
      </c>
      <c r="V26" s="9" t="s">
        <v>148</v>
      </c>
      <c r="W26" s="9" t="s">
        <v>148</v>
      </c>
      <c r="X26" s="9" t="s">
        <v>147</v>
      </c>
      <c r="Y26" s="9" t="s">
        <v>147</v>
      </c>
      <c r="Z26" s="9" t="s">
        <v>148</v>
      </c>
      <c r="AA26" s="9" t="s">
        <v>148</v>
      </c>
      <c r="AB26" s="9" t="s">
        <v>148</v>
      </c>
      <c r="AC26" s="9">
        <v>146</v>
      </c>
      <c r="AD26" s="9">
        <v>450</v>
      </c>
      <c r="AE26" s="9" t="s">
        <v>13</v>
      </c>
      <c r="AF26" s="9" t="s">
        <v>147</v>
      </c>
      <c r="AG26" s="9" t="s">
        <v>147</v>
      </c>
      <c r="AH26" s="9"/>
      <c r="AI26" s="54">
        <f>SUM(I26:AG26)</f>
        <v>1647</v>
      </c>
      <c r="AJ26" s="16">
        <f t="shared" si="0"/>
        <v>297</v>
      </c>
      <c r="AK26" s="5">
        <f t="shared" si="7"/>
        <v>1350</v>
      </c>
      <c r="AL26" s="16">
        <f t="shared" si="1"/>
        <v>1647</v>
      </c>
      <c r="AM26">
        <f t="shared" si="2"/>
        <v>10350</v>
      </c>
      <c r="AN26">
        <f t="shared" si="3"/>
        <v>8703</v>
      </c>
      <c r="AO26">
        <f t="shared" si="4"/>
        <v>0.84086956521739131</v>
      </c>
      <c r="AP26">
        <f t="shared" si="5"/>
        <v>23</v>
      </c>
      <c r="AQ26">
        <f t="shared" si="6"/>
        <v>23</v>
      </c>
      <c r="AR26" s="5">
        <f>COUNTIF(I26:AF26,"RD")</f>
        <v>7</v>
      </c>
      <c r="AS26" s="5">
        <f>COUNTIF(I26:AG26,"VL")</f>
        <v>0</v>
      </c>
      <c r="AT26" s="5">
        <f>COUNTIF(I26:AG26,"LWOP")</f>
        <v>0</v>
      </c>
      <c r="AU26" s="5">
        <f>COUNTIF(I26:AI26,"450")</f>
        <v>3</v>
      </c>
    </row>
    <row r="27" spans="1:47" hidden="1"/>
    <row r="28" spans="1:47" ht="15.75" hidden="1">
      <c r="A28" s="55" t="s">
        <v>191</v>
      </c>
      <c r="C28" s="55" t="s">
        <v>191</v>
      </c>
      <c r="D28" s="56">
        <f t="shared" ref="D28:H28" si="8">SUM(D3:D26)</f>
        <v>450</v>
      </c>
      <c r="E28" s="56">
        <f t="shared" ref="E28:H28" si="9">SUM(E3:E26)</f>
        <v>450</v>
      </c>
      <c r="F28" s="56">
        <f t="shared" si="9"/>
        <v>89</v>
      </c>
      <c r="G28" s="56">
        <f t="shared" si="9"/>
        <v>215</v>
      </c>
      <c r="H28" s="56">
        <f t="shared" si="9"/>
        <v>39</v>
      </c>
      <c r="I28" s="56">
        <f t="shared" ref="I28:AI28" si="10">SUM(I3:I26)</f>
        <v>54</v>
      </c>
      <c r="J28" s="56">
        <f t="shared" si="10"/>
        <v>0</v>
      </c>
      <c r="K28" s="56">
        <f t="shared" si="10"/>
        <v>101</v>
      </c>
      <c r="L28" s="56">
        <f t="shared" si="10"/>
        <v>564</v>
      </c>
      <c r="M28" s="56">
        <f t="shared" si="10"/>
        <v>970</v>
      </c>
      <c r="N28" s="56">
        <f t="shared" si="10"/>
        <v>1402</v>
      </c>
      <c r="O28" s="56">
        <f t="shared" si="10"/>
        <v>955</v>
      </c>
      <c r="P28" s="56">
        <f t="shared" si="10"/>
        <v>942</v>
      </c>
      <c r="Q28" s="71">
        <f>SUM(Q3:Q26)</f>
        <v>6</v>
      </c>
      <c r="R28" s="71">
        <f>SUM(R3:R26)</f>
        <v>26</v>
      </c>
      <c r="S28" s="71">
        <f>SUM(S3:S26)</f>
        <v>454</v>
      </c>
      <c r="T28" s="71">
        <f t="shared" si="10"/>
        <v>1038</v>
      </c>
      <c r="U28" s="71">
        <f t="shared" si="10"/>
        <v>25</v>
      </c>
      <c r="V28" s="71">
        <f>SUM(V3:V26)</f>
        <v>0</v>
      </c>
      <c r="W28" s="71">
        <f t="shared" si="10"/>
        <v>0</v>
      </c>
      <c r="X28" s="71">
        <f t="shared" si="10"/>
        <v>900</v>
      </c>
      <c r="Y28" s="71">
        <f>SUM(Y3:Y26)</f>
        <v>900</v>
      </c>
      <c r="Z28" s="71">
        <f>SUM(Z3:Z26)</f>
        <v>0</v>
      </c>
      <c r="AA28" s="71">
        <f t="shared" ref="Z28:AA28" si="11">SUM(AA3:AA26)</f>
        <v>0</v>
      </c>
      <c r="AB28" s="71">
        <f t="shared" si="10"/>
        <v>225</v>
      </c>
      <c r="AC28" s="71">
        <f t="shared" si="10"/>
        <v>866</v>
      </c>
      <c r="AD28" s="71">
        <f>SUM(AD3:AD26)</f>
        <v>929</v>
      </c>
      <c r="AE28" s="71">
        <f t="shared" si="10"/>
        <v>900</v>
      </c>
      <c r="AF28" s="71">
        <f t="shared" si="10"/>
        <v>459</v>
      </c>
      <c r="AG28" s="71">
        <f t="shared" si="10"/>
        <v>479</v>
      </c>
      <c r="AH28" s="71">
        <f t="shared" si="10"/>
        <v>0</v>
      </c>
      <c r="AI28" s="71">
        <f t="shared" si="10"/>
        <v>12195</v>
      </c>
    </row>
    <row r="29" spans="1:47" ht="15.75">
      <c r="A29" s="55" t="s">
        <v>4</v>
      </c>
      <c r="C29" s="55" t="s">
        <v>4</v>
      </c>
      <c r="D29" s="57">
        <f t="shared" ref="D29:E29" si="12">D28-D30</f>
        <v>0</v>
      </c>
      <c r="E29" s="57">
        <f t="shared" si="12"/>
        <v>0</v>
      </c>
      <c r="F29" s="57">
        <f t="shared" ref="F29:H29" si="13">F28-F30</f>
        <v>89</v>
      </c>
      <c r="G29" s="57">
        <f t="shared" si="13"/>
        <v>215</v>
      </c>
      <c r="H29" s="57">
        <f t="shared" si="13"/>
        <v>39</v>
      </c>
      <c r="I29" s="57">
        <f t="shared" ref="I29:AI29" si="14">I28-I30</f>
        <v>54</v>
      </c>
      <c r="J29" s="57">
        <f t="shared" si="14"/>
        <v>0</v>
      </c>
      <c r="K29" s="57">
        <f t="shared" si="14"/>
        <v>101</v>
      </c>
      <c r="L29" s="57">
        <f t="shared" si="14"/>
        <v>114</v>
      </c>
      <c r="M29" s="57">
        <f t="shared" si="14"/>
        <v>70</v>
      </c>
      <c r="N29" s="57">
        <f t="shared" si="14"/>
        <v>52</v>
      </c>
      <c r="O29" s="57">
        <f t="shared" si="14"/>
        <v>55</v>
      </c>
      <c r="P29" s="69">
        <f t="shared" si="14"/>
        <v>42</v>
      </c>
      <c r="Q29" s="69">
        <f t="shared" si="14"/>
        <v>6</v>
      </c>
      <c r="R29" s="69">
        <f t="shared" si="14"/>
        <v>26</v>
      </c>
      <c r="S29" s="69">
        <f t="shared" si="14"/>
        <v>4</v>
      </c>
      <c r="T29" s="69">
        <f t="shared" si="14"/>
        <v>138</v>
      </c>
      <c r="U29" s="69">
        <f t="shared" si="14"/>
        <v>25</v>
      </c>
      <c r="V29" s="69">
        <f t="shared" si="14"/>
        <v>0</v>
      </c>
      <c r="W29" s="69">
        <f t="shared" si="14"/>
        <v>0</v>
      </c>
      <c r="X29" s="69">
        <f t="shared" si="14"/>
        <v>0</v>
      </c>
      <c r="Y29" s="69">
        <f t="shared" si="14"/>
        <v>0</v>
      </c>
      <c r="Z29" s="69">
        <f t="shared" si="14"/>
        <v>0</v>
      </c>
      <c r="AA29" s="69">
        <f t="shared" si="14"/>
        <v>0</v>
      </c>
      <c r="AB29" s="69">
        <f t="shared" si="14"/>
        <v>225</v>
      </c>
      <c r="AC29" s="69">
        <f t="shared" si="14"/>
        <v>416</v>
      </c>
      <c r="AD29" s="69">
        <f>AD28-AD30</f>
        <v>29</v>
      </c>
      <c r="AE29" s="69">
        <f t="shared" si="14"/>
        <v>0</v>
      </c>
      <c r="AF29" s="69">
        <f t="shared" si="14"/>
        <v>9</v>
      </c>
      <c r="AG29" s="69">
        <f t="shared" si="14"/>
        <v>29</v>
      </c>
      <c r="AH29" s="69">
        <f t="shared" si="14"/>
        <v>0</v>
      </c>
      <c r="AI29" s="69">
        <f t="shared" si="14"/>
        <v>10395</v>
      </c>
    </row>
    <row r="30" spans="1:47" ht="15.75">
      <c r="A30" s="55" t="s">
        <v>11</v>
      </c>
      <c r="C30" s="55" t="s">
        <v>11</v>
      </c>
      <c r="D30" s="57">
        <f t="shared" ref="D30:E30" si="15">SUMIF(D3:D26,"450")</f>
        <v>450</v>
      </c>
      <c r="E30" s="57">
        <f t="shared" si="15"/>
        <v>450</v>
      </c>
      <c r="F30" s="57">
        <f t="shared" ref="F30:H30" si="16">SUMIF(F3:F26,"450")</f>
        <v>0</v>
      </c>
      <c r="G30" s="57">
        <f t="shared" si="16"/>
        <v>0</v>
      </c>
      <c r="H30" s="57">
        <f t="shared" si="16"/>
        <v>0</v>
      </c>
      <c r="I30" s="57">
        <f t="shared" ref="I30:AI30" si="17">SUMIF(I3:I26,"450")</f>
        <v>0</v>
      </c>
      <c r="J30" s="57">
        <f t="shared" si="17"/>
        <v>0</v>
      </c>
      <c r="K30" s="57">
        <f t="shared" si="17"/>
        <v>0</v>
      </c>
      <c r="L30" s="57">
        <f t="shared" si="17"/>
        <v>450</v>
      </c>
      <c r="M30" s="57">
        <f t="shared" si="17"/>
        <v>900</v>
      </c>
      <c r="N30" s="57">
        <f t="shared" si="17"/>
        <v>1350</v>
      </c>
      <c r="O30" s="57">
        <f t="shared" si="17"/>
        <v>900</v>
      </c>
      <c r="P30" s="69">
        <f t="shared" si="17"/>
        <v>900</v>
      </c>
      <c r="Q30" s="69">
        <f t="shared" si="17"/>
        <v>0</v>
      </c>
      <c r="R30" s="69">
        <f t="shared" si="17"/>
        <v>0</v>
      </c>
      <c r="S30" s="69">
        <f t="shared" si="17"/>
        <v>450</v>
      </c>
      <c r="T30" s="69">
        <f t="shared" si="17"/>
        <v>900</v>
      </c>
      <c r="U30" s="69">
        <f t="shared" si="17"/>
        <v>0</v>
      </c>
      <c r="V30" s="69">
        <f>SUMIF(V3:V26,"450")</f>
        <v>0</v>
      </c>
      <c r="W30" s="69">
        <f t="shared" si="17"/>
        <v>0</v>
      </c>
      <c r="X30" s="69">
        <f t="shared" si="17"/>
        <v>900</v>
      </c>
      <c r="Y30" s="69">
        <f t="shared" si="17"/>
        <v>900</v>
      </c>
      <c r="Z30" s="69">
        <f t="shared" si="17"/>
        <v>0</v>
      </c>
      <c r="AA30" s="69">
        <f t="shared" si="17"/>
        <v>0</v>
      </c>
      <c r="AB30" s="69">
        <f t="shared" si="17"/>
        <v>0</v>
      </c>
      <c r="AC30" s="69">
        <f t="shared" si="17"/>
        <v>450</v>
      </c>
      <c r="AD30" s="69">
        <f>SUMIF(AD3:AD26,"450")</f>
        <v>900</v>
      </c>
      <c r="AE30" s="69">
        <f t="shared" si="17"/>
        <v>900</v>
      </c>
      <c r="AF30" s="69">
        <f t="shared" si="17"/>
        <v>450</v>
      </c>
      <c r="AG30" s="69">
        <f t="shared" si="17"/>
        <v>450</v>
      </c>
      <c r="AH30" s="69">
        <f t="shared" si="17"/>
        <v>0</v>
      </c>
      <c r="AI30" s="69">
        <f t="shared" si="17"/>
        <v>1800</v>
      </c>
    </row>
    <row r="31" spans="1:47" ht="15.75" hidden="1">
      <c r="A31" s="55" t="s">
        <v>192</v>
      </c>
      <c r="C31" s="55" t="s">
        <v>192</v>
      </c>
      <c r="D31" s="57">
        <f t="shared" ref="D31:E31" si="18">D29+D30</f>
        <v>450</v>
      </c>
      <c r="E31" s="57">
        <f t="shared" si="18"/>
        <v>450</v>
      </c>
      <c r="F31" s="57">
        <f t="shared" ref="F31:H31" si="19">F29+F30</f>
        <v>89</v>
      </c>
      <c r="G31" s="57">
        <f t="shared" si="19"/>
        <v>215</v>
      </c>
      <c r="H31" s="57">
        <f t="shared" si="19"/>
        <v>39</v>
      </c>
      <c r="I31" s="57">
        <f t="shared" ref="I31:AI31" si="20">I29+I30</f>
        <v>54</v>
      </c>
      <c r="J31" s="57">
        <f t="shared" si="20"/>
        <v>0</v>
      </c>
      <c r="K31" s="57">
        <f t="shared" si="20"/>
        <v>101</v>
      </c>
      <c r="L31" s="57">
        <f t="shared" si="20"/>
        <v>564</v>
      </c>
      <c r="M31" s="57">
        <f t="shared" si="20"/>
        <v>970</v>
      </c>
      <c r="N31" s="57">
        <f t="shared" si="20"/>
        <v>1402</v>
      </c>
      <c r="O31" s="57">
        <f t="shared" si="20"/>
        <v>955</v>
      </c>
      <c r="P31" s="69">
        <f t="shared" si="20"/>
        <v>942</v>
      </c>
      <c r="Q31" s="69">
        <f t="shared" si="20"/>
        <v>6</v>
      </c>
      <c r="R31" s="69">
        <f t="shared" si="20"/>
        <v>26</v>
      </c>
      <c r="S31" s="69">
        <f t="shared" si="20"/>
        <v>454</v>
      </c>
      <c r="T31" s="69">
        <f t="shared" si="20"/>
        <v>1038</v>
      </c>
      <c r="U31" s="69">
        <f t="shared" si="20"/>
        <v>25</v>
      </c>
      <c r="V31" s="69">
        <f t="shared" si="20"/>
        <v>0</v>
      </c>
      <c r="W31" s="69">
        <f t="shared" si="20"/>
        <v>0</v>
      </c>
      <c r="X31" s="69">
        <f t="shared" si="20"/>
        <v>900</v>
      </c>
      <c r="Y31" s="69">
        <f t="shared" si="20"/>
        <v>900</v>
      </c>
      <c r="Z31" s="69">
        <f t="shared" si="20"/>
        <v>0</v>
      </c>
      <c r="AA31" s="69">
        <f t="shared" si="20"/>
        <v>0</v>
      </c>
      <c r="AB31" s="69">
        <f t="shared" si="20"/>
        <v>225</v>
      </c>
      <c r="AC31" s="69">
        <f t="shared" si="20"/>
        <v>866</v>
      </c>
      <c r="AD31" s="69">
        <f>AD29+AD30</f>
        <v>929</v>
      </c>
      <c r="AE31" s="69">
        <f t="shared" si="20"/>
        <v>900</v>
      </c>
      <c r="AF31" s="69">
        <f t="shared" si="20"/>
        <v>459</v>
      </c>
      <c r="AG31" s="69">
        <f t="shared" si="20"/>
        <v>479</v>
      </c>
      <c r="AH31" s="69">
        <f t="shared" si="20"/>
        <v>0</v>
      </c>
      <c r="AI31" s="69">
        <f t="shared" si="20"/>
        <v>12195</v>
      </c>
    </row>
    <row r="32" spans="1:47" ht="15.75" hidden="1">
      <c r="A32" s="55" t="s">
        <v>193</v>
      </c>
      <c r="C32" s="55" t="s">
        <v>193</v>
      </c>
      <c r="D32" s="57">
        <f t="shared" ref="D32:E32" si="21">COUNTA(D3:D26)</f>
        <v>24</v>
      </c>
      <c r="E32" s="57">
        <f t="shared" si="21"/>
        <v>24</v>
      </c>
      <c r="F32" s="57">
        <f t="shared" ref="F32:H32" si="22">COUNTA(F3:F26)</f>
        <v>24</v>
      </c>
      <c r="G32" s="57">
        <f t="shared" si="22"/>
        <v>24</v>
      </c>
      <c r="H32" s="57">
        <f t="shared" si="22"/>
        <v>24</v>
      </c>
      <c r="I32" s="57">
        <f t="shared" ref="I32:AI32" si="23">COUNTA(I3:I26)</f>
        <v>24</v>
      </c>
      <c r="J32" s="57">
        <f t="shared" si="23"/>
        <v>24</v>
      </c>
      <c r="K32" s="57">
        <f t="shared" si="23"/>
        <v>24</v>
      </c>
      <c r="L32" s="57">
        <f t="shared" si="23"/>
        <v>24</v>
      </c>
      <c r="M32" s="57">
        <f t="shared" si="23"/>
        <v>24</v>
      </c>
      <c r="N32" s="57">
        <f t="shared" si="23"/>
        <v>24</v>
      </c>
      <c r="O32" s="57">
        <f t="shared" si="23"/>
        <v>24</v>
      </c>
      <c r="P32" s="69">
        <f t="shared" si="23"/>
        <v>24</v>
      </c>
      <c r="Q32" s="69">
        <f t="shared" si="23"/>
        <v>24</v>
      </c>
      <c r="R32" s="69">
        <f t="shared" si="23"/>
        <v>24</v>
      </c>
      <c r="S32" s="69">
        <f t="shared" si="23"/>
        <v>24</v>
      </c>
      <c r="T32" s="69">
        <f t="shared" si="23"/>
        <v>24</v>
      </c>
      <c r="U32" s="69">
        <f t="shared" si="23"/>
        <v>22</v>
      </c>
      <c r="V32" s="69">
        <f>COUNTA(V3:V26)</f>
        <v>23</v>
      </c>
      <c r="W32" s="69">
        <f t="shared" si="23"/>
        <v>23</v>
      </c>
      <c r="X32" s="69">
        <f t="shared" si="23"/>
        <v>22</v>
      </c>
      <c r="Y32" s="69">
        <f t="shared" si="23"/>
        <v>22</v>
      </c>
      <c r="Z32" s="69">
        <f t="shared" si="23"/>
        <v>22</v>
      </c>
      <c r="AA32" s="69">
        <f t="shared" si="23"/>
        <v>22</v>
      </c>
      <c r="AB32" s="69">
        <f t="shared" si="23"/>
        <v>22</v>
      </c>
      <c r="AC32" s="69">
        <f t="shared" si="23"/>
        <v>23</v>
      </c>
      <c r="AD32" s="69">
        <f>COUNTA(AD3:AD26)</f>
        <v>23</v>
      </c>
      <c r="AE32" s="69">
        <f t="shared" si="23"/>
        <v>21</v>
      </c>
      <c r="AF32" s="69">
        <f t="shared" si="23"/>
        <v>22</v>
      </c>
      <c r="AG32" s="69">
        <f t="shared" si="23"/>
        <v>21</v>
      </c>
      <c r="AH32" s="69">
        <f t="shared" si="23"/>
        <v>0</v>
      </c>
      <c r="AI32" s="69">
        <f t="shared" si="23"/>
        <v>24</v>
      </c>
    </row>
    <row r="33" spans="1:35" ht="15.75" hidden="1">
      <c r="A33" s="55" t="s">
        <v>194</v>
      </c>
      <c r="C33" s="55" t="s">
        <v>194</v>
      </c>
      <c r="D33" s="57">
        <f t="shared" ref="D33:E33" si="24">D32-D38-D39-D40-D41</f>
        <v>17</v>
      </c>
      <c r="E33" s="57">
        <f t="shared" si="24"/>
        <v>23</v>
      </c>
      <c r="F33" s="57">
        <f t="shared" ref="F33:H33" si="25">F32-F38-F39-F40-F41</f>
        <v>24</v>
      </c>
      <c r="G33" s="57">
        <f t="shared" si="25"/>
        <v>24</v>
      </c>
      <c r="H33" s="57">
        <f t="shared" si="25"/>
        <v>6</v>
      </c>
      <c r="I33" s="57">
        <f t="shared" ref="I33:AI33" si="26">I32-I38-I39-I40-I41</f>
        <v>6</v>
      </c>
      <c r="J33" s="57">
        <f t="shared" si="26"/>
        <v>18</v>
      </c>
      <c r="K33" s="57">
        <f t="shared" si="26"/>
        <v>18</v>
      </c>
      <c r="L33" s="57">
        <f t="shared" si="26"/>
        <v>23</v>
      </c>
      <c r="M33" s="57">
        <f t="shared" si="26"/>
        <v>22</v>
      </c>
      <c r="N33" s="57">
        <f t="shared" si="26"/>
        <v>21</v>
      </c>
      <c r="O33" s="57">
        <f t="shared" si="26"/>
        <v>4</v>
      </c>
      <c r="P33" s="69">
        <f t="shared" si="26"/>
        <v>4</v>
      </c>
      <c r="Q33" s="69">
        <f t="shared" si="26"/>
        <v>18</v>
      </c>
      <c r="R33" s="69">
        <f t="shared" si="26"/>
        <v>18</v>
      </c>
      <c r="S33" s="69">
        <f t="shared" si="26"/>
        <v>23</v>
      </c>
      <c r="T33" s="69">
        <f t="shared" si="26"/>
        <v>22</v>
      </c>
      <c r="U33" s="69">
        <f t="shared" si="26"/>
        <v>22</v>
      </c>
      <c r="V33" s="69">
        <f t="shared" si="26"/>
        <v>5</v>
      </c>
      <c r="W33" s="69">
        <f t="shared" si="26"/>
        <v>5</v>
      </c>
      <c r="X33" s="69">
        <f t="shared" si="26"/>
        <v>15</v>
      </c>
      <c r="Y33" s="69">
        <f t="shared" si="26"/>
        <v>15</v>
      </c>
      <c r="Z33" s="69">
        <f t="shared" si="26"/>
        <v>22</v>
      </c>
      <c r="AA33" s="69">
        <f t="shared" si="26"/>
        <v>22</v>
      </c>
      <c r="AB33" s="69">
        <f t="shared" si="26"/>
        <v>21</v>
      </c>
      <c r="AC33" s="69">
        <f t="shared" si="26"/>
        <v>4</v>
      </c>
      <c r="AD33" s="69">
        <f t="shared" si="26"/>
        <v>3</v>
      </c>
      <c r="AE33" s="69">
        <f t="shared" si="26"/>
        <v>18</v>
      </c>
      <c r="AF33" s="69">
        <f t="shared" si="26"/>
        <v>18</v>
      </c>
      <c r="AG33" s="69">
        <f t="shared" si="26"/>
        <v>17</v>
      </c>
      <c r="AH33" s="69">
        <f t="shared" si="26"/>
        <v>0</v>
      </c>
      <c r="AI33" s="69">
        <f t="shared" si="26"/>
        <v>20</v>
      </c>
    </row>
    <row r="34" spans="1:35" ht="15.75" hidden="1">
      <c r="A34" s="55" t="s">
        <v>195</v>
      </c>
      <c r="C34" s="55" t="s">
        <v>195</v>
      </c>
      <c r="D34" s="57">
        <f>D33-D41</f>
        <v>16</v>
      </c>
      <c r="E34" s="57">
        <f t="shared" ref="E34:AI34" si="27">E33-E41</f>
        <v>22</v>
      </c>
      <c r="F34" s="57">
        <f t="shared" si="27"/>
        <v>24</v>
      </c>
      <c r="G34" s="57">
        <f t="shared" si="27"/>
        <v>24</v>
      </c>
      <c r="H34" s="57">
        <f t="shared" si="27"/>
        <v>6</v>
      </c>
      <c r="I34" s="57">
        <f t="shared" si="27"/>
        <v>6</v>
      </c>
      <c r="J34" s="57">
        <f t="shared" si="27"/>
        <v>18</v>
      </c>
      <c r="K34" s="57">
        <f t="shared" si="27"/>
        <v>18</v>
      </c>
      <c r="L34" s="57">
        <f t="shared" si="27"/>
        <v>22</v>
      </c>
      <c r="M34" s="57">
        <f t="shared" si="27"/>
        <v>20</v>
      </c>
      <c r="N34" s="57">
        <f t="shared" si="27"/>
        <v>18</v>
      </c>
      <c r="O34" s="57">
        <f t="shared" si="27"/>
        <v>2</v>
      </c>
      <c r="P34" s="57">
        <f t="shared" si="27"/>
        <v>2</v>
      </c>
      <c r="Q34" s="57">
        <f t="shared" si="27"/>
        <v>18</v>
      </c>
      <c r="R34" s="57">
        <f t="shared" si="27"/>
        <v>18</v>
      </c>
      <c r="S34" s="57">
        <f t="shared" si="27"/>
        <v>22</v>
      </c>
      <c r="T34" s="57">
        <f t="shared" si="27"/>
        <v>20</v>
      </c>
      <c r="U34" s="57">
        <f t="shared" si="27"/>
        <v>22</v>
      </c>
      <c r="V34" s="57">
        <f t="shared" si="27"/>
        <v>5</v>
      </c>
      <c r="W34" s="57">
        <f t="shared" si="27"/>
        <v>5</v>
      </c>
      <c r="X34" s="57">
        <f t="shared" si="27"/>
        <v>13</v>
      </c>
      <c r="Y34" s="57">
        <f t="shared" si="27"/>
        <v>13</v>
      </c>
      <c r="Z34" s="57">
        <f t="shared" si="27"/>
        <v>22</v>
      </c>
      <c r="AA34" s="57">
        <f t="shared" si="27"/>
        <v>22</v>
      </c>
      <c r="AB34" s="57">
        <f t="shared" si="27"/>
        <v>21</v>
      </c>
      <c r="AC34" s="57">
        <f t="shared" si="27"/>
        <v>3</v>
      </c>
      <c r="AD34" s="57">
        <f t="shared" si="27"/>
        <v>1</v>
      </c>
      <c r="AE34" s="57">
        <f t="shared" si="27"/>
        <v>16</v>
      </c>
      <c r="AF34" s="57">
        <f t="shared" si="27"/>
        <v>17</v>
      </c>
      <c r="AG34" s="57">
        <f t="shared" si="27"/>
        <v>16</v>
      </c>
      <c r="AH34" s="57">
        <f t="shared" si="27"/>
        <v>0</v>
      </c>
      <c r="AI34" s="57">
        <f t="shared" si="27"/>
        <v>16</v>
      </c>
    </row>
    <row r="35" spans="1:35" ht="15.75" hidden="1">
      <c r="A35" s="55" t="s">
        <v>7</v>
      </c>
      <c r="C35" s="55" t="s">
        <v>7</v>
      </c>
      <c r="D35" s="57">
        <f t="shared" ref="D35:AI35" si="28">D33*450</f>
        <v>7650</v>
      </c>
      <c r="E35" s="57">
        <f t="shared" si="28"/>
        <v>10350</v>
      </c>
      <c r="F35" s="57">
        <f t="shared" si="28"/>
        <v>10800</v>
      </c>
      <c r="G35" s="57">
        <f t="shared" si="28"/>
        <v>10800</v>
      </c>
      <c r="H35" s="57">
        <f t="shared" si="28"/>
        <v>2700</v>
      </c>
      <c r="I35" s="57">
        <f t="shared" si="28"/>
        <v>2700</v>
      </c>
      <c r="J35" s="57">
        <f t="shared" si="28"/>
        <v>8100</v>
      </c>
      <c r="K35" s="57">
        <f t="shared" si="28"/>
        <v>8100</v>
      </c>
      <c r="L35" s="57">
        <f t="shared" si="28"/>
        <v>10350</v>
      </c>
      <c r="M35" s="57">
        <f t="shared" si="28"/>
        <v>9900</v>
      </c>
      <c r="N35" s="57">
        <f t="shared" si="28"/>
        <v>9450</v>
      </c>
      <c r="O35" s="57">
        <f t="shared" si="28"/>
        <v>1800</v>
      </c>
      <c r="P35" s="57">
        <f t="shared" si="28"/>
        <v>1800</v>
      </c>
      <c r="Q35" s="57">
        <f t="shared" si="28"/>
        <v>8100</v>
      </c>
      <c r="R35" s="57">
        <f t="shared" si="28"/>
        <v>8100</v>
      </c>
      <c r="S35" s="57">
        <f t="shared" si="28"/>
        <v>10350</v>
      </c>
      <c r="T35" s="57">
        <f t="shared" si="28"/>
        <v>9900</v>
      </c>
      <c r="U35" s="57">
        <f t="shared" si="28"/>
        <v>9900</v>
      </c>
      <c r="V35" s="57">
        <f t="shared" si="28"/>
        <v>2250</v>
      </c>
      <c r="W35" s="57">
        <f t="shared" si="28"/>
        <v>2250</v>
      </c>
      <c r="X35" s="57">
        <f t="shared" si="28"/>
        <v>6750</v>
      </c>
      <c r="Y35" s="57">
        <f t="shared" si="28"/>
        <v>6750</v>
      </c>
      <c r="Z35" s="57">
        <f t="shared" si="28"/>
        <v>9900</v>
      </c>
      <c r="AA35" s="57">
        <f t="shared" si="28"/>
        <v>9900</v>
      </c>
      <c r="AB35" s="57">
        <f t="shared" si="28"/>
        <v>9450</v>
      </c>
      <c r="AC35" s="57">
        <f t="shared" si="28"/>
        <v>1800</v>
      </c>
      <c r="AD35" s="57">
        <f t="shared" si="28"/>
        <v>1350</v>
      </c>
      <c r="AE35" s="57">
        <f t="shared" si="28"/>
        <v>8100</v>
      </c>
      <c r="AF35" s="57">
        <f t="shared" si="28"/>
        <v>8100</v>
      </c>
      <c r="AG35" s="57">
        <f t="shared" si="28"/>
        <v>7650</v>
      </c>
      <c r="AH35" s="57">
        <f t="shared" si="28"/>
        <v>0</v>
      </c>
      <c r="AI35" s="57">
        <f t="shared" si="28"/>
        <v>9000</v>
      </c>
    </row>
    <row r="36" spans="1:35" ht="15.75" hidden="1">
      <c r="A36" s="55" t="s">
        <v>8</v>
      </c>
      <c r="C36" s="55" t="s">
        <v>8</v>
      </c>
      <c r="D36" s="57">
        <f t="shared" ref="D36:AI36" si="29">D35-D31</f>
        <v>7200</v>
      </c>
      <c r="E36" s="57">
        <f t="shared" si="29"/>
        <v>9900</v>
      </c>
      <c r="F36" s="57">
        <f t="shared" si="29"/>
        <v>10711</v>
      </c>
      <c r="G36" s="57">
        <f t="shared" si="29"/>
        <v>10585</v>
      </c>
      <c r="H36" s="57">
        <f t="shared" si="29"/>
        <v>2661</v>
      </c>
      <c r="I36" s="57">
        <f t="shared" si="29"/>
        <v>2646</v>
      </c>
      <c r="J36" s="57">
        <f t="shared" si="29"/>
        <v>8100</v>
      </c>
      <c r="K36" s="57">
        <f t="shared" si="29"/>
        <v>7999</v>
      </c>
      <c r="L36" s="57">
        <f t="shared" si="29"/>
        <v>9786</v>
      </c>
      <c r="M36" s="57">
        <f t="shared" si="29"/>
        <v>8930</v>
      </c>
      <c r="N36" s="57">
        <f t="shared" si="29"/>
        <v>8048</v>
      </c>
      <c r="O36" s="57">
        <f t="shared" si="29"/>
        <v>845</v>
      </c>
      <c r="P36" s="57">
        <f t="shared" si="29"/>
        <v>858</v>
      </c>
      <c r="Q36" s="57">
        <f t="shared" si="29"/>
        <v>8094</v>
      </c>
      <c r="R36" s="57">
        <f t="shared" si="29"/>
        <v>8074</v>
      </c>
      <c r="S36" s="57">
        <f t="shared" si="29"/>
        <v>9896</v>
      </c>
      <c r="T36" s="57">
        <f t="shared" si="29"/>
        <v>8862</v>
      </c>
      <c r="U36" s="57">
        <f t="shared" si="29"/>
        <v>9875</v>
      </c>
      <c r="V36" s="57">
        <f t="shared" si="29"/>
        <v>2250</v>
      </c>
      <c r="W36" s="57">
        <f t="shared" si="29"/>
        <v>2250</v>
      </c>
      <c r="X36" s="57">
        <f t="shared" si="29"/>
        <v>5850</v>
      </c>
      <c r="Y36" s="57">
        <f t="shared" si="29"/>
        <v>5850</v>
      </c>
      <c r="Z36" s="57">
        <f t="shared" si="29"/>
        <v>9900</v>
      </c>
      <c r="AA36" s="57">
        <f t="shared" si="29"/>
        <v>9900</v>
      </c>
      <c r="AB36" s="57">
        <f t="shared" si="29"/>
        <v>9225</v>
      </c>
      <c r="AC36" s="57">
        <f>AC35-AC31</f>
        <v>934</v>
      </c>
      <c r="AD36" s="57">
        <f>AD35-AD31</f>
        <v>421</v>
      </c>
      <c r="AE36" s="57">
        <f t="shared" si="29"/>
        <v>7200</v>
      </c>
      <c r="AF36" s="57">
        <f t="shared" si="29"/>
        <v>7641</v>
      </c>
      <c r="AG36" s="57">
        <f t="shared" si="29"/>
        <v>7171</v>
      </c>
      <c r="AH36" s="57">
        <f t="shared" si="29"/>
        <v>0</v>
      </c>
      <c r="AI36" s="57">
        <f t="shared" si="29"/>
        <v>-3195</v>
      </c>
    </row>
    <row r="37" spans="1:35" ht="15.75" hidden="1">
      <c r="A37" s="59" t="s">
        <v>9</v>
      </c>
      <c r="C37" s="59" t="s">
        <v>9</v>
      </c>
      <c r="D37" s="64">
        <f t="shared" ref="D37:E37" si="30">D36/D35</f>
        <v>0.94117647058823528</v>
      </c>
      <c r="E37" s="64">
        <f t="shared" si="30"/>
        <v>0.95652173913043481</v>
      </c>
      <c r="F37" s="64">
        <f t="shared" ref="F37:H37" si="31">F36/F35</f>
        <v>0.99175925925925923</v>
      </c>
      <c r="G37" s="64">
        <f t="shared" si="31"/>
        <v>0.98009259259259263</v>
      </c>
      <c r="H37" s="64">
        <f t="shared" si="31"/>
        <v>0.98555555555555552</v>
      </c>
      <c r="I37" s="64">
        <f t="shared" ref="I37:AI37" si="32">I36/I35</f>
        <v>0.98</v>
      </c>
      <c r="J37" s="64">
        <f t="shared" si="32"/>
        <v>1</v>
      </c>
      <c r="K37" s="64">
        <f t="shared" si="32"/>
        <v>0.98753086419753089</v>
      </c>
      <c r="L37" s="64">
        <f t="shared" si="32"/>
        <v>0.94550724637681161</v>
      </c>
      <c r="M37" s="64">
        <f t="shared" si="32"/>
        <v>0.90202020202020206</v>
      </c>
      <c r="N37" s="64">
        <f t="shared" si="32"/>
        <v>0.85164021164021164</v>
      </c>
      <c r="O37" s="64">
        <f t="shared" si="32"/>
        <v>0.46944444444444444</v>
      </c>
      <c r="P37" s="70">
        <f t="shared" si="32"/>
        <v>0.47666666666666668</v>
      </c>
      <c r="Q37" s="64">
        <f t="shared" si="32"/>
        <v>0.99925925925925929</v>
      </c>
      <c r="R37" s="64">
        <f>R36/R35</f>
        <v>0.99679012345679008</v>
      </c>
      <c r="S37" s="64">
        <f>S36/S35</f>
        <v>0.95613526570048313</v>
      </c>
      <c r="T37" s="64">
        <f>T36/T35</f>
        <v>0.89515151515151514</v>
      </c>
      <c r="U37" s="64">
        <f t="shared" ref="U37:AB37" si="33">U36/U35</f>
        <v>0.99747474747474751</v>
      </c>
      <c r="V37" s="64">
        <f t="shared" si="33"/>
        <v>1</v>
      </c>
      <c r="W37" s="64">
        <f t="shared" si="33"/>
        <v>1</v>
      </c>
      <c r="X37" s="64">
        <f t="shared" si="33"/>
        <v>0.8666666666666667</v>
      </c>
      <c r="Y37" s="64">
        <f t="shared" si="33"/>
        <v>0.8666666666666667</v>
      </c>
      <c r="Z37" s="64">
        <f t="shared" si="33"/>
        <v>1</v>
      </c>
      <c r="AA37" s="64">
        <f t="shared" si="33"/>
        <v>1</v>
      </c>
      <c r="AB37" s="64">
        <f t="shared" si="33"/>
        <v>0.97619047619047616</v>
      </c>
      <c r="AC37" s="64">
        <f t="shared" si="32"/>
        <v>0.51888888888888884</v>
      </c>
      <c r="AD37" s="64">
        <f t="shared" si="32"/>
        <v>0.31185185185185182</v>
      </c>
      <c r="AE37" s="64">
        <f t="shared" si="32"/>
        <v>0.88888888888888884</v>
      </c>
      <c r="AF37" s="64">
        <f t="shared" si="32"/>
        <v>0.94333333333333336</v>
      </c>
      <c r="AG37" s="64">
        <f t="shared" si="32"/>
        <v>0.93738562091503264</v>
      </c>
      <c r="AH37" s="64" t="e">
        <f t="shared" si="32"/>
        <v>#DIV/0!</v>
      </c>
      <c r="AI37" s="64">
        <f t="shared" si="32"/>
        <v>-0.35499999999999998</v>
      </c>
    </row>
    <row r="38" spans="1:35" ht="15.75" hidden="1">
      <c r="A38" s="55" t="s">
        <v>147</v>
      </c>
      <c r="C38" s="55" t="s">
        <v>147</v>
      </c>
      <c r="D38" s="57">
        <f t="shared" ref="D38:E38" si="34">COUNTIF(D3:D26,"RD")</f>
        <v>6</v>
      </c>
      <c r="E38" s="57">
        <f t="shared" si="34"/>
        <v>0</v>
      </c>
      <c r="F38" s="57">
        <f t="shared" ref="F38:H38" si="35">COUNTIF(F3:F26,"RD")</f>
        <v>0</v>
      </c>
      <c r="G38" s="57">
        <f t="shared" si="35"/>
        <v>0</v>
      </c>
      <c r="H38" s="57">
        <f t="shared" si="35"/>
        <v>18</v>
      </c>
      <c r="I38" s="57">
        <f t="shared" ref="I38:N38" si="36">COUNTIF(I3:I26,"RD")</f>
        <v>18</v>
      </c>
      <c r="J38" s="57">
        <f t="shared" si="36"/>
        <v>6</v>
      </c>
      <c r="K38" s="57">
        <f t="shared" si="36"/>
        <v>6</v>
      </c>
      <c r="L38" s="57">
        <f t="shared" si="36"/>
        <v>0</v>
      </c>
      <c r="M38" s="57">
        <f t="shared" si="36"/>
        <v>0</v>
      </c>
      <c r="N38" s="57">
        <f t="shared" si="36"/>
        <v>0</v>
      </c>
      <c r="O38" s="57">
        <f>COUNTIF(O3:O26,"RD")</f>
        <v>18</v>
      </c>
      <c r="P38" s="69">
        <f>COUNTIF(P3:P26,"RD")</f>
        <v>18</v>
      </c>
      <c r="Q38" s="69">
        <f>COUNTIF(Q3:Q26,"RD")</f>
        <v>6</v>
      </c>
      <c r="R38" s="69">
        <f t="shared" ref="R38:AI38" si="37">COUNTIF(R3:R26,"RD")</f>
        <v>6</v>
      </c>
      <c r="S38" s="69">
        <f t="shared" si="37"/>
        <v>0</v>
      </c>
      <c r="T38" s="69">
        <f t="shared" si="37"/>
        <v>0</v>
      </c>
      <c r="U38" s="69">
        <f t="shared" si="37"/>
        <v>0</v>
      </c>
      <c r="V38" s="69">
        <f>COUNTIF(V3:V26,"RD")</f>
        <v>18</v>
      </c>
      <c r="W38" s="69">
        <f t="shared" si="37"/>
        <v>18</v>
      </c>
      <c r="X38" s="69">
        <f t="shared" si="37"/>
        <v>5</v>
      </c>
      <c r="Y38" s="69">
        <f t="shared" si="37"/>
        <v>5</v>
      </c>
      <c r="Z38" s="69">
        <f t="shared" si="37"/>
        <v>0</v>
      </c>
      <c r="AA38" s="69">
        <f t="shared" si="37"/>
        <v>0</v>
      </c>
      <c r="AB38" s="69">
        <f t="shared" si="37"/>
        <v>0</v>
      </c>
      <c r="AC38" s="69">
        <f t="shared" si="37"/>
        <v>18</v>
      </c>
      <c r="AD38" s="69">
        <f t="shared" si="37"/>
        <v>18</v>
      </c>
      <c r="AE38" s="69">
        <f t="shared" si="37"/>
        <v>1</v>
      </c>
      <c r="AF38" s="69">
        <f t="shared" si="37"/>
        <v>3</v>
      </c>
      <c r="AG38" s="69">
        <f t="shared" si="37"/>
        <v>3</v>
      </c>
      <c r="AH38" s="69">
        <f t="shared" si="37"/>
        <v>0</v>
      </c>
      <c r="AI38" s="69">
        <f t="shared" si="37"/>
        <v>0</v>
      </c>
    </row>
    <row r="39" spans="1:35" ht="15.75" hidden="1">
      <c r="A39" s="55" t="s">
        <v>12</v>
      </c>
      <c r="C39" s="55" t="s">
        <v>12</v>
      </c>
      <c r="D39" s="57">
        <f t="shared" ref="D39:E39" si="38">COUNTIF(D3:D26,"VL")</f>
        <v>0</v>
      </c>
      <c r="E39" s="57">
        <f t="shared" si="38"/>
        <v>0</v>
      </c>
      <c r="F39" s="57">
        <f t="shared" ref="F39:H39" si="39">COUNTIF(F3:F26,"VL")</f>
        <v>0</v>
      </c>
      <c r="G39" s="57">
        <f t="shared" si="39"/>
        <v>0</v>
      </c>
      <c r="H39" s="57">
        <f t="shared" si="39"/>
        <v>0</v>
      </c>
      <c r="I39" s="57">
        <f t="shared" ref="I39:N39" si="40">COUNTIF(I3:I26,"VL")</f>
        <v>0</v>
      </c>
      <c r="J39" s="57">
        <f t="shared" si="40"/>
        <v>0</v>
      </c>
      <c r="K39" s="57">
        <f t="shared" si="40"/>
        <v>0</v>
      </c>
      <c r="L39" s="57">
        <f t="shared" si="40"/>
        <v>0</v>
      </c>
      <c r="M39" s="57">
        <f t="shared" si="40"/>
        <v>0</v>
      </c>
      <c r="N39" s="57">
        <f t="shared" si="40"/>
        <v>0</v>
      </c>
      <c r="O39" s="57">
        <f>COUNTIF(O3:O26,"VL")</f>
        <v>0</v>
      </c>
      <c r="P39" s="69">
        <f>COUNTIF(P3:P26,"VL")</f>
        <v>0</v>
      </c>
      <c r="Q39" s="69">
        <f>COUNTIF(Q3:Q26,"VL")</f>
        <v>0</v>
      </c>
      <c r="R39" s="69">
        <f t="shared" ref="R39:AI39" si="41">COUNTIF(R3:R26,"VL")</f>
        <v>0</v>
      </c>
      <c r="S39" s="69">
        <f t="shared" si="41"/>
        <v>0</v>
      </c>
      <c r="T39" s="69">
        <f t="shared" si="41"/>
        <v>0</v>
      </c>
      <c r="U39" s="69">
        <f t="shared" si="41"/>
        <v>0</v>
      </c>
      <c r="V39" s="69">
        <f>COUNTIF(V3:V26,"VL")</f>
        <v>0</v>
      </c>
      <c r="W39" s="69">
        <f t="shared" si="41"/>
        <v>0</v>
      </c>
      <c r="X39" s="69">
        <f t="shared" si="41"/>
        <v>0</v>
      </c>
      <c r="Y39" s="69">
        <f t="shared" si="41"/>
        <v>0</v>
      </c>
      <c r="Z39" s="69">
        <f t="shared" si="41"/>
        <v>0</v>
      </c>
      <c r="AA39" s="69">
        <f t="shared" si="41"/>
        <v>0</v>
      </c>
      <c r="AB39" s="69">
        <f t="shared" si="41"/>
        <v>1</v>
      </c>
      <c r="AC39" s="69">
        <f t="shared" si="41"/>
        <v>0</v>
      </c>
      <c r="AD39" s="69">
        <f t="shared" si="41"/>
        <v>0</v>
      </c>
      <c r="AE39" s="69">
        <f t="shared" si="41"/>
        <v>0</v>
      </c>
      <c r="AF39" s="69">
        <f t="shared" si="41"/>
        <v>0</v>
      </c>
      <c r="AG39" s="69">
        <f t="shared" si="41"/>
        <v>0</v>
      </c>
      <c r="AH39" s="69">
        <f t="shared" si="41"/>
        <v>0</v>
      </c>
      <c r="AI39" s="69">
        <f t="shared" si="41"/>
        <v>0</v>
      </c>
    </row>
    <row r="40" spans="1:35" ht="15.75" hidden="1">
      <c r="A40" s="55" t="s">
        <v>14</v>
      </c>
      <c r="C40" s="55" t="s">
        <v>14</v>
      </c>
      <c r="D40" s="57">
        <f t="shared" ref="D40:E40" si="42">COUNTIF(D3:D26,"LWOP")</f>
        <v>0</v>
      </c>
      <c r="E40" s="57">
        <f t="shared" si="42"/>
        <v>0</v>
      </c>
      <c r="F40" s="57">
        <f t="shared" ref="F40:H40" si="43">COUNTIF(F3:F26,"LWOP")</f>
        <v>0</v>
      </c>
      <c r="G40" s="57">
        <f t="shared" si="43"/>
        <v>0</v>
      </c>
      <c r="H40" s="57">
        <f t="shared" si="43"/>
        <v>0</v>
      </c>
      <c r="I40" s="57">
        <f t="shared" ref="I40:O40" si="44">COUNTIF(I3:I26,"LWOP")</f>
        <v>0</v>
      </c>
      <c r="J40" s="57">
        <f t="shared" si="44"/>
        <v>0</v>
      </c>
      <c r="K40" s="57">
        <f t="shared" si="44"/>
        <v>0</v>
      </c>
      <c r="L40" s="57">
        <f t="shared" si="44"/>
        <v>0</v>
      </c>
      <c r="M40" s="57">
        <f t="shared" si="44"/>
        <v>0</v>
      </c>
      <c r="N40" s="57">
        <f t="shared" si="44"/>
        <v>0</v>
      </c>
      <c r="O40" s="57">
        <f t="shared" si="44"/>
        <v>0</v>
      </c>
      <c r="P40" s="69">
        <f>COUNTIF(P3:P26,"LWOP")</f>
        <v>0</v>
      </c>
      <c r="Q40" s="69">
        <f t="shared" ref="Q40:R40" si="45">COUNTIF(Q3:Q26,"LWOP")</f>
        <v>0</v>
      </c>
      <c r="R40" s="69">
        <f t="shared" si="45"/>
        <v>0</v>
      </c>
      <c r="S40" s="69">
        <f t="shared" ref="S40:AI40" si="46">COUNTIF(S3:S26,"LWOP")</f>
        <v>0</v>
      </c>
      <c r="T40" s="69">
        <f t="shared" si="46"/>
        <v>0</v>
      </c>
      <c r="U40" s="69">
        <f t="shared" si="46"/>
        <v>0</v>
      </c>
      <c r="V40" s="69">
        <f>COUNTIF(V3:V26,"LWOP")</f>
        <v>0</v>
      </c>
      <c r="W40" s="69">
        <f t="shared" si="46"/>
        <v>0</v>
      </c>
      <c r="X40" s="69">
        <f t="shared" si="46"/>
        <v>0</v>
      </c>
      <c r="Y40" s="69">
        <f t="shared" si="46"/>
        <v>0</v>
      </c>
      <c r="Z40" s="69">
        <f t="shared" si="46"/>
        <v>0</v>
      </c>
      <c r="AA40" s="69">
        <f t="shared" si="46"/>
        <v>0</v>
      </c>
      <c r="AB40" s="69">
        <f t="shared" si="46"/>
        <v>0</v>
      </c>
      <c r="AC40" s="69">
        <f t="shared" si="46"/>
        <v>0</v>
      </c>
      <c r="AD40" s="69">
        <f t="shared" si="46"/>
        <v>0</v>
      </c>
      <c r="AE40" s="69">
        <f t="shared" si="46"/>
        <v>0</v>
      </c>
      <c r="AF40" s="69">
        <f t="shared" si="46"/>
        <v>0</v>
      </c>
      <c r="AG40" s="69">
        <f t="shared" si="46"/>
        <v>0</v>
      </c>
      <c r="AH40" s="69">
        <f t="shared" si="46"/>
        <v>0</v>
      </c>
      <c r="AI40" s="69">
        <f t="shared" si="46"/>
        <v>0</v>
      </c>
    </row>
    <row r="41" spans="1:35" ht="15.75" hidden="1">
      <c r="A41" s="55" t="s">
        <v>11</v>
      </c>
      <c r="C41" s="55" t="s">
        <v>11</v>
      </c>
      <c r="D41" s="57">
        <f t="shared" ref="D41:E41" si="47">COUNTIF(D3:D26,"450")</f>
        <v>1</v>
      </c>
      <c r="E41" s="57">
        <f t="shared" si="47"/>
        <v>1</v>
      </c>
      <c r="F41" s="57">
        <f t="shared" ref="F41:H41" si="48">COUNTIF(F3:F26,"450")</f>
        <v>0</v>
      </c>
      <c r="G41" s="57">
        <f t="shared" si="48"/>
        <v>0</v>
      </c>
      <c r="H41" s="57">
        <f t="shared" si="48"/>
        <v>0</v>
      </c>
      <c r="I41" s="57">
        <f t="shared" ref="I41:O41" si="49">COUNTIF(I3:I26,"450")</f>
        <v>0</v>
      </c>
      <c r="J41" s="57">
        <f t="shared" si="49"/>
        <v>0</v>
      </c>
      <c r="K41" s="57">
        <f t="shared" si="49"/>
        <v>0</v>
      </c>
      <c r="L41" s="57">
        <f t="shared" si="49"/>
        <v>1</v>
      </c>
      <c r="M41" s="57">
        <f t="shared" si="49"/>
        <v>2</v>
      </c>
      <c r="N41" s="57">
        <f t="shared" si="49"/>
        <v>3</v>
      </c>
      <c r="O41" s="57">
        <f t="shared" si="49"/>
        <v>2</v>
      </c>
      <c r="P41" s="69">
        <f>COUNTIF(P3:P26,"450")</f>
        <v>2</v>
      </c>
      <c r="Q41" s="69">
        <f t="shared" ref="Q41:R41" si="50">COUNTIF(Q3:Q26,"450")</f>
        <v>0</v>
      </c>
      <c r="R41" s="69">
        <f t="shared" si="50"/>
        <v>0</v>
      </c>
      <c r="S41" s="69">
        <f t="shared" ref="S41:AI41" si="51">COUNTIF(S3:S26,"450")</f>
        <v>1</v>
      </c>
      <c r="T41" s="69">
        <f>COUNTIF(T3:T26,"450")</f>
        <v>2</v>
      </c>
      <c r="U41" s="69">
        <f t="shared" si="51"/>
        <v>0</v>
      </c>
      <c r="V41" s="69">
        <f>COUNTIF(V3:V26,"450")</f>
        <v>0</v>
      </c>
      <c r="W41" s="69">
        <f t="shared" si="51"/>
        <v>0</v>
      </c>
      <c r="X41" s="69">
        <f t="shared" si="51"/>
        <v>2</v>
      </c>
      <c r="Y41" s="69">
        <f t="shared" si="51"/>
        <v>2</v>
      </c>
      <c r="Z41" s="69">
        <f t="shared" si="51"/>
        <v>0</v>
      </c>
      <c r="AA41" s="69">
        <f t="shared" si="51"/>
        <v>0</v>
      </c>
      <c r="AB41" s="69">
        <f t="shared" si="51"/>
        <v>0</v>
      </c>
      <c r="AC41" s="69">
        <f t="shared" si="51"/>
        <v>1</v>
      </c>
      <c r="AD41" s="69">
        <f t="shared" si="51"/>
        <v>2</v>
      </c>
      <c r="AE41" s="69">
        <f t="shared" si="51"/>
        <v>2</v>
      </c>
      <c r="AF41" s="69">
        <f t="shared" si="51"/>
        <v>1</v>
      </c>
      <c r="AG41" s="69">
        <f t="shared" si="51"/>
        <v>1</v>
      </c>
      <c r="AH41" s="69">
        <f t="shared" si="51"/>
        <v>0</v>
      </c>
      <c r="AI41" s="69">
        <f t="shared" si="51"/>
        <v>4</v>
      </c>
    </row>
    <row r="42" spans="1:35" hidden="1">
      <c r="A42" s="66" t="s">
        <v>196</v>
      </c>
      <c r="C42" s="66" t="s">
        <v>196</v>
      </c>
      <c r="D42" s="39">
        <f t="shared" ref="D42:E42" si="52">D29/D36</f>
        <v>0</v>
      </c>
      <c r="E42" s="39">
        <f t="shared" si="52"/>
        <v>0</v>
      </c>
      <c r="F42" s="39">
        <f t="shared" ref="F42:H42" si="53">F29/F36</f>
        <v>8.3092148258799362E-3</v>
      </c>
      <c r="G42" s="39">
        <f t="shared" si="53"/>
        <v>2.0311761927255551E-2</v>
      </c>
      <c r="H42" s="39">
        <f t="shared" si="53"/>
        <v>1.4656144306651634E-2</v>
      </c>
      <c r="I42" s="39">
        <f t="shared" ref="I42:Q42" si="54">I29/I36</f>
        <v>2.0408163265306121E-2</v>
      </c>
      <c r="J42" s="39">
        <f t="shared" si="54"/>
        <v>0</v>
      </c>
      <c r="K42" s="39">
        <f t="shared" si="54"/>
        <v>1.2626578322290286E-2</v>
      </c>
      <c r="L42" s="39">
        <f t="shared" si="54"/>
        <v>1.1649294911097487E-2</v>
      </c>
      <c r="M42" s="39">
        <f t="shared" si="54"/>
        <v>7.8387458006718928E-3</v>
      </c>
      <c r="N42" s="39">
        <f t="shared" si="54"/>
        <v>6.4612326043737576E-3</v>
      </c>
      <c r="O42" s="39">
        <f t="shared" si="54"/>
        <v>6.5088757396449703E-2</v>
      </c>
      <c r="P42" s="39">
        <f t="shared" si="54"/>
        <v>4.8951048951048952E-2</v>
      </c>
      <c r="Q42" s="39">
        <f t="shared" si="54"/>
        <v>7.4128984432913266E-4</v>
      </c>
      <c r="R42" s="39">
        <f t="shared" ref="R42:W42" si="55">R29/R36</f>
        <v>3.2202130294773346E-3</v>
      </c>
      <c r="S42" s="39">
        <f t="shared" si="55"/>
        <v>4.0420371867421178E-4</v>
      </c>
      <c r="T42" s="39">
        <f t="shared" si="55"/>
        <v>1.5572105619498984E-2</v>
      </c>
      <c r="U42" s="39">
        <f t="shared" si="55"/>
        <v>2.5316455696202532E-3</v>
      </c>
      <c r="V42" s="39">
        <f t="shared" si="55"/>
        <v>0</v>
      </c>
      <c r="W42" s="39">
        <f t="shared" si="55"/>
        <v>0</v>
      </c>
      <c r="X42" s="39">
        <f t="shared" ref="X42:AI42" si="56">X29/X36</f>
        <v>0</v>
      </c>
      <c r="Y42" s="39">
        <f t="shared" si="56"/>
        <v>0</v>
      </c>
      <c r="Z42" s="39">
        <f t="shared" si="56"/>
        <v>0</v>
      </c>
      <c r="AA42" s="39">
        <f t="shared" si="56"/>
        <v>0</v>
      </c>
      <c r="AB42" s="39">
        <f t="shared" si="56"/>
        <v>2.4390243902439025E-2</v>
      </c>
      <c r="AC42" s="39">
        <f t="shared" si="56"/>
        <v>0.44539614561027835</v>
      </c>
      <c r="AD42" s="39">
        <f t="shared" si="56"/>
        <v>6.8883610451306407E-2</v>
      </c>
      <c r="AE42" s="39">
        <f t="shared" si="56"/>
        <v>0</v>
      </c>
      <c r="AF42" s="39">
        <f t="shared" si="56"/>
        <v>1.1778563015312131E-3</v>
      </c>
      <c r="AG42" s="39">
        <f t="shared" si="56"/>
        <v>4.0440663784688325E-3</v>
      </c>
      <c r="AH42" s="39" t="e">
        <f t="shared" si="56"/>
        <v>#DIV/0!</v>
      </c>
      <c r="AI42" s="39">
        <f t="shared" si="56"/>
        <v>-3.2535211267605635</v>
      </c>
    </row>
    <row r="43" spans="1:35" hidden="1">
      <c r="A43" s="67" t="s">
        <v>197</v>
      </c>
      <c r="C43" s="67" t="s">
        <v>197</v>
      </c>
      <c r="D43" s="39">
        <f t="shared" ref="D43:AI43" si="57">D30/D36</f>
        <v>6.25E-2</v>
      </c>
      <c r="E43" s="39">
        <f t="shared" si="57"/>
        <v>4.5454545454545456E-2</v>
      </c>
      <c r="F43" s="39">
        <f t="shared" si="57"/>
        <v>0</v>
      </c>
      <c r="G43" s="39">
        <f t="shared" si="57"/>
        <v>0</v>
      </c>
      <c r="H43" s="39">
        <f t="shared" si="57"/>
        <v>0</v>
      </c>
      <c r="I43" s="39">
        <f t="shared" si="57"/>
        <v>0</v>
      </c>
      <c r="J43" s="39">
        <f t="shared" si="57"/>
        <v>0</v>
      </c>
      <c r="K43" s="39">
        <f t="shared" si="57"/>
        <v>0</v>
      </c>
      <c r="L43" s="39">
        <f t="shared" si="57"/>
        <v>4.5984058859595341E-2</v>
      </c>
      <c r="M43" s="39">
        <f t="shared" si="57"/>
        <v>0.10078387458006718</v>
      </c>
      <c r="N43" s="39">
        <f t="shared" si="57"/>
        <v>0.16774353876739562</v>
      </c>
      <c r="O43" s="39">
        <f t="shared" si="57"/>
        <v>1.0650887573964498</v>
      </c>
      <c r="P43" s="39">
        <f t="shared" si="57"/>
        <v>1.048951048951049</v>
      </c>
      <c r="Q43" s="39">
        <f t="shared" si="57"/>
        <v>0</v>
      </c>
      <c r="R43" s="39">
        <f t="shared" si="57"/>
        <v>0</v>
      </c>
      <c r="S43" s="39">
        <f t="shared" si="57"/>
        <v>4.547291835084883E-2</v>
      </c>
      <c r="T43" s="39">
        <f t="shared" si="57"/>
        <v>0.1015572105619499</v>
      </c>
      <c r="U43" s="39">
        <f t="shared" si="57"/>
        <v>0</v>
      </c>
      <c r="V43" s="39">
        <f t="shared" si="57"/>
        <v>0</v>
      </c>
      <c r="W43" s="39">
        <f t="shared" si="57"/>
        <v>0</v>
      </c>
      <c r="X43" s="39">
        <f t="shared" si="57"/>
        <v>0.15384615384615385</v>
      </c>
      <c r="Y43" s="39">
        <f t="shared" si="57"/>
        <v>0.15384615384615385</v>
      </c>
      <c r="Z43" s="39">
        <f t="shared" si="57"/>
        <v>0</v>
      </c>
      <c r="AA43" s="39">
        <f t="shared" si="57"/>
        <v>0</v>
      </c>
      <c r="AB43" s="39">
        <f t="shared" si="57"/>
        <v>0</v>
      </c>
      <c r="AC43" s="39">
        <f>AC30/AC36</f>
        <v>0.4817987152034261</v>
      </c>
      <c r="AD43" s="39">
        <f>AD30/AD36</f>
        <v>2.1377672209026128</v>
      </c>
      <c r="AE43" s="39">
        <f t="shared" si="57"/>
        <v>0.125</v>
      </c>
      <c r="AF43" s="39">
        <f t="shared" si="57"/>
        <v>5.8892815076560662E-2</v>
      </c>
      <c r="AG43" s="39">
        <f t="shared" si="57"/>
        <v>6.2752754148654305E-2</v>
      </c>
      <c r="AH43" s="39" t="e">
        <f t="shared" si="57"/>
        <v>#DIV/0!</v>
      </c>
      <c r="AI43" s="39">
        <f t="shared" si="57"/>
        <v>-0.56338028169014087</v>
      </c>
    </row>
  </sheetData>
  <autoFilter ref="A1:AV43" xr:uid="{6EE84987-32C8-4C18-99E9-265BE197D585}">
    <filterColumn colId="32">
      <filters>
        <filter val="29"/>
        <filter val="450"/>
      </filters>
    </filterColumn>
  </autoFilter>
  <sortState xmlns:xlrd2="http://schemas.microsoft.com/office/spreadsheetml/2017/richdata2" ref="A3:C26">
    <sortCondition ref="A3:A26"/>
  </sortState>
  <conditionalFormatting sqref="I3:AH26">
    <cfRule type="containsText" dxfId="4907" priority="119" operator="containsText" text="TFO">
      <formula>NOT(ISERROR(SEARCH("TFO",I3)))</formula>
    </cfRule>
    <cfRule type="containsText" dxfId="4906" priority="120" operator="containsText" text="AA">
      <formula>NOT(ISERROR(SEARCH("AA",I3)))</formula>
    </cfRule>
    <cfRule type="containsText" dxfId="4905" priority="121" operator="containsText" text="RESIGNED">
      <formula>NOT(ISERROR(SEARCH("RESIGNED",I3)))</formula>
    </cfRule>
    <cfRule type="containsText" dxfId="4904" priority="122" operator="containsText" text="P">
      <formula>NOT(ISERROR(SEARCH("P",I3)))</formula>
    </cfRule>
    <cfRule type="containsText" dxfId="4903" priority="123" operator="containsText" text="TARDY">
      <formula>NOT(ISERROR(SEARCH("TARDY",I3)))</formula>
    </cfRule>
    <cfRule type="containsText" dxfId="4902" priority="124" operator="containsText" text="REST DAY">
      <formula>NOT(ISERROR(SEARCH("REST DAY",I3)))</formula>
    </cfRule>
    <cfRule type="containsText" dxfId="4901" priority="125" operator="containsText" text="UA">
      <formula>NOT(ISERROR(SEARCH("UA",I3)))</formula>
    </cfRule>
    <cfRule type="containsText" dxfId="4900" priority="126" operator="containsText" text="LWOP UA">
      <formula>NOT(ISERROR(SEARCH("LWOP UA",I3)))</formula>
    </cfRule>
  </conditionalFormatting>
  <conditionalFormatting sqref="I3:AH26">
    <cfRule type="containsText" dxfId="4899" priority="113" operator="containsText" text="VL">
      <formula>NOT(ISERROR(SEARCH("VL",I3)))</formula>
    </cfRule>
    <cfRule type="containsText" dxfId="4898" priority="114" operator="containsText" text="RD">
      <formula>NOT(ISERROR(SEARCH("RD",I3)))</formula>
    </cfRule>
    <cfRule type="containsText" dxfId="4897" priority="115" operator="containsText" text="540">
      <formula>NOT(ISERROR(SEARCH("540",I3)))</formula>
    </cfRule>
    <cfRule type="cellIs" dxfId="4896" priority="116" operator="between">
      <formula>1</formula>
      <formula>400</formula>
    </cfRule>
    <cfRule type="containsText" dxfId="4895" priority="117" operator="containsText" text="LWOP UA">
      <formula>NOT(ISERROR(SEARCH("LWOP UA",I3)))</formula>
    </cfRule>
  </conditionalFormatting>
  <conditionalFormatting sqref="I3:AH26">
    <cfRule type="containsText" dxfId="4894" priority="118" operator="containsText" text="P">
      <formula>NOT(ISERROR(SEARCH("P",I3)))</formula>
    </cfRule>
  </conditionalFormatting>
  <conditionalFormatting sqref="D7:G7">
    <cfRule type="containsText" dxfId="4893" priority="105" operator="containsText" text="TFO">
      <formula>NOT(ISERROR(SEARCH("TFO",D7)))</formula>
    </cfRule>
    <cfRule type="containsText" dxfId="4892" priority="106" operator="containsText" text="AA">
      <formula>NOT(ISERROR(SEARCH("AA",D7)))</formula>
    </cfRule>
    <cfRule type="containsText" dxfId="4891" priority="107" operator="containsText" text="RESIGNED">
      <formula>NOT(ISERROR(SEARCH("RESIGNED",D7)))</formula>
    </cfRule>
    <cfRule type="containsText" dxfId="4890" priority="108" operator="containsText" text="P">
      <formula>NOT(ISERROR(SEARCH("P",D7)))</formula>
    </cfRule>
    <cfRule type="containsText" dxfId="4889" priority="109" operator="containsText" text="TARDY">
      <formula>NOT(ISERROR(SEARCH("TARDY",D7)))</formula>
    </cfRule>
    <cfRule type="containsText" dxfId="4888" priority="110" operator="containsText" text="REST DAY">
      <formula>NOT(ISERROR(SEARCH("REST DAY",D7)))</formula>
    </cfRule>
    <cfRule type="containsText" dxfId="4887" priority="111" operator="containsText" text="UA">
      <formula>NOT(ISERROR(SEARCH("UA",D7)))</formula>
    </cfRule>
    <cfRule type="containsText" dxfId="4886" priority="112" operator="containsText" text="LWOP UA">
      <formula>NOT(ISERROR(SEARCH("LWOP UA",D7)))</formula>
    </cfRule>
  </conditionalFormatting>
  <conditionalFormatting sqref="D7:G7">
    <cfRule type="containsText" dxfId="4885" priority="99" operator="containsText" text="VL">
      <formula>NOT(ISERROR(SEARCH("VL",D7)))</formula>
    </cfRule>
    <cfRule type="containsText" dxfId="4884" priority="100" operator="containsText" text="RD">
      <formula>NOT(ISERROR(SEARCH("RD",D7)))</formula>
    </cfRule>
    <cfRule type="containsText" dxfId="4883" priority="101" operator="containsText" text="540">
      <formula>NOT(ISERROR(SEARCH("540",D7)))</formula>
    </cfRule>
    <cfRule type="cellIs" dxfId="4882" priority="102" operator="between">
      <formula>1</formula>
      <formula>400</formula>
    </cfRule>
    <cfRule type="containsText" dxfId="4881" priority="103" operator="containsText" text="LWOP UA">
      <formula>NOT(ISERROR(SEARCH("LWOP UA",D7)))</formula>
    </cfRule>
  </conditionalFormatting>
  <conditionalFormatting sqref="D7:G7">
    <cfRule type="containsText" dxfId="4880" priority="104" operator="containsText" text="P">
      <formula>NOT(ISERROR(SEARCH("P",D7)))</formula>
    </cfRule>
  </conditionalFormatting>
  <conditionalFormatting sqref="H7">
    <cfRule type="containsText" dxfId="4879" priority="91" operator="containsText" text="TFO">
      <formula>NOT(ISERROR(SEARCH("TFO",H7)))</formula>
    </cfRule>
    <cfRule type="containsText" dxfId="4878" priority="92" operator="containsText" text="AA">
      <formula>NOT(ISERROR(SEARCH("AA",H7)))</formula>
    </cfRule>
    <cfRule type="containsText" dxfId="4877" priority="93" operator="containsText" text="RESIGNED">
      <formula>NOT(ISERROR(SEARCH("RESIGNED",H7)))</formula>
    </cfRule>
    <cfRule type="containsText" dxfId="4876" priority="94" operator="containsText" text="P">
      <formula>NOT(ISERROR(SEARCH("P",H7)))</formula>
    </cfRule>
    <cfRule type="containsText" dxfId="4875" priority="95" operator="containsText" text="TARDY">
      <formula>NOT(ISERROR(SEARCH("TARDY",H7)))</formula>
    </cfRule>
    <cfRule type="containsText" dxfId="4874" priority="96" operator="containsText" text="REST DAY">
      <formula>NOT(ISERROR(SEARCH("REST DAY",H7)))</formula>
    </cfRule>
    <cfRule type="containsText" dxfId="4873" priority="97" operator="containsText" text="UA">
      <formula>NOT(ISERROR(SEARCH("UA",H7)))</formula>
    </cfRule>
    <cfRule type="containsText" dxfId="4872" priority="98" operator="containsText" text="LWOP UA">
      <formula>NOT(ISERROR(SEARCH("LWOP UA",H7)))</formula>
    </cfRule>
  </conditionalFormatting>
  <conditionalFormatting sqref="H7">
    <cfRule type="containsText" dxfId="4871" priority="85" operator="containsText" text="VL">
      <formula>NOT(ISERROR(SEARCH("VL",H7)))</formula>
    </cfRule>
    <cfRule type="containsText" dxfId="4870" priority="86" operator="containsText" text="RD">
      <formula>NOT(ISERROR(SEARCH("RD",H7)))</formula>
    </cfRule>
    <cfRule type="containsText" dxfId="4869" priority="87" operator="containsText" text="540">
      <formula>NOT(ISERROR(SEARCH("540",H7)))</formula>
    </cfRule>
    <cfRule type="cellIs" dxfId="4868" priority="88" operator="between">
      <formula>1</formula>
      <formula>400</formula>
    </cfRule>
    <cfRule type="containsText" dxfId="4867" priority="89" operator="containsText" text="LWOP UA">
      <formula>NOT(ISERROR(SEARCH("LWOP UA",H7)))</formula>
    </cfRule>
  </conditionalFormatting>
  <conditionalFormatting sqref="H7">
    <cfRule type="containsText" dxfId="4866" priority="90" operator="containsText" text="P">
      <formula>NOT(ISERROR(SEARCH("P",H7)))</formula>
    </cfRule>
  </conditionalFormatting>
  <conditionalFormatting sqref="H23:H24 H17 H11:H15">
    <cfRule type="containsText" dxfId="4865" priority="77" operator="containsText" text="TFO">
      <formula>NOT(ISERROR(SEARCH("TFO",H11)))</formula>
    </cfRule>
    <cfRule type="containsText" dxfId="4864" priority="78" operator="containsText" text="AA">
      <formula>NOT(ISERROR(SEARCH("AA",H11)))</formula>
    </cfRule>
    <cfRule type="containsText" dxfId="4863" priority="79" operator="containsText" text="RESIGNED">
      <formula>NOT(ISERROR(SEARCH("RESIGNED",H11)))</formula>
    </cfRule>
    <cfRule type="containsText" dxfId="4862" priority="80" operator="containsText" text="P">
      <formula>NOT(ISERROR(SEARCH("P",H11)))</formula>
    </cfRule>
    <cfRule type="containsText" dxfId="4861" priority="81" operator="containsText" text="TARDY">
      <formula>NOT(ISERROR(SEARCH("TARDY",H11)))</formula>
    </cfRule>
    <cfRule type="containsText" dxfId="4860" priority="82" operator="containsText" text="REST DAY">
      <formula>NOT(ISERROR(SEARCH("REST DAY",H11)))</formula>
    </cfRule>
    <cfRule type="containsText" dxfId="4859" priority="83" operator="containsText" text="UA">
      <formula>NOT(ISERROR(SEARCH("UA",H11)))</formula>
    </cfRule>
    <cfRule type="containsText" dxfId="4858" priority="84" operator="containsText" text="LWOP UA">
      <formula>NOT(ISERROR(SEARCH("LWOP UA",H11)))</formula>
    </cfRule>
  </conditionalFormatting>
  <conditionalFormatting sqref="H23:H24 H17 H11:H15">
    <cfRule type="containsText" dxfId="4857" priority="71" operator="containsText" text="VL">
      <formula>NOT(ISERROR(SEARCH("VL",H11)))</formula>
    </cfRule>
    <cfRule type="containsText" dxfId="4856" priority="72" operator="containsText" text="RD">
      <formula>NOT(ISERROR(SEARCH("RD",H11)))</formula>
    </cfRule>
    <cfRule type="containsText" dxfId="4855" priority="73" operator="containsText" text="540">
      <formula>NOT(ISERROR(SEARCH("540",H11)))</formula>
    </cfRule>
    <cfRule type="cellIs" dxfId="4854" priority="74" operator="between">
      <formula>1</formula>
      <formula>400</formula>
    </cfRule>
    <cfRule type="containsText" dxfId="4853" priority="75" operator="containsText" text="LWOP UA">
      <formula>NOT(ISERROR(SEARCH("LWOP UA",H11)))</formula>
    </cfRule>
  </conditionalFormatting>
  <conditionalFormatting sqref="H23:H24 H17 H11:H15">
    <cfRule type="containsText" dxfId="4852" priority="76" operator="containsText" text="P">
      <formula>NOT(ISERROR(SEARCH("P",H11)))</formula>
    </cfRule>
  </conditionalFormatting>
  <conditionalFormatting sqref="D23:G24 D11:G15 D17:G17">
    <cfRule type="containsText" dxfId="4851" priority="63" operator="containsText" text="TFO">
      <formula>NOT(ISERROR(SEARCH("TFO",D11)))</formula>
    </cfRule>
    <cfRule type="containsText" dxfId="4850" priority="64" operator="containsText" text="AA">
      <formula>NOT(ISERROR(SEARCH("AA",D11)))</formula>
    </cfRule>
    <cfRule type="containsText" dxfId="4849" priority="65" operator="containsText" text="RESIGNED">
      <formula>NOT(ISERROR(SEARCH("RESIGNED",D11)))</formula>
    </cfRule>
    <cfRule type="containsText" dxfId="4848" priority="66" operator="containsText" text="P">
      <formula>NOT(ISERROR(SEARCH("P",D11)))</formula>
    </cfRule>
    <cfRule type="containsText" dxfId="4847" priority="67" operator="containsText" text="TARDY">
      <formula>NOT(ISERROR(SEARCH("TARDY",D11)))</formula>
    </cfRule>
    <cfRule type="containsText" dxfId="4846" priority="68" operator="containsText" text="REST DAY">
      <formula>NOT(ISERROR(SEARCH("REST DAY",D11)))</formula>
    </cfRule>
    <cfRule type="containsText" dxfId="4845" priority="69" operator="containsText" text="UA">
      <formula>NOT(ISERROR(SEARCH("UA",D11)))</formula>
    </cfRule>
    <cfRule type="containsText" dxfId="4844" priority="70" operator="containsText" text="LWOP UA">
      <formula>NOT(ISERROR(SEARCH("LWOP UA",D11)))</formula>
    </cfRule>
  </conditionalFormatting>
  <conditionalFormatting sqref="D23:G24 D11:G15 D17:G17">
    <cfRule type="containsText" dxfId="4843" priority="57" operator="containsText" text="VL">
      <formula>NOT(ISERROR(SEARCH("VL",D11)))</formula>
    </cfRule>
    <cfRule type="containsText" dxfId="4842" priority="58" operator="containsText" text="RD">
      <formula>NOT(ISERROR(SEARCH("RD",D11)))</formula>
    </cfRule>
    <cfRule type="containsText" dxfId="4841" priority="59" operator="containsText" text="540">
      <formula>NOT(ISERROR(SEARCH("540",D11)))</formula>
    </cfRule>
    <cfRule type="cellIs" dxfId="4840" priority="60" operator="between">
      <formula>1</formula>
      <formula>400</formula>
    </cfRule>
    <cfRule type="containsText" dxfId="4839" priority="61" operator="containsText" text="LWOP UA">
      <formula>NOT(ISERROR(SEARCH("LWOP UA",D11)))</formula>
    </cfRule>
  </conditionalFormatting>
  <conditionalFormatting sqref="D23:G24 D11:G15 D17:G17">
    <cfRule type="containsText" dxfId="4838" priority="62" operator="containsText" text="P">
      <formula>NOT(ISERROR(SEARCH("P",D11)))</formula>
    </cfRule>
  </conditionalFormatting>
  <conditionalFormatting sqref="D8:H8 D21:H21">
    <cfRule type="containsText" dxfId="4837" priority="49" operator="containsText" text="TFO">
      <formula>NOT(ISERROR(SEARCH("TFO",D8)))</formula>
    </cfRule>
    <cfRule type="containsText" dxfId="4836" priority="50" operator="containsText" text="AA">
      <formula>NOT(ISERROR(SEARCH("AA",D8)))</formula>
    </cfRule>
    <cfRule type="containsText" dxfId="4835" priority="51" operator="containsText" text="RESIGNED">
      <formula>NOT(ISERROR(SEARCH("RESIGNED",D8)))</formula>
    </cfRule>
    <cfRule type="containsText" dxfId="4834" priority="52" operator="containsText" text="P">
      <formula>NOT(ISERROR(SEARCH("P",D8)))</formula>
    </cfRule>
    <cfRule type="containsText" dxfId="4833" priority="53" operator="containsText" text="TARDY">
      <formula>NOT(ISERROR(SEARCH("TARDY",D8)))</formula>
    </cfRule>
    <cfRule type="containsText" dxfId="4832" priority="54" operator="containsText" text="REST DAY">
      <formula>NOT(ISERROR(SEARCH("REST DAY",D8)))</formula>
    </cfRule>
    <cfRule type="containsText" dxfId="4831" priority="55" operator="containsText" text="UA">
      <formula>NOT(ISERROR(SEARCH("UA",D8)))</formula>
    </cfRule>
    <cfRule type="containsText" dxfId="4830" priority="56" operator="containsText" text="LWOP UA">
      <formula>NOT(ISERROR(SEARCH("LWOP UA",D8)))</formula>
    </cfRule>
  </conditionalFormatting>
  <conditionalFormatting sqref="D8:H8 D21:H21">
    <cfRule type="containsText" dxfId="4829" priority="43" operator="containsText" text="VL">
      <formula>NOT(ISERROR(SEARCH("VL",D8)))</formula>
    </cfRule>
    <cfRule type="containsText" dxfId="4828" priority="44" operator="containsText" text="RD">
      <formula>NOT(ISERROR(SEARCH("RD",D8)))</formula>
    </cfRule>
    <cfRule type="containsText" dxfId="4827" priority="45" operator="containsText" text="540">
      <formula>NOT(ISERROR(SEARCH("540",D8)))</formula>
    </cfRule>
    <cfRule type="cellIs" dxfId="4826" priority="46" operator="between">
      <formula>1</formula>
      <formula>400</formula>
    </cfRule>
    <cfRule type="containsText" dxfId="4825" priority="47" operator="containsText" text="LWOP UA">
      <formula>NOT(ISERROR(SEARCH("LWOP UA",D8)))</formula>
    </cfRule>
  </conditionalFormatting>
  <conditionalFormatting sqref="D8:H8 D21:H21">
    <cfRule type="containsText" dxfId="4824" priority="48" operator="containsText" text="P">
      <formula>NOT(ISERROR(SEARCH("P",D8)))</formula>
    </cfRule>
  </conditionalFormatting>
  <conditionalFormatting sqref="D3:H4 D10:H10 D22:H22 D25:H26">
    <cfRule type="containsText" dxfId="4823" priority="35" operator="containsText" text="TFO">
      <formula>NOT(ISERROR(SEARCH("TFO",D3)))</formula>
    </cfRule>
    <cfRule type="containsText" dxfId="4822" priority="36" operator="containsText" text="AA">
      <formula>NOT(ISERROR(SEARCH("AA",D3)))</formula>
    </cfRule>
    <cfRule type="containsText" dxfId="4821" priority="37" operator="containsText" text="RESIGNED">
      <formula>NOT(ISERROR(SEARCH("RESIGNED",D3)))</formula>
    </cfRule>
    <cfRule type="containsText" dxfId="4820" priority="38" operator="containsText" text="P">
      <formula>NOT(ISERROR(SEARCH("P",D3)))</formula>
    </cfRule>
    <cfRule type="containsText" dxfId="4819" priority="39" operator="containsText" text="TARDY">
      <formula>NOT(ISERROR(SEARCH("TARDY",D3)))</formula>
    </cfRule>
    <cfRule type="containsText" dxfId="4818" priority="40" operator="containsText" text="REST DAY">
      <formula>NOT(ISERROR(SEARCH("REST DAY",D3)))</formula>
    </cfRule>
    <cfRule type="containsText" dxfId="4817" priority="41" operator="containsText" text="UA">
      <formula>NOT(ISERROR(SEARCH("UA",D3)))</formula>
    </cfRule>
    <cfRule type="containsText" dxfId="4816" priority="42" operator="containsText" text="LWOP UA">
      <formula>NOT(ISERROR(SEARCH("LWOP UA",D3)))</formula>
    </cfRule>
  </conditionalFormatting>
  <conditionalFormatting sqref="D3:H4 D10:H10 D22:H22 D25:H26">
    <cfRule type="containsText" dxfId="4815" priority="29" operator="containsText" text="VL">
      <formula>NOT(ISERROR(SEARCH("VL",D3)))</formula>
    </cfRule>
    <cfRule type="containsText" dxfId="4814" priority="30" operator="containsText" text="RD">
      <formula>NOT(ISERROR(SEARCH("RD",D3)))</formula>
    </cfRule>
    <cfRule type="containsText" dxfId="4813" priority="31" operator="containsText" text="540">
      <formula>NOT(ISERROR(SEARCH("540",D3)))</formula>
    </cfRule>
    <cfRule type="cellIs" dxfId="4812" priority="32" operator="between">
      <formula>1</formula>
      <formula>400</formula>
    </cfRule>
    <cfRule type="containsText" dxfId="4811" priority="33" operator="containsText" text="LWOP UA">
      <formula>NOT(ISERROR(SEARCH("LWOP UA",D3)))</formula>
    </cfRule>
  </conditionalFormatting>
  <conditionalFormatting sqref="D3:H4 D10:H10 D22:H22 D25:H26">
    <cfRule type="containsText" dxfId="4810" priority="34" operator="containsText" text="P">
      <formula>NOT(ISERROR(SEARCH("P",D3)))</formula>
    </cfRule>
  </conditionalFormatting>
  <conditionalFormatting sqref="D16:H16">
    <cfRule type="containsText" dxfId="4809" priority="21" operator="containsText" text="TFO">
      <formula>NOT(ISERROR(SEARCH("TFO",D16)))</formula>
    </cfRule>
    <cfRule type="containsText" dxfId="4808" priority="22" operator="containsText" text="AA">
      <formula>NOT(ISERROR(SEARCH("AA",D16)))</formula>
    </cfRule>
    <cfRule type="containsText" dxfId="4807" priority="23" operator="containsText" text="RESIGNED">
      <formula>NOT(ISERROR(SEARCH("RESIGNED",D16)))</formula>
    </cfRule>
    <cfRule type="containsText" dxfId="4806" priority="24" operator="containsText" text="P">
      <formula>NOT(ISERROR(SEARCH("P",D16)))</formula>
    </cfRule>
    <cfRule type="containsText" dxfId="4805" priority="25" operator="containsText" text="TARDY">
      <formula>NOT(ISERROR(SEARCH("TARDY",D16)))</formula>
    </cfRule>
    <cfRule type="containsText" dxfId="4804" priority="26" operator="containsText" text="REST DAY">
      <formula>NOT(ISERROR(SEARCH("REST DAY",D16)))</formula>
    </cfRule>
    <cfRule type="containsText" dxfId="4803" priority="27" operator="containsText" text="UA">
      <formula>NOT(ISERROR(SEARCH("UA",D16)))</formula>
    </cfRule>
    <cfRule type="containsText" dxfId="4802" priority="28" operator="containsText" text="LWOP UA">
      <formula>NOT(ISERROR(SEARCH("LWOP UA",D16)))</formula>
    </cfRule>
  </conditionalFormatting>
  <conditionalFormatting sqref="D16:H16">
    <cfRule type="containsText" dxfId="4801" priority="15" operator="containsText" text="VL">
      <formula>NOT(ISERROR(SEARCH("VL",D16)))</formula>
    </cfRule>
    <cfRule type="containsText" dxfId="4800" priority="16" operator="containsText" text="RD">
      <formula>NOT(ISERROR(SEARCH("RD",D16)))</formula>
    </cfRule>
    <cfRule type="containsText" dxfId="4799" priority="17" operator="containsText" text="540">
      <formula>NOT(ISERROR(SEARCH("540",D16)))</formula>
    </cfRule>
    <cfRule type="cellIs" dxfId="4798" priority="18" operator="between">
      <formula>1</formula>
      <formula>400</formula>
    </cfRule>
    <cfRule type="containsText" dxfId="4797" priority="19" operator="containsText" text="LWOP UA">
      <formula>NOT(ISERROR(SEARCH("LWOP UA",D16)))</formula>
    </cfRule>
  </conditionalFormatting>
  <conditionalFormatting sqref="D16:H16">
    <cfRule type="containsText" dxfId="4796" priority="20" operator="containsText" text="P">
      <formula>NOT(ISERROR(SEARCH("P",D16)))</formula>
    </cfRule>
  </conditionalFormatting>
  <conditionalFormatting sqref="D18:H20 D9:H9 D5:H6">
    <cfRule type="containsText" dxfId="4795" priority="7" operator="containsText" text="TFO">
      <formula>NOT(ISERROR(SEARCH("TFO",D5)))</formula>
    </cfRule>
    <cfRule type="containsText" dxfId="4794" priority="8" operator="containsText" text="AA">
      <formula>NOT(ISERROR(SEARCH("AA",D5)))</formula>
    </cfRule>
    <cfRule type="containsText" dxfId="4793" priority="9" operator="containsText" text="RESIGNED">
      <formula>NOT(ISERROR(SEARCH("RESIGNED",D5)))</formula>
    </cfRule>
    <cfRule type="containsText" dxfId="4792" priority="10" operator="containsText" text="P">
      <formula>NOT(ISERROR(SEARCH("P",D5)))</formula>
    </cfRule>
    <cfRule type="containsText" dxfId="4791" priority="11" operator="containsText" text="TARDY">
      <formula>NOT(ISERROR(SEARCH("TARDY",D5)))</formula>
    </cfRule>
    <cfRule type="containsText" dxfId="4790" priority="12" operator="containsText" text="REST DAY">
      <formula>NOT(ISERROR(SEARCH("REST DAY",D5)))</formula>
    </cfRule>
    <cfRule type="containsText" dxfId="4789" priority="13" operator="containsText" text="UA">
      <formula>NOT(ISERROR(SEARCH("UA",D5)))</formula>
    </cfRule>
    <cfRule type="containsText" dxfId="4788" priority="14" operator="containsText" text="LWOP UA">
      <formula>NOT(ISERROR(SEARCH("LWOP UA",D5)))</formula>
    </cfRule>
  </conditionalFormatting>
  <conditionalFormatting sqref="D18:H20 D9:H9 D5:H6">
    <cfRule type="containsText" dxfId="4787" priority="1" operator="containsText" text="VL">
      <formula>NOT(ISERROR(SEARCH("VL",D5)))</formula>
    </cfRule>
    <cfRule type="containsText" dxfId="4786" priority="2" operator="containsText" text="RD">
      <formula>NOT(ISERROR(SEARCH("RD",D5)))</formula>
    </cfRule>
    <cfRule type="containsText" dxfId="4785" priority="3" operator="containsText" text="540">
      <formula>NOT(ISERROR(SEARCH("540",D5)))</formula>
    </cfRule>
    <cfRule type="cellIs" dxfId="4784" priority="4" operator="between">
      <formula>1</formula>
      <formula>400</formula>
    </cfRule>
    <cfRule type="containsText" dxfId="4783" priority="5" operator="containsText" text="LWOP UA">
      <formula>NOT(ISERROR(SEARCH("LWOP UA",D5)))</formula>
    </cfRule>
  </conditionalFormatting>
  <conditionalFormatting sqref="D18:H20 D9:H9 D5:H6">
    <cfRule type="containsText" dxfId="4782" priority="6" operator="containsText" text="P">
      <formula>NOT(ISERROR(SEARCH("P",D5)))</formula>
    </cfRule>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63CCE-4E13-4BE0-A263-2F718EF92C77}">
  <dimension ref="A1:AV252"/>
  <sheetViews>
    <sheetView showGridLines="0" topLeftCell="I1" workbookViewId="0">
      <selection activeCell="L29" sqref="L29:N39"/>
    </sheetView>
  </sheetViews>
  <sheetFormatPr defaultRowHeight="15"/>
  <cols>
    <col min="1" max="6" width="20.140625" style="201" customWidth="1"/>
    <col min="7" max="8" width="20.140625" style="263" customWidth="1"/>
    <col min="9" max="9" width="20.140625" style="260" customWidth="1"/>
    <col min="10" max="10" width="20.140625" style="141" customWidth="1"/>
    <col min="11" max="11" width="10.5703125" style="139" customWidth="1"/>
    <col min="12" max="12" width="25.7109375" style="139" bestFit="1" customWidth="1"/>
    <col min="13" max="13" width="13" style="140" bestFit="1" customWidth="1"/>
    <col min="14" max="14" width="14.85546875" style="140" customWidth="1"/>
    <col min="15" max="15" width="19.28515625" bestFit="1" customWidth="1"/>
    <col min="16" max="16" width="16.85546875" customWidth="1"/>
    <col min="17" max="17" width="10.42578125" bestFit="1" customWidth="1"/>
    <col min="18" max="19" width="10.140625" customWidth="1"/>
    <col min="20" max="20" width="22.7109375" bestFit="1" customWidth="1"/>
    <col min="21" max="21" width="13.7109375" bestFit="1" customWidth="1"/>
    <col min="23" max="23" width="21.7109375" bestFit="1" customWidth="1"/>
    <col min="24" max="24" width="15.85546875" bestFit="1" customWidth="1"/>
    <col min="26" max="26" width="22.7109375" bestFit="1" customWidth="1"/>
    <col min="27" max="28" width="15.85546875" bestFit="1" customWidth="1"/>
    <col min="31" max="31" width="14.42578125" bestFit="1" customWidth="1"/>
    <col min="32" max="32" width="11.7109375" customWidth="1"/>
    <col min="33" max="33" width="10.7109375" customWidth="1"/>
    <col min="34" max="34" width="10.42578125" customWidth="1"/>
    <col min="39" max="39" width="14.85546875" customWidth="1"/>
  </cols>
  <sheetData>
    <row r="1" spans="1:48">
      <c r="A1" s="264" t="s">
        <v>11</v>
      </c>
      <c r="B1" s="248" t="s">
        <v>344</v>
      </c>
      <c r="C1" s="248" t="s">
        <v>0</v>
      </c>
      <c r="D1" s="248" t="s">
        <v>201</v>
      </c>
      <c r="E1" s="248" t="s">
        <v>200</v>
      </c>
      <c r="F1" s="265" t="s">
        <v>205</v>
      </c>
      <c r="G1" s="248" t="s">
        <v>344</v>
      </c>
      <c r="H1" s="248" t="s">
        <v>0</v>
      </c>
      <c r="I1" s="248" t="s">
        <v>201</v>
      </c>
      <c r="J1" s="248" t="s">
        <v>200</v>
      </c>
      <c r="K1" s="15"/>
      <c r="L1" s="209" t="s">
        <v>345</v>
      </c>
      <c r="M1" s="209" t="s">
        <v>346</v>
      </c>
      <c r="N1" s="209" t="s">
        <v>200</v>
      </c>
      <c r="O1" s="209" t="s">
        <v>347</v>
      </c>
      <c r="P1" s="209" t="s">
        <v>348</v>
      </c>
      <c r="Q1" s="209" t="s">
        <v>200</v>
      </c>
      <c r="AE1" s="15"/>
      <c r="AF1" s="15"/>
      <c r="AG1" s="15"/>
      <c r="AH1" s="15"/>
      <c r="AJ1" s="381" t="s">
        <v>349</v>
      </c>
      <c r="AK1" s="382"/>
      <c r="AL1" s="382"/>
      <c r="AM1" s="382"/>
      <c r="AN1" s="382"/>
      <c r="AO1" s="382"/>
      <c r="AP1" s="382"/>
      <c r="AQ1" s="382"/>
      <c r="AR1" s="383"/>
    </row>
    <row r="2" spans="1:48">
      <c r="A2" s="199" t="s">
        <v>53</v>
      </c>
      <c r="B2" s="249" t="s">
        <v>341</v>
      </c>
      <c r="C2" s="250" t="s">
        <v>25</v>
      </c>
      <c r="D2" s="201" t="s">
        <v>221</v>
      </c>
      <c r="E2" s="200">
        <v>45870</v>
      </c>
      <c r="F2" s="202" t="s">
        <v>239</v>
      </c>
      <c r="G2" s="247" t="s">
        <v>37</v>
      </c>
      <c r="H2" s="173" t="s">
        <v>40</v>
      </c>
      <c r="I2" s="201" t="s">
        <v>206</v>
      </c>
      <c r="J2" s="200">
        <v>45870</v>
      </c>
      <c r="K2" s="15"/>
      <c r="L2" s="208" t="s">
        <v>221</v>
      </c>
      <c r="M2" s="15">
        <v>4</v>
      </c>
      <c r="N2" s="244">
        <v>45870</v>
      </c>
      <c r="O2" s="15" t="s">
        <v>241</v>
      </c>
      <c r="P2">
        <v>1</v>
      </c>
      <c r="Q2" s="244">
        <v>45870</v>
      </c>
      <c r="AE2" s="15"/>
      <c r="AF2" s="15"/>
      <c r="AG2" s="15"/>
      <c r="AH2" s="15"/>
      <c r="AJ2" s="384"/>
      <c r="AK2" s="385"/>
      <c r="AL2" s="385"/>
      <c r="AM2" s="385"/>
      <c r="AN2" s="385"/>
      <c r="AO2" s="385"/>
      <c r="AP2" s="385"/>
      <c r="AQ2" s="385"/>
      <c r="AR2" s="386"/>
    </row>
    <row r="3" spans="1:48">
      <c r="A3" s="201" t="s">
        <v>190</v>
      </c>
      <c r="B3" s="249" t="s">
        <v>22</v>
      </c>
      <c r="C3" s="250" t="s">
        <v>56</v>
      </c>
      <c r="D3" s="201" t="s">
        <v>221</v>
      </c>
      <c r="E3" s="200">
        <v>45870</v>
      </c>
      <c r="F3" s="202" t="s">
        <v>224</v>
      </c>
      <c r="G3" s="247" t="s">
        <v>37</v>
      </c>
      <c r="H3" s="173" t="s">
        <v>40</v>
      </c>
      <c r="I3" s="201" t="s">
        <v>350</v>
      </c>
      <c r="J3" s="200">
        <v>45870</v>
      </c>
      <c r="K3" s="15"/>
      <c r="L3" s="15" t="s">
        <v>213</v>
      </c>
      <c r="M3" s="15">
        <v>1</v>
      </c>
      <c r="N3" s="245">
        <v>45873</v>
      </c>
      <c r="O3" s="208" t="s">
        <v>350</v>
      </c>
      <c r="P3">
        <v>19</v>
      </c>
      <c r="Q3" s="244">
        <v>45870</v>
      </c>
      <c r="AE3" s="219"/>
      <c r="AF3" s="220"/>
      <c r="AG3" s="220"/>
      <c r="AH3" s="220"/>
      <c r="AI3" s="217"/>
      <c r="AM3" s="379" t="s">
        <v>351</v>
      </c>
      <c r="AN3" s="379"/>
      <c r="AO3" s="379"/>
      <c r="AP3" s="379"/>
      <c r="AS3" s="217"/>
      <c r="AT3" s="217"/>
      <c r="AU3" s="217"/>
      <c r="AV3" s="218"/>
    </row>
    <row r="4" spans="1:48">
      <c r="A4" s="201" t="s">
        <v>125</v>
      </c>
      <c r="B4" s="249" t="s">
        <v>22</v>
      </c>
      <c r="C4" s="250" t="s">
        <v>25</v>
      </c>
      <c r="D4" s="201" t="s">
        <v>221</v>
      </c>
      <c r="E4" s="200">
        <v>45870</v>
      </c>
      <c r="F4" s="202" t="s">
        <v>239</v>
      </c>
      <c r="G4" s="247" t="s">
        <v>37</v>
      </c>
      <c r="H4" s="173" t="s">
        <v>40</v>
      </c>
      <c r="I4" s="201" t="s">
        <v>350</v>
      </c>
      <c r="J4" s="200">
        <v>45870</v>
      </c>
      <c r="K4" s="15"/>
      <c r="L4" s="15" t="s">
        <v>206</v>
      </c>
      <c r="M4" s="15">
        <v>1</v>
      </c>
      <c r="N4" s="245">
        <v>45873</v>
      </c>
      <c r="O4" s="208" t="s">
        <v>350</v>
      </c>
      <c r="P4">
        <v>2</v>
      </c>
      <c r="Q4" s="15" t="s">
        <v>352</v>
      </c>
      <c r="AE4" s="221"/>
      <c r="AF4" s="146"/>
      <c r="AG4" s="146"/>
      <c r="AH4" s="146"/>
      <c r="AI4" s="147"/>
      <c r="AJ4" s="187">
        <v>45665</v>
      </c>
      <c r="AK4" s="188">
        <v>45696</v>
      </c>
      <c r="AL4" s="188">
        <v>45724</v>
      </c>
      <c r="AM4" s="188">
        <v>45755</v>
      </c>
      <c r="AN4" s="188">
        <v>45785</v>
      </c>
      <c r="AO4" s="188">
        <v>45816</v>
      </c>
      <c r="AP4" s="188">
        <v>45846</v>
      </c>
      <c r="AQ4" s="188">
        <v>45877</v>
      </c>
      <c r="AR4" s="188">
        <v>45908</v>
      </c>
      <c r="AS4" s="188">
        <v>45938</v>
      </c>
      <c r="AT4" s="188">
        <v>45969</v>
      </c>
      <c r="AU4" s="188">
        <v>45999</v>
      </c>
      <c r="AV4" s="222" t="s">
        <v>243</v>
      </c>
    </row>
    <row r="5" spans="1:48">
      <c r="A5" s="210" t="s">
        <v>239</v>
      </c>
      <c r="B5" s="249" t="s">
        <v>37</v>
      </c>
      <c r="C5" s="250" t="s">
        <v>40</v>
      </c>
      <c r="D5" s="207" t="s">
        <v>221</v>
      </c>
      <c r="E5" s="206">
        <v>45870</v>
      </c>
      <c r="F5" s="211" t="s">
        <v>29</v>
      </c>
      <c r="G5" s="249" t="s">
        <v>341</v>
      </c>
      <c r="H5" s="250" t="s">
        <v>30</v>
      </c>
      <c r="I5" s="207" t="s">
        <v>350</v>
      </c>
      <c r="J5" s="206">
        <v>45870</v>
      </c>
      <c r="K5" s="15"/>
      <c r="L5" s="15" t="s">
        <v>353</v>
      </c>
      <c r="M5" s="15">
        <v>2</v>
      </c>
      <c r="N5" s="245">
        <v>45873</v>
      </c>
      <c r="O5" s="15" t="s">
        <v>354</v>
      </c>
      <c r="P5">
        <v>2</v>
      </c>
      <c r="Q5" s="245">
        <v>45875</v>
      </c>
      <c r="AE5" s="223" t="s">
        <v>2</v>
      </c>
      <c r="AF5" s="149" t="s">
        <v>262</v>
      </c>
      <c r="AG5" s="150" t="s">
        <v>263</v>
      </c>
      <c r="AH5" s="150" t="s">
        <v>0</v>
      </c>
      <c r="AI5" s="151" t="s">
        <v>3</v>
      </c>
      <c r="AJ5" s="190" t="s">
        <v>140</v>
      </c>
      <c r="AK5" s="191" t="s">
        <v>141</v>
      </c>
      <c r="AL5" s="191" t="s">
        <v>135</v>
      </c>
      <c r="AM5" s="191" t="s">
        <v>136</v>
      </c>
      <c r="AN5" s="191" t="s">
        <v>137</v>
      </c>
      <c r="AO5" s="191" t="s">
        <v>138</v>
      </c>
      <c r="AP5" s="191" t="s">
        <v>139</v>
      </c>
      <c r="AQ5" s="191" t="s">
        <v>140</v>
      </c>
      <c r="AR5" s="191" t="s">
        <v>141</v>
      </c>
      <c r="AS5" s="191" t="s">
        <v>135</v>
      </c>
      <c r="AT5" s="191" t="s">
        <v>136</v>
      </c>
      <c r="AU5" s="191" t="s">
        <v>137</v>
      </c>
      <c r="AV5" s="224" t="s">
        <v>138</v>
      </c>
    </row>
    <row r="6" spans="1:48">
      <c r="A6" s="139" t="s">
        <v>29</v>
      </c>
      <c r="B6" s="249" t="s">
        <v>341</v>
      </c>
      <c r="C6" s="250" t="s">
        <v>30</v>
      </c>
      <c r="D6" s="139" t="s">
        <v>213</v>
      </c>
      <c r="E6" s="251">
        <v>45873</v>
      </c>
      <c r="F6" s="201" t="s">
        <v>42</v>
      </c>
      <c r="G6" s="173" t="s">
        <v>22</v>
      </c>
      <c r="H6" s="173" t="s">
        <v>25</v>
      </c>
      <c r="I6" s="201" t="s">
        <v>350</v>
      </c>
      <c r="J6" s="200">
        <v>45870</v>
      </c>
      <c r="K6" s="15"/>
      <c r="L6" s="15" t="s">
        <v>355</v>
      </c>
      <c r="M6" s="15">
        <v>3</v>
      </c>
      <c r="N6" s="245">
        <v>45873</v>
      </c>
      <c r="O6" s="15" t="s">
        <v>210</v>
      </c>
      <c r="P6">
        <v>1</v>
      </c>
      <c r="Q6" s="245">
        <v>45875</v>
      </c>
      <c r="AE6" s="234" t="s">
        <v>24</v>
      </c>
      <c r="AF6" s="235" t="s">
        <v>265</v>
      </c>
      <c r="AG6" s="236" t="s">
        <v>266</v>
      </c>
      <c r="AH6" s="236" t="s">
        <v>22</v>
      </c>
      <c r="AI6" s="237" t="s">
        <v>25</v>
      </c>
      <c r="AJ6" s="98" t="s">
        <v>148</v>
      </c>
      <c r="AK6" s="99" t="s">
        <v>147</v>
      </c>
      <c r="AL6" s="99" t="s">
        <v>147</v>
      </c>
      <c r="AM6" s="98" t="s">
        <v>148</v>
      </c>
      <c r="AN6" s="98" t="s">
        <v>148</v>
      </c>
      <c r="AO6" s="98" t="s">
        <v>148</v>
      </c>
      <c r="AP6" s="98" t="s">
        <v>148</v>
      </c>
      <c r="AQ6" s="100">
        <v>10</v>
      </c>
      <c r="AR6" s="99" t="s">
        <v>147</v>
      </c>
      <c r="AS6" s="99" t="s">
        <v>147</v>
      </c>
      <c r="AT6" s="98" t="s">
        <v>148</v>
      </c>
      <c r="AU6" s="102">
        <v>450</v>
      </c>
      <c r="AV6" s="225">
        <v>9</v>
      </c>
    </row>
    <row r="7" spans="1:48">
      <c r="A7" s="139" t="s">
        <v>225</v>
      </c>
      <c r="B7" s="249" t="s">
        <v>22</v>
      </c>
      <c r="C7" s="250" t="s">
        <v>63</v>
      </c>
      <c r="D7" s="139" t="s">
        <v>356</v>
      </c>
      <c r="E7" s="251">
        <v>45873</v>
      </c>
      <c r="F7" s="199" t="s">
        <v>51</v>
      </c>
      <c r="G7" s="247" t="s">
        <v>341</v>
      </c>
      <c r="H7" s="173" t="s">
        <v>25</v>
      </c>
      <c r="I7" s="201" t="s">
        <v>350</v>
      </c>
      <c r="J7" s="200">
        <v>45870</v>
      </c>
      <c r="K7" s="15"/>
      <c r="L7" s="15" t="s">
        <v>221</v>
      </c>
      <c r="M7" s="15">
        <v>1</v>
      </c>
      <c r="N7" s="245">
        <v>45873</v>
      </c>
      <c r="O7" s="15" t="s">
        <v>206</v>
      </c>
      <c r="P7">
        <v>3</v>
      </c>
      <c r="Q7" s="245">
        <v>45875</v>
      </c>
      <c r="AE7" s="234" t="s">
        <v>270</v>
      </c>
      <c r="AF7" s="235" t="s">
        <v>265</v>
      </c>
      <c r="AG7" s="236" t="s">
        <v>266</v>
      </c>
      <c r="AH7" s="236" t="s">
        <v>22</v>
      </c>
      <c r="AI7" s="237" t="s">
        <v>25</v>
      </c>
      <c r="AJ7" s="98" t="s">
        <v>148</v>
      </c>
      <c r="AK7" s="98" t="s">
        <v>148</v>
      </c>
      <c r="AL7" s="99" t="s">
        <v>147</v>
      </c>
      <c r="AM7" s="98" t="s">
        <v>148</v>
      </c>
      <c r="AN7" s="102">
        <v>450</v>
      </c>
      <c r="AO7" s="102">
        <v>450</v>
      </c>
      <c r="AP7" s="100">
        <v>3</v>
      </c>
      <c r="AQ7" s="102">
        <v>450</v>
      </c>
      <c r="AR7" s="99" t="s">
        <v>147</v>
      </c>
      <c r="AS7" s="99" t="s">
        <v>147</v>
      </c>
      <c r="AT7" s="100">
        <v>1</v>
      </c>
      <c r="AU7" s="102">
        <v>5</v>
      </c>
      <c r="AV7" s="225" t="s">
        <v>148</v>
      </c>
    </row>
    <row r="8" spans="1:48">
      <c r="A8" s="139" t="s">
        <v>29</v>
      </c>
      <c r="B8" s="249" t="s">
        <v>341</v>
      </c>
      <c r="C8" s="250" t="s">
        <v>30</v>
      </c>
      <c r="D8" s="139" t="s">
        <v>221</v>
      </c>
      <c r="E8" s="251">
        <v>45873</v>
      </c>
      <c r="F8" s="201" t="s">
        <v>52</v>
      </c>
      <c r="G8" s="247" t="s">
        <v>37</v>
      </c>
      <c r="H8" s="173" t="s">
        <v>40</v>
      </c>
      <c r="I8" s="201" t="s">
        <v>350</v>
      </c>
      <c r="J8" s="200">
        <v>45870</v>
      </c>
      <c r="K8" s="15"/>
      <c r="L8" s="15" t="s">
        <v>357</v>
      </c>
      <c r="M8" s="15">
        <v>1</v>
      </c>
      <c r="N8" s="245">
        <v>45873</v>
      </c>
      <c r="O8" s="15" t="s">
        <v>350</v>
      </c>
      <c r="P8">
        <v>3</v>
      </c>
      <c r="Q8" s="245">
        <v>45875</v>
      </c>
      <c r="AE8" s="234" t="s">
        <v>218</v>
      </c>
      <c r="AF8" s="235" t="s">
        <v>265</v>
      </c>
      <c r="AG8" s="236" t="s">
        <v>266</v>
      </c>
      <c r="AH8" s="236" t="s">
        <v>22</v>
      </c>
      <c r="AI8" s="237" t="s">
        <v>25</v>
      </c>
      <c r="AJ8" s="100">
        <v>11</v>
      </c>
      <c r="AK8" s="99" t="s">
        <v>147</v>
      </c>
      <c r="AL8" s="99" t="s">
        <v>147</v>
      </c>
      <c r="AM8" s="98" t="s">
        <v>148</v>
      </c>
      <c r="AN8" s="100">
        <v>31</v>
      </c>
      <c r="AO8" s="100">
        <v>15</v>
      </c>
      <c r="AP8" s="98" t="s">
        <v>148</v>
      </c>
      <c r="AQ8" s="98" t="s">
        <v>148</v>
      </c>
      <c r="AR8" s="99" t="s">
        <v>147</v>
      </c>
      <c r="AS8" s="99" t="s">
        <v>147</v>
      </c>
      <c r="AT8" s="98" t="s">
        <v>148</v>
      </c>
      <c r="AU8" s="98" t="s">
        <v>148</v>
      </c>
      <c r="AV8" s="226" t="s">
        <v>148</v>
      </c>
    </row>
    <row r="9" spans="1:48">
      <c r="A9" s="139" t="s">
        <v>225</v>
      </c>
      <c r="B9" s="249" t="s">
        <v>22</v>
      </c>
      <c r="C9" s="250" t="s">
        <v>63</v>
      </c>
      <c r="D9" s="139" t="s">
        <v>356</v>
      </c>
      <c r="E9" s="251">
        <v>45873</v>
      </c>
      <c r="F9" s="201" t="s">
        <v>59</v>
      </c>
      <c r="G9" s="247" t="s">
        <v>60</v>
      </c>
      <c r="H9" s="173" t="s">
        <v>40</v>
      </c>
      <c r="I9" s="201" t="s">
        <v>350</v>
      </c>
      <c r="J9" s="200">
        <v>45870</v>
      </c>
      <c r="K9" s="15"/>
      <c r="L9" s="15" t="s">
        <v>355</v>
      </c>
      <c r="M9" s="15">
        <v>3</v>
      </c>
      <c r="N9" s="245">
        <v>45874</v>
      </c>
      <c r="O9" s="15" t="s">
        <v>358</v>
      </c>
      <c r="P9">
        <v>1</v>
      </c>
      <c r="Q9" s="245">
        <v>45875</v>
      </c>
      <c r="AE9" s="234" t="s">
        <v>274</v>
      </c>
      <c r="AF9" s="235" t="s">
        <v>265</v>
      </c>
      <c r="AG9" s="236" t="s">
        <v>266</v>
      </c>
      <c r="AH9" s="236" t="s">
        <v>22</v>
      </c>
      <c r="AI9" s="237" t="s">
        <v>33</v>
      </c>
      <c r="AJ9" s="100">
        <v>10</v>
      </c>
      <c r="AK9" s="98" t="s">
        <v>148</v>
      </c>
      <c r="AL9" s="98" t="s">
        <v>148</v>
      </c>
      <c r="AM9" s="99" t="s">
        <v>147</v>
      </c>
      <c r="AN9" s="104" t="s">
        <v>12</v>
      </c>
      <c r="AO9" s="98" t="s">
        <v>148</v>
      </c>
      <c r="AP9" s="100">
        <v>9</v>
      </c>
      <c r="AQ9" s="100">
        <v>5</v>
      </c>
      <c r="AR9" s="100">
        <v>11</v>
      </c>
      <c r="AS9" s="99" t="s">
        <v>147</v>
      </c>
      <c r="AT9" s="98" t="s">
        <v>148</v>
      </c>
      <c r="AU9" s="98" t="s">
        <v>148</v>
      </c>
      <c r="AV9" s="225" t="s">
        <v>187</v>
      </c>
    </row>
    <row r="10" spans="1:48">
      <c r="A10" s="139" t="s">
        <v>74</v>
      </c>
      <c r="B10" s="249" t="s">
        <v>37</v>
      </c>
      <c r="C10" s="250" t="s">
        <v>40</v>
      </c>
      <c r="D10" s="139" t="s">
        <v>355</v>
      </c>
      <c r="E10" s="251">
        <v>45873</v>
      </c>
      <c r="F10" s="201" t="s">
        <v>62</v>
      </c>
      <c r="G10" s="247" t="s">
        <v>22</v>
      </c>
      <c r="H10" s="173" t="s">
        <v>63</v>
      </c>
      <c r="I10" s="201" t="s">
        <v>350</v>
      </c>
      <c r="J10" s="200">
        <v>45870</v>
      </c>
      <c r="K10" s="15"/>
      <c r="L10" s="208" t="s">
        <v>350</v>
      </c>
      <c r="M10" s="15">
        <v>8</v>
      </c>
      <c r="N10" s="245">
        <v>45874</v>
      </c>
      <c r="O10" s="15" t="s">
        <v>359</v>
      </c>
      <c r="P10">
        <v>3</v>
      </c>
      <c r="Q10" s="245">
        <v>45876</v>
      </c>
      <c r="AE10" s="234" t="s">
        <v>284</v>
      </c>
      <c r="AF10" s="235" t="s">
        <v>265</v>
      </c>
      <c r="AG10" s="236" t="s">
        <v>266</v>
      </c>
      <c r="AH10" s="236" t="s">
        <v>22</v>
      </c>
      <c r="AI10" s="237" t="s">
        <v>63</v>
      </c>
      <c r="AJ10" s="100">
        <v>26</v>
      </c>
      <c r="AK10" s="98" t="s">
        <v>148</v>
      </c>
      <c r="AL10" s="98" t="s">
        <v>148</v>
      </c>
      <c r="AM10" s="99" t="s">
        <v>147</v>
      </c>
      <c r="AN10" s="100">
        <v>6</v>
      </c>
      <c r="AO10" s="100">
        <v>2</v>
      </c>
      <c r="AP10" s="98" t="s">
        <v>148</v>
      </c>
      <c r="AQ10" s="100">
        <v>2</v>
      </c>
      <c r="AR10" s="98" t="s">
        <v>148</v>
      </c>
      <c r="AS10" s="99" t="s">
        <v>147</v>
      </c>
      <c r="AT10" s="100">
        <v>1</v>
      </c>
      <c r="AU10" s="102" t="s">
        <v>360</v>
      </c>
      <c r="AV10" s="226" t="s">
        <v>148</v>
      </c>
    </row>
    <row r="11" spans="1:48">
      <c r="A11" s="139" t="s">
        <v>52</v>
      </c>
      <c r="B11" s="249" t="s">
        <v>37</v>
      </c>
      <c r="C11" s="250" t="s">
        <v>40</v>
      </c>
      <c r="D11" s="139" t="s">
        <v>355</v>
      </c>
      <c r="E11" s="251">
        <v>45873</v>
      </c>
      <c r="F11" s="199" t="s">
        <v>68</v>
      </c>
      <c r="G11" s="247" t="s">
        <v>341</v>
      </c>
      <c r="H11" s="173" t="s">
        <v>40</v>
      </c>
      <c r="I11" s="201" t="s">
        <v>350</v>
      </c>
      <c r="J11" s="200">
        <v>45870</v>
      </c>
      <c r="K11" s="15"/>
      <c r="L11" s="15" t="s">
        <v>206</v>
      </c>
      <c r="M11" s="15">
        <v>3</v>
      </c>
      <c r="N11" s="245">
        <v>45875</v>
      </c>
      <c r="O11" s="15" t="s">
        <v>355</v>
      </c>
      <c r="P11">
        <v>3</v>
      </c>
      <c r="Q11" s="245">
        <v>45876</v>
      </c>
      <c r="AE11" s="238" t="s">
        <v>289</v>
      </c>
      <c r="AF11" s="235" t="s">
        <v>265</v>
      </c>
      <c r="AG11" s="236" t="s">
        <v>266</v>
      </c>
      <c r="AH11" s="236" t="s">
        <v>22</v>
      </c>
      <c r="AI11" s="237" t="s">
        <v>25</v>
      </c>
      <c r="AJ11" s="106">
        <v>450</v>
      </c>
      <c r="AK11" s="98" t="s">
        <v>148</v>
      </c>
      <c r="AL11" s="98" t="s">
        <v>148</v>
      </c>
      <c r="AM11" s="99" t="s">
        <v>147</v>
      </c>
      <c r="AN11" s="98" t="s">
        <v>148</v>
      </c>
      <c r="AO11" s="100">
        <v>22</v>
      </c>
      <c r="AP11" s="98" t="s">
        <v>148</v>
      </c>
      <c r="AQ11" s="98" t="s">
        <v>148</v>
      </c>
      <c r="AR11" s="98" t="s">
        <v>148</v>
      </c>
      <c r="AS11" s="99" t="s">
        <v>147</v>
      </c>
      <c r="AT11" s="100">
        <v>2</v>
      </c>
      <c r="AU11" s="102" t="s">
        <v>361</v>
      </c>
      <c r="AV11" s="226" t="s">
        <v>148</v>
      </c>
    </row>
    <row r="12" spans="1:48">
      <c r="A12" s="139" t="s">
        <v>91</v>
      </c>
      <c r="B12" s="249" t="s">
        <v>22</v>
      </c>
      <c r="C12" s="250" t="s">
        <v>33</v>
      </c>
      <c r="D12" s="139" t="s">
        <v>206</v>
      </c>
      <c r="E12" s="251">
        <v>45873</v>
      </c>
      <c r="F12" s="201" t="s">
        <v>85</v>
      </c>
      <c r="G12" s="173" t="s">
        <v>22</v>
      </c>
      <c r="H12" s="173" t="s">
        <v>63</v>
      </c>
      <c r="I12" s="201" t="s">
        <v>350</v>
      </c>
      <c r="J12" s="200">
        <v>45870</v>
      </c>
      <c r="K12" s="15"/>
      <c r="L12" s="15" t="s">
        <v>359</v>
      </c>
      <c r="M12" s="15">
        <v>2</v>
      </c>
      <c r="N12" s="245">
        <v>45875</v>
      </c>
      <c r="O12" s="15" t="s">
        <v>213</v>
      </c>
      <c r="P12">
        <v>1</v>
      </c>
      <c r="Q12" s="245">
        <v>45876</v>
      </c>
      <c r="AE12" s="238" t="s">
        <v>294</v>
      </c>
      <c r="AF12" s="235" t="s">
        <v>265</v>
      </c>
      <c r="AG12" s="236" t="s">
        <v>266</v>
      </c>
      <c r="AH12" s="236" t="s">
        <v>22</v>
      </c>
      <c r="AI12" s="237" t="s">
        <v>33</v>
      </c>
      <c r="AJ12" s="100">
        <v>18</v>
      </c>
      <c r="AK12" s="98" t="s">
        <v>148</v>
      </c>
      <c r="AL12" s="99" t="s">
        <v>147</v>
      </c>
      <c r="AM12" s="100">
        <v>7</v>
      </c>
      <c r="AN12" s="98" t="s">
        <v>148</v>
      </c>
      <c r="AO12" s="98" t="s">
        <v>148</v>
      </c>
      <c r="AP12" s="104" t="s">
        <v>12</v>
      </c>
      <c r="AQ12" s="104" t="s">
        <v>12</v>
      </c>
      <c r="AR12" s="99" t="s">
        <v>147</v>
      </c>
      <c r="AS12" s="99" t="s">
        <v>147</v>
      </c>
      <c r="AT12" s="100">
        <v>1</v>
      </c>
      <c r="AU12" s="98" t="s">
        <v>148</v>
      </c>
      <c r="AV12" s="226" t="s">
        <v>148</v>
      </c>
    </row>
    <row r="13" spans="1:48">
      <c r="A13" s="139" t="s">
        <v>129</v>
      </c>
      <c r="B13" s="249" t="s">
        <v>22</v>
      </c>
      <c r="C13" s="250" t="s">
        <v>56</v>
      </c>
      <c r="D13" s="139" t="s">
        <v>362</v>
      </c>
      <c r="E13" s="251">
        <v>45873</v>
      </c>
      <c r="F13" s="199" t="s">
        <v>89</v>
      </c>
      <c r="G13" s="247" t="s">
        <v>341</v>
      </c>
      <c r="H13" s="173" t="s">
        <v>40</v>
      </c>
      <c r="I13" s="201" t="s">
        <v>350</v>
      </c>
      <c r="J13" s="200">
        <v>45870</v>
      </c>
      <c r="K13" s="15"/>
      <c r="L13" s="15" t="s">
        <v>358</v>
      </c>
      <c r="M13" s="15">
        <v>1</v>
      </c>
      <c r="N13" s="245">
        <v>45875</v>
      </c>
      <c r="O13" s="15" t="s">
        <v>363</v>
      </c>
      <c r="P13">
        <v>1</v>
      </c>
      <c r="Q13" s="245">
        <v>45876</v>
      </c>
      <c r="AE13" s="234" t="s">
        <v>129</v>
      </c>
      <c r="AF13" s="235" t="s">
        <v>265</v>
      </c>
      <c r="AG13" s="236" t="s">
        <v>266</v>
      </c>
      <c r="AH13" s="236" t="s">
        <v>22</v>
      </c>
      <c r="AI13" s="237" t="s">
        <v>33</v>
      </c>
      <c r="AJ13" s="98" t="s">
        <v>174</v>
      </c>
      <c r="AK13" s="98" t="s">
        <v>148</v>
      </c>
      <c r="AL13" s="98" t="s">
        <v>148</v>
      </c>
      <c r="AM13" s="100">
        <v>16</v>
      </c>
      <c r="AN13" s="102">
        <v>450</v>
      </c>
      <c r="AO13" s="98" t="s">
        <v>148</v>
      </c>
      <c r="AP13" s="100">
        <v>4</v>
      </c>
      <c r="AQ13" s="100">
        <v>15</v>
      </c>
      <c r="AR13" s="100">
        <v>2</v>
      </c>
      <c r="AS13" s="99" t="s">
        <v>147</v>
      </c>
      <c r="AT13" s="98" t="s">
        <v>148</v>
      </c>
      <c r="AU13" s="102" t="s">
        <v>364</v>
      </c>
      <c r="AV13" s="226" t="s">
        <v>148</v>
      </c>
    </row>
    <row r="14" spans="1:48">
      <c r="A14" s="139" t="s">
        <v>116</v>
      </c>
      <c r="B14" s="249" t="s">
        <v>22</v>
      </c>
      <c r="C14" s="250" t="s">
        <v>63</v>
      </c>
      <c r="D14" s="139" t="s">
        <v>355</v>
      </c>
      <c r="E14" s="251">
        <v>45873</v>
      </c>
      <c r="F14" s="201" t="s">
        <v>90</v>
      </c>
      <c r="G14" s="247" t="s">
        <v>37</v>
      </c>
      <c r="H14" s="173" t="s">
        <v>40</v>
      </c>
      <c r="I14" s="201" t="s">
        <v>350</v>
      </c>
      <c r="J14" s="200">
        <v>45870</v>
      </c>
      <c r="K14" s="15"/>
      <c r="L14" s="15" t="s">
        <v>354</v>
      </c>
      <c r="M14" s="15">
        <v>3</v>
      </c>
      <c r="N14" s="245">
        <v>45876</v>
      </c>
      <c r="O14" s="15" t="s">
        <v>350</v>
      </c>
      <c r="P14">
        <v>7</v>
      </c>
      <c r="Q14" s="245">
        <v>45877</v>
      </c>
      <c r="AE14" s="234" t="s">
        <v>52</v>
      </c>
      <c r="AF14" s="235" t="s">
        <v>305</v>
      </c>
      <c r="AG14" s="236" t="s">
        <v>266</v>
      </c>
      <c r="AH14" s="236" t="s">
        <v>37</v>
      </c>
      <c r="AI14" s="237" t="s">
        <v>40</v>
      </c>
      <c r="AJ14" s="100">
        <v>240</v>
      </c>
      <c r="AK14" s="99" t="s">
        <v>147</v>
      </c>
      <c r="AL14" s="99" t="s">
        <v>147</v>
      </c>
      <c r="AM14" s="100">
        <v>2</v>
      </c>
      <c r="AN14" s="100">
        <v>1</v>
      </c>
      <c r="AO14" s="98" t="s">
        <v>148</v>
      </c>
      <c r="AP14" s="98" t="s">
        <v>148</v>
      </c>
      <c r="AQ14" s="98" t="s">
        <v>148</v>
      </c>
      <c r="AR14" s="99" t="s">
        <v>147</v>
      </c>
      <c r="AS14" s="99" t="s">
        <v>147</v>
      </c>
      <c r="AT14" s="98" t="s">
        <v>148</v>
      </c>
      <c r="AU14" s="98" t="s">
        <v>148</v>
      </c>
      <c r="AV14" s="226" t="s">
        <v>148</v>
      </c>
    </row>
    <row r="15" spans="1:48">
      <c r="A15" s="139" t="s">
        <v>29</v>
      </c>
      <c r="B15" s="249" t="s">
        <v>341</v>
      </c>
      <c r="C15" s="250" t="s">
        <v>30</v>
      </c>
      <c r="D15" s="139" t="s">
        <v>355</v>
      </c>
      <c r="E15" s="251">
        <v>45874</v>
      </c>
      <c r="F15" s="201" t="s">
        <v>100</v>
      </c>
      <c r="G15" s="247" t="s">
        <v>22</v>
      </c>
      <c r="H15" s="173" t="s">
        <v>63</v>
      </c>
      <c r="I15" s="201" t="s">
        <v>350</v>
      </c>
      <c r="J15" s="200">
        <v>45870</v>
      </c>
      <c r="K15" s="15"/>
      <c r="L15" s="15" t="s">
        <v>365</v>
      </c>
      <c r="M15" s="15">
        <v>2</v>
      </c>
      <c r="N15" s="245">
        <v>45879</v>
      </c>
      <c r="O15" s="15" t="s">
        <v>241</v>
      </c>
      <c r="P15">
        <v>8</v>
      </c>
      <c r="Q15" s="245">
        <v>45879</v>
      </c>
      <c r="AE15" s="238" t="s">
        <v>239</v>
      </c>
      <c r="AF15" s="235" t="s">
        <v>300</v>
      </c>
      <c r="AG15" s="236" t="s">
        <v>307</v>
      </c>
      <c r="AH15" s="236" t="s">
        <v>37</v>
      </c>
      <c r="AI15" s="237" t="s">
        <v>40</v>
      </c>
      <c r="AJ15" s="106">
        <v>450</v>
      </c>
      <c r="AK15" s="100">
        <v>78</v>
      </c>
      <c r="AL15" s="100">
        <v>3</v>
      </c>
      <c r="AM15" s="100">
        <v>123</v>
      </c>
      <c r="AN15" s="99" t="s">
        <v>147</v>
      </c>
      <c r="AO15" s="99" t="s">
        <v>147</v>
      </c>
      <c r="AP15" s="100">
        <v>9</v>
      </c>
      <c r="AQ15" s="100">
        <v>37</v>
      </c>
      <c r="AR15" s="98" t="s">
        <v>148</v>
      </c>
      <c r="AS15" s="98" t="s">
        <v>148</v>
      </c>
      <c r="AT15" s="98" t="s">
        <v>148</v>
      </c>
      <c r="AU15" s="99" t="s">
        <v>147</v>
      </c>
      <c r="AV15" s="227" t="s">
        <v>147</v>
      </c>
    </row>
    <row r="16" spans="1:48">
      <c r="A16" s="139" t="s">
        <v>52</v>
      </c>
      <c r="B16" s="249" t="s">
        <v>37</v>
      </c>
      <c r="C16" s="250" t="s">
        <v>40</v>
      </c>
      <c r="D16" s="139" t="s">
        <v>355</v>
      </c>
      <c r="E16" s="251">
        <v>45874</v>
      </c>
      <c r="F16" s="201" t="s">
        <v>102</v>
      </c>
      <c r="G16" s="247" t="s">
        <v>22</v>
      </c>
      <c r="H16" s="173" t="s">
        <v>33</v>
      </c>
      <c r="I16" s="201" t="s">
        <v>350</v>
      </c>
      <c r="J16" s="200">
        <v>45870</v>
      </c>
      <c r="K16" s="15"/>
      <c r="L16" s="15" t="s">
        <v>365</v>
      </c>
      <c r="M16" s="15">
        <v>6</v>
      </c>
      <c r="N16" s="245">
        <v>45880</v>
      </c>
      <c r="O16" s="15" t="s">
        <v>214</v>
      </c>
      <c r="P16">
        <v>3</v>
      </c>
      <c r="Q16" s="245">
        <v>45880</v>
      </c>
      <c r="AE16" s="239" t="s">
        <v>312</v>
      </c>
      <c r="AF16" s="240" t="s">
        <v>265</v>
      </c>
      <c r="AG16" s="241" t="s">
        <v>266</v>
      </c>
      <c r="AH16" s="241" t="s">
        <v>26</v>
      </c>
      <c r="AI16" s="242" t="s">
        <v>30</v>
      </c>
      <c r="AJ16" s="228">
        <v>4</v>
      </c>
      <c r="AK16" s="229" t="s">
        <v>147</v>
      </c>
      <c r="AL16" s="229" t="s">
        <v>147</v>
      </c>
      <c r="AM16" s="230">
        <v>450</v>
      </c>
      <c r="AN16" s="228">
        <v>29</v>
      </c>
      <c r="AO16" s="231" t="s">
        <v>148</v>
      </c>
      <c r="AP16" s="231" t="s">
        <v>148</v>
      </c>
      <c r="AQ16" s="231" t="s">
        <v>148</v>
      </c>
      <c r="AR16" s="229" t="s">
        <v>147</v>
      </c>
      <c r="AS16" s="229" t="s">
        <v>147</v>
      </c>
      <c r="AT16" s="228">
        <v>2</v>
      </c>
      <c r="AU16" s="230">
        <v>5</v>
      </c>
      <c r="AV16" s="232" t="s">
        <v>366</v>
      </c>
    </row>
    <row r="17" spans="1:48">
      <c r="A17" s="139" t="s">
        <v>64</v>
      </c>
      <c r="B17" s="249" t="s">
        <v>22</v>
      </c>
      <c r="C17" s="250" t="s">
        <v>63</v>
      </c>
      <c r="D17" s="139" t="s">
        <v>355</v>
      </c>
      <c r="E17" s="251">
        <v>45874</v>
      </c>
      <c r="F17" s="201" t="s">
        <v>106</v>
      </c>
      <c r="G17" s="247" t="s">
        <v>22</v>
      </c>
      <c r="H17" s="173" t="s">
        <v>30</v>
      </c>
      <c r="I17" s="201" t="s">
        <v>350</v>
      </c>
      <c r="J17" s="200">
        <v>45870</v>
      </c>
      <c r="K17" s="15"/>
      <c r="L17" s="15" t="s">
        <v>365</v>
      </c>
      <c r="M17" s="15">
        <v>2</v>
      </c>
      <c r="N17" s="245">
        <v>45881</v>
      </c>
      <c r="O17" s="15" t="s">
        <v>241</v>
      </c>
      <c r="P17">
        <v>6</v>
      </c>
      <c r="Q17" s="245">
        <v>45881</v>
      </c>
      <c r="AE17" s="15"/>
      <c r="AF17" s="15"/>
      <c r="AG17" s="15"/>
      <c r="AH17" s="15"/>
    </row>
    <row r="18" spans="1:48">
      <c r="A18" s="139" t="s">
        <v>53</v>
      </c>
      <c r="B18" s="249" t="s">
        <v>341</v>
      </c>
      <c r="C18" s="250" t="s">
        <v>25</v>
      </c>
      <c r="D18" s="139" t="s">
        <v>350</v>
      </c>
      <c r="E18" s="251">
        <v>45874</v>
      </c>
      <c r="F18" s="201" t="s">
        <v>112</v>
      </c>
      <c r="G18" s="173" t="s">
        <v>22</v>
      </c>
      <c r="H18" s="173" t="s">
        <v>25</v>
      </c>
      <c r="I18" s="201" t="s">
        <v>350</v>
      </c>
      <c r="J18" s="200">
        <v>45870</v>
      </c>
      <c r="K18" s="15"/>
      <c r="L18" s="15" t="s">
        <v>365</v>
      </c>
      <c r="M18" s="15">
        <v>2</v>
      </c>
      <c r="N18" s="245">
        <v>45882</v>
      </c>
      <c r="O18" s="15" t="s">
        <v>350</v>
      </c>
      <c r="P18">
        <v>8</v>
      </c>
      <c r="Q18" s="245">
        <v>45882</v>
      </c>
      <c r="AE18" s="15"/>
      <c r="AF18" s="15"/>
      <c r="AG18" s="15"/>
      <c r="AH18" s="15"/>
    </row>
    <row r="19" spans="1:48">
      <c r="A19" s="139" t="s">
        <v>85</v>
      </c>
      <c r="B19" s="250" t="s">
        <v>22</v>
      </c>
      <c r="C19" s="250" t="s">
        <v>63</v>
      </c>
      <c r="D19" s="139" t="s">
        <v>350</v>
      </c>
      <c r="E19" s="251">
        <v>45874</v>
      </c>
      <c r="F19" s="201" t="s">
        <v>116</v>
      </c>
      <c r="G19" s="247" t="s">
        <v>22</v>
      </c>
      <c r="H19" s="173" t="s">
        <v>63</v>
      </c>
      <c r="I19" s="201" t="s">
        <v>350</v>
      </c>
      <c r="J19" s="200">
        <v>45870</v>
      </c>
      <c r="K19" s="15"/>
      <c r="L19" s="15" t="s">
        <v>354</v>
      </c>
      <c r="M19" s="15">
        <v>3</v>
      </c>
      <c r="N19" s="245">
        <v>45883</v>
      </c>
      <c r="O19" s="15" t="s">
        <v>350</v>
      </c>
      <c r="P19">
        <v>7</v>
      </c>
      <c r="Q19" s="245">
        <v>45883</v>
      </c>
      <c r="AE19" s="219"/>
      <c r="AF19" s="220"/>
      <c r="AG19" s="220"/>
      <c r="AH19" s="220"/>
      <c r="AI19" s="217"/>
      <c r="AJ19" s="217"/>
      <c r="AK19" s="217"/>
      <c r="AL19" s="217"/>
      <c r="AM19" s="380" t="s">
        <v>367</v>
      </c>
      <c r="AN19" s="380"/>
      <c r="AO19" s="380"/>
      <c r="AP19" s="380"/>
      <c r="AQ19" s="217"/>
      <c r="AR19" s="217"/>
      <c r="AS19" s="217"/>
      <c r="AT19" s="217"/>
      <c r="AU19" s="217"/>
      <c r="AV19" s="218"/>
    </row>
    <row r="20" spans="1:48">
      <c r="A20" s="139" t="s">
        <v>90</v>
      </c>
      <c r="B20" s="249" t="s">
        <v>37</v>
      </c>
      <c r="C20" s="250" t="s">
        <v>40</v>
      </c>
      <c r="D20" s="139" t="s">
        <v>350</v>
      </c>
      <c r="E20" s="251" t="s">
        <v>368</v>
      </c>
      <c r="F20" s="199" t="s">
        <v>119</v>
      </c>
      <c r="G20" s="247" t="s">
        <v>341</v>
      </c>
      <c r="H20" s="173" t="s">
        <v>25</v>
      </c>
      <c r="I20" s="201" t="s">
        <v>350</v>
      </c>
      <c r="J20" s="200">
        <v>45870</v>
      </c>
      <c r="K20" s="15"/>
      <c r="L20" s="15" t="s">
        <v>369</v>
      </c>
      <c r="M20" s="15">
        <v>1</v>
      </c>
      <c r="N20" s="245">
        <v>45883</v>
      </c>
      <c r="O20" s="138" t="s">
        <v>370</v>
      </c>
      <c r="P20">
        <v>11</v>
      </c>
      <c r="Q20" s="245">
        <v>45884</v>
      </c>
      <c r="AE20" s="221"/>
      <c r="AF20" s="146"/>
      <c r="AG20" s="146"/>
      <c r="AH20" s="146"/>
      <c r="AI20" s="147"/>
      <c r="AJ20" s="187">
        <v>45665</v>
      </c>
      <c r="AK20" s="188">
        <v>45696</v>
      </c>
      <c r="AL20" s="188">
        <v>45724</v>
      </c>
      <c r="AM20" s="188">
        <v>45755</v>
      </c>
      <c r="AN20" s="188">
        <v>45785</v>
      </c>
      <c r="AO20" s="188">
        <v>45816</v>
      </c>
      <c r="AP20" s="188">
        <v>45846</v>
      </c>
      <c r="AQ20" s="188">
        <v>45877</v>
      </c>
      <c r="AR20" s="188">
        <v>45908</v>
      </c>
      <c r="AS20" s="188">
        <v>45938</v>
      </c>
      <c r="AT20" s="188">
        <v>45969</v>
      </c>
      <c r="AU20" s="188">
        <v>45999</v>
      </c>
      <c r="AV20" s="222" t="s">
        <v>243</v>
      </c>
    </row>
    <row r="21" spans="1:48">
      <c r="A21" s="139" t="s">
        <v>218</v>
      </c>
      <c r="B21" s="249" t="s">
        <v>22</v>
      </c>
      <c r="C21" s="250" t="s">
        <v>33</v>
      </c>
      <c r="D21" s="139" t="s">
        <v>350</v>
      </c>
      <c r="E21" s="251">
        <v>45874</v>
      </c>
      <c r="F21" s="199" t="s">
        <v>133</v>
      </c>
      <c r="G21" s="247" t="s">
        <v>341</v>
      </c>
      <c r="H21" s="173" t="s">
        <v>40</v>
      </c>
      <c r="I21" s="201" t="s">
        <v>350</v>
      </c>
      <c r="J21" s="200">
        <v>45870</v>
      </c>
      <c r="K21"/>
      <c r="L21" s="15" t="s">
        <v>354</v>
      </c>
      <c r="M21" s="15">
        <v>5</v>
      </c>
      <c r="N21" s="245">
        <v>45884</v>
      </c>
      <c r="O21" s="138" t="s">
        <v>355</v>
      </c>
      <c r="P21" s="279">
        <v>1</v>
      </c>
      <c r="Q21" s="245">
        <v>45884</v>
      </c>
      <c r="R21" s="15"/>
      <c r="S21" s="15"/>
      <c r="T21" s="15"/>
      <c r="U21" s="15"/>
      <c r="V21" s="15"/>
      <c r="W21" s="15"/>
      <c r="X21" s="15"/>
      <c r="Y21" s="15"/>
      <c r="Z21" s="15"/>
      <c r="AA21" s="15"/>
      <c r="AB21" s="15"/>
      <c r="AC21" s="15"/>
      <c r="AD21" s="15"/>
      <c r="AE21" s="223" t="s">
        <v>2</v>
      </c>
      <c r="AF21" s="149" t="s">
        <v>262</v>
      </c>
      <c r="AG21" s="150" t="s">
        <v>263</v>
      </c>
      <c r="AH21" s="150" t="s">
        <v>0</v>
      </c>
      <c r="AI21" s="151" t="s">
        <v>3</v>
      </c>
      <c r="AJ21" s="190" t="s">
        <v>140</v>
      </c>
      <c r="AK21" s="191" t="s">
        <v>141</v>
      </c>
      <c r="AL21" s="191" t="s">
        <v>135</v>
      </c>
      <c r="AM21" s="191" t="s">
        <v>136</v>
      </c>
      <c r="AN21" s="191" t="s">
        <v>137</v>
      </c>
      <c r="AO21" s="191" t="s">
        <v>138</v>
      </c>
      <c r="AP21" s="191" t="s">
        <v>139</v>
      </c>
      <c r="AQ21" s="191" t="s">
        <v>140</v>
      </c>
      <c r="AR21" s="191" t="s">
        <v>141</v>
      </c>
      <c r="AS21" s="191" t="s">
        <v>135</v>
      </c>
      <c r="AT21" s="191" t="s">
        <v>136</v>
      </c>
      <c r="AU21" s="191" t="s">
        <v>137</v>
      </c>
      <c r="AV21" s="224" t="s">
        <v>138</v>
      </c>
    </row>
    <row r="22" spans="1:48">
      <c r="A22" s="139" t="s">
        <v>32</v>
      </c>
      <c r="B22" s="249" t="s">
        <v>22</v>
      </c>
      <c r="C22" s="250" t="s">
        <v>33</v>
      </c>
      <c r="D22" s="139" t="s">
        <v>350</v>
      </c>
      <c r="E22" s="251">
        <v>45874</v>
      </c>
      <c r="F22" s="202" t="s">
        <v>224</v>
      </c>
      <c r="G22" s="247" t="s">
        <v>37</v>
      </c>
      <c r="H22" s="173" t="s">
        <v>40</v>
      </c>
      <c r="I22" s="201" t="s">
        <v>350</v>
      </c>
      <c r="J22" s="251">
        <v>45871</v>
      </c>
      <c r="K22"/>
      <c r="L22" s="15"/>
      <c r="M22" s="15"/>
      <c r="N22" s="245"/>
      <c r="O22" s="15"/>
      <c r="P22" s="279"/>
      <c r="Q22" s="245"/>
      <c r="R22" s="15"/>
      <c r="S22" s="15"/>
      <c r="T22" s="15"/>
      <c r="U22" s="15"/>
      <c r="V22" s="15"/>
      <c r="W22" s="15"/>
      <c r="X22" s="15"/>
      <c r="Y22" s="15"/>
      <c r="Z22" s="15"/>
      <c r="AA22" s="15"/>
      <c r="AB22" s="15"/>
      <c r="AC22" s="15"/>
      <c r="AD22" s="15"/>
      <c r="AE22" s="234" t="s">
        <v>270</v>
      </c>
      <c r="AF22" s="235" t="s">
        <v>265</v>
      </c>
      <c r="AG22" s="236" t="s">
        <v>266</v>
      </c>
      <c r="AH22" s="236" t="s">
        <v>22</v>
      </c>
      <c r="AI22" s="237" t="s">
        <v>25</v>
      </c>
      <c r="AJ22" s="98" t="s">
        <v>148</v>
      </c>
      <c r="AK22" s="98" t="s">
        <v>148</v>
      </c>
      <c r="AL22" s="99" t="s">
        <v>147</v>
      </c>
      <c r="AM22" s="98" t="s">
        <v>148</v>
      </c>
      <c r="AN22" s="102">
        <v>450</v>
      </c>
      <c r="AO22" s="102">
        <v>450</v>
      </c>
      <c r="AP22" s="100">
        <v>3</v>
      </c>
      <c r="AQ22" s="102">
        <v>450</v>
      </c>
      <c r="AR22" s="99" t="s">
        <v>147</v>
      </c>
      <c r="AS22" s="99" t="s">
        <v>147</v>
      </c>
      <c r="AT22" s="100">
        <v>1</v>
      </c>
      <c r="AU22" s="102">
        <v>5</v>
      </c>
      <c r="AV22" s="225" t="s">
        <v>148</v>
      </c>
    </row>
    <row r="23" spans="1:48">
      <c r="A23" s="139" t="s">
        <v>47</v>
      </c>
      <c r="B23" s="250" t="s">
        <v>341</v>
      </c>
      <c r="C23" s="250" t="s">
        <v>33</v>
      </c>
      <c r="D23" s="139" t="s">
        <v>350</v>
      </c>
      <c r="E23" s="251">
        <v>45874</v>
      </c>
      <c r="F23" s="202" t="s">
        <v>239</v>
      </c>
      <c r="G23" s="247" t="s">
        <v>37</v>
      </c>
      <c r="H23" s="173" t="s">
        <v>40</v>
      </c>
      <c r="I23" s="201" t="s">
        <v>350</v>
      </c>
      <c r="J23" s="251">
        <v>45871</v>
      </c>
      <c r="K23"/>
      <c r="L23" s="15"/>
      <c r="M23" s="15"/>
      <c r="N23" s="245"/>
      <c r="O23" s="15"/>
      <c r="P23" s="279"/>
      <c r="Q23" s="245"/>
      <c r="R23" s="15"/>
      <c r="S23" s="15"/>
      <c r="T23" s="15"/>
      <c r="U23" s="15"/>
      <c r="V23" s="15"/>
      <c r="W23" s="15"/>
      <c r="X23" s="15"/>
      <c r="Y23" s="15"/>
      <c r="Z23" s="15"/>
      <c r="AA23" s="15"/>
      <c r="AB23" s="15"/>
      <c r="AC23" s="15"/>
      <c r="AD23" s="15"/>
      <c r="AE23" s="238" t="s">
        <v>291</v>
      </c>
      <c r="AF23" s="235" t="s">
        <v>265</v>
      </c>
      <c r="AG23" s="236" t="s">
        <v>266</v>
      </c>
      <c r="AH23" s="236" t="s">
        <v>22</v>
      </c>
      <c r="AI23" s="237" t="s">
        <v>30</v>
      </c>
      <c r="AJ23" s="100">
        <v>3</v>
      </c>
      <c r="AK23" s="99" t="s">
        <v>147</v>
      </c>
      <c r="AL23" s="99" t="s">
        <v>147</v>
      </c>
      <c r="AM23" s="100">
        <v>2</v>
      </c>
      <c r="AN23" s="102">
        <v>450</v>
      </c>
      <c r="AO23" s="98" t="s">
        <v>148</v>
      </c>
      <c r="AP23" s="102">
        <v>450</v>
      </c>
      <c r="AQ23" s="98" t="s">
        <v>148</v>
      </c>
      <c r="AR23" s="99" t="s">
        <v>147</v>
      </c>
      <c r="AS23" s="99" t="s">
        <v>147</v>
      </c>
      <c r="AT23" s="102">
        <v>450</v>
      </c>
      <c r="AU23" s="102" t="s">
        <v>371</v>
      </c>
      <c r="AV23" s="225">
        <v>450</v>
      </c>
    </row>
    <row r="24" spans="1:48">
      <c r="A24" s="252" t="s">
        <v>225</v>
      </c>
      <c r="B24" s="249" t="s">
        <v>22</v>
      </c>
      <c r="C24" s="250" t="s">
        <v>63</v>
      </c>
      <c r="D24" s="252" t="s">
        <v>350</v>
      </c>
      <c r="E24" s="253">
        <v>45874</v>
      </c>
      <c r="F24" s="252" t="s">
        <v>32</v>
      </c>
      <c r="G24" s="247" t="s">
        <v>22</v>
      </c>
      <c r="H24" s="173" t="s">
        <v>33</v>
      </c>
      <c r="I24" s="252" t="s">
        <v>354</v>
      </c>
      <c r="J24" s="253">
        <v>45875</v>
      </c>
      <c r="K24"/>
      <c r="L24" s="15"/>
      <c r="M24" s="15"/>
      <c r="N24" s="245"/>
      <c r="O24" s="15"/>
      <c r="P24" s="279"/>
      <c r="Q24" s="245"/>
      <c r="R24" s="15"/>
      <c r="S24" s="15"/>
      <c r="T24" s="15"/>
      <c r="U24" s="15"/>
      <c r="V24" s="15"/>
      <c r="W24" s="15"/>
      <c r="X24" s="15"/>
      <c r="Y24" s="15"/>
      <c r="Z24" s="15"/>
      <c r="AA24" s="15"/>
      <c r="AB24" s="15"/>
      <c r="AC24" s="15"/>
      <c r="AD24" s="15"/>
      <c r="AE24" s="234" t="s">
        <v>215</v>
      </c>
      <c r="AF24" s="235" t="s">
        <v>300</v>
      </c>
      <c r="AG24" s="236" t="s">
        <v>304</v>
      </c>
      <c r="AH24" s="236" t="s">
        <v>37</v>
      </c>
      <c r="AI24" s="237" t="s">
        <v>40</v>
      </c>
      <c r="AJ24" s="98" t="s">
        <v>148</v>
      </c>
      <c r="AK24" s="98" t="s">
        <v>148</v>
      </c>
      <c r="AL24" s="98" t="s">
        <v>148</v>
      </c>
      <c r="AM24" s="99" t="s">
        <v>147</v>
      </c>
      <c r="AN24" s="99" t="s">
        <v>147</v>
      </c>
      <c r="AO24" s="102">
        <v>450</v>
      </c>
      <c r="AP24" s="102">
        <v>450</v>
      </c>
      <c r="AQ24" s="102">
        <v>450</v>
      </c>
      <c r="AR24" s="98" t="s">
        <v>148</v>
      </c>
      <c r="AS24" s="98" t="s">
        <v>148</v>
      </c>
      <c r="AT24" s="98" t="s">
        <v>148</v>
      </c>
      <c r="AU24" s="99" t="s">
        <v>147</v>
      </c>
      <c r="AV24" s="225">
        <v>450</v>
      </c>
    </row>
    <row r="25" spans="1:48">
      <c r="A25" s="139" t="s">
        <v>85</v>
      </c>
      <c r="B25" s="250" t="s">
        <v>22</v>
      </c>
      <c r="C25" s="250" t="s">
        <v>63</v>
      </c>
      <c r="D25" s="139" t="s">
        <v>206</v>
      </c>
      <c r="E25" s="251">
        <v>45875</v>
      </c>
      <c r="F25" s="139" t="s">
        <v>47</v>
      </c>
      <c r="G25" s="173" t="s">
        <v>341</v>
      </c>
      <c r="H25" s="173" t="s">
        <v>33</v>
      </c>
      <c r="I25" s="139" t="s">
        <v>354</v>
      </c>
      <c r="J25" s="251">
        <v>45875</v>
      </c>
      <c r="K25" s="15"/>
      <c r="L25"/>
      <c r="M25"/>
      <c r="N25"/>
      <c r="O25" s="15"/>
      <c r="P25" s="279"/>
      <c r="Q25" s="245"/>
      <c r="R25" s="15"/>
      <c r="S25" s="15"/>
      <c r="T25" s="15"/>
      <c r="U25" s="15"/>
      <c r="V25" s="15"/>
      <c r="W25" s="15"/>
      <c r="X25" s="15"/>
      <c r="Y25" s="15"/>
      <c r="Z25" s="15"/>
      <c r="AA25" s="15"/>
      <c r="AB25" s="15"/>
      <c r="AC25" s="15"/>
      <c r="AD25" s="15"/>
      <c r="AE25" s="234" t="s">
        <v>47</v>
      </c>
      <c r="AF25" s="235" t="s">
        <v>265</v>
      </c>
      <c r="AG25" s="236" t="s">
        <v>266</v>
      </c>
      <c r="AH25" s="236" t="s">
        <v>26</v>
      </c>
      <c r="AI25" s="237" t="s">
        <v>33</v>
      </c>
      <c r="AJ25" s="98" t="s">
        <v>148</v>
      </c>
      <c r="AK25" s="99" t="s">
        <v>147</v>
      </c>
      <c r="AL25" s="99" t="s">
        <v>147</v>
      </c>
      <c r="AM25" s="98" t="s">
        <v>148</v>
      </c>
      <c r="AN25" s="102">
        <v>450</v>
      </c>
      <c r="AO25" s="102">
        <v>450</v>
      </c>
      <c r="AP25" s="98" t="s">
        <v>148</v>
      </c>
      <c r="AQ25" s="100">
        <v>37</v>
      </c>
      <c r="AR25" s="99" t="s">
        <v>147</v>
      </c>
      <c r="AS25" s="99" t="s">
        <v>147</v>
      </c>
      <c r="AT25" s="98" t="s">
        <v>148</v>
      </c>
      <c r="AU25" s="102">
        <v>450</v>
      </c>
      <c r="AV25" s="227" t="s">
        <v>147</v>
      </c>
    </row>
    <row r="26" spans="1:48">
      <c r="A26" s="139" t="s">
        <v>87</v>
      </c>
      <c r="B26" s="249" t="s">
        <v>341</v>
      </c>
      <c r="C26" s="250" t="s">
        <v>33</v>
      </c>
      <c r="D26" s="139" t="s">
        <v>206</v>
      </c>
      <c r="E26" s="251">
        <v>45875</v>
      </c>
      <c r="F26" s="139" t="s">
        <v>220</v>
      </c>
      <c r="G26" s="247" t="s">
        <v>267</v>
      </c>
      <c r="H26" s="173" t="s">
        <v>40</v>
      </c>
      <c r="I26" s="139" t="s">
        <v>210</v>
      </c>
      <c r="J26" s="251">
        <v>45875</v>
      </c>
      <c r="K26" s="15"/>
      <c r="L26"/>
      <c r="M26"/>
      <c r="N26"/>
      <c r="O26" s="15"/>
      <c r="P26" s="15"/>
      <c r="Q26" s="15"/>
      <c r="R26" s="15"/>
      <c r="S26" s="15"/>
      <c r="T26" s="15"/>
      <c r="U26" s="15"/>
      <c r="V26" s="15"/>
      <c r="W26" s="15"/>
      <c r="X26" s="15"/>
      <c r="Y26" s="15"/>
      <c r="Z26" s="15"/>
      <c r="AA26" s="15"/>
      <c r="AB26" s="15"/>
      <c r="AC26" s="15"/>
      <c r="AD26" s="15"/>
      <c r="AE26" s="234" t="s">
        <v>319</v>
      </c>
      <c r="AF26" s="235" t="s">
        <v>265</v>
      </c>
      <c r="AG26" s="236" t="s">
        <v>266</v>
      </c>
      <c r="AH26" s="236" t="s">
        <v>26</v>
      </c>
      <c r="AI26" s="237" t="s">
        <v>40</v>
      </c>
      <c r="AJ26" s="106">
        <v>450</v>
      </c>
      <c r="AK26" s="99" t="s">
        <v>147</v>
      </c>
      <c r="AL26" s="99" t="s">
        <v>147</v>
      </c>
      <c r="AM26" s="98" t="s">
        <v>148</v>
      </c>
      <c r="AN26" s="100">
        <v>50</v>
      </c>
      <c r="AO26" s="102">
        <v>450</v>
      </c>
      <c r="AP26" s="102">
        <v>450</v>
      </c>
      <c r="AQ26" s="98" t="s">
        <v>148</v>
      </c>
      <c r="AR26" s="99" t="s">
        <v>147</v>
      </c>
      <c r="AS26" s="99" t="s">
        <v>147</v>
      </c>
      <c r="AT26" s="98" t="s">
        <v>148</v>
      </c>
      <c r="AU26" s="98" t="s">
        <v>148</v>
      </c>
      <c r="AV26" s="225" t="s">
        <v>372</v>
      </c>
    </row>
    <row r="27" spans="1:48">
      <c r="A27" s="139" t="s">
        <v>131</v>
      </c>
      <c r="B27" s="249" t="s">
        <v>341</v>
      </c>
      <c r="C27" s="250" t="s">
        <v>33</v>
      </c>
      <c r="D27" s="139" t="s">
        <v>206</v>
      </c>
      <c r="E27" s="251">
        <v>45875</v>
      </c>
      <c r="F27" s="203" t="s">
        <v>85</v>
      </c>
      <c r="G27" s="173" t="s">
        <v>22</v>
      </c>
      <c r="H27" s="173" t="s">
        <v>63</v>
      </c>
      <c r="I27" s="139" t="s">
        <v>206</v>
      </c>
      <c r="J27" s="251">
        <v>45875</v>
      </c>
      <c r="K27" s="15"/>
      <c r="L27"/>
      <c r="M27"/>
      <c r="N27"/>
      <c r="O27" s="15"/>
      <c r="P27" s="15"/>
      <c r="Q27" s="15"/>
      <c r="R27" s="15"/>
      <c r="S27" s="15"/>
      <c r="T27" s="15"/>
      <c r="U27" s="15"/>
      <c r="V27" s="15"/>
      <c r="W27" s="15"/>
      <c r="X27" s="15"/>
      <c r="Y27" s="15"/>
      <c r="Z27" s="15"/>
      <c r="AA27" s="15"/>
      <c r="AB27" s="15"/>
      <c r="AC27" s="15"/>
      <c r="AD27" s="15"/>
      <c r="AE27" s="243" t="s">
        <v>328</v>
      </c>
      <c r="AF27" s="240" t="s">
        <v>303</v>
      </c>
      <c r="AG27" s="241" t="s">
        <v>266</v>
      </c>
      <c r="AH27" s="241" t="s">
        <v>26</v>
      </c>
      <c r="AI27" s="242" t="s">
        <v>30</v>
      </c>
      <c r="AJ27" s="231" t="s">
        <v>148</v>
      </c>
      <c r="AK27" s="229" t="s">
        <v>147</v>
      </c>
      <c r="AL27" s="229" t="s">
        <v>147</v>
      </c>
      <c r="AM27" s="231" t="s">
        <v>148</v>
      </c>
      <c r="AN27" s="230">
        <v>450</v>
      </c>
      <c r="AO27" s="230">
        <v>450</v>
      </c>
      <c r="AP27" s="230">
        <v>450</v>
      </c>
      <c r="AQ27" s="230">
        <v>450</v>
      </c>
      <c r="AR27" s="229" t="s">
        <v>147</v>
      </c>
      <c r="AS27" s="229" t="s">
        <v>147</v>
      </c>
      <c r="AT27" s="231" t="s">
        <v>148</v>
      </c>
      <c r="AU27" s="231" t="s">
        <v>148</v>
      </c>
      <c r="AV27" s="233" t="s">
        <v>187</v>
      </c>
    </row>
    <row r="28" spans="1:48">
      <c r="A28" s="139" t="s">
        <v>218</v>
      </c>
      <c r="B28" s="249" t="s">
        <v>341</v>
      </c>
      <c r="C28" s="250" t="s">
        <v>33</v>
      </c>
      <c r="D28" s="139" t="s">
        <v>350</v>
      </c>
      <c r="E28" s="251">
        <v>45875</v>
      </c>
      <c r="F28" s="204" t="s">
        <v>87</v>
      </c>
      <c r="G28" s="247" t="s">
        <v>341</v>
      </c>
      <c r="H28" s="173" t="s">
        <v>33</v>
      </c>
      <c r="I28" s="139" t="s">
        <v>206</v>
      </c>
      <c r="J28" s="251">
        <v>45875</v>
      </c>
      <c r="K28" s="15"/>
      <c r="L28" s="310"/>
      <c r="M28" s="310"/>
      <c r="N28" s="310"/>
      <c r="O28" s="310"/>
      <c r="R28" s="15"/>
      <c r="S28" s="15"/>
      <c r="T28" s="15"/>
      <c r="U28" s="15"/>
      <c r="V28" s="15"/>
      <c r="W28" s="15"/>
      <c r="X28" s="15"/>
      <c r="Y28" s="15"/>
      <c r="Z28" s="15"/>
      <c r="AA28" s="15"/>
      <c r="AB28" s="15"/>
      <c r="AC28" s="15"/>
      <c r="AD28" s="15"/>
      <c r="AE28" s="15"/>
      <c r="AF28" s="15"/>
      <c r="AG28" s="15"/>
      <c r="AH28" s="15"/>
    </row>
    <row r="29" spans="1:48">
      <c r="A29" s="139" t="s">
        <v>231</v>
      </c>
      <c r="B29" s="249" t="s">
        <v>22</v>
      </c>
      <c r="C29" s="250" t="s">
        <v>30</v>
      </c>
      <c r="D29" s="139" t="s">
        <v>350</v>
      </c>
      <c r="E29" s="251">
        <v>45875</v>
      </c>
      <c r="F29" s="205" t="s">
        <v>131</v>
      </c>
      <c r="G29" s="247" t="s">
        <v>341</v>
      </c>
      <c r="H29" s="173" t="s">
        <v>33</v>
      </c>
      <c r="I29" s="139" t="s">
        <v>206</v>
      </c>
      <c r="J29" s="251">
        <v>45875</v>
      </c>
      <c r="K29" s="15"/>
      <c r="L29" s="209" t="s">
        <v>345</v>
      </c>
      <c r="M29" s="209" t="s">
        <v>346</v>
      </c>
      <c r="N29" s="209" t="s">
        <v>200</v>
      </c>
      <c r="O29" s="209" t="s">
        <v>347</v>
      </c>
      <c r="P29" s="209" t="s">
        <v>348</v>
      </c>
      <c r="Q29" s="209" t="s">
        <v>200</v>
      </c>
      <c r="R29" s="15"/>
      <c r="S29" s="15"/>
      <c r="T29" s="15"/>
      <c r="U29" s="15"/>
      <c r="V29" s="15"/>
      <c r="W29" s="15"/>
      <c r="X29" s="15"/>
      <c r="Y29" s="15"/>
      <c r="Z29" s="15"/>
      <c r="AA29" s="15"/>
      <c r="AB29" s="15"/>
      <c r="AC29" s="15"/>
      <c r="AD29" s="15"/>
    </row>
    <row r="30" spans="1:48">
      <c r="A30" s="252" t="s">
        <v>190</v>
      </c>
      <c r="B30" s="249" t="s">
        <v>22</v>
      </c>
      <c r="C30" s="250" t="s">
        <v>56</v>
      </c>
      <c r="D30" s="252" t="s">
        <v>358</v>
      </c>
      <c r="E30" s="253">
        <v>45875</v>
      </c>
      <c r="F30" s="212" t="s">
        <v>218</v>
      </c>
      <c r="G30" s="247" t="s">
        <v>22</v>
      </c>
      <c r="H30" s="173" t="s">
        <v>33</v>
      </c>
      <c r="I30" s="252" t="s">
        <v>350</v>
      </c>
      <c r="J30" s="253">
        <v>45875</v>
      </c>
      <c r="K30" s="15"/>
      <c r="L30" s="15" t="s">
        <v>354</v>
      </c>
      <c r="M30" s="15">
        <v>1</v>
      </c>
      <c r="N30" s="245">
        <v>45885</v>
      </c>
      <c r="O30" s="15" t="s">
        <v>354</v>
      </c>
      <c r="P30" s="15">
        <v>2</v>
      </c>
      <c r="Q30" s="245">
        <v>45885</v>
      </c>
      <c r="R30" s="15"/>
      <c r="S30" s="15"/>
      <c r="T30" s="15"/>
      <c r="U30" s="15"/>
      <c r="V30" s="15"/>
      <c r="W30" s="15"/>
      <c r="X30" s="15"/>
      <c r="Y30" s="15"/>
      <c r="Z30" s="15"/>
      <c r="AA30" s="15"/>
      <c r="AB30" s="15"/>
      <c r="AC30" s="15"/>
      <c r="AD30" s="15"/>
    </row>
    <row r="31" spans="1:48">
      <c r="A31" s="139" t="s">
        <v>53</v>
      </c>
      <c r="B31" s="249" t="s">
        <v>341</v>
      </c>
      <c r="C31" s="250" t="s">
        <v>25</v>
      </c>
      <c r="D31" s="139" t="s">
        <v>354</v>
      </c>
      <c r="E31" s="251">
        <v>45876</v>
      </c>
      <c r="F31" s="202" t="s">
        <v>220</v>
      </c>
      <c r="G31" s="247" t="s">
        <v>267</v>
      </c>
      <c r="H31" s="173" t="s">
        <v>40</v>
      </c>
      <c r="I31" s="139" t="s">
        <v>350</v>
      </c>
      <c r="J31" s="251">
        <v>45875</v>
      </c>
      <c r="K31" s="15"/>
      <c r="L31" s="15" t="s">
        <v>354</v>
      </c>
      <c r="M31" s="15">
        <v>3</v>
      </c>
      <c r="N31" s="245">
        <v>45885</v>
      </c>
      <c r="O31" s="15" t="s">
        <v>373</v>
      </c>
      <c r="P31" s="15">
        <v>1</v>
      </c>
      <c r="Q31" s="245">
        <v>45886</v>
      </c>
      <c r="R31" s="15"/>
      <c r="S31" s="15"/>
      <c r="T31" s="15"/>
      <c r="U31" s="15"/>
      <c r="V31" s="15"/>
      <c r="W31" s="15"/>
      <c r="X31" s="15"/>
      <c r="Y31" s="15"/>
      <c r="Z31" s="15"/>
      <c r="AA31" s="15"/>
      <c r="AB31" s="15"/>
      <c r="AC31" s="15"/>
      <c r="AD31" s="15"/>
      <c r="AE31" s="301"/>
      <c r="AF31" s="217"/>
      <c r="AG31" s="217"/>
      <c r="AH31" s="217"/>
      <c r="AI31" s="217"/>
      <c r="AJ31" s="387" t="s">
        <v>374</v>
      </c>
      <c r="AK31" s="388"/>
      <c r="AL31" s="388"/>
      <c r="AM31" s="388"/>
      <c r="AN31" s="217"/>
      <c r="AO31" s="217"/>
      <c r="AP31" s="217"/>
      <c r="AQ31" s="217"/>
      <c r="AR31" s="217"/>
      <c r="AS31" s="218"/>
    </row>
    <row r="32" spans="1:48">
      <c r="A32" s="139" t="s">
        <v>134</v>
      </c>
      <c r="B32" s="249" t="s">
        <v>22</v>
      </c>
      <c r="C32" s="250" t="s">
        <v>56</v>
      </c>
      <c r="D32" s="139" t="s">
        <v>354</v>
      </c>
      <c r="E32" s="251">
        <v>45876</v>
      </c>
      <c r="F32" s="202" t="s">
        <v>231</v>
      </c>
      <c r="G32" s="247" t="s">
        <v>22</v>
      </c>
      <c r="H32" s="173" t="s">
        <v>30</v>
      </c>
      <c r="I32" s="139" t="s">
        <v>350</v>
      </c>
      <c r="J32" s="251">
        <v>45875</v>
      </c>
      <c r="K32" s="15"/>
      <c r="L32" s="15" t="s">
        <v>375</v>
      </c>
      <c r="M32" s="15">
        <v>1</v>
      </c>
      <c r="N32" s="245">
        <v>45886</v>
      </c>
      <c r="O32" s="15" t="s">
        <v>354</v>
      </c>
      <c r="P32" s="15">
        <v>3</v>
      </c>
      <c r="Q32" s="245">
        <v>45887</v>
      </c>
      <c r="R32" s="15"/>
      <c r="S32" s="15"/>
      <c r="T32" s="15"/>
      <c r="U32" s="15"/>
      <c r="V32" s="15"/>
      <c r="W32" s="15"/>
      <c r="X32" s="15"/>
      <c r="Y32" s="15"/>
      <c r="Z32" s="15"/>
      <c r="AA32" s="15"/>
      <c r="AB32" s="15"/>
      <c r="AC32" s="15"/>
      <c r="AD32" s="15"/>
      <c r="AE32" s="221"/>
      <c r="AF32" s="146"/>
      <c r="AG32" s="146"/>
      <c r="AH32" s="146"/>
      <c r="AI32" s="147"/>
      <c r="AJ32" s="304">
        <v>45696</v>
      </c>
      <c r="AK32" s="305">
        <v>45724</v>
      </c>
      <c r="AL32" s="305">
        <v>45969</v>
      </c>
      <c r="AM32" s="305">
        <v>45999</v>
      </c>
      <c r="AN32" s="306" t="s">
        <v>243</v>
      </c>
      <c r="AO32" s="306" t="s">
        <v>244</v>
      </c>
      <c r="AP32" s="306" t="s">
        <v>245</v>
      </c>
      <c r="AQ32" s="306" t="s">
        <v>246</v>
      </c>
      <c r="AR32" s="306" t="s">
        <v>247</v>
      </c>
      <c r="AS32" s="307" t="s">
        <v>248</v>
      </c>
    </row>
    <row r="33" spans="1:45">
      <c r="A33" s="139" t="s">
        <v>215</v>
      </c>
      <c r="B33" s="249" t="s">
        <v>37</v>
      </c>
      <c r="C33" s="250" t="s">
        <v>40</v>
      </c>
      <c r="D33" s="139" t="s">
        <v>354</v>
      </c>
      <c r="E33" s="251">
        <v>45876</v>
      </c>
      <c r="F33" s="198" t="s">
        <v>190</v>
      </c>
      <c r="G33" s="247" t="s">
        <v>22</v>
      </c>
      <c r="H33" s="173" t="s">
        <v>56</v>
      </c>
      <c r="I33" s="139" t="s">
        <v>358</v>
      </c>
      <c r="J33" s="251">
        <v>45875</v>
      </c>
      <c r="K33" s="15"/>
      <c r="L33" s="15" t="s">
        <v>354</v>
      </c>
      <c r="M33" s="15">
        <v>6</v>
      </c>
      <c r="N33" s="245">
        <v>45887</v>
      </c>
      <c r="O33" s="15" t="s">
        <v>354</v>
      </c>
      <c r="P33" s="15">
        <v>5</v>
      </c>
      <c r="Q33" s="245">
        <v>45887</v>
      </c>
      <c r="R33" s="15"/>
      <c r="S33" s="15"/>
      <c r="T33" s="15"/>
      <c r="U33" s="15"/>
      <c r="V33" s="15"/>
      <c r="W33" s="15"/>
      <c r="X33" s="15"/>
      <c r="Y33" s="15"/>
      <c r="Z33" s="15"/>
      <c r="AA33" s="15"/>
      <c r="AB33" s="15"/>
      <c r="AC33" s="15"/>
      <c r="AD33" s="15"/>
      <c r="AE33" s="223" t="s">
        <v>2</v>
      </c>
      <c r="AF33" s="149" t="s">
        <v>262</v>
      </c>
      <c r="AG33" s="150" t="s">
        <v>263</v>
      </c>
      <c r="AH33" s="150" t="s">
        <v>0</v>
      </c>
      <c r="AI33" s="151" t="s">
        <v>3</v>
      </c>
      <c r="AJ33" s="191" t="s">
        <v>141</v>
      </c>
      <c r="AK33" s="191" t="s">
        <v>135</v>
      </c>
      <c r="AL33" s="191" t="s">
        <v>136</v>
      </c>
      <c r="AM33" s="191" t="s">
        <v>137</v>
      </c>
      <c r="AN33" s="191" t="s">
        <v>138</v>
      </c>
      <c r="AO33" s="191" t="s">
        <v>139</v>
      </c>
      <c r="AP33" s="191" t="s">
        <v>140</v>
      </c>
      <c r="AQ33" s="191" t="s">
        <v>141</v>
      </c>
      <c r="AR33" s="191" t="s">
        <v>135</v>
      </c>
      <c r="AS33" s="224" t="s">
        <v>136</v>
      </c>
    </row>
    <row r="34" spans="1:45" ht="17.25" customHeight="1">
      <c r="A34" s="139" t="s">
        <v>107</v>
      </c>
      <c r="B34" s="249" t="s">
        <v>164</v>
      </c>
      <c r="C34" s="250" t="s">
        <v>40</v>
      </c>
      <c r="D34" s="139" t="s">
        <v>376</v>
      </c>
      <c r="E34" s="251">
        <v>45879</v>
      </c>
      <c r="F34" s="139" t="s">
        <v>32</v>
      </c>
      <c r="G34" s="247" t="s">
        <v>22</v>
      </c>
      <c r="H34" s="173" t="s">
        <v>33</v>
      </c>
      <c r="I34" s="139" t="s">
        <v>350</v>
      </c>
      <c r="J34" s="251">
        <v>45876</v>
      </c>
      <c r="K34" s="15"/>
      <c r="L34" s="15" t="s">
        <v>354</v>
      </c>
      <c r="M34" s="15">
        <v>1</v>
      </c>
      <c r="N34" s="245">
        <v>45888</v>
      </c>
      <c r="O34" s="15" t="s">
        <v>350</v>
      </c>
      <c r="P34" s="15">
        <v>6</v>
      </c>
      <c r="Q34" s="245">
        <v>45888</v>
      </c>
      <c r="R34" s="15"/>
      <c r="S34" s="15"/>
      <c r="T34" s="15"/>
      <c r="U34" s="15"/>
      <c r="V34" s="15"/>
      <c r="W34" s="15"/>
      <c r="X34" s="15"/>
      <c r="Y34" s="15"/>
      <c r="Z34" s="15"/>
      <c r="AA34" s="15"/>
      <c r="AB34" s="15"/>
      <c r="AC34" s="15"/>
      <c r="AD34" s="15"/>
      <c r="AE34" s="238" t="s">
        <v>220</v>
      </c>
      <c r="AF34" s="235" t="s">
        <v>265</v>
      </c>
      <c r="AG34" s="236" t="s">
        <v>266</v>
      </c>
      <c r="AH34" s="236" t="s">
        <v>267</v>
      </c>
      <c r="AI34" s="237" t="s">
        <v>40</v>
      </c>
      <c r="AJ34" s="99" t="s">
        <v>147</v>
      </c>
      <c r="AK34" s="99" t="s">
        <v>147</v>
      </c>
      <c r="AL34" s="98" t="s">
        <v>148</v>
      </c>
      <c r="AM34" s="98" t="s">
        <v>148</v>
      </c>
      <c r="AN34" s="98" t="s">
        <v>148</v>
      </c>
      <c r="AO34" s="98" t="s">
        <v>148</v>
      </c>
      <c r="AP34" s="102">
        <v>450</v>
      </c>
      <c r="AQ34" s="99" t="s">
        <v>147</v>
      </c>
      <c r="AR34" s="99" t="s">
        <v>147</v>
      </c>
      <c r="AS34" s="225">
        <v>450</v>
      </c>
    </row>
    <row r="35" spans="1:45">
      <c r="A35" s="252" t="s">
        <v>128</v>
      </c>
      <c r="B35" s="249" t="s">
        <v>22</v>
      </c>
      <c r="C35" s="250" t="s">
        <v>33</v>
      </c>
      <c r="D35" s="252" t="s">
        <v>376</v>
      </c>
      <c r="E35" s="253">
        <v>45879</v>
      </c>
      <c r="F35" s="252" t="s">
        <v>62</v>
      </c>
      <c r="G35" s="247" t="s">
        <v>22</v>
      </c>
      <c r="H35" s="173" t="s">
        <v>63</v>
      </c>
      <c r="I35" s="252" t="s">
        <v>355</v>
      </c>
      <c r="J35" s="253">
        <v>45876</v>
      </c>
      <c r="K35" s="15"/>
      <c r="L35" s="15" t="s">
        <v>14</v>
      </c>
      <c r="M35" s="15">
        <v>1</v>
      </c>
      <c r="N35" s="245">
        <v>45889</v>
      </c>
      <c r="O35" s="15" t="s">
        <v>350</v>
      </c>
      <c r="P35" s="15">
        <v>6</v>
      </c>
      <c r="Q35" s="245">
        <v>45889</v>
      </c>
      <c r="R35" s="15"/>
      <c r="S35" s="15"/>
      <c r="T35" s="15"/>
      <c r="U35" s="15"/>
      <c r="V35" s="15"/>
      <c r="W35" s="15"/>
      <c r="X35" s="15"/>
      <c r="Y35" s="15"/>
      <c r="Z35" s="15"/>
      <c r="AA35" s="15"/>
      <c r="AB35" s="15"/>
      <c r="AC35" s="15"/>
      <c r="AD35" s="15"/>
      <c r="AE35" s="303" t="s">
        <v>107</v>
      </c>
      <c r="AF35" s="235" t="s">
        <v>265</v>
      </c>
      <c r="AG35" s="236" t="s">
        <v>266</v>
      </c>
      <c r="AH35" s="236" t="s">
        <v>57</v>
      </c>
      <c r="AI35" s="237" t="s">
        <v>40</v>
      </c>
      <c r="AJ35" s="99" t="s">
        <v>147</v>
      </c>
      <c r="AK35" s="99" t="s">
        <v>147</v>
      </c>
      <c r="AL35" s="102">
        <v>450</v>
      </c>
      <c r="AM35" s="98" t="s">
        <v>148</v>
      </c>
      <c r="AN35" s="98" t="s">
        <v>148</v>
      </c>
      <c r="AO35" s="102">
        <v>450</v>
      </c>
      <c r="AP35" s="102">
        <v>450</v>
      </c>
      <c r="AQ35" s="99" t="s">
        <v>147</v>
      </c>
      <c r="AR35" s="99" t="s">
        <v>147</v>
      </c>
      <c r="AS35" s="225">
        <v>450</v>
      </c>
    </row>
    <row r="36" spans="1:45">
      <c r="A36" s="139" t="s">
        <v>112</v>
      </c>
      <c r="B36" s="250" t="s">
        <v>22</v>
      </c>
      <c r="C36" s="250" t="s">
        <v>25</v>
      </c>
      <c r="D36" s="139" t="s">
        <v>376</v>
      </c>
      <c r="E36" s="253">
        <v>45880</v>
      </c>
      <c r="F36" s="139" t="s">
        <v>68</v>
      </c>
      <c r="G36" s="247" t="s">
        <v>341</v>
      </c>
      <c r="H36" s="173" t="s">
        <v>40</v>
      </c>
      <c r="I36" s="139" t="s">
        <v>355</v>
      </c>
      <c r="J36" s="251">
        <v>45876</v>
      </c>
      <c r="K36" s="15"/>
      <c r="L36" s="15" t="s">
        <v>204</v>
      </c>
      <c r="M36" s="15">
        <v>2</v>
      </c>
      <c r="N36" s="245">
        <v>45889</v>
      </c>
      <c r="O36" s="15" t="s">
        <v>377</v>
      </c>
      <c r="P36" s="15">
        <v>1</v>
      </c>
      <c r="Q36" s="245">
        <v>45889</v>
      </c>
      <c r="R36" s="15"/>
      <c r="S36" s="15"/>
      <c r="T36" s="15"/>
      <c r="U36" s="15"/>
      <c r="V36" s="15"/>
      <c r="W36" s="15"/>
      <c r="X36" s="15"/>
      <c r="Y36" s="15"/>
      <c r="Z36" s="15"/>
      <c r="AA36" s="15"/>
      <c r="AB36" s="15"/>
      <c r="AC36" s="15"/>
      <c r="AD36" s="15"/>
      <c r="AE36" s="238" t="s">
        <v>104</v>
      </c>
      <c r="AF36" s="235" t="s">
        <v>265</v>
      </c>
      <c r="AG36" s="236" t="s">
        <v>266</v>
      </c>
      <c r="AH36" s="236" t="s">
        <v>22</v>
      </c>
      <c r="AI36" s="237" t="s">
        <v>25</v>
      </c>
      <c r="AJ36" s="99" t="s">
        <v>147</v>
      </c>
      <c r="AK36" s="99" t="s">
        <v>147</v>
      </c>
      <c r="AL36" s="100">
        <v>18</v>
      </c>
      <c r="AM36" s="98" t="s">
        <v>148</v>
      </c>
      <c r="AN36" s="100">
        <v>1</v>
      </c>
      <c r="AO36" s="102">
        <v>450</v>
      </c>
      <c r="AP36" s="102">
        <v>450</v>
      </c>
      <c r="AQ36" s="99" t="s">
        <v>147</v>
      </c>
      <c r="AR36" s="99" t="s">
        <v>147</v>
      </c>
      <c r="AS36" s="225" t="s">
        <v>148</v>
      </c>
    </row>
    <row r="37" spans="1:45">
      <c r="A37" s="139" t="s">
        <v>107</v>
      </c>
      <c r="B37" s="249" t="s">
        <v>164</v>
      </c>
      <c r="C37" s="250" t="s">
        <v>40</v>
      </c>
      <c r="D37" s="139" t="s">
        <v>376</v>
      </c>
      <c r="E37" s="253">
        <v>45880</v>
      </c>
      <c r="F37" s="139" t="s">
        <v>73</v>
      </c>
      <c r="G37" s="247" t="s">
        <v>341</v>
      </c>
      <c r="H37" s="173" t="s">
        <v>25</v>
      </c>
      <c r="I37" s="139" t="s">
        <v>350</v>
      </c>
      <c r="J37" s="251">
        <v>45876</v>
      </c>
      <c r="K37" s="15"/>
      <c r="L37" s="15" t="s">
        <v>354</v>
      </c>
      <c r="M37" s="15">
        <v>1</v>
      </c>
      <c r="N37" s="245">
        <v>45889</v>
      </c>
      <c r="O37" s="15" t="s">
        <v>350</v>
      </c>
      <c r="P37" s="15">
        <v>6</v>
      </c>
      <c r="Q37" s="245">
        <v>45889</v>
      </c>
      <c r="R37" s="15"/>
      <c r="S37" s="15"/>
      <c r="T37" s="15"/>
      <c r="U37" s="15"/>
      <c r="V37" s="15"/>
      <c r="W37" s="15"/>
      <c r="X37" s="15"/>
      <c r="Y37" s="15"/>
      <c r="Z37" s="15"/>
      <c r="AA37" s="15"/>
      <c r="AB37" s="15"/>
      <c r="AC37" s="15"/>
      <c r="AD37" s="15"/>
      <c r="AE37" s="238" t="s">
        <v>291</v>
      </c>
      <c r="AF37" s="235" t="s">
        <v>265</v>
      </c>
      <c r="AG37" s="236" t="s">
        <v>266</v>
      </c>
      <c r="AH37" s="236" t="s">
        <v>22</v>
      </c>
      <c r="AI37" s="237" t="s">
        <v>30</v>
      </c>
      <c r="AJ37" s="99" t="s">
        <v>147</v>
      </c>
      <c r="AK37" s="99" t="s">
        <v>147</v>
      </c>
      <c r="AL37" s="102">
        <v>450</v>
      </c>
      <c r="AM37" s="98" t="s">
        <v>148</v>
      </c>
      <c r="AN37" s="102">
        <v>450</v>
      </c>
      <c r="AO37" s="102">
        <v>450</v>
      </c>
      <c r="AP37" s="100">
        <v>10</v>
      </c>
      <c r="AQ37" s="99" t="s">
        <v>147</v>
      </c>
      <c r="AR37" s="99" t="s">
        <v>147</v>
      </c>
      <c r="AS37" s="225" t="s">
        <v>282</v>
      </c>
    </row>
    <row r="38" spans="1:45">
      <c r="A38" s="139" t="s">
        <v>128</v>
      </c>
      <c r="B38" s="249" t="s">
        <v>22</v>
      </c>
      <c r="C38" s="250" t="s">
        <v>33</v>
      </c>
      <c r="D38" s="139" t="s">
        <v>376</v>
      </c>
      <c r="E38" s="253">
        <v>45880</v>
      </c>
      <c r="F38" s="139" t="s">
        <v>89</v>
      </c>
      <c r="G38" s="247" t="s">
        <v>341</v>
      </c>
      <c r="H38" s="173" t="s">
        <v>40</v>
      </c>
      <c r="I38" s="139" t="s">
        <v>355</v>
      </c>
      <c r="J38" s="251">
        <v>45876</v>
      </c>
      <c r="K38" s="15"/>
      <c r="L38" s="15" t="s">
        <v>354</v>
      </c>
      <c r="M38" s="15">
        <v>1</v>
      </c>
      <c r="N38" s="245">
        <v>45890</v>
      </c>
      <c r="O38" s="15"/>
      <c r="P38" s="15"/>
      <c r="Q38" s="15"/>
      <c r="R38" s="15"/>
      <c r="S38" s="15"/>
      <c r="T38" s="15"/>
      <c r="U38" s="15"/>
      <c r="V38" s="15"/>
      <c r="W38" s="15"/>
      <c r="X38" s="15"/>
      <c r="Y38" s="15"/>
      <c r="Z38" s="15"/>
      <c r="AA38" s="15"/>
      <c r="AB38" s="15"/>
      <c r="AC38" s="15"/>
      <c r="AD38" s="15"/>
      <c r="AE38" s="234" t="s">
        <v>129</v>
      </c>
      <c r="AF38" s="235" t="s">
        <v>265</v>
      </c>
      <c r="AG38" s="236" t="s">
        <v>266</v>
      </c>
      <c r="AH38" s="236" t="s">
        <v>22</v>
      </c>
      <c r="AI38" s="237" t="s">
        <v>56</v>
      </c>
      <c r="AJ38" s="98" t="s">
        <v>148</v>
      </c>
      <c r="AK38" s="98" t="s">
        <v>148</v>
      </c>
      <c r="AL38" s="98" t="s">
        <v>148</v>
      </c>
      <c r="AM38" s="100">
        <v>1</v>
      </c>
      <c r="AN38" s="98" t="s">
        <v>148</v>
      </c>
      <c r="AO38" s="100">
        <v>4</v>
      </c>
      <c r="AP38" s="100">
        <v>11</v>
      </c>
      <c r="AQ38" s="99" t="s">
        <v>147</v>
      </c>
      <c r="AR38" s="99" t="s">
        <v>147</v>
      </c>
      <c r="AS38" s="225" t="s">
        <v>148</v>
      </c>
    </row>
    <row r="39" spans="1:45">
      <c r="A39" s="139" t="s">
        <v>45</v>
      </c>
      <c r="B39" s="249" t="s">
        <v>341</v>
      </c>
      <c r="C39" s="250" t="s">
        <v>30</v>
      </c>
      <c r="D39" s="139" t="s">
        <v>376</v>
      </c>
      <c r="E39" s="253">
        <v>45880</v>
      </c>
      <c r="F39" s="139" t="s">
        <v>237</v>
      </c>
      <c r="G39" s="247" t="s">
        <v>22</v>
      </c>
      <c r="H39" s="173" t="s">
        <v>25</v>
      </c>
      <c r="I39" s="139" t="s">
        <v>213</v>
      </c>
      <c r="J39" s="251">
        <v>45876</v>
      </c>
      <c r="K39" s="15"/>
      <c r="L39" s="15" t="s">
        <v>354</v>
      </c>
      <c r="M39" s="15">
        <v>1</v>
      </c>
      <c r="N39" s="245">
        <v>45891</v>
      </c>
      <c r="O39" s="15"/>
      <c r="P39" s="15"/>
      <c r="Q39" s="15"/>
      <c r="R39" s="15"/>
      <c r="S39" s="15"/>
      <c r="T39" s="15"/>
      <c r="U39" s="15"/>
      <c r="V39" s="15"/>
      <c r="W39" s="15"/>
      <c r="X39" s="15"/>
      <c r="Y39" s="15"/>
      <c r="Z39" s="15"/>
      <c r="AA39" s="15"/>
      <c r="AB39" s="15"/>
      <c r="AC39" s="15"/>
      <c r="AD39" s="15"/>
      <c r="AE39" s="239" t="s">
        <v>330</v>
      </c>
      <c r="AF39" s="240" t="s">
        <v>303</v>
      </c>
      <c r="AG39" s="241" t="s">
        <v>266</v>
      </c>
      <c r="AH39" s="241" t="s">
        <v>26</v>
      </c>
      <c r="AI39" s="242" t="s">
        <v>40</v>
      </c>
      <c r="AJ39" s="231" t="s">
        <v>148</v>
      </c>
      <c r="AK39" s="231" t="s">
        <v>148</v>
      </c>
      <c r="AL39" s="231" t="s">
        <v>148</v>
      </c>
      <c r="AM39" s="231" t="s">
        <v>148</v>
      </c>
      <c r="AN39" s="229" t="s">
        <v>147</v>
      </c>
      <c r="AO39" s="302" t="s">
        <v>147</v>
      </c>
      <c r="AP39" s="231" t="s">
        <v>148</v>
      </c>
      <c r="AQ39" s="230">
        <v>450</v>
      </c>
      <c r="AR39" s="230">
        <v>450</v>
      </c>
      <c r="AS39" s="233" t="s">
        <v>187</v>
      </c>
    </row>
    <row r="40" spans="1:45">
      <c r="A40" s="254" t="s">
        <v>49</v>
      </c>
      <c r="B40" s="250" t="s">
        <v>341</v>
      </c>
      <c r="C40" s="250" t="s">
        <v>40</v>
      </c>
      <c r="D40" s="254" t="s">
        <v>376</v>
      </c>
      <c r="E40" s="253">
        <v>45880</v>
      </c>
      <c r="F40" s="254" t="s">
        <v>238</v>
      </c>
      <c r="G40" s="247" t="s">
        <v>22</v>
      </c>
      <c r="H40" s="173" t="s">
        <v>30</v>
      </c>
      <c r="I40" s="254" t="s">
        <v>350</v>
      </c>
      <c r="J40" s="255">
        <v>45876</v>
      </c>
      <c r="K40" s="15"/>
      <c r="L40" s="15"/>
      <c r="M40" s="15"/>
      <c r="N40" s="15"/>
      <c r="O40" s="15"/>
      <c r="P40" s="15"/>
      <c r="Q40" s="15"/>
      <c r="R40" s="15"/>
      <c r="S40" s="15"/>
      <c r="T40" s="15"/>
      <c r="U40" s="15"/>
      <c r="V40" s="15"/>
      <c r="W40" s="15"/>
      <c r="X40" s="15"/>
      <c r="Y40" s="15"/>
      <c r="Z40" s="15"/>
      <c r="AA40" s="15"/>
      <c r="AB40" s="15"/>
      <c r="AC40" s="15"/>
      <c r="AD40" s="15"/>
    </row>
    <row r="41" spans="1:45">
      <c r="A41" s="252" t="s">
        <v>94</v>
      </c>
      <c r="B41" s="249" t="s">
        <v>164</v>
      </c>
      <c r="C41" s="250" t="s">
        <v>40</v>
      </c>
      <c r="D41" s="252" t="s">
        <v>376</v>
      </c>
      <c r="E41" s="253">
        <v>45880</v>
      </c>
      <c r="F41" s="252" t="s">
        <v>239</v>
      </c>
      <c r="G41" s="247" t="s">
        <v>37</v>
      </c>
      <c r="H41" s="173" t="s">
        <v>40</v>
      </c>
      <c r="I41" s="252" t="s">
        <v>378</v>
      </c>
      <c r="J41" s="253">
        <v>45876</v>
      </c>
      <c r="K41" s="15"/>
      <c r="L41" s="15"/>
      <c r="M41" s="15"/>
      <c r="N41" s="15"/>
      <c r="O41" s="15"/>
      <c r="P41" s="15"/>
      <c r="Q41" s="15"/>
      <c r="R41" s="15"/>
      <c r="S41" s="15"/>
      <c r="T41" s="15"/>
      <c r="U41" s="15"/>
      <c r="V41" s="15"/>
      <c r="W41" s="15"/>
      <c r="X41" s="15"/>
      <c r="Y41" s="15"/>
      <c r="Z41" s="15"/>
      <c r="AA41" s="15"/>
      <c r="AB41" s="15"/>
      <c r="AC41" s="15"/>
      <c r="AD41" s="15"/>
    </row>
    <row r="42" spans="1:45">
      <c r="A42" s="139" t="s">
        <v>24</v>
      </c>
      <c r="B42" s="249" t="s">
        <v>22</v>
      </c>
      <c r="C42" s="250" t="s">
        <v>25</v>
      </c>
      <c r="D42" s="139" t="s">
        <v>214</v>
      </c>
      <c r="E42" s="253">
        <v>45881</v>
      </c>
      <c r="F42" s="139" t="s">
        <v>24</v>
      </c>
      <c r="G42" s="247" t="s">
        <v>22</v>
      </c>
      <c r="H42" s="173" t="s">
        <v>25</v>
      </c>
      <c r="I42" s="139" t="s">
        <v>350</v>
      </c>
      <c r="J42" s="251">
        <v>45877</v>
      </c>
      <c r="K42" s="15"/>
      <c r="L42" s="15"/>
      <c r="M42" s="15"/>
      <c r="N42" s="15"/>
      <c r="O42" s="15"/>
      <c r="P42" s="15"/>
      <c r="Q42" s="15"/>
      <c r="R42" s="15"/>
      <c r="S42" s="15"/>
      <c r="T42" s="15"/>
      <c r="U42" s="15"/>
      <c r="V42" s="15"/>
      <c r="W42" s="15"/>
      <c r="X42" s="15"/>
      <c r="Y42" s="15"/>
      <c r="Z42" s="15"/>
      <c r="AA42" s="15"/>
      <c r="AB42" s="15"/>
      <c r="AC42" s="15"/>
      <c r="AD42" s="15"/>
    </row>
    <row r="43" spans="1:45">
      <c r="A43" s="139" t="s">
        <v>277</v>
      </c>
      <c r="B43" s="250" t="s">
        <v>22</v>
      </c>
      <c r="C43" s="250" t="s">
        <v>30</v>
      </c>
      <c r="D43" s="139" t="s">
        <v>214</v>
      </c>
      <c r="E43" s="253">
        <v>45881</v>
      </c>
      <c r="F43" s="139" t="s">
        <v>47</v>
      </c>
      <c r="G43" s="173" t="s">
        <v>341</v>
      </c>
      <c r="H43" s="173" t="s">
        <v>33</v>
      </c>
      <c r="I43" s="139" t="s">
        <v>350</v>
      </c>
      <c r="J43" s="251">
        <v>45877</v>
      </c>
      <c r="K43" s="15"/>
      <c r="L43" s="15"/>
      <c r="M43" s="15"/>
      <c r="N43" s="15"/>
      <c r="O43" s="15"/>
      <c r="P43" s="15"/>
      <c r="Q43" s="15"/>
      <c r="R43" s="15"/>
      <c r="S43" s="15"/>
      <c r="T43" s="15"/>
      <c r="U43" s="15"/>
      <c r="V43" s="15"/>
      <c r="W43" s="15"/>
      <c r="X43" s="15"/>
      <c r="Y43" s="15"/>
      <c r="Z43" s="15"/>
      <c r="AA43" s="15"/>
      <c r="AB43" s="15"/>
      <c r="AC43" s="15"/>
      <c r="AD43" s="15"/>
    </row>
    <row r="44" spans="1:45">
      <c r="A44" s="139" t="s">
        <v>47</v>
      </c>
      <c r="B44" s="250" t="s">
        <v>341</v>
      </c>
      <c r="C44" s="250" t="s">
        <v>33</v>
      </c>
      <c r="D44" s="139" t="s">
        <v>11</v>
      </c>
      <c r="E44" s="253">
        <v>45881</v>
      </c>
      <c r="F44" s="139" t="s">
        <v>64</v>
      </c>
      <c r="G44" s="247" t="s">
        <v>22</v>
      </c>
      <c r="H44" s="173" t="s">
        <v>63</v>
      </c>
      <c r="I44" s="139" t="s">
        <v>350</v>
      </c>
      <c r="J44" s="251">
        <v>45877</v>
      </c>
      <c r="K44" s="15"/>
      <c r="L44" s="15"/>
      <c r="M44" s="15"/>
      <c r="N44" s="15"/>
      <c r="O44" s="15"/>
      <c r="P44" s="15"/>
      <c r="Q44" s="15"/>
      <c r="R44" s="15"/>
      <c r="S44" s="15"/>
      <c r="T44" s="15"/>
      <c r="U44" s="15"/>
      <c r="V44" s="15"/>
      <c r="W44" s="15"/>
      <c r="X44" s="15"/>
      <c r="Y44" s="15"/>
      <c r="Z44" s="15"/>
      <c r="AA44" s="15"/>
      <c r="AB44" s="15"/>
      <c r="AC44" s="15"/>
      <c r="AD44" s="15"/>
    </row>
    <row r="45" spans="1:45">
      <c r="A45" s="139" t="s">
        <v>49</v>
      </c>
      <c r="B45" s="250" t="s">
        <v>341</v>
      </c>
      <c r="C45" s="250" t="s">
        <v>40</v>
      </c>
      <c r="D45" s="139" t="s">
        <v>206</v>
      </c>
      <c r="E45" s="253">
        <v>45881</v>
      </c>
      <c r="F45" s="139" t="s">
        <v>85</v>
      </c>
      <c r="G45" s="173" t="s">
        <v>22</v>
      </c>
      <c r="H45" s="173" t="s">
        <v>63</v>
      </c>
      <c r="I45" s="139" t="s">
        <v>350</v>
      </c>
      <c r="J45" s="251">
        <v>45877</v>
      </c>
      <c r="K45" s="15"/>
      <c r="L45" s="15"/>
      <c r="M45" s="15"/>
      <c r="N45" s="15"/>
      <c r="O45" s="15"/>
      <c r="P45" s="15"/>
      <c r="Q45" s="15"/>
      <c r="R45" s="15"/>
      <c r="S45" s="15"/>
      <c r="T45" s="15"/>
      <c r="U45" s="15"/>
      <c r="V45" s="15"/>
      <c r="W45" s="15"/>
      <c r="X45" s="15"/>
      <c r="Y45" s="15"/>
      <c r="Z45" s="15"/>
      <c r="AA45" s="15"/>
      <c r="AB45" s="15"/>
      <c r="AC45" s="15"/>
      <c r="AD45" s="15"/>
    </row>
    <row r="46" spans="1:45">
      <c r="A46" s="256" t="s">
        <v>94</v>
      </c>
      <c r="B46" s="249" t="s">
        <v>164</v>
      </c>
      <c r="C46" s="250" t="s">
        <v>40</v>
      </c>
      <c r="D46" s="256" t="s">
        <v>214</v>
      </c>
      <c r="E46" s="253">
        <v>45881</v>
      </c>
      <c r="F46" s="256" t="s">
        <v>94</v>
      </c>
      <c r="G46" s="247" t="s">
        <v>164</v>
      </c>
      <c r="H46" s="173" t="s">
        <v>40</v>
      </c>
      <c r="I46" s="256" t="s">
        <v>350</v>
      </c>
      <c r="J46" s="257">
        <v>45877</v>
      </c>
      <c r="K46" s="15"/>
      <c r="L46" s="15"/>
      <c r="M46" s="15"/>
      <c r="N46" s="15"/>
      <c r="O46" s="15"/>
      <c r="P46" s="15"/>
      <c r="Q46" s="15"/>
      <c r="R46" s="15"/>
      <c r="S46" s="15"/>
      <c r="T46" s="15"/>
      <c r="U46" s="15"/>
      <c r="V46" s="15"/>
      <c r="W46" s="15"/>
      <c r="X46" s="15"/>
      <c r="Y46" s="15"/>
      <c r="Z46" s="15"/>
      <c r="AA46" s="15"/>
      <c r="AB46" s="15"/>
      <c r="AC46" s="15"/>
      <c r="AD46" s="15"/>
    </row>
    <row r="47" spans="1:45">
      <c r="A47" s="139" t="s">
        <v>291</v>
      </c>
      <c r="B47" s="250" t="s">
        <v>22</v>
      </c>
      <c r="C47" s="250" t="s">
        <v>25</v>
      </c>
      <c r="D47" s="139" t="s">
        <v>376</v>
      </c>
      <c r="E47" s="253">
        <v>45882</v>
      </c>
      <c r="F47" s="139" t="s">
        <v>129</v>
      </c>
      <c r="G47" s="247" t="s">
        <v>22</v>
      </c>
      <c r="H47" s="173" t="s">
        <v>56</v>
      </c>
      <c r="I47" s="139" t="s">
        <v>350</v>
      </c>
      <c r="J47" s="251">
        <v>45877</v>
      </c>
      <c r="K47" s="15"/>
      <c r="L47" s="15"/>
      <c r="M47" s="15"/>
      <c r="N47" s="15"/>
      <c r="O47" s="15"/>
      <c r="P47" s="15"/>
      <c r="Q47" s="15"/>
      <c r="R47" s="15"/>
      <c r="S47" s="15"/>
      <c r="T47" s="15"/>
      <c r="U47" s="15"/>
      <c r="V47" s="15"/>
      <c r="W47" s="15"/>
      <c r="X47" s="15"/>
      <c r="Y47" s="15"/>
      <c r="Z47" s="15"/>
      <c r="AA47" s="15"/>
      <c r="AB47" s="15"/>
      <c r="AC47" s="15"/>
      <c r="AD47" s="15"/>
    </row>
    <row r="48" spans="1:45">
      <c r="A48" s="252" t="s">
        <v>131</v>
      </c>
      <c r="B48" s="249" t="s">
        <v>341</v>
      </c>
      <c r="C48" s="250" t="s">
        <v>40</v>
      </c>
      <c r="D48" s="252" t="s">
        <v>376</v>
      </c>
      <c r="E48" s="253">
        <v>45882</v>
      </c>
      <c r="F48" s="139" t="s">
        <v>134</v>
      </c>
      <c r="G48" s="247" t="s">
        <v>22</v>
      </c>
      <c r="H48" s="173" t="s">
        <v>56</v>
      </c>
      <c r="I48" s="139" t="s">
        <v>350</v>
      </c>
      <c r="J48" s="251">
        <v>45877</v>
      </c>
      <c r="K48" s="15"/>
      <c r="L48" s="15"/>
      <c r="M48" s="15"/>
      <c r="N48" s="15"/>
      <c r="O48" s="15"/>
      <c r="P48" s="15"/>
      <c r="Q48" s="15"/>
      <c r="R48" s="15"/>
      <c r="S48" s="15"/>
      <c r="T48" s="15"/>
      <c r="U48" s="15"/>
      <c r="V48" s="15"/>
      <c r="W48" s="15"/>
      <c r="X48" s="15"/>
      <c r="Y48" s="15"/>
      <c r="Z48" s="15"/>
      <c r="AA48" s="15"/>
      <c r="AB48" s="15"/>
      <c r="AC48" s="15"/>
      <c r="AD48" s="15"/>
    </row>
    <row r="49" spans="1:30">
      <c r="A49" s="258" t="s">
        <v>107</v>
      </c>
      <c r="B49" s="249" t="s">
        <v>164</v>
      </c>
      <c r="C49" s="250" t="s">
        <v>40</v>
      </c>
      <c r="D49" s="258" t="s">
        <v>369</v>
      </c>
      <c r="E49" s="251">
        <v>45883</v>
      </c>
      <c r="F49" s="259" t="s">
        <v>32</v>
      </c>
      <c r="G49" s="247" t="s">
        <v>22</v>
      </c>
      <c r="H49" s="173" t="s">
        <v>33</v>
      </c>
      <c r="I49" s="139" t="s">
        <v>241</v>
      </c>
      <c r="J49" s="251">
        <v>45879</v>
      </c>
      <c r="K49" s="15"/>
      <c r="L49" s="15"/>
      <c r="M49" s="15"/>
      <c r="N49" s="15"/>
      <c r="O49" s="15"/>
      <c r="P49" s="15"/>
      <c r="Q49" s="15"/>
      <c r="R49" s="15"/>
      <c r="S49" s="15"/>
      <c r="T49" s="15"/>
      <c r="U49" s="15"/>
      <c r="V49" s="15"/>
      <c r="W49" s="15"/>
      <c r="X49" s="15"/>
      <c r="Y49" s="15"/>
      <c r="Z49" s="15"/>
      <c r="AA49" s="15"/>
      <c r="AB49" s="15"/>
      <c r="AC49" s="15"/>
      <c r="AD49" s="15"/>
    </row>
    <row r="50" spans="1:30">
      <c r="A50" s="258" t="s">
        <v>104</v>
      </c>
      <c r="B50" s="249" t="s">
        <v>22</v>
      </c>
      <c r="C50" s="250" t="s">
        <v>25</v>
      </c>
      <c r="D50" s="139" t="s">
        <v>354</v>
      </c>
      <c r="E50" s="251">
        <v>45883</v>
      </c>
      <c r="F50" s="259" t="s">
        <v>70</v>
      </c>
      <c r="G50" s="247" t="s">
        <v>22</v>
      </c>
      <c r="H50" s="173" t="s">
        <v>63</v>
      </c>
      <c r="I50" s="139" t="s">
        <v>241</v>
      </c>
      <c r="J50" s="251">
        <v>45879</v>
      </c>
      <c r="K50" s="15"/>
      <c r="L50" s="15"/>
      <c r="M50" s="15"/>
      <c r="N50" s="15"/>
      <c r="O50" s="15"/>
      <c r="P50" s="15"/>
      <c r="Q50" s="15"/>
    </row>
    <row r="51" spans="1:30">
      <c r="A51" s="258" t="s">
        <v>131</v>
      </c>
      <c r="B51" s="249" t="s">
        <v>341</v>
      </c>
      <c r="C51" s="250" t="s">
        <v>33</v>
      </c>
      <c r="D51" s="139" t="s">
        <v>354</v>
      </c>
      <c r="E51" s="251">
        <v>45883</v>
      </c>
      <c r="F51" s="259" t="s">
        <v>85</v>
      </c>
      <c r="G51" s="173" t="s">
        <v>22</v>
      </c>
      <c r="H51" s="173" t="s">
        <v>63</v>
      </c>
      <c r="I51" s="139" t="s">
        <v>241</v>
      </c>
      <c r="J51" s="251">
        <v>45879</v>
      </c>
      <c r="K51" s="15"/>
      <c r="L51" s="15"/>
      <c r="M51" s="15"/>
      <c r="N51" s="15"/>
      <c r="O51" s="15"/>
      <c r="P51" s="15"/>
      <c r="Q51" s="15"/>
    </row>
    <row r="52" spans="1:30">
      <c r="A52" s="275" t="s">
        <v>291</v>
      </c>
      <c r="B52" s="276" t="s">
        <v>22</v>
      </c>
      <c r="C52" s="276" t="s">
        <v>25</v>
      </c>
      <c r="D52" s="139" t="s">
        <v>354</v>
      </c>
      <c r="E52" s="251">
        <v>45883</v>
      </c>
      <c r="F52" s="259" t="s">
        <v>104</v>
      </c>
      <c r="G52" s="247" t="s">
        <v>22</v>
      </c>
      <c r="H52" s="173" t="s">
        <v>25</v>
      </c>
      <c r="I52" s="139" t="s">
        <v>241</v>
      </c>
      <c r="J52" s="251">
        <v>45879</v>
      </c>
      <c r="K52" s="15"/>
      <c r="L52" s="15"/>
      <c r="M52" s="15"/>
      <c r="N52" s="15"/>
      <c r="O52" s="15"/>
      <c r="P52" s="15"/>
      <c r="Q52" s="15"/>
    </row>
    <row r="53" spans="1:30">
      <c r="A53" s="274" t="s">
        <v>220</v>
      </c>
      <c r="B53" s="274" t="s">
        <v>267</v>
      </c>
      <c r="C53" s="274" t="s">
        <v>40</v>
      </c>
      <c r="D53" s="259" t="s">
        <v>354</v>
      </c>
      <c r="E53" s="251">
        <v>45884</v>
      </c>
      <c r="F53" s="259" t="s">
        <v>190</v>
      </c>
      <c r="G53" s="247" t="s">
        <v>22</v>
      </c>
      <c r="H53" s="173" t="s">
        <v>56</v>
      </c>
      <c r="I53" s="139" t="s">
        <v>241</v>
      </c>
      <c r="J53" s="251">
        <v>45879</v>
      </c>
      <c r="K53" s="15"/>
      <c r="L53" s="15"/>
      <c r="M53" s="15"/>
      <c r="N53" s="15"/>
      <c r="O53" s="15"/>
      <c r="P53" s="15"/>
      <c r="Q53" s="15"/>
    </row>
    <row r="54" spans="1:30">
      <c r="A54" s="274" t="s">
        <v>107</v>
      </c>
      <c r="B54" s="274" t="s">
        <v>57</v>
      </c>
      <c r="C54" s="274" t="s">
        <v>40</v>
      </c>
      <c r="D54" s="259" t="s">
        <v>354</v>
      </c>
      <c r="E54" s="251">
        <v>45884</v>
      </c>
      <c r="F54" s="139" t="s">
        <v>116</v>
      </c>
      <c r="G54" s="247" t="s">
        <v>22</v>
      </c>
      <c r="H54" s="173" t="s">
        <v>63</v>
      </c>
      <c r="I54" s="139" t="s">
        <v>241</v>
      </c>
      <c r="J54" s="251">
        <v>45879</v>
      </c>
      <c r="K54" s="15"/>
      <c r="L54"/>
      <c r="M54"/>
      <c r="N54" s="15"/>
      <c r="O54" s="15"/>
    </row>
    <row r="55" spans="1:30">
      <c r="A55" s="274" t="s">
        <v>104</v>
      </c>
      <c r="B55" s="274" t="s">
        <v>22</v>
      </c>
      <c r="C55" s="274" t="s">
        <v>25</v>
      </c>
      <c r="D55" s="259" t="s">
        <v>354</v>
      </c>
      <c r="E55" s="251">
        <v>45884</v>
      </c>
      <c r="F55" s="139" t="s">
        <v>134</v>
      </c>
      <c r="G55" s="247" t="s">
        <v>22</v>
      </c>
      <c r="H55" s="173" t="s">
        <v>56</v>
      </c>
      <c r="I55" s="139" t="s">
        <v>241</v>
      </c>
      <c r="J55" s="251">
        <v>45879</v>
      </c>
      <c r="K55" s="15"/>
      <c r="L55"/>
      <c r="M55"/>
      <c r="N55" s="15"/>
      <c r="O55" s="15"/>
    </row>
    <row r="56" spans="1:30">
      <c r="A56" s="274" t="s">
        <v>289</v>
      </c>
      <c r="B56" s="274" t="s">
        <v>22</v>
      </c>
      <c r="C56" s="274" t="s">
        <v>56</v>
      </c>
      <c r="D56" s="259" t="s">
        <v>354</v>
      </c>
      <c r="E56" s="251">
        <v>45884</v>
      </c>
      <c r="F56" s="252" t="s">
        <v>238</v>
      </c>
      <c r="G56" s="247" t="s">
        <v>22</v>
      </c>
      <c r="H56" s="173" t="s">
        <v>30</v>
      </c>
      <c r="I56" s="252" t="s">
        <v>241</v>
      </c>
      <c r="J56" s="253">
        <v>45879</v>
      </c>
      <c r="K56" s="15"/>
      <c r="L56"/>
      <c r="M56"/>
      <c r="N56" s="15"/>
      <c r="O56" s="15"/>
    </row>
    <row r="57" spans="1:30">
      <c r="A57" s="162" t="s">
        <v>330</v>
      </c>
      <c r="B57" s="249" t="s">
        <v>341</v>
      </c>
      <c r="C57" s="250" t="s">
        <v>40</v>
      </c>
      <c r="D57" s="259" t="s">
        <v>354</v>
      </c>
      <c r="E57" s="251">
        <v>45885</v>
      </c>
      <c r="F57" s="139" t="s">
        <v>29</v>
      </c>
      <c r="G57" s="247" t="s">
        <v>341</v>
      </c>
      <c r="H57" s="173" t="s">
        <v>30</v>
      </c>
      <c r="I57" s="139" t="s">
        <v>206</v>
      </c>
      <c r="J57" s="251">
        <v>45880</v>
      </c>
      <c r="K57" s="15"/>
      <c r="L57"/>
      <c r="M57"/>
      <c r="N57" s="15"/>
      <c r="O57" s="15"/>
    </row>
    <row r="58" spans="1:30">
      <c r="A58" s="162" t="s">
        <v>330</v>
      </c>
      <c r="B58" s="249" t="s">
        <v>341</v>
      </c>
      <c r="C58" s="250" t="s">
        <v>40</v>
      </c>
      <c r="D58" s="327" t="s">
        <v>379</v>
      </c>
      <c r="E58" s="251">
        <v>45885</v>
      </c>
      <c r="F58" s="139" t="s">
        <v>32</v>
      </c>
      <c r="G58" s="247" t="s">
        <v>22</v>
      </c>
      <c r="H58" s="173" t="s">
        <v>33</v>
      </c>
      <c r="I58" s="139" t="s">
        <v>206</v>
      </c>
      <c r="J58" s="251">
        <v>45880</v>
      </c>
      <c r="K58" s="15"/>
      <c r="L58" s="15"/>
      <c r="M58" s="15"/>
      <c r="N58" s="15"/>
      <c r="O58" s="15"/>
    </row>
    <row r="59" spans="1:30">
      <c r="A59" s="162" t="s">
        <v>236</v>
      </c>
      <c r="B59" s="247" t="s">
        <v>37</v>
      </c>
      <c r="C59" s="173" t="s">
        <v>40</v>
      </c>
      <c r="D59" s="328" t="s">
        <v>14</v>
      </c>
      <c r="E59" s="251">
        <v>45886</v>
      </c>
      <c r="F59" s="139" t="s">
        <v>70</v>
      </c>
      <c r="G59" s="247" t="s">
        <v>22</v>
      </c>
      <c r="H59" s="173" t="s">
        <v>63</v>
      </c>
      <c r="I59" s="139" t="s">
        <v>206</v>
      </c>
      <c r="J59" s="251">
        <v>45880</v>
      </c>
      <c r="K59" s="15"/>
      <c r="L59" s="15"/>
      <c r="M59" s="15"/>
      <c r="N59" s="15"/>
      <c r="O59" s="15"/>
    </row>
    <row r="60" spans="1:30">
      <c r="A60" s="164" t="s">
        <v>224</v>
      </c>
      <c r="B60" s="247" t="s">
        <v>37</v>
      </c>
      <c r="C60" s="173" t="s">
        <v>40</v>
      </c>
      <c r="D60" s="328" t="s">
        <v>373</v>
      </c>
      <c r="E60" s="251">
        <v>45886</v>
      </c>
      <c r="F60" s="139" t="s">
        <v>85</v>
      </c>
      <c r="G60" s="173" t="s">
        <v>22</v>
      </c>
      <c r="H60" s="173" t="s">
        <v>63</v>
      </c>
      <c r="I60" s="139" t="s">
        <v>206</v>
      </c>
      <c r="J60" s="251">
        <v>45880</v>
      </c>
      <c r="K60" s="15"/>
      <c r="L60" s="15"/>
      <c r="M60" s="15"/>
      <c r="N60" s="15"/>
      <c r="O60" s="15"/>
    </row>
    <row r="61" spans="1:30">
      <c r="A61" s="163" t="s">
        <v>311</v>
      </c>
      <c r="B61" s="247" t="s">
        <v>341</v>
      </c>
      <c r="C61" s="173" t="s">
        <v>25</v>
      </c>
      <c r="D61" s="326" t="s">
        <v>379</v>
      </c>
      <c r="E61" s="251">
        <v>45887</v>
      </c>
      <c r="F61" s="139" t="s">
        <v>104</v>
      </c>
      <c r="G61" s="247" t="s">
        <v>22</v>
      </c>
      <c r="H61" s="173" t="s">
        <v>25</v>
      </c>
      <c r="I61" s="139" t="s">
        <v>214</v>
      </c>
      <c r="J61" s="251">
        <v>45880</v>
      </c>
      <c r="K61" s="15"/>
      <c r="L61" s="15"/>
      <c r="M61" s="15"/>
      <c r="N61" s="15"/>
      <c r="O61" s="15"/>
    </row>
    <row r="62" spans="1:30">
      <c r="A62" s="162" t="s">
        <v>220</v>
      </c>
      <c r="B62" s="247" t="s">
        <v>267</v>
      </c>
      <c r="C62" s="173" t="s">
        <v>40</v>
      </c>
      <c r="D62" s="326" t="s">
        <v>379</v>
      </c>
      <c r="E62" s="251">
        <v>45887</v>
      </c>
      <c r="F62" s="139" t="s">
        <v>190</v>
      </c>
      <c r="G62" s="247" t="s">
        <v>22</v>
      </c>
      <c r="H62" s="173" t="s">
        <v>56</v>
      </c>
      <c r="I62" s="139" t="s">
        <v>206</v>
      </c>
      <c r="J62" s="251">
        <v>45880</v>
      </c>
      <c r="K62" s="15"/>
      <c r="L62" s="15"/>
      <c r="M62" s="15"/>
      <c r="N62" s="15"/>
      <c r="O62" s="15"/>
    </row>
    <row r="63" spans="1:30">
      <c r="A63" s="162" t="s">
        <v>107</v>
      </c>
      <c r="B63" s="247" t="s">
        <v>164</v>
      </c>
      <c r="C63" s="173" t="s">
        <v>40</v>
      </c>
      <c r="D63" s="326" t="s">
        <v>379</v>
      </c>
      <c r="E63" s="251">
        <v>45887</v>
      </c>
      <c r="F63" s="139" t="s">
        <v>116</v>
      </c>
      <c r="G63" s="247" t="s">
        <v>22</v>
      </c>
      <c r="H63" s="173" t="s">
        <v>63</v>
      </c>
      <c r="I63" s="139" t="s">
        <v>206</v>
      </c>
      <c r="J63" s="251">
        <v>45880</v>
      </c>
      <c r="K63" s="15"/>
      <c r="L63" s="15"/>
      <c r="M63" s="15"/>
      <c r="N63" s="15"/>
      <c r="O63" s="15"/>
    </row>
    <row r="64" spans="1:30">
      <c r="A64" s="164" t="s">
        <v>77</v>
      </c>
      <c r="B64" s="247" t="s">
        <v>22</v>
      </c>
      <c r="C64" s="173" t="s">
        <v>30</v>
      </c>
      <c r="D64" s="326" t="s">
        <v>379</v>
      </c>
      <c r="E64" s="251">
        <v>45887</v>
      </c>
      <c r="F64" s="139" t="s">
        <v>134</v>
      </c>
      <c r="G64" s="247" t="s">
        <v>22</v>
      </c>
      <c r="H64" s="173" t="s">
        <v>56</v>
      </c>
      <c r="I64" s="139" t="s">
        <v>214</v>
      </c>
      <c r="J64" s="251">
        <v>45880</v>
      </c>
      <c r="K64" s="15"/>
      <c r="L64" s="15"/>
      <c r="M64" s="15"/>
      <c r="N64" s="15"/>
      <c r="O64" s="15"/>
    </row>
    <row r="65" spans="1:45">
      <c r="A65" s="164" t="s">
        <v>299</v>
      </c>
      <c r="B65" s="247" t="s">
        <v>22</v>
      </c>
      <c r="C65" s="173" t="s">
        <v>56</v>
      </c>
      <c r="D65" s="326" t="s">
        <v>379</v>
      </c>
      <c r="E65" s="251">
        <v>45887</v>
      </c>
      <c r="F65" s="252" t="s">
        <v>238</v>
      </c>
      <c r="G65" s="247" t="s">
        <v>22</v>
      </c>
      <c r="H65" s="173" t="s">
        <v>30</v>
      </c>
      <c r="I65" s="252" t="s">
        <v>214</v>
      </c>
      <c r="J65" s="253">
        <v>45880</v>
      </c>
      <c r="K65" s="15"/>
      <c r="L65" s="15"/>
      <c r="M65" s="15"/>
      <c r="N65" s="15"/>
      <c r="O65" s="15"/>
      <c r="AJ65" s="377" t="s">
        <v>380</v>
      </c>
      <c r="AK65" s="378"/>
      <c r="AL65" s="378"/>
      <c r="AM65" s="378"/>
    </row>
    <row r="66" spans="1:45">
      <c r="A66" s="164" t="s">
        <v>328</v>
      </c>
      <c r="B66" s="247" t="s">
        <v>341</v>
      </c>
      <c r="C66" s="173" t="s">
        <v>56</v>
      </c>
      <c r="D66" s="326" t="s">
        <v>379</v>
      </c>
      <c r="E66" s="251">
        <v>45887</v>
      </c>
      <c r="F66" s="139" t="s">
        <v>29</v>
      </c>
      <c r="G66" s="247" t="s">
        <v>341</v>
      </c>
      <c r="H66" s="173" t="s">
        <v>30</v>
      </c>
      <c r="I66" s="139" t="s">
        <v>206</v>
      </c>
      <c r="J66" s="251">
        <v>45881</v>
      </c>
      <c r="K66" s="15"/>
      <c r="L66" s="15"/>
      <c r="M66" s="15"/>
      <c r="N66" s="15"/>
      <c r="O66" s="15"/>
      <c r="AE66" s="146"/>
      <c r="AF66" s="146"/>
      <c r="AG66" s="146"/>
      <c r="AH66" s="146"/>
      <c r="AI66" s="147"/>
      <c r="AJ66" s="300">
        <v>45696</v>
      </c>
      <c r="AK66" s="188">
        <v>45724</v>
      </c>
      <c r="AL66" s="188">
        <v>45969</v>
      </c>
      <c r="AM66" s="188">
        <v>45999</v>
      </c>
      <c r="AN66" s="189" t="s">
        <v>243</v>
      </c>
      <c r="AO66" s="189" t="s">
        <v>244</v>
      </c>
      <c r="AP66" s="189" t="s">
        <v>245</v>
      </c>
      <c r="AQ66" s="189" t="s">
        <v>246</v>
      </c>
      <c r="AR66" s="189" t="s">
        <v>247</v>
      </c>
      <c r="AS66" s="189" t="s">
        <v>248</v>
      </c>
    </row>
    <row r="67" spans="1:45">
      <c r="A67" s="162" t="s">
        <v>220</v>
      </c>
      <c r="B67" s="247" t="s">
        <v>267</v>
      </c>
      <c r="C67" s="173" t="s">
        <v>40</v>
      </c>
      <c r="D67" s="326" t="s">
        <v>379</v>
      </c>
      <c r="E67" s="251">
        <v>45888</v>
      </c>
      <c r="F67" s="139" t="s">
        <v>32</v>
      </c>
      <c r="G67" s="247" t="s">
        <v>22</v>
      </c>
      <c r="H67" s="173" t="s">
        <v>33</v>
      </c>
      <c r="I67" s="139" t="s">
        <v>206</v>
      </c>
      <c r="J67" s="251">
        <v>45881</v>
      </c>
      <c r="K67" s="15"/>
      <c r="L67" s="15"/>
      <c r="M67" s="15"/>
      <c r="N67" s="15"/>
      <c r="O67" s="15"/>
      <c r="AE67" s="148" t="s">
        <v>2</v>
      </c>
      <c r="AF67" s="149" t="s">
        <v>262</v>
      </c>
      <c r="AG67" s="150" t="s">
        <v>263</v>
      </c>
      <c r="AH67" s="150" t="s">
        <v>0</v>
      </c>
      <c r="AI67" s="151" t="s">
        <v>3</v>
      </c>
      <c r="AJ67" s="191" t="s">
        <v>141</v>
      </c>
      <c r="AK67" s="191" t="s">
        <v>135</v>
      </c>
      <c r="AL67" s="191" t="s">
        <v>136</v>
      </c>
      <c r="AM67" s="191" t="s">
        <v>137</v>
      </c>
      <c r="AN67" s="191" t="s">
        <v>138</v>
      </c>
      <c r="AO67" s="191" t="s">
        <v>139</v>
      </c>
      <c r="AP67" s="191" t="s">
        <v>140</v>
      </c>
      <c r="AQ67" s="191" t="s">
        <v>141</v>
      </c>
      <c r="AR67" s="191" t="s">
        <v>135</v>
      </c>
      <c r="AS67" s="191" t="s">
        <v>136</v>
      </c>
    </row>
    <row r="68" spans="1:45">
      <c r="A68" s="162" t="s">
        <v>107</v>
      </c>
      <c r="B68" s="247" t="s">
        <v>164</v>
      </c>
      <c r="C68" s="173" t="s">
        <v>40</v>
      </c>
      <c r="D68" s="326" t="s">
        <v>379</v>
      </c>
      <c r="E68" s="251">
        <v>45888</v>
      </c>
      <c r="F68" s="139" t="s">
        <v>70</v>
      </c>
      <c r="G68" s="247" t="s">
        <v>22</v>
      </c>
      <c r="H68" s="173" t="s">
        <v>63</v>
      </c>
      <c r="I68" s="139" t="s">
        <v>206</v>
      </c>
      <c r="J68" s="251">
        <v>45881</v>
      </c>
      <c r="K68" s="15"/>
      <c r="L68" s="15"/>
      <c r="M68" s="15"/>
      <c r="N68" s="15"/>
      <c r="O68" s="15"/>
      <c r="AE68" s="164" t="s">
        <v>270</v>
      </c>
      <c r="AF68" s="156" t="s">
        <v>265</v>
      </c>
      <c r="AG68" s="157" t="s">
        <v>266</v>
      </c>
      <c r="AH68" s="157" t="s">
        <v>22</v>
      </c>
      <c r="AI68" s="158" t="s">
        <v>33</v>
      </c>
      <c r="AJ68" s="98" t="s">
        <v>148</v>
      </c>
      <c r="AK68" s="99" t="s">
        <v>147</v>
      </c>
      <c r="AL68" s="100">
        <v>1</v>
      </c>
      <c r="AM68" s="102">
        <v>29</v>
      </c>
      <c r="AN68" s="102" t="s">
        <v>148</v>
      </c>
      <c r="AO68" s="102" t="s">
        <v>148</v>
      </c>
      <c r="AP68" s="102" t="s">
        <v>148</v>
      </c>
      <c r="AQ68" s="99" t="s">
        <v>147</v>
      </c>
      <c r="AR68" s="99" t="s">
        <v>147</v>
      </c>
      <c r="AS68" s="102">
        <v>8</v>
      </c>
    </row>
    <row r="69" spans="1:45">
      <c r="A69" s="164" t="s">
        <v>277</v>
      </c>
      <c r="B69" s="173" t="s">
        <v>22</v>
      </c>
      <c r="C69" s="173" t="s">
        <v>30</v>
      </c>
      <c r="D69" s="326" t="s">
        <v>379</v>
      </c>
      <c r="E69" s="251">
        <v>45888</v>
      </c>
      <c r="F69" s="139" t="s">
        <v>85</v>
      </c>
      <c r="G69" s="173" t="s">
        <v>22</v>
      </c>
      <c r="H69" s="173" t="s">
        <v>63</v>
      </c>
      <c r="I69" s="139" t="s">
        <v>206</v>
      </c>
      <c r="J69" s="251">
        <v>45881</v>
      </c>
      <c r="K69" s="15"/>
      <c r="L69" s="15"/>
      <c r="M69" s="15"/>
      <c r="N69" s="15"/>
      <c r="O69" s="15"/>
      <c r="AE69" s="164" t="s">
        <v>279</v>
      </c>
      <c r="AF69" s="156" t="s">
        <v>265</v>
      </c>
      <c r="AG69" s="157" t="s">
        <v>266</v>
      </c>
      <c r="AH69" s="157" t="s">
        <v>22</v>
      </c>
      <c r="AI69" s="158" t="s">
        <v>30</v>
      </c>
      <c r="AJ69" s="98" t="s">
        <v>148</v>
      </c>
      <c r="AK69" s="99" t="s">
        <v>147</v>
      </c>
      <c r="AL69" s="98" t="s">
        <v>148</v>
      </c>
      <c r="AM69" s="100">
        <v>1</v>
      </c>
      <c r="AN69" s="98" t="s">
        <v>148</v>
      </c>
      <c r="AO69" s="98" t="s">
        <v>148</v>
      </c>
      <c r="AP69" s="100">
        <v>8</v>
      </c>
      <c r="AQ69" s="99" t="s">
        <v>147</v>
      </c>
      <c r="AR69" s="99" t="s">
        <v>147</v>
      </c>
      <c r="AS69" s="98" t="s">
        <v>148</v>
      </c>
    </row>
    <row r="70" spans="1:45">
      <c r="A70" s="164" t="s">
        <v>77</v>
      </c>
      <c r="B70" s="247" t="s">
        <v>22</v>
      </c>
      <c r="C70" s="173" t="s">
        <v>30</v>
      </c>
      <c r="D70" s="326" t="s">
        <v>379</v>
      </c>
      <c r="E70" s="251">
        <v>45888</v>
      </c>
      <c r="F70" s="139" t="s">
        <v>104</v>
      </c>
      <c r="G70" s="247" t="s">
        <v>22</v>
      </c>
      <c r="H70" s="173" t="s">
        <v>25</v>
      </c>
      <c r="I70" s="139" t="s">
        <v>214</v>
      </c>
      <c r="J70" s="251">
        <v>45881</v>
      </c>
      <c r="K70" s="15"/>
      <c r="L70" s="15"/>
      <c r="M70" s="15"/>
      <c r="N70" s="15"/>
      <c r="O70" s="15"/>
      <c r="AE70" s="164" t="s">
        <v>280</v>
      </c>
      <c r="AF70" s="156" t="s">
        <v>265</v>
      </c>
      <c r="AG70" s="157" t="s">
        <v>266</v>
      </c>
      <c r="AH70" s="157" t="s">
        <v>22</v>
      </c>
      <c r="AI70" s="158" t="s">
        <v>63</v>
      </c>
      <c r="AJ70" s="99" t="s">
        <v>147</v>
      </c>
      <c r="AK70" s="99" t="s">
        <v>147</v>
      </c>
      <c r="AL70" s="100">
        <v>1</v>
      </c>
      <c r="AM70" s="100">
        <v>4</v>
      </c>
      <c r="AN70" s="102">
        <v>1</v>
      </c>
      <c r="AO70" s="98" t="s">
        <v>148</v>
      </c>
      <c r="AP70" s="100">
        <v>7</v>
      </c>
      <c r="AQ70" s="99" t="s">
        <v>147</v>
      </c>
      <c r="AR70" s="99" t="s">
        <v>147</v>
      </c>
      <c r="AS70" s="102" t="s">
        <v>148</v>
      </c>
    </row>
    <row r="71" spans="1:45">
      <c r="A71" s="164" t="s">
        <v>74</v>
      </c>
      <c r="B71" s="247" t="s">
        <v>37</v>
      </c>
      <c r="C71" s="173" t="s">
        <v>40</v>
      </c>
      <c r="D71" s="326" t="s">
        <v>379</v>
      </c>
      <c r="E71" s="251">
        <v>45888</v>
      </c>
      <c r="F71" s="139" t="s">
        <v>190</v>
      </c>
      <c r="G71" s="247" t="s">
        <v>22</v>
      </c>
      <c r="H71" s="173" t="s">
        <v>56</v>
      </c>
      <c r="I71" s="139" t="s">
        <v>206</v>
      </c>
      <c r="J71" s="251">
        <v>45881</v>
      </c>
      <c r="K71" s="15"/>
      <c r="L71" s="15"/>
      <c r="M71" s="15"/>
      <c r="N71" s="15"/>
      <c r="O71" s="15"/>
      <c r="AE71" s="164" t="s">
        <v>284</v>
      </c>
      <c r="AF71" s="156" t="s">
        <v>265</v>
      </c>
      <c r="AG71" s="157" t="s">
        <v>266</v>
      </c>
      <c r="AH71" s="157" t="s">
        <v>22</v>
      </c>
      <c r="AI71" s="158" t="s">
        <v>63</v>
      </c>
      <c r="AJ71" s="98" t="s">
        <v>148</v>
      </c>
      <c r="AK71" s="98" t="s">
        <v>148</v>
      </c>
      <c r="AL71" s="100">
        <v>1</v>
      </c>
      <c r="AM71" s="100">
        <v>1</v>
      </c>
      <c r="AN71" s="98" t="s">
        <v>148</v>
      </c>
      <c r="AO71" s="98" t="s">
        <v>148</v>
      </c>
      <c r="AP71" s="100">
        <v>30</v>
      </c>
      <c r="AQ71" s="99" t="s">
        <v>147</v>
      </c>
      <c r="AR71" s="99" t="s">
        <v>147</v>
      </c>
      <c r="AS71" s="102">
        <v>8</v>
      </c>
    </row>
    <row r="72" spans="1:45">
      <c r="A72" s="162" t="s">
        <v>123</v>
      </c>
      <c r="B72" s="247" t="s">
        <v>341</v>
      </c>
      <c r="C72" s="173" t="s">
        <v>40</v>
      </c>
      <c r="D72" s="326" t="s">
        <v>379</v>
      </c>
      <c r="E72" s="251">
        <v>45888</v>
      </c>
      <c r="F72" s="139" t="s">
        <v>116</v>
      </c>
      <c r="G72" s="247" t="s">
        <v>22</v>
      </c>
      <c r="H72" s="173" t="s">
        <v>63</v>
      </c>
      <c r="I72" s="139" t="s">
        <v>206</v>
      </c>
      <c r="J72" s="251">
        <v>45881</v>
      </c>
      <c r="K72" s="15"/>
      <c r="L72" s="15"/>
      <c r="M72" s="15"/>
      <c r="N72" s="15"/>
      <c r="O72" s="15"/>
      <c r="AE72" s="162" t="s">
        <v>104</v>
      </c>
      <c r="AF72" s="156" t="s">
        <v>265</v>
      </c>
      <c r="AG72" s="157" t="s">
        <v>266</v>
      </c>
      <c r="AH72" s="157" t="s">
        <v>22</v>
      </c>
      <c r="AI72" s="158" t="s">
        <v>25</v>
      </c>
      <c r="AJ72" s="99" t="s">
        <v>147</v>
      </c>
      <c r="AK72" s="99" t="s">
        <v>147</v>
      </c>
      <c r="AL72" s="100">
        <v>18</v>
      </c>
      <c r="AM72" s="98" t="s">
        <v>148</v>
      </c>
      <c r="AN72" s="100">
        <v>1</v>
      </c>
      <c r="AO72" s="102">
        <v>450</v>
      </c>
      <c r="AP72" s="102">
        <v>450</v>
      </c>
      <c r="AQ72" s="99" t="s">
        <v>147</v>
      </c>
      <c r="AR72" s="99" t="s">
        <v>147</v>
      </c>
      <c r="AS72" s="102" t="s">
        <v>148</v>
      </c>
    </row>
    <row r="73" spans="1:45">
      <c r="A73" s="162" t="s">
        <v>123</v>
      </c>
      <c r="B73" s="157" t="s">
        <v>26</v>
      </c>
      <c r="C73" s="158" t="s">
        <v>40</v>
      </c>
      <c r="D73" s="326" t="s">
        <v>379</v>
      </c>
      <c r="E73" s="251">
        <v>45889</v>
      </c>
      <c r="F73" s="139" t="s">
        <v>134</v>
      </c>
      <c r="G73" s="247" t="s">
        <v>22</v>
      </c>
      <c r="H73" s="173" t="s">
        <v>56</v>
      </c>
      <c r="I73" s="139" t="s">
        <v>214</v>
      </c>
      <c r="J73" s="251">
        <v>45881</v>
      </c>
      <c r="K73" s="15"/>
      <c r="L73" s="15"/>
      <c r="M73" s="15"/>
      <c r="N73" s="15"/>
      <c r="O73" s="15"/>
      <c r="AE73" s="162" t="s">
        <v>289</v>
      </c>
      <c r="AF73" s="156" t="s">
        <v>265</v>
      </c>
      <c r="AG73" s="157" t="s">
        <v>266</v>
      </c>
      <c r="AH73" s="157" t="s">
        <v>22</v>
      </c>
      <c r="AI73" s="158" t="s">
        <v>56</v>
      </c>
      <c r="AJ73" s="98" t="s">
        <v>148</v>
      </c>
      <c r="AK73" s="98" t="s">
        <v>148</v>
      </c>
      <c r="AL73" s="100">
        <v>2</v>
      </c>
      <c r="AM73" s="100">
        <v>1</v>
      </c>
      <c r="AN73" s="98" t="s">
        <v>148</v>
      </c>
      <c r="AO73" s="98" t="s">
        <v>148</v>
      </c>
      <c r="AP73" s="102">
        <v>450</v>
      </c>
      <c r="AQ73" s="99" t="s">
        <v>147</v>
      </c>
      <c r="AR73" s="99" t="s">
        <v>147</v>
      </c>
      <c r="AS73" s="102" t="s">
        <v>148</v>
      </c>
    </row>
    <row r="74" spans="1:45">
      <c r="A74" s="376" t="s">
        <v>77</v>
      </c>
      <c r="B74" s="247" t="s">
        <v>22</v>
      </c>
      <c r="C74" s="173" t="s">
        <v>30</v>
      </c>
      <c r="D74" s="326" t="s">
        <v>379</v>
      </c>
      <c r="E74" s="251">
        <v>45890</v>
      </c>
      <c r="F74" s="252" t="s">
        <v>238</v>
      </c>
      <c r="G74" s="247" t="s">
        <v>22</v>
      </c>
      <c r="H74" s="173" t="s">
        <v>30</v>
      </c>
      <c r="I74" s="252" t="s">
        <v>214</v>
      </c>
      <c r="J74" s="253">
        <v>45881</v>
      </c>
      <c r="K74" s="15"/>
      <c r="L74" s="15"/>
      <c r="M74" s="15"/>
      <c r="N74" s="15"/>
      <c r="O74" s="15"/>
      <c r="AE74" s="164" t="s">
        <v>129</v>
      </c>
      <c r="AF74" s="156" t="s">
        <v>265</v>
      </c>
      <c r="AG74" s="157" t="s">
        <v>266</v>
      </c>
      <c r="AH74" s="157" t="s">
        <v>22</v>
      </c>
      <c r="AI74" s="158" t="s">
        <v>56</v>
      </c>
      <c r="AJ74" s="98" t="s">
        <v>148</v>
      </c>
      <c r="AK74" s="98" t="s">
        <v>148</v>
      </c>
      <c r="AL74" s="98" t="s">
        <v>148</v>
      </c>
      <c r="AM74" s="100">
        <v>1</v>
      </c>
      <c r="AN74" s="98" t="s">
        <v>148</v>
      </c>
      <c r="AO74" s="100">
        <v>4</v>
      </c>
      <c r="AP74" s="100">
        <v>11</v>
      </c>
      <c r="AQ74" s="99" t="s">
        <v>147</v>
      </c>
      <c r="AR74" s="99" t="s">
        <v>147</v>
      </c>
      <c r="AS74" s="102" t="s">
        <v>148</v>
      </c>
    </row>
    <row r="75" spans="1:45">
      <c r="A75" s="376" t="s">
        <v>87</v>
      </c>
      <c r="B75" s="157" t="s">
        <v>26</v>
      </c>
      <c r="C75" s="158" t="s">
        <v>56</v>
      </c>
      <c r="D75" s="326" t="s">
        <v>379</v>
      </c>
      <c r="E75" s="251">
        <v>45891</v>
      </c>
      <c r="F75" s="139" t="s">
        <v>94</v>
      </c>
      <c r="G75" s="247" t="s">
        <v>164</v>
      </c>
      <c r="H75" s="173" t="s">
        <v>40</v>
      </c>
      <c r="I75" s="139" t="s">
        <v>350</v>
      </c>
      <c r="J75" s="253">
        <v>45882</v>
      </c>
      <c r="K75" s="15"/>
      <c r="L75" s="15"/>
      <c r="M75" s="15"/>
      <c r="N75" s="15"/>
      <c r="O75" s="15"/>
      <c r="AE75" s="164" t="s">
        <v>299</v>
      </c>
      <c r="AF75" s="156" t="s">
        <v>265</v>
      </c>
      <c r="AG75" s="157" t="s">
        <v>266</v>
      </c>
      <c r="AH75" s="157" t="s">
        <v>22</v>
      </c>
      <c r="AI75" s="158" t="s">
        <v>56</v>
      </c>
      <c r="AJ75" s="98" t="s">
        <v>148</v>
      </c>
      <c r="AK75" s="98" t="s">
        <v>148</v>
      </c>
      <c r="AL75" s="100">
        <v>17</v>
      </c>
      <c r="AM75" s="98" t="s">
        <v>148</v>
      </c>
      <c r="AN75" s="100">
        <v>17</v>
      </c>
      <c r="AO75" s="98" t="s">
        <v>148</v>
      </c>
      <c r="AP75" s="98" t="s">
        <v>148</v>
      </c>
      <c r="AQ75" s="99" t="s">
        <v>147</v>
      </c>
      <c r="AR75" s="99" t="s">
        <v>147</v>
      </c>
      <c r="AS75" s="102">
        <v>450</v>
      </c>
    </row>
    <row r="76" spans="1:45">
      <c r="A76" s="139"/>
      <c r="B76" s="139"/>
      <c r="C76" s="139"/>
      <c r="D76" s="139"/>
      <c r="E76" s="139"/>
      <c r="F76" s="139" t="s">
        <v>24</v>
      </c>
      <c r="G76" s="247" t="s">
        <v>22</v>
      </c>
      <c r="H76" s="173" t="s">
        <v>25</v>
      </c>
      <c r="I76" s="139" t="s">
        <v>350</v>
      </c>
      <c r="J76" s="253">
        <v>45882</v>
      </c>
      <c r="K76" s="15"/>
      <c r="L76" s="15"/>
      <c r="M76" s="15"/>
      <c r="N76" s="15"/>
      <c r="O76" s="15"/>
      <c r="AE76" s="162" t="s">
        <v>239</v>
      </c>
      <c r="AF76" s="156" t="s">
        <v>300</v>
      </c>
      <c r="AG76" s="157" t="s">
        <v>307</v>
      </c>
      <c r="AH76" s="157" t="s">
        <v>37</v>
      </c>
      <c r="AI76" s="158" t="s">
        <v>40</v>
      </c>
      <c r="AJ76" s="100">
        <v>78</v>
      </c>
      <c r="AK76" s="100">
        <v>3</v>
      </c>
      <c r="AL76" s="98" t="s">
        <v>148</v>
      </c>
      <c r="AM76" s="99" t="s">
        <v>147</v>
      </c>
      <c r="AN76" s="99" t="s">
        <v>147</v>
      </c>
      <c r="AO76" s="102" t="s">
        <v>148</v>
      </c>
      <c r="AP76" s="100">
        <v>2</v>
      </c>
      <c r="AQ76" s="98" t="s">
        <v>148</v>
      </c>
      <c r="AR76" s="98" t="s">
        <v>148</v>
      </c>
      <c r="AS76" s="98" t="s">
        <v>148</v>
      </c>
    </row>
    <row r="77" spans="1:45">
      <c r="A77" s="139"/>
      <c r="B77" s="139"/>
      <c r="C77" s="139"/>
      <c r="D77" s="139"/>
      <c r="E77" s="139"/>
      <c r="F77" s="139" t="s">
        <v>77</v>
      </c>
      <c r="G77" s="247" t="s">
        <v>22</v>
      </c>
      <c r="H77" s="173" t="s">
        <v>30</v>
      </c>
      <c r="I77" s="139" t="s">
        <v>350</v>
      </c>
      <c r="J77" s="253">
        <v>45882</v>
      </c>
      <c r="K77" s="15"/>
      <c r="L77" s="15"/>
      <c r="M77" s="15"/>
      <c r="N77" s="15"/>
      <c r="O77" s="15"/>
      <c r="AE77" s="163" t="s">
        <v>311</v>
      </c>
      <c r="AF77" s="156" t="s">
        <v>300</v>
      </c>
      <c r="AG77" s="157" t="s">
        <v>307</v>
      </c>
      <c r="AH77" s="157" t="s">
        <v>26</v>
      </c>
      <c r="AI77" s="158" t="s">
        <v>25</v>
      </c>
      <c r="AJ77" s="98" t="s">
        <v>148</v>
      </c>
      <c r="AK77" s="98" t="s">
        <v>148</v>
      </c>
      <c r="AL77" s="100">
        <v>11</v>
      </c>
      <c r="AM77" s="99" t="s">
        <v>147</v>
      </c>
      <c r="AN77" s="99" t="s">
        <v>147</v>
      </c>
      <c r="AO77" s="102" t="s">
        <v>148</v>
      </c>
      <c r="AP77" s="100">
        <v>8</v>
      </c>
      <c r="AQ77" s="98" t="s">
        <v>148</v>
      </c>
      <c r="AR77" s="100">
        <v>25</v>
      </c>
      <c r="AS77" s="102">
        <v>450</v>
      </c>
    </row>
    <row r="78" spans="1:45">
      <c r="A78" s="139"/>
      <c r="B78" s="139"/>
      <c r="C78" s="139"/>
      <c r="D78" s="139"/>
      <c r="E78" s="139"/>
      <c r="F78" s="139" t="s">
        <v>104</v>
      </c>
      <c r="G78" s="247" t="s">
        <v>22</v>
      </c>
      <c r="H78" s="173" t="s">
        <v>25</v>
      </c>
      <c r="I78" s="139" t="s">
        <v>350</v>
      </c>
      <c r="J78" s="253">
        <v>45882</v>
      </c>
      <c r="K78" s="15"/>
      <c r="L78" s="15"/>
      <c r="M78" s="15"/>
      <c r="N78" s="15"/>
      <c r="O78" s="15"/>
      <c r="AE78" s="164" t="s">
        <v>35</v>
      </c>
      <c r="AF78" s="156" t="s">
        <v>313</v>
      </c>
      <c r="AG78" s="157" t="s">
        <v>266</v>
      </c>
      <c r="AH78" s="157" t="s">
        <v>26</v>
      </c>
      <c r="AI78" s="158" t="s">
        <v>40</v>
      </c>
      <c r="AJ78" s="99" t="s">
        <v>147</v>
      </c>
      <c r="AK78" s="98" t="s">
        <v>148</v>
      </c>
      <c r="AL78" s="99" t="s">
        <v>147</v>
      </c>
      <c r="AM78" s="99" t="s">
        <v>147</v>
      </c>
      <c r="AN78" s="102" t="s">
        <v>148</v>
      </c>
      <c r="AO78" s="102" t="s">
        <v>148</v>
      </c>
      <c r="AP78" s="99" t="s">
        <v>147</v>
      </c>
      <c r="AQ78" s="99" t="s">
        <v>147</v>
      </c>
      <c r="AR78" s="102" t="s">
        <v>148</v>
      </c>
      <c r="AS78" s="102" t="s">
        <v>187</v>
      </c>
    </row>
    <row r="79" spans="1:45">
      <c r="A79" s="139"/>
      <c r="B79" s="139"/>
      <c r="C79" s="139"/>
      <c r="D79" s="139"/>
      <c r="E79" s="139"/>
      <c r="F79" s="139" t="s">
        <v>299</v>
      </c>
      <c r="G79" s="247" t="s">
        <v>22</v>
      </c>
      <c r="H79" s="173" t="s">
        <v>56</v>
      </c>
      <c r="I79" s="139" t="s">
        <v>350</v>
      </c>
      <c r="J79" s="253">
        <v>45882</v>
      </c>
      <c r="K79" s="15"/>
      <c r="L79" s="15"/>
      <c r="M79" s="15"/>
      <c r="N79" s="15"/>
      <c r="O79" s="15"/>
    </row>
    <row r="80" spans="1:45">
      <c r="A80" s="139"/>
      <c r="B80" s="139"/>
      <c r="C80" s="139"/>
      <c r="D80" s="139"/>
      <c r="E80" s="139"/>
      <c r="F80" s="139" t="s">
        <v>74</v>
      </c>
      <c r="G80" s="247" t="s">
        <v>164</v>
      </c>
      <c r="H80" s="173" t="s">
        <v>40</v>
      </c>
      <c r="I80" s="139" t="s">
        <v>350</v>
      </c>
      <c r="J80" s="253">
        <v>45882</v>
      </c>
      <c r="K80" s="15"/>
      <c r="L80" s="15"/>
      <c r="M80" s="15"/>
      <c r="N80" s="15"/>
      <c r="O80" s="15"/>
    </row>
    <row r="81" spans="1:15">
      <c r="A81" s="139"/>
      <c r="B81" s="139"/>
      <c r="C81" s="139"/>
      <c r="D81" s="139"/>
      <c r="E81" s="139"/>
      <c r="F81" s="139" t="s">
        <v>277</v>
      </c>
      <c r="G81" s="173" t="s">
        <v>22</v>
      </c>
      <c r="H81" s="173" t="s">
        <v>30</v>
      </c>
      <c r="I81" s="139" t="s">
        <v>350</v>
      </c>
      <c r="J81" s="253">
        <v>45882</v>
      </c>
      <c r="K81" s="15"/>
      <c r="L81" s="15"/>
      <c r="M81" s="15"/>
      <c r="N81" s="15"/>
      <c r="O81" s="15"/>
    </row>
    <row r="82" spans="1:15">
      <c r="A82" s="139"/>
      <c r="B82" s="139"/>
      <c r="C82" s="139"/>
      <c r="D82" s="139"/>
      <c r="E82" s="139"/>
      <c r="F82" s="139" t="s">
        <v>381</v>
      </c>
      <c r="G82" s="247" t="s">
        <v>22</v>
      </c>
      <c r="H82" s="173" t="s">
        <v>33</v>
      </c>
      <c r="I82" s="260" t="s">
        <v>350</v>
      </c>
      <c r="J82" s="251">
        <v>45882</v>
      </c>
      <c r="K82" s="15"/>
      <c r="L82" s="15"/>
      <c r="M82" s="15"/>
      <c r="N82" s="15"/>
      <c r="O82" s="15"/>
    </row>
    <row r="83" spans="1:15">
      <c r="A83" s="139"/>
      <c r="B83" s="139"/>
      <c r="C83" s="139"/>
      <c r="D83" s="139"/>
      <c r="E83" s="139"/>
      <c r="F83" s="261" t="s">
        <v>94</v>
      </c>
      <c r="G83" s="247" t="s">
        <v>164</v>
      </c>
      <c r="H83" s="173" t="s">
        <v>40</v>
      </c>
      <c r="I83" s="258" t="s">
        <v>382</v>
      </c>
      <c r="J83" s="251">
        <v>45883</v>
      </c>
      <c r="K83"/>
      <c r="L83"/>
      <c r="M83"/>
      <c r="N83"/>
      <c r="O83" s="138"/>
    </row>
    <row r="84" spans="1:15">
      <c r="A84" s="139"/>
      <c r="B84" s="139"/>
      <c r="C84" s="139"/>
      <c r="D84" s="139"/>
      <c r="E84" s="139"/>
      <c r="F84" s="262" t="s">
        <v>100</v>
      </c>
      <c r="G84" s="247" t="s">
        <v>22</v>
      </c>
      <c r="H84" s="173" t="s">
        <v>63</v>
      </c>
      <c r="I84" s="258" t="s">
        <v>382</v>
      </c>
      <c r="J84" s="251">
        <v>45883</v>
      </c>
      <c r="K84"/>
      <c r="L84"/>
      <c r="M84"/>
      <c r="N84"/>
      <c r="O84" s="138"/>
    </row>
    <row r="85" spans="1:15">
      <c r="A85" s="139"/>
      <c r="B85" s="139"/>
      <c r="C85" s="139"/>
      <c r="D85" s="139"/>
      <c r="E85" s="139"/>
      <c r="F85" s="261" t="s">
        <v>129</v>
      </c>
      <c r="G85" s="247" t="s">
        <v>22</v>
      </c>
      <c r="H85" s="173" t="s">
        <v>56</v>
      </c>
      <c r="I85" s="258" t="s">
        <v>382</v>
      </c>
      <c r="J85" s="251">
        <v>45883</v>
      </c>
      <c r="K85"/>
      <c r="L85"/>
      <c r="M85"/>
      <c r="N85"/>
      <c r="O85" s="138"/>
    </row>
    <row r="86" spans="1:15">
      <c r="A86" s="139"/>
      <c r="B86" s="139"/>
      <c r="C86" s="139"/>
      <c r="D86" s="139"/>
      <c r="E86" s="139"/>
      <c r="F86" s="261" t="s">
        <v>312</v>
      </c>
      <c r="G86" s="247" t="s">
        <v>341</v>
      </c>
      <c r="H86" s="173" t="s">
        <v>30</v>
      </c>
      <c r="I86" s="258" t="s">
        <v>382</v>
      </c>
      <c r="J86" s="251">
        <v>45883</v>
      </c>
      <c r="K86"/>
      <c r="L86"/>
      <c r="M86"/>
      <c r="N86"/>
      <c r="O86" s="138"/>
    </row>
    <row r="87" spans="1:15">
      <c r="A87" s="139"/>
      <c r="B87" s="139"/>
      <c r="C87" s="139"/>
      <c r="D87" s="139"/>
      <c r="E87" s="139"/>
      <c r="F87" s="261" t="s">
        <v>49</v>
      </c>
      <c r="G87" s="173" t="s">
        <v>341</v>
      </c>
      <c r="H87" s="173" t="s">
        <v>40</v>
      </c>
      <c r="I87" s="258" t="s">
        <v>382</v>
      </c>
      <c r="J87" s="251">
        <v>45883</v>
      </c>
      <c r="K87"/>
      <c r="L87"/>
      <c r="M87"/>
      <c r="N87"/>
      <c r="O87" s="138"/>
    </row>
    <row r="88" spans="1:15">
      <c r="A88" s="139"/>
      <c r="B88" s="139"/>
      <c r="C88" s="139"/>
      <c r="D88" s="139"/>
      <c r="E88" s="139"/>
      <c r="F88" s="261" t="s">
        <v>319</v>
      </c>
      <c r="G88" s="247" t="s">
        <v>341</v>
      </c>
      <c r="H88" s="173" t="s">
        <v>25</v>
      </c>
      <c r="I88" s="258" t="s">
        <v>382</v>
      </c>
      <c r="J88" s="251">
        <v>45883</v>
      </c>
      <c r="K88"/>
      <c r="L88"/>
      <c r="M88"/>
      <c r="N88"/>
      <c r="O88" s="138"/>
    </row>
    <row r="89" spans="1:15">
      <c r="A89" s="252"/>
      <c r="B89" s="252"/>
      <c r="C89" s="252"/>
      <c r="D89" s="252"/>
      <c r="E89" s="252"/>
      <c r="F89" s="261" t="s">
        <v>87</v>
      </c>
      <c r="G89" s="325" t="s">
        <v>341</v>
      </c>
      <c r="H89" s="170" t="s">
        <v>33</v>
      </c>
      <c r="I89" s="275" t="s">
        <v>382</v>
      </c>
      <c r="J89" s="253">
        <v>45883</v>
      </c>
      <c r="K89"/>
      <c r="L89"/>
      <c r="M89"/>
      <c r="N89"/>
      <c r="O89" s="138"/>
    </row>
    <row r="90" spans="1:15">
      <c r="A90" s="277"/>
      <c r="B90" s="277"/>
      <c r="C90" s="277"/>
      <c r="D90" s="277"/>
      <c r="E90" s="277"/>
      <c r="F90" s="158" t="s">
        <v>273</v>
      </c>
      <c r="G90" s="274" t="s">
        <v>22</v>
      </c>
      <c r="H90" s="274" t="s">
        <v>25</v>
      </c>
      <c r="I90" s="277" t="s">
        <v>383</v>
      </c>
      <c r="J90" s="251">
        <v>45884</v>
      </c>
      <c r="K90"/>
      <c r="L90"/>
      <c r="M90"/>
      <c r="N90"/>
      <c r="O90" s="138"/>
    </row>
    <row r="91" spans="1:15">
      <c r="A91" s="277"/>
      <c r="B91" s="277"/>
      <c r="C91" s="277"/>
      <c r="D91" s="277"/>
      <c r="E91" s="277"/>
      <c r="F91" s="158" t="s">
        <v>280</v>
      </c>
      <c r="G91" s="274" t="s">
        <v>22</v>
      </c>
      <c r="H91" s="274" t="s">
        <v>63</v>
      </c>
      <c r="I91" s="277" t="s">
        <v>383</v>
      </c>
      <c r="J91" s="251">
        <v>45884</v>
      </c>
      <c r="K91"/>
      <c r="L91"/>
      <c r="M91"/>
      <c r="N91"/>
      <c r="O91" s="138"/>
    </row>
    <row r="92" spans="1:15">
      <c r="A92" s="277"/>
      <c r="B92" s="277"/>
      <c r="C92" s="277"/>
      <c r="D92" s="277"/>
      <c r="E92" s="277"/>
      <c r="F92" s="158" t="s">
        <v>279</v>
      </c>
      <c r="G92" s="274" t="s">
        <v>22</v>
      </c>
      <c r="H92" s="274" t="s">
        <v>30</v>
      </c>
      <c r="I92" s="277" t="s">
        <v>383</v>
      </c>
      <c r="J92" s="251">
        <v>45884</v>
      </c>
      <c r="K92"/>
      <c r="L92"/>
      <c r="M92"/>
      <c r="N92"/>
      <c r="O92" s="138"/>
    </row>
    <row r="93" spans="1:15">
      <c r="A93" s="277"/>
      <c r="B93" s="277"/>
      <c r="C93" s="277"/>
      <c r="D93" s="277"/>
      <c r="E93" s="277"/>
      <c r="F93" s="158" t="s">
        <v>284</v>
      </c>
      <c r="G93" s="274" t="s">
        <v>22</v>
      </c>
      <c r="H93" s="274" t="s">
        <v>63</v>
      </c>
      <c r="I93" s="277" t="s">
        <v>383</v>
      </c>
      <c r="J93" s="251">
        <v>45884</v>
      </c>
      <c r="K93"/>
      <c r="L93"/>
      <c r="M93"/>
      <c r="N93"/>
      <c r="O93" s="138"/>
    </row>
    <row r="94" spans="1:15">
      <c r="A94" s="277"/>
      <c r="B94" s="277"/>
      <c r="C94" s="277"/>
      <c r="D94" s="277"/>
      <c r="E94" s="277"/>
      <c r="F94" s="158" t="s">
        <v>285</v>
      </c>
      <c r="G94" s="274" t="s">
        <v>22</v>
      </c>
      <c r="H94" s="274" t="s">
        <v>25</v>
      </c>
      <c r="I94" s="277" t="s">
        <v>383</v>
      </c>
      <c r="J94" s="251">
        <v>45884</v>
      </c>
      <c r="K94" s="138"/>
      <c r="L94" s="138"/>
      <c r="M94" s="138"/>
      <c r="N94" s="138"/>
      <c r="O94" s="138"/>
    </row>
    <row r="95" spans="1:15">
      <c r="A95" s="277"/>
      <c r="B95" s="277"/>
      <c r="C95" s="277"/>
      <c r="D95" s="277"/>
      <c r="E95" s="277"/>
      <c r="F95" s="278" t="s">
        <v>237</v>
      </c>
      <c r="G95" s="274" t="s">
        <v>22</v>
      </c>
      <c r="H95" s="274" t="s">
        <v>30</v>
      </c>
      <c r="I95" s="277" t="s">
        <v>383</v>
      </c>
      <c r="J95" s="251">
        <v>45884</v>
      </c>
      <c r="K95" s="138"/>
      <c r="L95" s="138"/>
      <c r="M95" s="138"/>
      <c r="N95" s="138"/>
      <c r="O95" s="138"/>
    </row>
    <row r="96" spans="1:15">
      <c r="A96" s="277"/>
      <c r="B96" s="277"/>
      <c r="C96" s="277"/>
      <c r="D96" s="277"/>
      <c r="E96" s="277"/>
      <c r="F96" s="158" t="s">
        <v>129</v>
      </c>
      <c r="G96" s="274" t="s">
        <v>22</v>
      </c>
      <c r="H96" s="274" t="s">
        <v>56</v>
      </c>
      <c r="I96" s="277" t="s">
        <v>383</v>
      </c>
      <c r="J96" s="251">
        <v>45884</v>
      </c>
      <c r="K96" s="138"/>
      <c r="L96" s="138"/>
      <c r="M96" s="138"/>
      <c r="N96" s="138"/>
      <c r="O96" s="138"/>
    </row>
    <row r="97" spans="1:15">
      <c r="A97" s="277"/>
      <c r="B97" s="277"/>
      <c r="C97" s="277"/>
      <c r="D97" s="277"/>
      <c r="E97" s="277"/>
      <c r="F97" s="158" t="s">
        <v>74</v>
      </c>
      <c r="G97" s="274" t="s">
        <v>37</v>
      </c>
      <c r="H97" s="274" t="s">
        <v>40</v>
      </c>
      <c r="I97" s="277" t="s">
        <v>355</v>
      </c>
      <c r="J97" s="251">
        <v>45884</v>
      </c>
      <c r="K97" s="138"/>
      <c r="L97" s="138"/>
      <c r="M97" s="138"/>
      <c r="N97" s="138"/>
      <c r="O97" s="138"/>
    </row>
    <row r="98" spans="1:15">
      <c r="A98" s="277"/>
      <c r="B98" s="277"/>
      <c r="C98" s="277"/>
      <c r="D98" s="277"/>
      <c r="E98" s="277"/>
      <c r="F98" s="158" t="s">
        <v>312</v>
      </c>
      <c r="G98" s="274" t="s">
        <v>26</v>
      </c>
      <c r="H98" s="274" t="s">
        <v>30</v>
      </c>
      <c r="I98" s="277" t="s">
        <v>383</v>
      </c>
      <c r="J98" s="251">
        <v>45884</v>
      </c>
      <c r="K98" s="138"/>
      <c r="L98" s="138"/>
      <c r="M98" s="138"/>
      <c r="N98" s="138"/>
      <c r="O98" s="138"/>
    </row>
    <row r="99" spans="1:15">
      <c r="A99" s="277"/>
      <c r="B99" s="277"/>
      <c r="C99" s="277"/>
      <c r="D99" s="277"/>
      <c r="E99" s="277"/>
      <c r="F99" s="158" t="s">
        <v>47</v>
      </c>
      <c r="G99" s="274" t="s">
        <v>26</v>
      </c>
      <c r="H99" s="274" t="s">
        <v>33</v>
      </c>
      <c r="I99" s="277" t="s">
        <v>383</v>
      </c>
      <c r="J99" s="251">
        <v>45884</v>
      </c>
      <c r="K99" s="138"/>
      <c r="L99" s="138"/>
      <c r="M99" s="138"/>
      <c r="N99" s="138"/>
      <c r="O99" s="138"/>
    </row>
    <row r="100" spans="1:15">
      <c r="A100" s="277"/>
      <c r="B100" s="277"/>
      <c r="C100" s="277"/>
      <c r="D100" s="277"/>
      <c r="E100" s="277"/>
      <c r="F100" s="158" t="s">
        <v>317</v>
      </c>
      <c r="G100" s="274" t="s">
        <v>26</v>
      </c>
      <c r="H100" s="274" t="s">
        <v>25</v>
      </c>
      <c r="I100" s="277" t="s">
        <v>383</v>
      </c>
      <c r="J100" s="251">
        <v>45884</v>
      </c>
      <c r="K100" s="138"/>
      <c r="L100" s="138"/>
      <c r="M100" s="138"/>
      <c r="N100" s="138"/>
      <c r="O100" s="138"/>
    </row>
    <row r="101" spans="1:15">
      <c r="A101" s="329"/>
      <c r="B101" s="329"/>
      <c r="C101" s="329"/>
      <c r="D101" s="329"/>
      <c r="E101" s="329"/>
      <c r="F101" s="158" t="s">
        <v>318</v>
      </c>
      <c r="G101" s="274" t="s">
        <v>26</v>
      </c>
      <c r="H101" s="274" t="s">
        <v>40</v>
      </c>
      <c r="I101" s="329" t="s">
        <v>383</v>
      </c>
      <c r="J101" s="253">
        <v>45884</v>
      </c>
      <c r="K101" s="138"/>
      <c r="L101" s="138"/>
      <c r="M101" s="138"/>
      <c r="N101" s="138"/>
      <c r="O101" s="138"/>
    </row>
    <row r="102" spans="1:15">
      <c r="A102" s="277"/>
      <c r="B102" s="277"/>
      <c r="C102" s="277"/>
      <c r="D102" s="277"/>
      <c r="E102" s="277"/>
      <c r="F102" s="173" t="s">
        <v>128</v>
      </c>
      <c r="G102" s="247" t="s">
        <v>22</v>
      </c>
      <c r="H102" s="174" t="s">
        <v>33</v>
      </c>
      <c r="I102" s="277" t="s">
        <v>214</v>
      </c>
      <c r="J102" s="251">
        <v>45887</v>
      </c>
      <c r="K102" s="138"/>
      <c r="L102" s="138"/>
      <c r="M102" s="138"/>
      <c r="N102" s="138"/>
      <c r="O102" s="138"/>
    </row>
    <row r="103" spans="1:15">
      <c r="A103" s="277"/>
      <c r="B103" s="277"/>
      <c r="C103" s="277"/>
      <c r="D103" s="277"/>
      <c r="E103" s="277"/>
      <c r="F103" s="138" t="s">
        <v>284</v>
      </c>
      <c r="G103" s="173" t="s">
        <v>22</v>
      </c>
      <c r="H103" s="174" t="s">
        <v>63</v>
      </c>
      <c r="I103" s="277" t="s">
        <v>214</v>
      </c>
      <c r="J103" s="251">
        <v>45888</v>
      </c>
      <c r="K103" s="138"/>
      <c r="L103" s="138"/>
      <c r="M103" s="138"/>
      <c r="N103" s="138"/>
      <c r="O103" s="138"/>
    </row>
    <row r="104" spans="1:15">
      <c r="A104" s="277"/>
      <c r="B104" s="277"/>
      <c r="C104" s="277"/>
      <c r="D104" s="277"/>
      <c r="E104" s="277"/>
      <c r="F104" s="138" t="s">
        <v>285</v>
      </c>
      <c r="G104" s="247" t="s">
        <v>22</v>
      </c>
      <c r="H104" s="174" t="s">
        <v>25</v>
      </c>
      <c r="I104" s="277" t="s">
        <v>214</v>
      </c>
      <c r="J104" s="251">
        <v>45888</v>
      </c>
      <c r="K104" s="138"/>
      <c r="L104" s="138"/>
      <c r="M104" s="138"/>
      <c r="N104" s="138"/>
      <c r="O104" s="138"/>
    </row>
    <row r="105" spans="1:15">
      <c r="A105" s="277"/>
      <c r="B105" s="277"/>
      <c r="C105" s="277"/>
      <c r="D105" s="277"/>
      <c r="E105" s="277"/>
      <c r="F105" s="138" t="s">
        <v>290</v>
      </c>
      <c r="G105" s="247" t="s">
        <v>22</v>
      </c>
      <c r="H105" s="174" t="s">
        <v>30</v>
      </c>
      <c r="I105" s="277" t="s">
        <v>214</v>
      </c>
      <c r="J105" s="251">
        <v>45888</v>
      </c>
      <c r="K105" s="138"/>
      <c r="L105" s="138"/>
      <c r="M105" s="138"/>
      <c r="N105" s="138"/>
      <c r="O105" s="138"/>
    </row>
    <row r="106" spans="1:15">
      <c r="A106" s="277"/>
      <c r="B106" s="277"/>
      <c r="C106" s="277"/>
      <c r="D106" s="277"/>
      <c r="E106" s="277"/>
      <c r="F106" s="138" t="s">
        <v>129</v>
      </c>
      <c r="G106" s="247" t="s">
        <v>22</v>
      </c>
      <c r="H106" s="174" t="s">
        <v>56</v>
      </c>
      <c r="I106" s="277" t="s">
        <v>214</v>
      </c>
      <c r="J106" s="251">
        <v>45888</v>
      </c>
      <c r="K106" s="138"/>
      <c r="L106" s="138"/>
      <c r="M106" s="138"/>
      <c r="N106" s="138"/>
      <c r="O106" s="138"/>
    </row>
    <row r="107" spans="1:15">
      <c r="A107" s="329"/>
      <c r="B107" s="329"/>
      <c r="C107" s="329"/>
      <c r="D107" s="329"/>
      <c r="E107" s="329"/>
      <c r="F107" s="138" t="s">
        <v>133</v>
      </c>
      <c r="G107" s="325" t="s">
        <v>341</v>
      </c>
      <c r="H107" s="399" t="s">
        <v>40</v>
      </c>
      <c r="I107" s="329" t="s">
        <v>214</v>
      </c>
      <c r="J107" s="253">
        <v>45888</v>
      </c>
      <c r="K107" s="138"/>
      <c r="L107" s="138"/>
      <c r="M107" s="138"/>
      <c r="N107" s="138"/>
      <c r="O107" s="138"/>
    </row>
    <row r="108" spans="1:15">
      <c r="A108" s="277"/>
      <c r="B108" s="277"/>
      <c r="C108" s="277"/>
      <c r="D108" s="277"/>
      <c r="E108" s="277"/>
      <c r="F108" s="398" t="s">
        <v>74</v>
      </c>
      <c r="G108" s="274" t="s">
        <v>37</v>
      </c>
      <c r="H108" s="274" t="s">
        <v>40</v>
      </c>
      <c r="I108" s="277" t="s">
        <v>214</v>
      </c>
      <c r="J108" s="251">
        <v>45888</v>
      </c>
      <c r="K108" s="138"/>
      <c r="L108" s="138"/>
      <c r="M108" s="138"/>
      <c r="N108" s="138"/>
      <c r="O108" s="138"/>
    </row>
    <row r="109" spans="1:15">
      <c r="A109" s="277"/>
      <c r="B109" s="277"/>
      <c r="C109" s="277"/>
      <c r="D109" s="277"/>
      <c r="E109" s="277"/>
      <c r="F109" s="400" t="s">
        <v>276</v>
      </c>
      <c r="G109" s="401"/>
      <c r="H109" s="401"/>
      <c r="I109" s="401" t="s">
        <v>384</v>
      </c>
      <c r="J109" s="402">
        <v>45889</v>
      </c>
      <c r="K109" s="138"/>
      <c r="L109" s="138"/>
      <c r="M109" s="138"/>
      <c r="N109" s="138"/>
      <c r="O109" s="138"/>
    </row>
    <row r="110" spans="1:15">
      <c r="A110" s="277"/>
      <c r="B110" s="277"/>
      <c r="C110" s="277"/>
      <c r="D110" s="277"/>
      <c r="E110" s="277"/>
      <c r="F110" s="400" t="s">
        <v>237</v>
      </c>
      <c r="G110" s="401"/>
      <c r="H110" s="401"/>
      <c r="I110" s="401" t="s">
        <v>214</v>
      </c>
      <c r="J110" s="402">
        <v>45889</v>
      </c>
      <c r="K110" s="138"/>
      <c r="L110" s="138"/>
      <c r="M110" s="138"/>
      <c r="N110" s="138"/>
      <c r="O110" s="138"/>
    </row>
    <row r="111" spans="1:15">
      <c r="A111" s="277"/>
      <c r="B111" s="277"/>
      <c r="C111" s="277"/>
      <c r="D111" s="277"/>
      <c r="E111" s="277"/>
      <c r="F111" s="400" t="s">
        <v>129</v>
      </c>
      <c r="G111" s="401"/>
      <c r="H111" s="401"/>
      <c r="I111" s="401" t="s">
        <v>214</v>
      </c>
      <c r="J111" s="402">
        <v>45889</v>
      </c>
      <c r="K111" s="138"/>
      <c r="L111" s="138"/>
      <c r="M111" s="138"/>
      <c r="N111" s="138"/>
      <c r="O111" s="138"/>
    </row>
    <row r="112" spans="1:15">
      <c r="A112" s="277"/>
      <c r="B112" s="277"/>
      <c r="C112" s="277"/>
      <c r="D112" s="277"/>
      <c r="E112" s="277"/>
      <c r="F112" s="400" t="s">
        <v>52</v>
      </c>
      <c r="G112" s="401"/>
      <c r="H112" s="401"/>
      <c r="I112" s="401" t="s">
        <v>214</v>
      </c>
      <c r="J112" s="402">
        <v>45889</v>
      </c>
      <c r="K112" s="138"/>
      <c r="L112" s="138"/>
      <c r="M112" s="138"/>
      <c r="N112" s="138"/>
      <c r="O112" s="138"/>
    </row>
    <row r="113" spans="1:15">
      <c r="A113" s="277"/>
      <c r="B113" s="277"/>
      <c r="C113" s="277"/>
      <c r="D113" s="277"/>
      <c r="E113" s="277"/>
      <c r="F113" s="400" t="s">
        <v>224</v>
      </c>
      <c r="G113" s="401"/>
      <c r="H113" s="401"/>
      <c r="I113" s="401" t="s">
        <v>214</v>
      </c>
      <c r="J113" s="402">
        <v>45889</v>
      </c>
      <c r="K113" s="138"/>
      <c r="L113" s="138"/>
      <c r="M113" s="138"/>
      <c r="N113" s="138"/>
      <c r="O113" s="138"/>
    </row>
    <row r="114" spans="1:15">
      <c r="A114" s="277"/>
      <c r="B114" s="277"/>
      <c r="C114" s="277"/>
      <c r="D114" s="277"/>
      <c r="E114" s="277"/>
      <c r="F114" s="400" t="s">
        <v>312</v>
      </c>
      <c r="G114" s="401"/>
      <c r="H114" s="401"/>
      <c r="I114" s="401" t="s">
        <v>214</v>
      </c>
      <c r="J114" s="402">
        <v>45889</v>
      </c>
      <c r="K114" s="138"/>
      <c r="L114" s="138"/>
      <c r="M114" s="138"/>
      <c r="N114" s="138"/>
      <c r="O114" s="138"/>
    </row>
    <row r="115" spans="1:15">
      <c r="A115" s="277"/>
      <c r="B115" s="277"/>
      <c r="C115" s="277"/>
      <c r="D115" s="277"/>
      <c r="E115" s="277"/>
      <c r="F115" s="400" t="s">
        <v>131</v>
      </c>
      <c r="G115" s="401"/>
      <c r="H115" s="401"/>
      <c r="I115" s="401" t="s">
        <v>214</v>
      </c>
      <c r="J115" s="402">
        <v>45889</v>
      </c>
      <c r="K115" s="138"/>
      <c r="L115" s="138"/>
      <c r="M115" s="138"/>
      <c r="N115" s="138"/>
      <c r="O115" s="138"/>
    </row>
    <row r="116" spans="1:15">
      <c r="A116" s="138"/>
      <c r="B116" s="138"/>
      <c r="C116" s="138"/>
      <c r="D116" s="138"/>
      <c r="E116" s="138"/>
      <c r="F116" s="138"/>
      <c r="G116" s="138"/>
      <c r="H116" s="138"/>
      <c r="I116" s="138"/>
      <c r="J116" s="138"/>
      <c r="K116" s="138"/>
      <c r="L116" s="138"/>
      <c r="M116" s="138"/>
      <c r="N116" s="138"/>
      <c r="O116" s="138"/>
    </row>
    <row r="117" spans="1:15">
      <c r="A117" s="138"/>
      <c r="B117" s="138"/>
      <c r="C117" s="138"/>
      <c r="D117" s="138"/>
      <c r="E117" s="138"/>
      <c r="F117" s="138"/>
      <c r="G117" s="138"/>
      <c r="H117" s="138"/>
      <c r="I117" s="138"/>
      <c r="J117" s="138"/>
      <c r="K117" s="138"/>
      <c r="L117" s="138"/>
      <c r="M117" s="138"/>
      <c r="N117" s="138"/>
      <c r="O117" s="138"/>
    </row>
    <row r="118" spans="1:15">
      <c r="A118" s="138"/>
      <c r="B118" s="138"/>
      <c r="C118" s="138"/>
      <c r="D118" s="138"/>
      <c r="E118" s="138"/>
      <c r="F118" s="138"/>
      <c r="G118" s="138"/>
      <c r="H118" s="138"/>
      <c r="I118" s="138"/>
      <c r="J118" s="138"/>
      <c r="K118" s="138"/>
      <c r="L118" s="138"/>
      <c r="M118" s="138"/>
      <c r="N118" s="138"/>
      <c r="O118" s="138"/>
    </row>
    <row r="119" spans="1:15">
      <c r="A119" s="138"/>
      <c r="B119" s="138"/>
      <c r="C119" s="138"/>
      <c r="D119" s="138"/>
      <c r="E119" s="138"/>
      <c r="F119" s="138"/>
      <c r="G119" s="138"/>
      <c r="H119" s="138"/>
      <c r="I119" s="138"/>
      <c r="J119" s="138"/>
      <c r="K119" s="138"/>
      <c r="L119" s="138"/>
      <c r="M119" s="138"/>
      <c r="N119" s="138"/>
      <c r="O119" s="138"/>
    </row>
    <row r="120" spans="1:15">
      <c r="A120" s="138"/>
      <c r="B120" s="138"/>
      <c r="C120" s="138"/>
      <c r="D120" s="138"/>
      <c r="E120" s="138"/>
      <c r="F120" s="138"/>
      <c r="G120" s="138"/>
      <c r="H120" s="138"/>
      <c r="I120" s="138"/>
      <c r="J120" s="138"/>
      <c r="K120" s="138"/>
      <c r="L120" s="138"/>
      <c r="M120" s="138"/>
      <c r="N120" s="138"/>
      <c r="O120" s="138"/>
    </row>
    <row r="121" spans="1:15">
      <c r="A121" s="138"/>
      <c r="B121" s="138"/>
      <c r="C121" s="138"/>
      <c r="D121" s="138"/>
      <c r="E121" s="138"/>
      <c r="F121" s="138"/>
      <c r="G121" s="138"/>
      <c r="H121" s="138"/>
      <c r="I121" s="138"/>
      <c r="J121" s="138"/>
      <c r="K121" s="138"/>
      <c r="L121" s="138"/>
      <c r="M121" s="138"/>
      <c r="N121" s="138"/>
      <c r="O121" s="138"/>
    </row>
    <row r="122" spans="1:15">
      <c r="A122" s="138"/>
      <c r="B122" s="138"/>
      <c r="C122" s="138"/>
      <c r="D122" s="138"/>
      <c r="E122" s="138"/>
      <c r="F122" s="138"/>
      <c r="G122" s="138"/>
      <c r="H122" s="138"/>
      <c r="I122" s="138"/>
      <c r="J122" s="138"/>
      <c r="K122" s="138"/>
      <c r="L122" s="138"/>
      <c r="M122" s="138"/>
      <c r="N122" s="138"/>
      <c r="O122" s="138"/>
    </row>
    <row r="123" spans="1:15">
      <c r="A123" s="138"/>
      <c r="B123" s="138"/>
      <c r="C123" s="138"/>
      <c r="D123" s="138"/>
      <c r="E123" s="138"/>
      <c r="F123" s="138"/>
      <c r="G123" s="138"/>
      <c r="H123" s="138"/>
      <c r="I123" s="138"/>
      <c r="J123" s="138"/>
      <c r="K123" s="138"/>
      <c r="L123" s="138"/>
      <c r="M123" s="138"/>
      <c r="N123" s="138"/>
      <c r="O123" s="138"/>
    </row>
    <row r="124" spans="1:15">
      <c r="A124" s="138"/>
      <c r="B124" s="138"/>
      <c r="C124" s="138"/>
      <c r="D124" s="138"/>
      <c r="E124" s="138"/>
      <c r="F124" s="138"/>
      <c r="G124" s="138"/>
      <c r="H124" s="138"/>
      <c r="I124" s="138"/>
      <c r="J124" s="138"/>
      <c r="K124" s="138"/>
      <c r="L124" s="138"/>
      <c r="M124" s="138"/>
      <c r="N124" s="138"/>
      <c r="O124" s="138"/>
    </row>
    <row r="125" spans="1:15">
      <c r="A125" s="208"/>
      <c r="B125" s="208"/>
      <c r="C125" s="208"/>
      <c r="D125" s="208"/>
      <c r="E125" s="208"/>
      <c r="F125" s="208"/>
      <c r="G125" s="208"/>
      <c r="H125" s="208"/>
      <c r="I125" s="138"/>
      <c r="J125" s="138"/>
      <c r="K125" s="138"/>
      <c r="L125" s="138"/>
      <c r="M125" s="138"/>
      <c r="N125" s="138"/>
      <c r="O125" s="138"/>
    </row>
    <row r="126" spans="1:15">
      <c r="A126" s="208"/>
      <c r="B126" s="208"/>
      <c r="C126" s="208"/>
      <c r="D126" s="208"/>
      <c r="E126" s="208"/>
      <c r="F126" s="208"/>
      <c r="G126" s="208"/>
      <c r="H126" s="208"/>
      <c r="I126" s="138"/>
      <c r="J126" s="138"/>
      <c r="K126" s="138"/>
      <c r="L126" s="138"/>
      <c r="M126" s="138"/>
      <c r="N126" s="138"/>
      <c r="O126" s="138"/>
    </row>
    <row r="127" spans="1:15">
      <c r="A127" s="208"/>
      <c r="B127" s="208"/>
      <c r="C127" s="208"/>
      <c r="D127" s="208"/>
      <c r="E127" s="208"/>
      <c r="F127" s="208"/>
      <c r="G127" s="208"/>
      <c r="H127" s="208"/>
      <c r="I127" s="138"/>
      <c r="J127" s="138"/>
      <c r="K127" s="138"/>
      <c r="L127" s="138"/>
      <c r="M127" s="138"/>
      <c r="N127" s="138"/>
      <c r="O127" s="138"/>
    </row>
    <row r="128" spans="1:15">
      <c r="A128" s="208"/>
      <c r="B128" s="208"/>
      <c r="C128" s="208"/>
      <c r="D128" s="208"/>
      <c r="E128" s="208"/>
      <c r="F128" s="208"/>
      <c r="G128" s="208"/>
      <c r="H128" s="208"/>
      <c r="I128" s="138"/>
      <c r="J128" s="138"/>
      <c r="K128" s="138"/>
      <c r="L128" s="138"/>
      <c r="M128" s="138"/>
      <c r="N128" s="138"/>
      <c r="O128" s="138"/>
    </row>
    <row r="129" spans="1:15">
      <c r="A129" s="208"/>
      <c r="B129" s="208"/>
      <c r="C129" s="208"/>
      <c r="D129" s="208"/>
      <c r="E129" s="208"/>
      <c r="F129" s="208"/>
      <c r="G129" s="208"/>
      <c r="H129" s="208"/>
      <c r="I129" s="138"/>
      <c r="J129" s="138"/>
      <c r="K129" s="138"/>
      <c r="L129" s="138"/>
      <c r="M129" s="138"/>
      <c r="N129" s="138"/>
      <c r="O129" s="138"/>
    </row>
    <row r="130" spans="1:15">
      <c r="A130" s="208"/>
      <c r="B130" s="208"/>
      <c r="C130" s="208"/>
      <c r="D130" s="208"/>
      <c r="E130" s="208"/>
      <c r="F130" s="208"/>
      <c r="G130" s="208"/>
      <c r="H130" s="208"/>
      <c r="I130" s="138"/>
      <c r="J130" s="138"/>
      <c r="K130" s="138"/>
      <c r="L130" s="138"/>
      <c r="M130" s="138"/>
      <c r="N130" s="138"/>
      <c r="O130" s="138"/>
    </row>
    <row r="131" spans="1:15">
      <c r="A131" s="208"/>
      <c r="B131" s="208"/>
      <c r="C131" s="208"/>
      <c r="D131" s="208"/>
      <c r="E131" s="208"/>
      <c r="F131" s="208"/>
      <c r="G131" s="208"/>
      <c r="H131" s="208"/>
      <c r="I131" s="138"/>
      <c r="J131" s="138"/>
      <c r="K131" s="138"/>
      <c r="L131" s="138"/>
      <c r="M131" s="138"/>
      <c r="N131" s="138"/>
      <c r="O131" s="138"/>
    </row>
    <row r="132" spans="1:15">
      <c r="A132" s="208"/>
      <c r="B132" s="208"/>
      <c r="C132" s="208"/>
      <c r="D132" s="208"/>
      <c r="E132" s="208"/>
      <c r="F132" s="208"/>
      <c r="G132" s="208"/>
      <c r="H132" s="208"/>
      <c r="I132" s="138"/>
      <c r="J132" s="138"/>
      <c r="K132" s="138"/>
      <c r="L132" s="138"/>
      <c r="M132" s="138"/>
      <c r="N132" s="138"/>
      <c r="O132" s="138"/>
    </row>
    <row r="133" spans="1:15">
      <c r="A133" s="208"/>
      <c r="B133" s="208"/>
      <c r="C133" s="208"/>
      <c r="D133" s="208"/>
      <c r="E133" s="208"/>
      <c r="F133" s="208"/>
      <c r="G133" s="208"/>
      <c r="H133" s="208"/>
      <c r="I133" s="138"/>
      <c r="J133" s="138"/>
      <c r="K133" s="138"/>
      <c r="L133" s="138"/>
      <c r="M133" s="138"/>
      <c r="N133" s="138"/>
      <c r="O133" s="138"/>
    </row>
    <row r="134" spans="1:15">
      <c r="A134" s="208"/>
      <c r="B134" s="208"/>
      <c r="C134" s="208"/>
      <c r="D134" s="208"/>
      <c r="E134" s="208"/>
      <c r="F134" s="208"/>
      <c r="G134" s="208"/>
      <c r="H134" s="208"/>
      <c r="I134" s="138"/>
      <c r="J134" s="138"/>
      <c r="K134" s="138"/>
      <c r="L134" s="138"/>
      <c r="M134" s="138"/>
      <c r="N134" s="138"/>
      <c r="O134" s="138"/>
    </row>
    <row r="135" spans="1:15">
      <c r="A135" s="208"/>
      <c r="B135" s="208"/>
      <c r="C135" s="208"/>
      <c r="D135" s="208"/>
      <c r="E135" s="208"/>
      <c r="F135" s="208"/>
      <c r="G135" s="208"/>
      <c r="H135" s="208"/>
      <c r="I135" s="138"/>
      <c r="J135" s="138"/>
      <c r="K135" s="138"/>
      <c r="L135" s="138"/>
      <c r="M135" s="138"/>
      <c r="N135" s="138"/>
      <c r="O135" s="138"/>
    </row>
    <row r="136" spans="1:15">
      <c r="A136" s="208"/>
      <c r="B136" s="208"/>
      <c r="C136" s="208"/>
      <c r="D136" s="208"/>
      <c r="E136" s="208"/>
      <c r="F136" s="208"/>
      <c r="G136" s="208"/>
      <c r="H136" s="208"/>
      <c r="I136" s="138"/>
      <c r="J136" s="138"/>
      <c r="K136" s="138"/>
      <c r="L136" s="138"/>
      <c r="M136" s="138"/>
      <c r="N136" s="138"/>
      <c r="O136" s="138"/>
    </row>
    <row r="137" spans="1:15">
      <c r="A137" s="208"/>
      <c r="B137" s="208"/>
      <c r="C137" s="208"/>
      <c r="D137" s="208"/>
      <c r="E137" s="208"/>
      <c r="F137" s="208"/>
      <c r="G137" s="208"/>
      <c r="H137" s="208"/>
      <c r="I137" s="138"/>
      <c r="J137" s="138"/>
      <c r="K137" s="138"/>
      <c r="L137" s="138"/>
      <c r="M137" s="138"/>
      <c r="N137" s="138"/>
      <c r="O137" s="138"/>
    </row>
    <row r="138" spans="1:15">
      <c r="A138" s="208"/>
      <c r="B138" s="208"/>
      <c r="C138" s="208"/>
      <c r="D138" s="208"/>
      <c r="E138" s="208"/>
      <c r="F138" s="208"/>
      <c r="G138" s="208"/>
      <c r="H138" s="208"/>
      <c r="I138" s="138"/>
      <c r="J138" s="138"/>
      <c r="K138" s="138"/>
      <c r="L138" s="138"/>
      <c r="M138" s="138"/>
      <c r="N138" s="138"/>
      <c r="O138" s="138"/>
    </row>
    <row r="139" spans="1:15">
      <c r="A139" s="208"/>
      <c r="B139" s="208"/>
      <c r="C139" s="208"/>
      <c r="D139" s="208"/>
      <c r="E139" s="208"/>
      <c r="F139" s="208"/>
      <c r="G139" s="208"/>
      <c r="H139" s="208"/>
      <c r="I139" s="138"/>
      <c r="J139" s="138"/>
      <c r="K139" s="138"/>
      <c r="L139" s="138"/>
      <c r="M139" s="138"/>
      <c r="N139" s="138"/>
      <c r="O139" s="138"/>
    </row>
    <row r="140" spans="1:15">
      <c r="A140" s="208"/>
      <c r="B140" s="208"/>
      <c r="C140" s="208"/>
      <c r="D140" s="208"/>
      <c r="E140" s="208"/>
      <c r="F140" s="208"/>
      <c r="G140" s="208"/>
      <c r="H140" s="208"/>
      <c r="I140" s="138"/>
      <c r="J140" s="138"/>
      <c r="K140" s="138"/>
      <c r="L140" s="138"/>
      <c r="M140" s="138"/>
      <c r="N140" s="138"/>
      <c r="O140" s="138"/>
    </row>
    <row r="141" spans="1:15">
      <c r="A141" s="208"/>
      <c r="B141" s="208"/>
      <c r="C141" s="208"/>
      <c r="D141" s="208"/>
      <c r="E141" s="208"/>
      <c r="F141" s="208"/>
      <c r="G141" s="208"/>
      <c r="H141" s="208"/>
      <c r="I141" s="138"/>
      <c r="J141" s="138"/>
      <c r="K141" s="138"/>
      <c r="L141" s="138"/>
      <c r="M141" s="138"/>
      <c r="N141" s="138"/>
      <c r="O141" s="138"/>
    </row>
    <row r="142" spans="1:15">
      <c r="A142" s="208"/>
      <c r="B142" s="208"/>
      <c r="C142" s="208"/>
      <c r="D142" s="208"/>
      <c r="E142" s="208"/>
      <c r="F142" s="208"/>
      <c r="G142" s="208"/>
      <c r="H142" s="208"/>
      <c r="I142" s="138"/>
      <c r="J142" s="138"/>
      <c r="K142" s="138"/>
      <c r="L142" s="138"/>
      <c r="M142" s="138"/>
      <c r="N142" s="138"/>
      <c r="O142" s="138"/>
    </row>
    <row r="143" spans="1:15">
      <c r="A143" s="208"/>
      <c r="B143" s="208"/>
      <c r="C143" s="208"/>
      <c r="D143" s="208"/>
      <c r="E143" s="208"/>
      <c r="F143" s="208"/>
      <c r="G143" s="208"/>
      <c r="H143" s="208"/>
      <c r="I143" s="138"/>
      <c r="J143" s="138"/>
      <c r="K143" s="138"/>
      <c r="L143" s="138"/>
      <c r="M143" s="138"/>
      <c r="N143" s="138"/>
      <c r="O143" s="138"/>
    </row>
    <row r="144" spans="1:15">
      <c r="A144" s="208"/>
      <c r="B144" s="208"/>
      <c r="C144" s="208"/>
      <c r="D144" s="208"/>
      <c r="E144" s="208"/>
      <c r="F144" s="208"/>
      <c r="G144" s="208"/>
      <c r="H144" s="208"/>
      <c r="I144" s="138"/>
      <c r="J144" s="138"/>
      <c r="K144" s="138"/>
      <c r="L144" s="138"/>
      <c r="M144" s="138"/>
      <c r="N144" s="138"/>
      <c r="O144" s="138"/>
    </row>
    <row r="145" spans="1:15">
      <c r="A145" s="208"/>
      <c r="B145" s="208"/>
      <c r="C145" s="208"/>
      <c r="D145" s="208"/>
      <c r="E145" s="208"/>
      <c r="F145" s="208"/>
      <c r="G145" s="208"/>
      <c r="H145" s="208"/>
      <c r="I145" s="138"/>
      <c r="J145" s="138"/>
      <c r="K145" s="138"/>
      <c r="L145" s="138"/>
      <c r="M145" s="138"/>
      <c r="N145" s="138"/>
      <c r="O145" s="138"/>
    </row>
    <row r="146" spans="1:15">
      <c r="A146" s="208"/>
      <c r="B146" s="208"/>
      <c r="C146" s="208"/>
      <c r="D146" s="208"/>
      <c r="E146" s="208"/>
      <c r="F146" s="208"/>
      <c r="G146" s="208"/>
      <c r="H146" s="208"/>
      <c r="I146" s="138"/>
      <c r="J146" s="138"/>
      <c r="K146" s="138"/>
      <c r="L146" s="138"/>
      <c r="M146" s="138"/>
      <c r="N146" s="138"/>
      <c r="O146" s="138"/>
    </row>
    <row r="147" spans="1:15">
      <c r="A147" s="208"/>
      <c r="B147" s="208"/>
      <c r="C147" s="208"/>
      <c r="D147" s="208"/>
      <c r="E147" s="208"/>
      <c r="F147" s="208"/>
      <c r="G147" s="208"/>
      <c r="H147" s="208"/>
      <c r="I147" s="138"/>
      <c r="J147" s="138"/>
      <c r="K147" s="138"/>
      <c r="L147" s="138"/>
      <c r="M147" s="138"/>
      <c r="N147" s="138"/>
      <c r="O147" s="138"/>
    </row>
    <row r="148" spans="1:15">
      <c r="A148" s="208"/>
      <c r="B148" s="208"/>
      <c r="C148" s="208"/>
      <c r="D148" s="208"/>
      <c r="E148" s="208"/>
      <c r="F148" s="208"/>
      <c r="G148" s="208"/>
      <c r="H148" s="208"/>
      <c r="I148" s="138"/>
      <c r="J148" s="138"/>
      <c r="K148" s="138"/>
      <c r="L148" s="138"/>
      <c r="M148" s="138"/>
      <c r="N148" s="138"/>
      <c r="O148" s="138"/>
    </row>
    <row r="149" spans="1:15">
      <c r="A149" s="208"/>
      <c r="B149" s="208"/>
      <c r="C149" s="208"/>
      <c r="D149" s="208"/>
      <c r="E149" s="208"/>
      <c r="F149" s="208"/>
      <c r="G149" s="208"/>
      <c r="H149" s="208"/>
      <c r="I149" s="138"/>
      <c r="J149" s="138"/>
      <c r="K149" s="138"/>
      <c r="L149" s="138"/>
      <c r="M149" s="138"/>
      <c r="N149" s="138"/>
      <c r="O149" s="138"/>
    </row>
    <row r="150" spans="1:15">
      <c r="A150" s="208"/>
      <c r="B150" s="208"/>
      <c r="C150" s="208"/>
      <c r="D150" s="208"/>
      <c r="E150" s="208"/>
      <c r="F150" s="208"/>
      <c r="G150" s="208"/>
      <c r="H150" s="208"/>
      <c r="I150" s="138"/>
      <c r="J150" s="138"/>
      <c r="K150" s="138"/>
      <c r="L150" s="138"/>
      <c r="M150" s="138"/>
      <c r="N150" s="138"/>
      <c r="O150" s="138"/>
    </row>
    <row r="151" spans="1:15">
      <c r="A151" s="208"/>
      <c r="B151" s="208"/>
      <c r="C151" s="208"/>
      <c r="D151" s="208"/>
      <c r="E151" s="208"/>
      <c r="F151" s="208"/>
      <c r="G151" s="208"/>
      <c r="H151" s="208"/>
      <c r="I151" s="138"/>
      <c r="J151" s="138"/>
      <c r="K151" s="138"/>
      <c r="L151" s="138"/>
      <c r="M151" s="138"/>
      <c r="N151" s="138"/>
      <c r="O151" s="138"/>
    </row>
    <row r="152" spans="1:15">
      <c r="A152" s="208"/>
      <c r="B152" s="208"/>
      <c r="C152" s="208"/>
      <c r="D152" s="208"/>
      <c r="E152" s="208"/>
      <c r="F152" s="208"/>
      <c r="G152" s="208"/>
      <c r="H152" s="208"/>
      <c r="I152" s="138"/>
      <c r="J152" s="138"/>
      <c r="K152" s="138"/>
      <c r="L152" s="138"/>
      <c r="M152" s="138"/>
      <c r="N152" s="138"/>
      <c r="O152" s="138"/>
    </row>
    <row r="153" spans="1:15">
      <c r="A153" s="208"/>
      <c r="B153" s="208"/>
      <c r="C153" s="208"/>
      <c r="D153" s="208"/>
      <c r="E153" s="208"/>
      <c r="F153" s="208"/>
      <c r="G153" s="208"/>
      <c r="H153" s="208"/>
      <c r="I153" s="138"/>
      <c r="J153" s="138"/>
      <c r="K153" s="138"/>
      <c r="L153" s="138"/>
      <c r="M153" s="138"/>
      <c r="N153" s="138"/>
      <c r="O153" s="138"/>
    </row>
    <row r="154" spans="1:15">
      <c r="A154" s="208"/>
      <c r="B154" s="208"/>
      <c r="C154" s="208"/>
      <c r="D154" s="208"/>
      <c r="E154" s="208"/>
      <c r="F154" s="208"/>
      <c r="G154" s="208"/>
      <c r="H154" s="208"/>
      <c r="I154" s="138"/>
      <c r="J154" s="138"/>
      <c r="K154" s="138"/>
      <c r="L154" s="138"/>
      <c r="M154" s="138"/>
      <c r="N154" s="138"/>
      <c r="O154" s="138"/>
    </row>
    <row r="155" spans="1:15">
      <c r="A155" s="208"/>
      <c r="B155" s="208"/>
      <c r="C155" s="208"/>
      <c r="D155" s="208"/>
      <c r="E155" s="208"/>
      <c r="F155" s="208"/>
      <c r="G155" s="208"/>
      <c r="H155" s="208"/>
      <c r="I155" s="138"/>
      <c r="J155" s="138"/>
      <c r="K155" s="138"/>
      <c r="L155" s="138"/>
      <c r="M155" s="138"/>
      <c r="N155" s="138"/>
      <c r="O155" s="138"/>
    </row>
    <row r="156" spans="1:15">
      <c r="A156" s="208"/>
      <c r="B156" s="208"/>
      <c r="C156" s="208"/>
      <c r="D156" s="208"/>
      <c r="E156" s="208"/>
      <c r="F156" s="208"/>
      <c r="G156" s="208"/>
      <c r="H156" s="208"/>
      <c r="I156" s="138"/>
      <c r="J156" s="138"/>
      <c r="K156" s="138"/>
      <c r="L156" s="138"/>
      <c r="M156" s="138"/>
      <c r="N156" s="138"/>
      <c r="O156" s="138"/>
    </row>
    <row r="157" spans="1:15">
      <c r="A157" s="208"/>
      <c r="B157" s="208"/>
      <c r="C157" s="208"/>
      <c r="D157" s="208"/>
      <c r="E157" s="208"/>
      <c r="F157" s="208"/>
      <c r="G157" s="208"/>
      <c r="H157" s="208"/>
      <c r="I157" s="138"/>
      <c r="J157" s="138"/>
      <c r="K157" s="138"/>
      <c r="L157" s="138"/>
      <c r="M157" s="138"/>
      <c r="N157" s="138"/>
      <c r="O157" s="138"/>
    </row>
    <row r="158" spans="1:15">
      <c r="A158" s="208"/>
      <c r="B158" s="208"/>
      <c r="C158" s="208"/>
      <c r="D158" s="208"/>
      <c r="E158" s="208"/>
      <c r="F158" s="208"/>
      <c r="G158" s="208"/>
      <c r="H158" s="208"/>
      <c r="I158" s="138"/>
      <c r="J158" s="138"/>
      <c r="K158" s="138"/>
      <c r="L158" s="138"/>
      <c r="M158" s="138"/>
      <c r="N158" s="138"/>
      <c r="O158" s="138"/>
    </row>
    <row r="159" spans="1:15">
      <c r="A159" s="208"/>
      <c r="B159" s="208"/>
      <c r="C159" s="208"/>
      <c r="D159" s="208"/>
      <c r="E159" s="208"/>
      <c r="F159" s="208"/>
      <c r="G159" s="208"/>
      <c r="H159" s="208"/>
      <c r="I159" s="138"/>
      <c r="J159" s="138"/>
      <c r="K159" s="138"/>
      <c r="L159" s="138"/>
      <c r="M159" s="138"/>
      <c r="N159" s="138"/>
      <c r="O159" s="138"/>
    </row>
    <row r="160" spans="1:15">
      <c r="A160" s="208"/>
      <c r="B160" s="208"/>
      <c r="C160" s="208"/>
      <c r="D160" s="208"/>
      <c r="E160" s="208"/>
      <c r="F160" s="208"/>
      <c r="G160" s="208"/>
      <c r="H160" s="208"/>
      <c r="I160" s="138"/>
      <c r="J160" s="138"/>
      <c r="K160" s="138"/>
      <c r="L160" s="138"/>
      <c r="M160" s="138"/>
      <c r="N160" s="138"/>
      <c r="O160" s="138"/>
    </row>
    <row r="161" spans="1:15">
      <c r="A161" s="208"/>
      <c r="B161" s="208"/>
      <c r="C161" s="208"/>
      <c r="D161" s="208"/>
      <c r="E161" s="208"/>
      <c r="F161" s="208"/>
      <c r="G161" s="208"/>
      <c r="H161" s="208"/>
      <c r="I161" s="138"/>
      <c r="J161" s="138"/>
      <c r="K161" s="138"/>
      <c r="L161" s="138"/>
      <c r="M161" s="138"/>
      <c r="N161" s="138"/>
      <c r="O161" s="138"/>
    </row>
    <row r="162" spans="1:15">
      <c r="A162" s="208"/>
      <c r="B162" s="208"/>
      <c r="C162" s="208"/>
      <c r="D162" s="208"/>
      <c r="E162" s="208"/>
      <c r="F162" s="208"/>
      <c r="G162" s="208"/>
      <c r="H162" s="208"/>
      <c r="I162" s="138"/>
      <c r="J162" s="138"/>
      <c r="K162" s="138"/>
      <c r="L162" s="138"/>
      <c r="M162" s="138"/>
      <c r="N162" s="138"/>
      <c r="O162" s="138"/>
    </row>
    <row r="163" spans="1:15">
      <c r="A163" s="208"/>
      <c r="B163" s="208"/>
      <c r="C163" s="208"/>
      <c r="D163" s="208"/>
      <c r="E163" s="208"/>
      <c r="F163" s="208"/>
      <c r="G163" s="208"/>
      <c r="H163" s="208"/>
      <c r="I163" s="138"/>
      <c r="J163" s="138"/>
      <c r="K163" s="138"/>
      <c r="L163" s="138"/>
      <c r="M163" s="138"/>
      <c r="N163" s="138"/>
      <c r="O163" s="138"/>
    </row>
    <row r="164" spans="1:15">
      <c r="A164" s="208"/>
      <c r="B164" s="208"/>
      <c r="C164" s="208"/>
      <c r="D164" s="208"/>
      <c r="E164" s="208"/>
      <c r="F164" s="208"/>
      <c r="G164" s="208"/>
      <c r="H164" s="208"/>
      <c r="I164" s="138"/>
      <c r="J164" s="138"/>
      <c r="K164" s="138"/>
      <c r="L164" s="138"/>
      <c r="M164" s="138"/>
      <c r="N164" s="138"/>
      <c r="O164" s="138"/>
    </row>
    <row r="165" spans="1:15">
      <c r="A165" s="208"/>
      <c r="B165" s="208"/>
      <c r="C165" s="208"/>
      <c r="D165" s="208"/>
      <c r="E165" s="208"/>
      <c r="F165" s="208"/>
      <c r="G165" s="208"/>
      <c r="H165" s="208"/>
      <c r="I165" s="138"/>
      <c r="J165" s="138"/>
      <c r="K165" s="138"/>
      <c r="L165" s="138"/>
      <c r="M165" s="138"/>
      <c r="N165" s="138"/>
      <c r="O165" s="138"/>
    </row>
    <row r="166" spans="1:15">
      <c r="A166" s="208"/>
      <c r="B166" s="208"/>
      <c r="C166" s="208"/>
      <c r="D166" s="208"/>
      <c r="E166" s="208"/>
      <c r="F166" s="208"/>
      <c r="G166" s="208"/>
      <c r="H166" s="208"/>
      <c r="I166" s="138"/>
      <c r="J166" s="138"/>
      <c r="K166" s="138"/>
      <c r="L166" s="138"/>
      <c r="M166" s="138"/>
      <c r="N166" s="138"/>
      <c r="O166" s="138"/>
    </row>
    <row r="167" spans="1:15">
      <c r="A167" s="208"/>
      <c r="B167" s="208"/>
      <c r="C167" s="208"/>
      <c r="D167" s="208"/>
      <c r="E167" s="208"/>
      <c r="F167" s="208"/>
      <c r="G167" s="208"/>
      <c r="H167" s="208"/>
      <c r="I167" s="138"/>
      <c r="J167" s="138"/>
      <c r="K167" s="138"/>
      <c r="L167" s="138"/>
      <c r="M167" s="138"/>
      <c r="N167" s="138"/>
      <c r="O167" s="138"/>
    </row>
    <row r="168" spans="1:15">
      <c r="A168" s="208"/>
      <c r="B168" s="208"/>
      <c r="C168" s="208"/>
      <c r="D168" s="208"/>
      <c r="E168" s="208"/>
      <c r="F168" s="208"/>
      <c r="G168" s="208"/>
      <c r="H168" s="208"/>
      <c r="I168" s="138"/>
      <c r="J168" s="138"/>
      <c r="K168" s="138"/>
      <c r="L168" s="138"/>
      <c r="M168" s="138"/>
      <c r="N168" s="138"/>
      <c r="O168" s="138"/>
    </row>
    <row r="169" spans="1:15">
      <c r="A169" s="208"/>
      <c r="B169" s="208"/>
      <c r="C169" s="208"/>
      <c r="D169" s="208"/>
      <c r="E169" s="208"/>
      <c r="F169" s="208"/>
      <c r="G169" s="208"/>
      <c r="H169" s="208"/>
      <c r="I169" s="138"/>
      <c r="J169" s="138"/>
      <c r="K169" s="138"/>
      <c r="L169" s="138"/>
      <c r="M169" s="138"/>
      <c r="N169" s="138"/>
      <c r="O169" s="138"/>
    </row>
    <row r="170" spans="1:15">
      <c r="A170" s="208"/>
      <c r="B170" s="208"/>
      <c r="C170" s="208"/>
      <c r="D170" s="208"/>
      <c r="E170" s="208"/>
      <c r="F170" s="208"/>
      <c r="G170" s="208"/>
      <c r="H170" s="208"/>
      <c r="I170" s="138"/>
      <c r="J170" s="138"/>
      <c r="K170" s="138"/>
      <c r="L170" s="138"/>
      <c r="M170" s="138"/>
      <c r="N170" s="138"/>
      <c r="O170" s="138"/>
    </row>
    <row r="171" spans="1:15">
      <c r="A171" s="208"/>
      <c r="B171" s="208"/>
      <c r="C171" s="208"/>
      <c r="D171" s="208"/>
      <c r="E171" s="208"/>
      <c r="F171" s="208"/>
      <c r="G171" s="208"/>
      <c r="H171" s="208"/>
      <c r="I171" s="138"/>
      <c r="J171" s="138"/>
      <c r="K171" s="138"/>
      <c r="L171" s="138"/>
      <c r="M171" s="138"/>
      <c r="N171" s="138"/>
      <c r="O171" s="138"/>
    </row>
    <row r="172" spans="1:15">
      <c r="A172" s="208"/>
      <c r="B172" s="208"/>
      <c r="C172" s="208"/>
      <c r="D172" s="208"/>
      <c r="E172" s="208"/>
      <c r="F172" s="208"/>
      <c r="G172" s="208"/>
      <c r="H172" s="208"/>
      <c r="I172" s="138"/>
      <c r="J172" s="138"/>
      <c r="K172" s="138"/>
      <c r="L172" s="138"/>
      <c r="M172" s="138"/>
      <c r="N172" s="138"/>
      <c r="O172" s="138"/>
    </row>
    <row r="173" spans="1:15">
      <c r="A173" s="208"/>
      <c r="B173" s="208"/>
      <c r="C173" s="208"/>
      <c r="D173" s="208"/>
      <c r="E173" s="208"/>
      <c r="F173" s="208"/>
      <c r="G173" s="208"/>
      <c r="H173" s="208"/>
      <c r="I173" s="138"/>
      <c r="J173" s="138"/>
      <c r="K173" s="138"/>
      <c r="L173" s="138"/>
      <c r="M173" s="138"/>
      <c r="N173" s="138"/>
      <c r="O173" s="138"/>
    </row>
    <row r="174" spans="1:15">
      <c r="A174" s="208"/>
      <c r="B174" s="208"/>
      <c r="C174" s="208"/>
      <c r="D174" s="208"/>
      <c r="E174" s="208"/>
      <c r="F174" s="208"/>
      <c r="G174" s="208"/>
      <c r="H174" s="208"/>
      <c r="I174" s="138"/>
      <c r="J174" s="138"/>
      <c r="K174" s="138"/>
      <c r="L174" s="138"/>
      <c r="M174" s="138"/>
      <c r="N174" s="138"/>
      <c r="O174" s="138"/>
    </row>
    <row r="175" spans="1:15">
      <c r="A175" s="208"/>
      <c r="B175" s="208"/>
      <c r="C175" s="208"/>
      <c r="D175" s="208"/>
      <c r="E175" s="208"/>
      <c r="F175" s="208"/>
      <c r="G175" s="208"/>
      <c r="H175" s="208"/>
      <c r="I175" s="138"/>
      <c r="J175" s="138"/>
      <c r="K175" s="138"/>
      <c r="L175" s="138"/>
      <c r="M175" s="138"/>
      <c r="N175" s="138"/>
      <c r="O175" s="138"/>
    </row>
    <row r="176" spans="1:15">
      <c r="A176" s="208"/>
      <c r="B176" s="208"/>
      <c r="C176" s="208"/>
      <c r="D176" s="208"/>
      <c r="E176" s="208"/>
      <c r="F176" s="208"/>
      <c r="G176" s="208"/>
      <c r="H176" s="208"/>
      <c r="I176" s="138"/>
      <c r="J176" s="138"/>
      <c r="K176" s="138"/>
      <c r="L176" s="138"/>
      <c r="M176" s="138"/>
      <c r="N176" s="138"/>
      <c r="O176" s="138"/>
    </row>
    <row r="177" spans="1:15">
      <c r="A177" s="208"/>
      <c r="B177" s="208"/>
      <c r="C177" s="208"/>
      <c r="D177" s="208"/>
      <c r="E177" s="208"/>
      <c r="F177" s="208"/>
      <c r="G177" s="208"/>
      <c r="H177" s="208"/>
      <c r="I177" s="138"/>
      <c r="J177" s="138"/>
      <c r="K177" s="138"/>
      <c r="L177" s="138"/>
      <c r="M177" s="138"/>
      <c r="N177" s="138"/>
      <c r="O177" s="138"/>
    </row>
    <row r="178" spans="1:15">
      <c r="A178" s="208"/>
      <c r="B178" s="208"/>
      <c r="C178" s="208"/>
      <c r="D178" s="208"/>
      <c r="E178" s="208"/>
      <c r="F178" s="208"/>
      <c r="G178" s="208"/>
      <c r="H178" s="208"/>
      <c r="I178" s="138"/>
      <c r="J178" s="138"/>
      <c r="K178" s="138"/>
      <c r="L178" s="138"/>
      <c r="M178" s="138"/>
      <c r="N178" s="138"/>
      <c r="O178" s="138"/>
    </row>
    <row r="179" spans="1:15">
      <c r="A179" s="208"/>
      <c r="B179" s="208"/>
      <c r="C179" s="208"/>
      <c r="D179" s="208"/>
      <c r="E179" s="208"/>
      <c r="F179" s="208"/>
      <c r="G179" s="208"/>
      <c r="H179" s="208"/>
      <c r="I179" s="138"/>
      <c r="J179" s="138"/>
      <c r="K179" s="138"/>
      <c r="L179" s="138"/>
      <c r="M179" s="138"/>
      <c r="N179" s="138"/>
      <c r="O179" s="138"/>
    </row>
    <row r="180" spans="1:15">
      <c r="A180" s="208"/>
      <c r="B180" s="208"/>
      <c r="C180" s="208"/>
      <c r="D180" s="208"/>
      <c r="E180" s="208"/>
      <c r="F180" s="208"/>
      <c r="G180" s="208"/>
      <c r="H180" s="208"/>
      <c r="I180" s="138"/>
      <c r="J180" s="138"/>
      <c r="K180" s="138"/>
      <c r="L180" s="138"/>
      <c r="M180" s="138"/>
      <c r="N180" s="138"/>
      <c r="O180" s="138"/>
    </row>
    <row r="181" spans="1:15">
      <c r="A181" s="208"/>
      <c r="B181" s="208"/>
      <c r="C181" s="208"/>
      <c r="D181" s="208"/>
      <c r="E181" s="208"/>
      <c r="F181" s="208"/>
      <c r="G181" s="208"/>
      <c r="H181" s="208"/>
      <c r="I181" s="138"/>
      <c r="J181" s="138"/>
      <c r="K181" s="138"/>
      <c r="L181" s="138"/>
      <c r="M181" s="138"/>
      <c r="N181" s="138"/>
      <c r="O181" s="138"/>
    </row>
    <row r="182" spans="1:15">
      <c r="A182" s="208"/>
      <c r="B182" s="208"/>
      <c r="C182" s="208"/>
      <c r="D182" s="208"/>
      <c r="E182" s="208"/>
      <c r="F182" s="208"/>
      <c r="G182" s="208"/>
      <c r="H182" s="208"/>
      <c r="I182" s="138"/>
      <c r="J182" s="138"/>
      <c r="K182" s="138"/>
      <c r="L182" s="138"/>
      <c r="M182" s="138"/>
      <c r="N182" s="138"/>
      <c r="O182" s="138"/>
    </row>
    <row r="183" spans="1:15">
      <c r="A183" s="208"/>
      <c r="B183" s="208"/>
      <c r="C183" s="208"/>
      <c r="D183" s="208"/>
      <c r="E183" s="208"/>
      <c r="F183" s="208"/>
      <c r="G183" s="208"/>
      <c r="H183" s="208"/>
      <c r="I183" s="138"/>
      <c r="J183" s="138"/>
      <c r="K183" s="138"/>
      <c r="L183" s="138"/>
      <c r="M183" s="138"/>
      <c r="N183" s="138"/>
      <c r="O183" s="138"/>
    </row>
    <row r="184" spans="1:15">
      <c r="A184" s="208"/>
      <c r="B184" s="208"/>
      <c r="C184" s="208"/>
      <c r="D184" s="208"/>
      <c r="E184" s="208"/>
      <c r="F184" s="208"/>
      <c r="G184" s="208"/>
      <c r="H184" s="208"/>
      <c r="I184" s="138"/>
      <c r="J184" s="138"/>
      <c r="K184" s="138"/>
      <c r="L184" s="138"/>
      <c r="M184" s="138"/>
      <c r="N184" s="138"/>
      <c r="O184" s="138"/>
    </row>
    <row r="185" spans="1:15">
      <c r="A185" s="208"/>
      <c r="B185" s="208"/>
      <c r="C185" s="208"/>
      <c r="D185" s="208"/>
      <c r="E185" s="208"/>
      <c r="F185" s="208"/>
      <c r="G185" s="208"/>
      <c r="H185" s="208"/>
      <c r="I185" s="138"/>
      <c r="J185" s="138"/>
      <c r="K185" s="138"/>
      <c r="L185" s="138"/>
      <c r="M185" s="138"/>
      <c r="N185" s="138"/>
      <c r="O185" s="138"/>
    </row>
    <row r="186" spans="1:15">
      <c r="A186" s="208"/>
      <c r="B186" s="208"/>
      <c r="C186" s="208"/>
      <c r="D186" s="208"/>
      <c r="E186" s="208"/>
      <c r="F186" s="208"/>
      <c r="G186" s="208"/>
      <c r="H186" s="208"/>
      <c r="I186" s="138"/>
      <c r="J186" s="138"/>
      <c r="K186" s="138"/>
      <c r="L186" s="138"/>
      <c r="M186" s="138"/>
      <c r="N186" s="138"/>
      <c r="O186" s="138"/>
    </row>
    <row r="187" spans="1:15">
      <c r="A187" s="208"/>
      <c r="B187" s="208"/>
      <c r="C187" s="208"/>
      <c r="D187" s="208"/>
      <c r="E187" s="208"/>
      <c r="F187" s="208"/>
      <c r="G187" s="208"/>
      <c r="H187" s="208"/>
      <c r="I187" s="138"/>
      <c r="J187" s="138"/>
      <c r="K187" s="138"/>
      <c r="L187" s="138"/>
      <c r="M187" s="138"/>
      <c r="N187" s="138"/>
      <c r="O187" s="138"/>
    </row>
    <row r="188" spans="1:15">
      <c r="A188" s="208"/>
      <c r="B188" s="208"/>
      <c r="C188" s="208"/>
      <c r="D188" s="208"/>
      <c r="E188" s="208"/>
      <c r="F188" s="208"/>
      <c r="G188" s="208"/>
      <c r="H188" s="208"/>
      <c r="I188" s="138"/>
      <c r="J188" s="138"/>
      <c r="K188" s="138"/>
      <c r="L188" s="138"/>
      <c r="M188" s="138"/>
      <c r="N188" s="138"/>
      <c r="O188" s="138"/>
    </row>
    <row r="189" spans="1:15">
      <c r="A189" s="208"/>
      <c r="B189" s="208"/>
      <c r="C189" s="208"/>
      <c r="D189" s="208"/>
      <c r="E189" s="208"/>
      <c r="F189" s="208"/>
      <c r="G189" s="208"/>
      <c r="H189" s="208"/>
      <c r="I189" s="138"/>
      <c r="J189" s="138"/>
      <c r="K189" s="138"/>
      <c r="L189" s="138"/>
      <c r="M189" s="138"/>
      <c r="N189" s="138"/>
      <c r="O189" s="138"/>
    </row>
    <row r="190" spans="1:15">
      <c r="A190" s="208"/>
      <c r="B190" s="208"/>
      <c r="C190" s="208"/>
      <c r="D190" s="208"/>
      <c r="E190" s="208"/>
      <c r="F190" s="208"/>
      <c r="G190" s="208"/>
      <c r="H190" s="208"/>
      <c r="I190" s="138"/>
      <c r="J190" s="138"/>
      <c r="K190" s="138"/>
      <c r="L190" s="138"/>
      <c r="M190" s="138"/>
      <c r="N190" s="138"/>
      <c r="O190" s="138"/>
    </row>
    <row r="191" spans="1:15">
      <c r="A191" s="208"/>
      <c r="B191" s="208"/>
      <c r="C191" s="208"/>
      <c r="D191" s="208"/>
      <c r="E191" s="208"/>
      <c r="F191" s="208"/>
      <c r="G191" s="208"/>
      <c r="H191" s="208"/>
      <c r="I191" s="138"/>
      <c r="J191" s="138"/>
      <c r="K191" s="138"/>
      <c r="L191" s="138"/>
      <c r="M191" s="138"/>
      <c r="N191" s="138"/>
      <c r="O191" s="138"/>
    </row>
    <row r="192" spans="1:15">
      <c r="A192" s="208"/>
      <c r="B192" s="208"/>
      <c r="C192" s="208"/>
      <c r="D192" s="208"/>
      <c r="E192" s="208"/>
      <c r="F192" s="208"/>
      <c r="G192" s="208"/>
      <c r="H192" s="208"/>
      <c r="I192" s="138"/>
      <c r="J192" s="138"/>
      <c r="K192" s="138"/>
      <c r="L192" s="138"/>
      <c r="M192" s="138"/>
      <c r="N192" s="138"/>
      <c r="O192" s="138"/>
    </row>
    <row r="193" spans="1:15">
      <c r="A193" s="208"/>
      <c r="B193" s="208"/>
      <c r="C193" s="208"/>
      <c r="D193" s="208"/>
      <c r="E193" s="208"/>
      <c r="F193" s="208"/>
      <c r="G193" s="208"/>
      <c r="H193" s="208"/>
      <c r="I193" s="138"/>
      <c r="J193" s="138"/>
      <c r="K193" s="138"/>
      <c r="L193" s="138"/>
      <c r="M193" s="138"/>
      <c r="N193" s="138"/>
      <c r="O193" s="138"/>
    </row>
    <row r="194" spans="1:15">
      <c r="A194" s="208"/>
      <c r="B194" s="208"/>
      <c r="C194" s="208"/>
      <c r="D194" s="208"/>
      <c r="E194" s="208"/>
      <c r="F194" s="208"/>
      <c r="G194" s="208"/>
      <c r="H194" s="208"/>
      <c r="I194" s="138"/>
      <c r="J194" s="138"/>
      <c r="K194" s="138"/>
      <c r="L194" s="138"/>
      <c r="M194" s="138"/>
      <c r="N194" s="138"/>
      <c r="O194" s="138"/>
    </row>
    <row r="195" spans="1:15">
      <c r="A195" s="208"/>
      <c r="B195" s="208"/>
      <c r="C195" s="208"/>
      <c r="D195" s="208"/>
      <c r="E195" s="208"/>
      <c r="F195" s="208"/>
      <c r="G195" s="208"/>
      <c r="H195" s="208"/>
      <c r="I195" s="138"/>
      <c r="J195" s="138"/>
      <c r="K195" s="138"/>
      <c r="L195" s="138"/>
      <c r="M195" s="138"/>
      <c r="N195" s="138"/>
      <c r="O195" s="138"/>
    </row>
    <row r="196" spans="1:15">
      <c r="A196" s="208"/>
      <c r="B196" s="208"/>
      <c r="C196" s="208"/>
      <c r="D196" s="208"/>
      <c r="E196" s="208"/>
      <c r="F196" s="208"/>
      <c r="G196" s="208"/>
      <c r="H196" s="208"/>
      <c r="I196" s="138"/>
      <c r="J196" s="138"/>
      <c r="K196" s="138"/>
      <c r="L196" s="138"/>
      <c r="M196" s="138"/>
      <c r="N196" s="138"/>
      <c r="O196" s="138"/>
    </row>
    <row r="197" spans="1:15">
      <c r="A197" s="208"/>
      <c r="B197" s="208"/>
      <c r="C197" s="208"/>
      <c r="D197" s="208"/>
      <c r="E197" s="208"/>
      <c r="F197" s="208"/>
      <c r="G197" s="208"/>
      <c r="H197" s="208"/>
      <c r="I197" s="138"/>
      <c r="J197" s="138"/>
      <c r="K197" s="138"/>
      <c r="L197" s="138"/>
      <c r="M197" s="138"/>
      <c r="N197" s="138"/>
      <c r="O197" s="138"/>
    </row>
    <row r="198" spans="1:15">
      <c r="A198" s="208"/>
      <c r="B198" s="208"/>
      <c r="C198" s="208"/>
      <c r="D198" s="208"/>
      <c r="E198" s="208"/>
      <c r="F198" s="208"/>
      <c r="G198" s="208"/>
      <c r="H198" s="208"/>
      <c r="I198" s="138"/>
      <c r="J198" s="138"/>
      <c r="K198" s="138"/>
      <c r="L198" s="138"/>
      <c r="M198" s="138"/>
      <c r="N198" s="138"/>
      <c r="O198" s="138"/>
    </row>
    <row r="199" spans="1:15">
      <c r="A199" s="208"/>
      <c r="B199" s="208"/>
      <c r="C199" s="208"/>
      <c r="D199" s="208"/>
      <c r="E199" s="208"/>
      <c r="F199" s="208"/>
      <c r="G199" s="208"/>
      <c r="H199" s="208"/>
      <c r="I199" s="138"/>
      <c r="J199" s="138"/>
      <c r="K199" s="138"/>
      <c r="L199" s="138"/>
      <c r="M199" s="138"/>
      <c r="N199" s="138"/>
      <c r="O199" s="138"/>
    </row>
    <row r="200" spans="1:15">
      <c r="A200" s="208"/>
      <c r="B200" s="208"/>
      <c r="C200" s="208"/>
      <c r="D200" s="208"/>
      <c r="E200" s="208"/>
      <c r="F200" s="208"/>
      <c r="G200" s="208"/>
      <c r="H200" s="208"/>
      <c r="I200" s="138"/>
      <c r="J200" s="138"/>
      <c r="K200" s="138"/>
      <c r="L200" s="138"/>
      <c r="M200" s="138"/>
      <c r="N200" s="138"/>
      <c r="O200" s="138"/>
    </row>
    <row r="201" spans="1:15">
      <c r="A201" s="208"/>
      <c r="B201" s="208"/>
      <c r="C201" s="208"/>
      <c r="D201" s="208"/>
      <c r="E201" s="208"/>
      <c r="F201" s="208"/>
      <c r="G201" s="208"/>
      <c r="H201" s="208"/>
      <c r="I201" s="138"/>
      <c r="J201" s="138"/>
      <c r="K201" s="138"/>
      <c r="L201" s="138"/>
      <c r="M201" s="138"/>
      <c r="N201" s="138"/>
      <c r="O201" s="138"/>
    </row>
    <row r="202" spans="1:15">
      <c r="A202" s="208"/>
      <c r="B202" s="208"/>
      <c r="C202" s="208"/>
      <c r="D202" s="208"/>
      <c r="E202" s="208"/>
      <c r="F202" s="208"/>
      <c r="G202" s="208"/>
      <c r="H202" s="208"/>
      <c r="I202" s="138"/>
      <c r="J202" s="138"/>
      <c r="K202" s="138"/>
      <c r="L202" s="138"/>
      <c r="M202" s="138"/>
      <c r="N202" s="138"/>
      <c r="O202" s="138"/>
    </row>
    <row r="203" spans="1:15">
      <c r="A203" s="208"/>
      <c r="B203" s="208"/>
      <c r="C203" s="208"/>
      <c r="D203" s="208"/>
      <c r="E203" s="208"/>
      <c r="F203" s="208"/>
      <c r="G203" s="208"/>
      <c r="H203" s="208"/>
      <c r="I203" s="138"/>
      <c r="J203" s="138"/>
      <c r="K203" s="138"/>
      <c r="L203" s="138"/>
      <c r="M203" s="138"/>
      <c r="N203" s="138"/>
      <c r="O203" s="138"/>
    </row>
    <row r="204" spans="1:15">
      <c r="A204" s="208"/>
      <c r="B204" s="208"/>
      <c r="C204" s="208"/>
      <c r="D204" s="208"/>
      <c r="E204" s="208"/>
      <c r="F204" s="208"/>
      <c r="G204" s="208"/>
      <c r="H204" s="208"/>
      <c r="I204" s="138"/>
      <c r="J204" s="138"/>
      <c r="K204" s="138"/>
      <c r="L204" s="138"/>
      <c r="M204" s="138"/>
      <c r="N204" s="138"/>
      <c r="O204" s="138"/>
    </row>
    <row r="205" spans="1:15">
      <c r="A205" s="208"/>
      <c r="B205" s="208"/>
      <c r="C205" s="208"/>
      <c r="D205" s="208"/>
      <c r="E205" s="208"/>
      <c r="F205" s="208"/>
      <c r="G205" s="208"/>
      <c r="H205" s="208"/>
      <c r="I205" s="138"/>
      <c r="J205" s="138"/>
      <c r="K205" s="138"/>
      <c r="L205" s="138"/>
      <c r="M205" s="138"/>
      <c r="N205" s="138"/>
      <c r="O205" s="138"/>
    </row>
    <row r="206" spans="1:15">
      <c r="A206" s="208"/>
      <c r="B206" s="208"/>
      <c r="C206" s="208"/>
      <c r="D206" s="208"/>
      <c r="E206" s="208"/>
      <c r="F206" s="208"/>
      <c r="G206" s="208"/>
      <c r="H206" s="208"/>
      <c r="I206" s="138"/>
      <c r="J206" s="138"/>
      <c r="K206" s="138"/>
      <c r="L206" s="138"/>
      <c r="M206" s="138"/>
      <c r="N206" s="138"/>
      <c r="O206" s="138"/>
    </row>
    <row r="207" spans="1:15">
      <c r="A207" s="208"/>
      <c r="B207" s="208"/>
      <c r="C207" s="208"/>
      <c r="D207" s="208"/>
      <c r="E207" s="208"/>
      <c r="F207" s="208"/>
      <c r="G207" s="208"/>
      <c r="H207" s="208"/>
      <c r="I207" s="138"/>
      <c r="J207" s="138"/>
      <c r="K207" s="138"/>
      <c r="L207" s="138"/>
      <c r="M207" s="138"/>
      <c r="N207" s="138"/>
      <c r="O207" s="138"/>
    </row>
    <row r="208" spans="1:15">
      <c r="A208" s="208"/>
      <c r="B208" s="208"/>
      <c r="C208" s="208"/>
      <c r="D208" s="208"/>
      <c r="E208" s="208"/>
      <c r="F208" s="208"/>
      <c r="G208" s="208"/>
      <c r="H208" s="208"/>
      <c r="I208" s="138"/>
      <c r="J208" s="138"/>
      <c r="K208" s="138"/>
      <c r="L208" s="138"/>
      <c r="M208" s="138"/>
      <c r="N208" s="138"/>
      <c r="O208" s="138"/>
    </row>
    <row r="209" spans="1:15">
      <c r="A209" s="208"/>
      <c r="B209" s="208"/>
      <c r="C209" s="208"/>
      <c r="D209" s="208"/>
      <c r="E209" s="208"/>
      <c r="F209" s="208"/>
      <c r="G209" s="208"/>
      <c r="H209" s="208"/>
      <c r="I209" s="138"/>
      <c r="J209" s="138"/>
      <c r="K209" s="138"/>
      <c r="L209" s="138"/>
      <c r="M209" s="138"/>
      <c r="N209" s="138"/>
      <c r="O209" s="138"/>
    </row>
    <row r="210" spans="1:15">
      <c r="A210" s="208"/>
      <c r="B210" s="208"/>
      <c r="C210" s="208"/>
      <c r="D210" s="208"/>
      <c r="E210" s="208"/>
      <c r="F210" s="208"/>
      <c r="G210" s="208"/>
      <c r="H210" s="208"/>
      <c r="I210" s="138"/>
      <c r="J210" s="138"/>
      <c r="K210" s="138"/>
      <c r="L210" s="138"/>
      <c r="M210" s="138"/>
      <c r="N210" s="138"/>
      <c r="O210" s="138"/>
    </row>
    <row r="211" spans="1:15">
      <c r="A211" s="208"/>
      <c r="B211" s="208"/>
      <c r="C211" s="208"/>
      <c r="D211" s="208"/>
      <c r="E211" s="208"/>
      <c r="F211" s="208"/>
      <c r="G211" s="208"/>
      <c r="H211" s="208"/>
      <c r="I211" s="138"/>
      <c r="J211" s="138"/>
      <c r="K211" s="138"/>
      <c r="L211" s="138"/>
      <c r="M211" s="138"/>
      <c r="N211" s="138"/>
      <c r="O211" s="138"/>
    </row>
    <row r="212" spans="1:15">
      <c r="A212" s="208"/>
      <c r="B212" s="208"/>
      <c r="C212" s="208"/>
      <c r="D212" s="208"/>
      <c r="E212" s="208"/>
      <c r="F212" s="208"/>
      <c r="G212" s="208"/>
      <c r="H212" s="208"/>
      <c r="I212" s="138"/>
      <c r="J212" s="138"/>
      <c r="K212" s="138"/>
      <c r="L212" s="138"/>
      <c r="M212" s="138"/>
      <c r="N212" s="138"/>
      <c r="O212" s="138"/>
    </row>
    <row r="213" spans="1:15">
      <c r="A213" s="208"/>
      <c r="B213" s="208"/>
      <c r="C213" s="208"/>
      <c r="D213" s="208"/>
      <c r="E213" s="208"/>
      <c r="F213" s="208"/>
      <c r="G213" s="208"/>
      <c r="H213" s="208"/>
      <c r="I213" s="138"/>
      <c r="J213" s="138"/>
      <c r="K213" s="138"/>
      <c r="L213" s="138"/>
      <c r="M213" s="138"/>
      <c r="N213" s="138"/>
      <c r="O213" s="138"/>
    </row>
    <row r="214" spans="1:15">
      <c r="A214" s="208"/>
      <c r="B214" s="208"/>
      <c r="C214" s="208"/>
      <c r="D214" s="208"/>
      <c r="E214" s="208"/>
      <c r="F214" s="208"/>
      <c r="G214" s="208"/>
      <c r="H214" s="208"/>
      <c r="I214" s="138"/>
      <c r="J214" s="138"/>
      <c r="K214" s="138"/>
      <c r="L214" s="138"/>
      <c r="M214" s="138"/>
      <c r="N214" s="138"/>
      <c r="O214" s="138"/>
    </row>
    <row r="215" spans="1:15">
      <c r="A215" s="208"/>
      <c r="B215" s="208"/>
      <c r="C215" s="208"/>
      <c r="D215" s="208"/>
      <c r="E215" s="208"/>
      <c r="F215" s="208"/>
      <c r="G215" s="208"/>
      <c r="H215" s="208"/>
      <c r="I215" s="138"/>
      <c r="J215" s="138"/>
      <c r="K215" s="138"/>
      <c r="L215" s="138"/>
      <c r="M215" s="138"/>
      <c r="N215" s="138"/>
      <c r="O215" s="138"/>
    </row>
    <row r="216" spans="1:15">
      <c r="A216" s="208"/>
      <c r="B216" s="208"/>
      <c r="C216" s="208"/>
      <c r="D216" s="208"/>
      <c r="E216" s="208"/>
      <c r="F216" s="208"/>
      <c r="G216" s="208"/>
      <c r="H216" s="208"/>
      <c r="I216" s="138"/>
      <c r="J216" s="138"/>
      <c r="K216" s="138"/>
      <c r="L216" s="138"/>
      <c r="M216" s="138"/>
      <c r="N216" s="138"/>
      <c r="O216" s="138"/>
    </row>
    <row r="217" spans="1:15">
      <c r="A217" s="208"/>
      <c r="B217" s="208"/>
      <c r="C217" s="208"/>
      <c r="D217" s="208"/>
      <c r="E217" s="208"/>
      <c r="F217" s="208"/>
      <c r="G217" s="208"/>
      <c r="H217" s="208"/>
      <c r="I217" s="138"/>
      <c r="J217" s="138"/>
      <c r="K217" s="138"/>
      <c r="L217" s="138"/>
      <c r="M217" s="138"/>
      <c r="N217" s="138"/>
      <c r="O217" s="138"/>
    </row>
    <row r="218" spans="1:15">
      <c r="A218" s="208"/>
      <c r="B218" s="208"/>
      <c r="C218" s="208"/>
      <c r="D218" s="208"/>
      <c r="E218" s="208"/>
      <c r="F218" s="208"/>
      <c r="G218" s="208"/>
      <c r="H218" s="208"/>
      <c r="I218" s="138"/>
      <c r="J218" s="138"/>
      <c r="K218" s="138"/>
      <c r="L218" s="138"/>
      <c r="M218" s="138"/>
      <c r="N218" s="138"/>
      <c r="O218" s="138"/>
    </row>
    <row r="219" spans="1:15">
      <c r="A219" s="208"/>
      <c r="B219" s="208"/>
      <c r="C219" s="208"/>
      <c r="D219" s="208"/>
      <c r="E219" s="208"/>
      <c r="F219" s="208"/>
      <c r="G219" s="208"/>
      <c r="H219" s="208"/>
      <c r="I219" s="138"/>
      <c r="J219" s="138"/>
      <c r="K219" s="138"/>
      <c r="L219" s="138"/>
      <c r="M219" s="138"/>
      <c r="N219" s="138"/>
      <c r="O219" s="138"/>
    </row>
    <row r="220" spans="1:15">
      <c r="A220" s="208"/>
      <c r="B220" s="208"/>
      <c r="C220" s="208"/>
      <c r="D220" s="208"/>
      <c r="E220" s="208"/>
      <c r="F220" s="208"/>
      <c r="G220" s="208"/>
      <c r="H220" s="208"/>
      <c r="I220" s="138"/>
      <c r="J220" s="138"/>
      <c r="K220" s="138"/>
      <c r="L220" s="138"/>
      <c r="M220" s="138"/>
      <c r="N220" s="138"/>
      <c r="O220" s="138"/>
    </row>
    <row r="221" spans="1:15">
      <c r="A221" s="208"/>
      <c r="B221" s="208"/>
      <c r="C221" s="208"/>
      <c r="D221" s="208"/>
      <c r="E221" s="208"/>
      <c r="F221" s="208"/>
      <c r="G221" s="208"/>
      <c r="H221" s="208"/>
      <c r="I221" s="138"/>
      <c r="J221" s="138"/>
      <c r="K221" s="138"/>
      <c r="L221" s="138"/>
      <c r="M221" s="138"/>
      <c r="N221" s="138"/>
      <c r="O221" s="138"/>
    </row>
    <row r="222" spans="1:15">
      <c r="A222" s="208"/>
      <c r="B222" s="208"/>
      <c r="C222" s="208"/>
      <c r="D222" s="208"/>
      <c r="E222" s="208"/>
      <c r="F222" s="208"/>
      <c r="G222" s="208"/>
      <c r="H222" s="208"/>
      <c r="I222" s="138"/>
      <c r="J222" s="138"/>
      <c r="K222" s="138"/>
      <c r="L222" s="138"/>
      <c r="M222" s="138"/>
      <c r="N222" s="138"/>
      <c r="O222" s="138"/>
    </row>
    <row r="223" spans="1:15">
      <c r="A223" s="208"/>
      <c r="B223" s="208"/>
      <c r="C223" s="208"/>
      <c r="D223" s="208"/>
      <c r="E223" s="208"/>
      <c r="F223" s="208"/>
      <c r="G223" s="208"/>
      <c r="H223" s="208"/>
      <c r="I223" s="138"/>
      <c r="J223" s="138"/>
      <c r="K223" s="138"/>
      <c r="L223" s="138"/>
      <c r="M223" s="138"/>
      <c r="N223" s="138"/>
      <c r="O223" s="138"/>
    </row>
    <row r="224" spans="1:15">
      <c r="A224" s="208"/>
      <c r="B224" s="208"/>
      <c r="C224" s="208"/>
      <c r="D224" s="208"/>
      <c r="E224" s="208"/>
      <c r="F224" s="208"/>
      <c r="G224" s="208"/>
      <c r="H224" s="208"/>
      <c r="I224" s="138"/>
      <c r="J224" s="138"/>
      <c r="K224" s="138"/>
      <c r="L224" s="138"/>
      <c r="M224" s="138"/>
      <c r="N224" s="138"/>
      <c r="O224" s="138"/>
    </row>
    <row r="225" spans="1:15">
      <c r="A225" s="208"/>
      <c r="B225" s="208"/>
      <c r="C225" s="208"/>
      <c r="D225" s="208"/>
      <c r="E225" s="208"/>
      <c r="F225" s="208"/>
      <c r="G225" s="208"/>
      <c r="H225" s="208"/>
      <c r="I225" s="138"/>
      <c r="J225" s="138"/>
      <c r="K225" s="138"/>
      <c r="L225" s="138"/>
      <c r="M225" s="138"/>
      <c r="N225" s="138"/>
      <c r="O225" s="138"/>
    </row>
    <row r="226" spans="1:15">
      <c r="A226" s="208"/>
      <c r="B226" s="208"/>
      <c r="C226" s="208"/>
      <c r="D226" s="208"/>
      <c r="E226" s="208"/>
      <c r="F226" s="208"/>
      <c r="G226" s="208"/>
      <c r="H226" s="208"/>
      <c r="I226" s="138"/>
      <c r="J226" s="138"/>
      <c r="K226" s="138"/>
      <c r="L226" s="138"/>
      <c r="M226" s="138"/>
      <c r="N226" s="138"/>
      <c r="O226" s="138"/>
    </row>
    <row r="227" spans="1:15">
      <c r="A227" s="208"/>
      <c r="B227" s="208"/>
      <c r="C227" s="208"/>
      <c r="D227" s="208"/>
      <c r="E227" s="208"/>
      <c r="F227" s="208"/>
      <c r="G227" s="208"/>
      <c r="H227" s="208"/>
      <c r="I227" s="138"/>
      <c r="J227" s="138"/>
      <c r="K227" s="138"/>
      <c r="L227" s="138"/>
      <c r="M227" s="138"/>
      <c r="N227" s="138"/>
      <c r="O227" s="138"/>
    </row>
    <row r="228" spans="1:15">
      <c r="A228" s="208"/>
      <c r="B228" s="208"/>
      <c r="C228" s="208"/>
      <c r="D228" s="208"/>
      <c r="E228" s="208"/>
      <c r="F228" s="208"/>
      <c r="G228" s="208"/>
      <c r="H228" s="208"/>
      <c r="I228" s="138"/>
      <c r="J228" s="138"/>
      <c r="K228" s="138"/>
      <c r="L228" s="138"/>
      <c r="M228" s="138"/>
      <c r="N228" s="138"/>
      <c r="O228" s="138"/>
    </row>
    <row r="229" spans="1:15">
      <c r="A229" s="208"/>
      <c r="B229" s="208"/>
      <c r="C229" s="208"/>
      <c r="D229" s="208"/>
      <c r="E229" s="208"/>
      <c r="F229" s="208"/>
      <c r="G229" s="208"/>
      <c r="H229" s="208"/>
      <c r="I229" s="138"/>
      <c r="J229" s="138"/>
      <c r="K229" s="138"/>
      <c r="L229" s="138"/>
      <c r="M229" s="138"/>
      <c r="N229" s="138"/>
      <c r="O229" s="138"/>
    </row>
    <row r="230" spans="1:15">
      <c r="A230" s="208"/>
      <c r="B230" s="208"/>
      <c r="C230" s="208"/>
      <c r="D230" s="208"/>
      <c r="E230" s="208"/>
      <c r="F230" s="208"/>
      <c r="G230" s="208"/>
      <c r="H230" s="208"/>
      <c r="I230" s="138"/>
      <c r="J230" s="138"/>
      <c r="K230" s="138"/>
      <c r="L230" s="138"/>
      <c r="M230" s="138"/>
      <c r="N230" s="138"/>
      <c r="O230" s="138"/>
    </row>
    <row r="231" spans="1:15">
      <c r="A231" s="208"/>
      <c r="B231" s="208"/>
      <c r="C231" s="208"/>
      <c r="D231" s="208"/>
      <c r="E231" s="208"/>
      <c r="F231" s="208"/>
      <c r="G231" s="208"/>
      <c r="H231" s="208"/>
      <c r="I231" s="138"/>
      <c r="J231" s="138"/>
      <c r="K231" s="138"/>
      <c r="L231" s="138"/>
      <c r="M231" s="138"/>
      <c r="N231" s="138"/>
      <c r="O231" s="138"/>
    </row>
    <row r="232" spans="1:15">
      <c r="A232" s="208"/>
      <c r="B232" s="208"/>
      <c r="C232" s="208"/>
      <c r="D232" s="208"/>
      <c r="E232" s="208"/>
      <c r="F232" s="208"/>
      <c r="G232" s="208"/>
      <c r="H232" s="208"/>
      <c r="I232" s="138"/>
      <c r="J232" s="138"/>
      <c r="K232" s="138"/>
      <c r="L232" s="138"/>
      <c r="M232" s="138"/>
      <c r="N232" s="138"/>
      <c r="O232" s="138"/>
    </row>
    <row r="233" spans="1:15">
      <c r="A233" s="208"/>
      <c r="B233" s="208"/>
      <c r="C233" s="208"/>
      <c r="D233" s="208"/>
      <c r="E233" s="208"/>
      <c r="F233" s="208"/>
      <c r="G233" s="208"/>
      <c r="H233" s="208"/>
      <c r="I233" s="138"/>
      <c r="J233" s="138"/>
      <c r="K233" s="138"/>
      <c r="L233" s="138"/>
      <c r="M233" s="138"/>
      <c r="N233" s="138"/>
      <c r="O233" s="138"/>
    </row>
    <row r="234" spans="1:15">
      <c r="A234" s="208"/>
      <c r="B234" s="208"/>
      <c r="C234" s="208"/>
      <c r="D234" s="208"/>
      <c r="E234" s="208"/>
      <c r="F234" s="208"/>
      <c r="G234" s="208"/>
      <c r="H234" s="208"/>
      <c r="I234" s="138"/>
      <c r="J234" s="138"/>
      <c r="K234" s="138"/>
      <c r="L234" s="138"/>
      <c r="M234" s="138"/>
      <c r="N234" s="138"/>
      <c r="O234" s="138"/>
    </row>
    <row r="235" spans="1:15">
      <c r="A235" s="208"/>
      <c r="B235" s="208"/>
      <c r="C235" s="208"/>
      <c r="D235" s="208"/>
      <c r="E235" s="208"/>
      <c r="F235" s="208"/>
      <c r="G235" s="208"/>
      <c r="H235" s="208"/>
      <c r="I235" s="138"/>
      <c r="J235" s="138"/>
      <c r="K235" s="138"/>
      <c r="L235" s="138"/>
      <c r="M235" s="138"/>
      <c r="N235" s="138"/>
      <c r="O235" s="138"/>
    </row>
    <row r="236" spans="1:15">
      <c r="A236" s="208"/>
      <c r="B236" s="208"/>
      <c r="C236" s="208"/>
      <c r="D236" s="208"/>
      <c r="E236" s="208"/>
      <c r="F236" s="208"/>
      <c r="G236" s="208"/>
      <c r="H236" s="208"/>
      <c r="I236" s="138"/>
      <c r="J236" s="138"/>
      <c r="K236" s="138"/>
      <c r="L236" s="138"/>
      <c r="M236" s="138"/>
      <c r="N236" s="138"/>
      <c r="O236" s="138"/>
    </row>
    <row r="237" spans="1:15">
      <c r="A237" s="208"/>
      <c r="B237" s="208"/>
      <c r="C237" s="208"/>
      <c r="D237" s="208"/>
      <c r="E237" s="208"/>
      <c r="F237" s="208"/>
      <c r="G237" s="208"/>
      <c r="H237" s="208"/>
      <c r="I237" s="138"/>
      <c r="J237" s="138"/>
      <c r="K237" s="138"/>
      <c r="L237" s="138"/>
      <c r="M237" s="138"/>
      <c r="N237" s="138"/>
      <c r="O237" s="138"/>
    </row>
    <row r="238" spans="1:15">
      <c r="A238" s="208"/>
      <c r="B238" s="208"/>
      <c r="C238" s="208"/>
      <c r="D238" s="208"/>
      <c r="E238" s="208"/>
      <c r="F238" s="208"/>
      <c r="G238" s="208"/>
      <c r="H238" s="208"/>
      <c r="I238" s="138"/>
      <c r="J238" s="138"/>
      <c r="K238" s="138"/>
      <c r="L238" s="138"/>
      <c r="M238" s="138"/>
      <c r="N238" s="138"/>
      <c r="O238" s="138"/>
    </row>
    <row r="239" spans="1:15">
      <c r="A239" s="208"/>
      <c r="B239" s="208"/>
      <c r="C239" s="208"/>
      <c r="D239" s="208"/>
      <c r="E239" s="208"/>
      <c r="F239" s="208"/>
      <c r="G239" s="208"/>
      <c r="H239" s="208"/>
      <c r="I239" s="138"/>
      <c r="J239" s="138"/>
      <c r="K239" s="138"/>
      <c r="L239" s="138"/>
      <c r="M239" s="138"/>
      <c r="N239" s="138"/>
      <c r="O239" s="138"/>
    </row>
    <row r="240" spans="1:15">
      <c r="A240" s="208"/>
      <c r="B240" s="208"/>
      <c r="C240" s="208"/>
      <c r="D240" s="208"/>
      <c r="E240" s="208"/>
      <c r="F240" s="208"/>
      <c r="G240" s="208"/>
      <c r="H240" s="208"/>
      <c r="I240" s="138"/>
      <c r="J240" s="138"/>
      <c r="K240" s="138"/>
      <c r="L240" s="138"/>
      <c r="M240" s="138"/>
      <c r="N240" s="138"/>
      <c r="O240" s="138"/>
    </row>
    <row r="241" spans="1:15">
      <c r="A241" s="208"/>
      <c r="B241" s="208"/>
      <c r="C241" s="208"/>
      <c r="D241" s="208"/>
      <c r="E241" s="208"/>
      <c r="F241" s="208"/>
      <c r="G241" s="208"/>
      <c r="H241" s="208"/>
      <c r="I241" s="138"/>
      <c r="J241" s="138"/>
      <c r="K241" s="138"/>
      <c r="L241" s="138"/>
      <c r="M241" s="138"/>
      <c r="N241" s="138"/>
      <c r="O241" s="138"/>
    </row>
    <row r="242" spans="1:15">
      <c r="A242" s="208"/>
      <c r="B242" s="208"/>
      <c r="C242" s="208"/>
      <c r="D242" s="208"/>
      <c r="E242" s="208"/>
      <c r="F242" s="208"/>
      <c r="G242" s="208"/>
      <c r="H242" s="208"/>
      <c r="I242" s="138"/>
      <c r="J242" s="138"/>
      <c r="K242" s="138"/>
      <c r="L242" s="138"/>
      <c r="M242" s="138"/>
      <c r="N242" s="138"/>
      <c r="O242" s="138"/>
    </row>
    <row r="243" spans="1:15">
      <c r="A243" s="208"/>
      <c r="B243" s="208"/>
      <c r="C243" s="208"/>
      <c r="D243" s="208"/>
      <c r="E243" s="208"/>
      <c r="F243" s="208"/>
      <c r="G243" s="208"/>
      <c r="H243" s="208"/>
      <c r="I243" s="138"/>
      <c r="J243" s="138"/>
      <c r="K243" s="138"/>
      <c r="L243" s="138"/>
      <c r="M243" s="138"/>
      <c r="N243" s="138"/>
      <c r="O243" s="138"/>
    </row>
    <row r="244" spans="1:15">
      <c r="A244" s="208"/>
      <c r="B244" s="208"/>
      <c r="C244" s="208"/>
      <c r="D244" s="208"/>
      <c r="E244" s="208"/>
      <c r="F244" s="208"/>
      <c r="G244" s="208"/>
      <c r="H244" s="208"/>
      <c r="I244" s="138"/>
      <c r="J244" s="138"/>
      <c r="K244" s="138"/>
      <c r="L244" s="138"/>
      <c r="M244" s="138"/>
      <c r="N244" s="138"/>
      <c r="O244" s="138"/>
    </row>
    <row r="245" spans="1:15">
      <c r="A245" s="208"/>
      <c r="B245" s="208"/>
      <c r="C245" s="208"/>
      <c r="D245" s="208"/>
      <c r="E245" s="208"/>
      <c r="F245" s="208"/>
      <c r="G245" s="208"/>
      <c r="H245" s="208"/>
      <c r="I245" s="138"/>
      <c r="J245" s="138"/>
      <c r="K245" s="138"/>
      <c r="L245" s="138"/>
      <c r="M245" s="138"/>
      <c r="N245" s="138"/>
      <c r="O245" s="138"/>
    </row>
    <row r="246" spans="1:15">
      <c r="A246" s="208"/>
      <c r="B246" s="208"/>
      <c r="C246" s="208"/>
      <c r="D246" s="208"/>
      <c r="E246" s="208"/>
      <c r="F246" s="208"/>
      <c r="G246" s="208"/>
      <c r="H246" s="208"/>
      <c r="I246" s="138"/>
      <c r="J246" s="138"/>
      <c r="K246" s="138"/>
      <c r="L246" s="138"/>
      <c r="M246" s="138"/>
      <c r="N246" s="138"/>
      <c r="O246" s="138"/>
    </row>
    <row r="247" spans="1:15">
      <c r="A247" s="208"/>
      <c r="B247" s="208"/>
      <c r="C247" s="208"/>
      <c r="D247" s="208"/>
      <c r="E247" s="208"/>
      <c r="F247" s="208"/>
      <c r="G247" s="208"/>
      <c r="H247" s="208"/>
      <c r="I247" s="138"/>
      <c r="J247" s="138"/>
      <c r="K247" s="138"/>
      <c r="L247" s="138"/>
      <c r="M247" s="138"/>
      <c r="N247" s="138"/>
      <c r="O247" s="138"/>
    </row>
    <row r="248" spans="1:15">
      <c r="A248" s="208"/>
      <c r="B248" s="208"/>
      <c r="C248" s="208"/>
      <c r="D248" s="208"/>
      <c r="E248" s="208"/>
      <c r="F248" s="208"/>
      <c r="G248" s="208"/>
      <c r="H248" s="208"/>
      <c r="I248" s="138"/>
      <c r="J248" s="138"/>
      <c r="K248" s="138"/>
      <c r="L248" s="138"/>
      <c r="M248" s="138"/>
      <c r="N248" s="138"/>
      <c r="O248" s="138"/>
    </row>
    <row r="249" spans="1:15">
      <c r="A249" s="208"/>
      <c r="B249" s="208"/>
      <c r="C249" s="208"/>
      <c r="D249" s="208"/>
      <c r="E249" s="208"/>
      <c r="F249" s="208"/>
      <c r="G249" s="208"/>
      <c r="H249" s="208"/>
      <c r="I249" s="138"/>
      <c r="J249" s="138"/>
      <c r="K249" s="138"/>
      <c r="L249" s="138"/>
      <c r="M249" s="138"/>
      <c r="N249" s="138"/>
      <c r="O249" s="138"/>
    </row>
    <row r="250" spans="1:15">
      <c r="A250" s="208"/>
      <c r="B250" s="208"/>
      <c r="C250" s="208"/>
      <c r="D250" s="208"/>
      <c r="E250" s="208"/>
      <c r="F250" s="208"/>
      <c r="G250" s="208"/>
      <c r="H250" s="208"/>
      <c r="I250" s="138"/>
      <c r="J250" s="138"/>
      <c r="K250" s="138"/>
      <c r="L250" s="138"/>
      <c r="M250" s="138"/>
      <c r="N250" s="138"/>
      <c r="O250" s="138"/>
    </row>
    <row r="251" spans="1:15">
      <c r="A251" s="208"/>
      <c r="B251" s="208"/>
      <c r="C251" s="208"/>
      <c r="D251" s="208"/>
      <c r="E251" s="208"/>
      <c r="F251" s="208"/>
      <c r="G251" s="208"/>
      <c r="H251" s="208"/>
      <c r="I251" s="138"/>
      <c r="J251" s="138"/>
      <c r="K251" s="138"/>
      <c r="L251" s="138"/>
      <c r="M251" s="138"/>
      <c r="N251" s="138"/>
      <c r="O251" s="138"/>
    </row>
    <row r="252" spans="1:15">
      <c r="A252" s="208"/>
      <c r="B252" s="208"/>
      <c r="C252" s="208"/>
      <c r="D252" s="208"/>
      <c r="E252" s="208"/>
      <c r="F252" s="208"/>
      <c r="G252" s="208"/>
      <c r="H252" s="208"/>
      <c r="I252" s="138"/>
      <c r="J252" s="142"/>
      <c r="K252" s="138"/>
      <c r="L252" s="138"/>
      <c r="M252" s="138"/>
      <c r="N252" s="143"/>
      <c r="O252" s="138"/>
    </row>
  </sheetData>
  <autoFilter ref="A1:F73" xr:uid="{09563CCE-4E13-4BE0-A263-2F718EF92C77}"/>
  <mergeCells count="5">
    <mergeCell ref="AJ65:AM65"/>
    <mergeCell ref="AM3:AP3"/>
    <mergeCell ref="AM19:AP19"/>
    <mergeCell ref="AJ1:AR2"/>
    <mergeCell ref="AJ31:AM31"/>
  </mergeCells>
  <conditionalFormatting sqref="I2">
    <cfRule type="containsText" dxfId="4781" priority="196" operator="containsText" text="P">
      <formula>NOT(ISERROR(SEARCH("P",I2)))</formula>
    </cfRule>
  </conditionalFormatting>
  <conditionalFormatting sqref="I2">
    <cfRule type="containsText" dxfId="4780" priority="204" operator="containsText" text="LWOP UA">
      <formula>NOT(ISERROR(SEARCH("LWOP UA",I2)))</formula>
    </cfRule>
  </conditionalFormatting>
  <conditionalFormatting sqref="I2">
    <cfRule type="containsText" dxfId="4779" priority="197" operator="containsText" text="TFO">
      <formula>NOT(ISERROR(SEARCH("TFO",I2)))</formula>
    </cfRule>
    <cfRule type="containsText" dxfId="4778" priority="198" operator="containsText" text="AA">
      <formula>NOT(ISERROR(SEARCH("AA",I2)))</formula>
    </cfRule>
    <cfRule type="containsText" dxfId="4777" priority="199" operator="containsText" text="RESIGNED">
      <formula>NOT(ISERROR(SEARCH("RESIGNED",I2)))</formula>
    </cfRule>
    <cfRule type="containsText" dxfId="4776" priority="200" operator="containsText" text="P">
      <formula>NOT(ISERROR(SEARCH("P",I2)))</formula>
    </cfRule>
    <cfRule type="containsText" dxfId="4775" priority="201" operator="containsText" text="TARDY">
      <formula>NOT(ISERROR(SEARCH("TARDY",I2)))</formula>
    </cfRule>
    <cfRule type="containsText" dxfId="4774" priority="202" operator="containsText" text="REST DAY">
      <formula>NOT(ISERROR(SEARCH("REST DAY",I2)))</formula>
    </cfRule>
    <cfRule type="containsText" dxfId="4773" priority="203" operator="containsText" text="UA">
      <formula>NOT(ISERROR(SEARCH("UA",I2)))</formula>
    </cfRule>
  </conditionalFormatting>
  <conditionalFormatting sqref="I2">
    <cfRule type="containsText" dxfId="4772" priority="191" operator="containsText" text="VL">
      <formula>NOT(ISERROR(SEARCH("VL",I2)))</formula>
    </cfRule>
    <cfRule type="containsText" dxfId="4771" priority="192" operator="containsText" text="RD">
      <formula>NOT(ISERROR(SEARCH("RD",I2)))</formula>
    </cfRule>
    <cfRule type="containsText" dxfId="4770" priority="193" operator="containsText" text="540">
      <formula>NOT(ISERROR(SEARCH("540",I2)))</formula>
    </cfRule>
    <cfRule type="cellIs" dxfId="4769" priority="194" operator="between">
      <formula>1</formula>
      <formula>400</formula>
    </cfRule>
  </conditionalFormatting>
  <conditionalFormatting sqref="I2">
    <cfRule type="containsText" dxfId="4768" priority="195" operator="containsText" text="LWOP UA">
      <formula>NOT(ISERROR(SEARCH("LWOP UA",I2)))</formula>
    </cfRule>
  </conditionalFormatting>
  <conditionalFormatting sqref="AC26:AC36">
    <cfRule type="containsText" dxfId="4767" priority="190" operator="containsText" text="P">
      <formula>NOT(ISERROR(SEARCH("P",AC26)))</formula>
    </cfRule>
  </conditionalFormatting>
  <conditionalFormatting sqref="AC26:AC36">
    <cfRule type="containsText" dxfId="4766" priority="189" operator="containsText" text="VL">
      <formula>NOT(ISERROR(SEARCH("VL",AC26)))</formula>
    </cfRule>
  </conditionalFormatting>
  <conditionalFormatting sqref="AC26:AC36">
    <cfRule type="cellIs" dxfId="4765" priority="188" operator="between">
      <formula>1</formula>
      <formula>449</formula>
    </cfRule>
  </conditionalFormatting>
  <conditionalFormatting sqref="AC42:AC47">
    <cfRule type="containsText" dxfId="4764" priority="187" operator="containsText" text="P">
      <formula>NOT(ISERROR(SEARCH("P",AC42)))</formula>
    </cfRule>
  </conditionalFormatting>
  <conditionalFormatting sqref="AC42:AC47">
    <cfRule type="containsText" dxfId="4763" priority="186" operator="containsText" text="VL">
      <formula>NOT(ISERROR(SEARCH("VL",AC42)))</formula>
    </cfRule>
  </conditionalFormatting>
  <conditionalFormatting sqref="AC42:AC47">
    <cfRule type="cellIs" dxfId="4762" priority="185" operator="between">
      <formula>1</formula>
      <formula>449</formula>
    </cfRule>
  </conditionalFormatting>
  <conditionalFormatting sqref="AV6:AV16">
    <cfRule type="containsText" dxfId="4761" priority="184" operator="containsText" text="P">
      <formula>NOT(ISERROR(SEARCH("P",AV6)))</formula>
    </cfRule>
  </conditionalFormatting>
  <conditionalFormatting sqref="AV6:AV16">
    <cfRule type="containsText" dxfId="4760" priority="183" operator="containsText" text="VL">
      <formula>NOT(ISERROR(SEARCH("VL",AV6)))</formula>
    </cfRule>
  </conditionalFormatting>
  <conditionalFormatting sqref="AV6:AV16">
    <cfRule type="cellIs" dxfId="4759" priority="182" operator="between">
      <formula>1</formula>
      <formula>449</formula>
    </cfRule>
  </conditionalFormatting>
  <conditionalFormatting sqref="AV22:AV27">
    <cfRule type="containsText" dxfId="4758" priority="181" operator="containsText" text="P">
      <formula>NOT(ISERROR(SEARCH("P",AV22)))</formula>
    </cfRule>
  </conditionalFormatting>
  <conditionalFormatting sqref="AV22:AV27">
    <cfRule type="containsText" dxfId="4757" priority="180" operator="containsText" text="VL">
      <formula>NOT(ISERROR(SEARCH("VL",AV22)))</formula>
    </cfRule>
  </conditionalFormatting>
  <conditionalFormatting sqref="AV22:AV27">
    <cfRule type="cellIs" dxfId="4756" priority="179" operator="between">
      <formula>1</formula>
      <formula>449</formula>
    </cfRule>
  </conditionalFormatting>
  <conditionalFormatting sqref="AJ39:AS39 AJ32:AS38">
    <cfRule type="cellIs" dxfId="4755" priority="178" operator="equal">
      <formula>450</formula>
    </cfRule>
  </conditionalFormatting>
  <conditionalFormatting sqref="AJ39:AS39 AJ32:AS38">
    <cfRule type="cellIs" dxfId="4754" priority="177" operator="between">
      <formula>1</formula>
      <formula>449</formula>
    </cfRule>
  </conditionalFormatting>
  <conditionalFormatting sqref="AJ39:AS39 AJ34:AS38">
    <cfRule type="containsText" dxfId="4753" priority="176" operator="containsText" text="VL">
      <formula>NOT(ISERROR(SEARCH("VL",AJ34)))</formula>
    </cfRule>
  </conditionalFormatting>
  <conditionalFormatting sqref="AJ39:AS39 AJ34:AS38">
    <cfRule type="cellIs" dxfId="4752" priority="175" operator="equal">
      <formula>"LWOP"</formula>
    </cfRule>
  </conditionalFormatting>
  <conditionalFormatting sqref="AN39:AO39 AN34:AN38">
    <cfRule type="containsText" dxfId="4751" priority="174" operator="containsText" text="P">
      <formula>NOT(ISERROR(SEARCH("P",AN34)))</formula>
    </cfRule>
  </conditionalFormatting>
  <conditionalFormatting sqref="AN39:AO39 AN34:AN38">
    <cfRule type="containsText" dxfId="4750" priority="173" operator="containsText" text="VL">
      <formula>NOT(ISERROR(SEARCH("VL",AN34)))</formula>
    </cfRule>
  </conditionalFormatting>
  <conditionalFormatting sqref="AN39:AO39 AN34:AN38">
    <cfRule type="cellIs" dxfId="4749" priority="172" operator="between">
      <formula>1</formula>
      <formula>449</formula>
    </cfRule>
  </conditionalFormatting>
  <conditionalFormatting sqref="AO34">
    <cfRule type="containsText" dxfId="4748" priority="171" operator="containsText" text="P">
      <formula>NOT(ISERROR(SEARCH("P",AO34)))</formula>
    </cfRule>
  </conditionalFormatting>
  <conditionalFormatting sqref="AO34">
    <cfRule type="containsText" dxfId="4747" priority="170" operator="containsText" text="VL">
      <formula>NOT(ISERROR(SEARCH("VL",AO34)))</formula>
    </cfRule>
  </conditionalFormatting>
  <conditionalFormatting sqref="AO34">
    <cfRule type="cellIs" dxfId="4746" priority="169" operator="between">
      <formula>1</formula>
      <formula>449</formula>
    </cfRule>
  </conditionalFormatting>
  <conditionalFormatting sqref="AS36">
    <cfRule type="containsText" dxfId="4745" priority="168" operator="containsText" text="P">
      <formula>NOT(ISERROR(SEARCH("P",AS36)))</formula>
    </cfRule>
  </conditionalFormatting>
  <conditionalFormatting sqref="AS36">
    <cfRule type="containsText" dxfId="4744" priority="167" operator="containsText" text="VL">
      <formula>NOT(ISERROR(SEARCH("VL",AS36)))</formula>
    </cfRule>
  </conditionalFormatting>
  <conditionalFormatting sqref="AS36">
    <cfRule type="cellIs" dxfId="4743" priority="166" operator="between">
      <formula>1</formula>
      <formula>449</formula>
    </cfRule>
  </conditionalFormatting>
  <conditionalFormatting sqref="AS36">
    <cfRule type="containsText" dxfId="4742" priority="165" operator="containsText" text="P">
      <formula>NOT(ISERROR(SEARCH("P",AS36)))</formula>
    </cfRule>
  </conditionalFormatting>
  <conditionalFormatting sqref="AS36">
    <cfRule type="containsText" dxfId="4741" priority="164" operator="containsText" text="VL">
      <formula>NOT(ISERROR(SEARCH("VL",AS36)))</formula>
    </cfRule>
  </conditionalFormatting>
  <conditionalFormatting sqref="AS36">
    <cfRule type="cellIs" dxfId="4740" priority="163" operator="between">
      <formula>1</formula>
      <formula>449</formula>
    </cfRule>
  </conditionalFormatting>
  <conditionalFormatting sqref="AP38">
    <cfRule type="containsText" dxfId="4739" priority="162" operator="containsText" text="P">
      <formula>NOT(ISERROR(SEARCH("P",AP38)))</formula>
    </cfRule>
  </conditionalFormatting>
  <conditionalFormatting sqref="AP38">
    <cfRule type="containsText" dxfId="4738" priority="161" operator="containsText" text="VL">
      <formula>NOT(ISERROR(SEARCH("VL",AP38)))</formula>
    </cfRule>
  </conditionalFormatting>
  <conditionalFormatting sqref="AP38">
    <cfRule type="cellIs" dxfId="4737" priority="160" operator="between">
      <formula>1</formula>
      <formula>449</formula>
    </cfRule>
  </conditionalFormatting>
  <conditionalFormatting sqref="AS38">
    <cfRule type="containsText" dxfId="4736" priority="159" operator="containsText" text="P">
      <formula>NOT(ISERROR(SEARCH("P",AS38)))</formula>
    </cfRule>
  </conditionalFormatting>
  <conditionalFormatting sqref="AS38">
    <cfRule type="containsText" dxfId="4735" priority="158" operator="containsText" text="VL">
      <formula>NOT(ISERROR(SEARCH("VL",AS38)))</formula>
    </cfRule>
  </conditionalFormatting>
  <conditionalFormatting sqref="AS38">
    <cfRule type="containsText" dxfId="4734" priority="157" operator="containsText" text="P">
      <formula>NOT(ISERROR(SEARCH("P",AS38)))</formula>
    </cfRule>
  </conditionalFormatting>
  <conditionalFormatting sqref="AS38">
    <cfRule type="containsText" dxfId="4733" priority="156" operator="containsText" text="VL">
      <formula>NOT(ISERROR(SEARCH("VL",AS38)))</formula>
    </cfRule>
  </conditionalFormatting>
  <conditionalFormatting sqref="AS38">
    <cfRule type="cellIs" dxfId="4732" priority="155" operator="between">
      <formula>1</formula>
      <formula>449</formula>
    </cfRule>
  </conditionalFormatting>
  <conditionalFormatting sqref="AJ66:AS78">
    <cfRule type="cellIs" dxfId="4731" priority="77" operator="equal">
      <formula>450</formula>
    </cfRule>
  </conditionalFormatting>
  <conditionalFormatting sqref="AJ66:AS78">
    <cfRule type="cellIs" dxfId="4730" priority="76" operator="between">
      <formula>1</formula>
      <formula>449</formula>
    </cfRule>
  </conditionalFormatting>
  <conditionalFormatting sqref="AJ68:AS78">
    <cfRule type="containsText" dxfId="4729" priority="75" operator="containsText" text="VL">
      <formula>NOT(ISERROR(SEARCH("VL",AJ68)))</formula>
    </cfRule>
  </conditionalFormatting>
  <conditionalFormatting sqref="AJ68:AS78">
    <cfRule type="cellIs" dxfId="4728" priority="74" operator="equal">
      <formula>"LWOP"</formula>
    </cfRule>
  </conditionalFormatting>
  <conditionalFormatting sqref="AN78 AN68:AN76">
    <cfRule type="containsText" dxfId="4727" priority="73" operator="containsText" text="P">
      <formula>NOT(ISERROR(SEARCH("P",AN68)))</formula>
    </cfRule>
  </conditionalFormatting>
  <conditionalFormatting sqref="AN78 AN68:AN76">
    <cfRule type="containsText" dxfId="4726" priority="72" operator="containsText" text="VL">
      <formula>NOT(ISERROR(SEARCH("VL",AN68)))</formula>
    </cfRule>
  </conditionalFormatting>
  <conditionalFormatting sqref="AN78 AN68:AN76">
    <cfRule type="cellIs" dxfId="4725" priority="71" operator="between">
      <formula>1</formula>
      <formula>449</formula>
    </cfRule>
  </conditionalFormatting>
  <conditionalFormatting sqref="AM68">
    <cfRule type="containsText" dxfId="4724" priority="70" operator="containsText" text="P">
      <formula>NOT(ISERROR(SEARCH("P",AM68)))</formula>
    </cfRule>
  </conditionalFormatting>
  <conditionalFormatting sqref="AM68">
    <cfRule type="containsText" dxfId="4723" priority="69" operator="containsText" text="VL">
      <formula>NOT(ISERROR(SEARCH("VL",AM68)))</formula>
    </cfRule>
  </conditionalFormatting>
  <conditionalFormatting sqref="AM68">
    <cfRule type="cellIs" dxfId="4722" priority="68" operator="between">
      <formula>1</formula>
      <formula>449</formula>
    </cfRule>
  </conditionalFormatting>
  <conditionalFormatting sqref="AO68">
    <cfRule type="containsText" dxfId="4721" priority="67" operator="containsText" text="P">
      <formula>NOT(ISERROR(SEARCH("P",AO68)))</formula>
    </cfRule>
  </conditionalFormatting>
  <conditionalFormatting sqref="AO68">
    <cfRule type="containsText" dxfId="4720" priority="66" operator="containsText" text="VL">
      <formula>NOT(ISERROR(SEARCH("VL",AO68)))</formula>
    </cfRule>
  </conditionalFormatting>
  <conditionalFormatting sqref="AO68">
    <cfRule type="cellIs" dxfId="4719" priority="65" operator="between">
      <formula>1</formula>
      <formula>449</formula>
    </cfRule>
  </conditionalFormatting>
  <conditionalFormatting sqref="AP68">
    <cfRule type="containsText" dxfId="4718" priority="64" operator="containsText" text="P">
      <formula>NOT(ISERROR(SEARCH("P",AP68)))</formula>
    </cfRule>
  </conditionalFormatting>
  <conditionalFormatting sqref="AP68">
    <cfRule type="containsText" dxfId="4717" priority="63" operator="containsText" text="VL">
      <formula>NOT(ISERROR(SEARCH("VL",AP68)))</formula>
    </cfRule>
  </conditionalFormatting>
  <conditionalFormatting sqref="AP68">
    <cfRule type="cellIs" dxfId="4716" priority="62" operator="between">
      <formula>1</formula>
      <formula>449</formula>
    </cfRule>
  </conditionalFormatting>
  <conditionalFormatting sqref="AO69">
    <cfRule type="containsText" dxfId="4715" priority="61" operator="containsText" text="P">
      <formula>NOT(ISERROR(SEARCH("P",AO69)))</formula>
    </cfRule>
  </conditionalFormatting>
  <conditionalFormatting sqref="AO69">
    <cfRule type="containsText" dxfId="4714" priority="60" operator="containsText" text="VL">
      <formula>NOT(ISERROR(SEARCH("VL",AO69)))</formula>
    </cfRule>
  </conditionalFormatting>
  <conditionalFormatting sqref="AO69">
    <cfRule type="cellIs" dxfId="4713" priority="59" operator="between">
      <formula>1</formula>
      <formula>449</formula>
    </cfRule>
  </conditionalFormatting>
  <conditionalFormatting sqref="AS69">
    <cfRule type="containsText" dxfId="4712" priority="58" operator="containsText" text="P">
      <formula>NOT(ISERROR(SEARCH("P",AS69)))</formula>
    </cfRule>
  </conditionalFormatting>
  <conditionalFormatting sqref="AS69">
    <cfRule type="containsText" dxfId="4711" priority="57" operator="containsText" text="VL">
      <formula>NOT(ISERROR(SEARCH("VL",AS69)))</formula>
    </cfRule>
  </conditionalFormatting>
  <conditionalFormatting sqref="AS69">
    <cfRule type="cellIs" dxfId="4710" priority="56" operator="between">
      <formula>1</formula>
      <formula>449</formula>
    </cfRule>
  </conditionalFormatting>
  <conditionalFormatting sqref="AO70:AP70">
    <cfRule type="containsText" dxfId="4709" priority="55" operator="containsText" text="P">
      <formula>NOT(ISERROR(SEARCH("P",AO70)))</formula>
    </cfRule>
  </conditionalFormatting>
  <conditionalFormatting sqref="AO70:AP70">
    <cfRule type="containsText" dxfId="4708" priority="54" operator="containsText" text="VL">
      <formula>NOT(ISERROR(SEARCH("VL",AO70)))</formula>
    </cfRule>
  </conditionalFormatting>
  <conditionalFormatting sqref="AO70:AP70">
    <cfRule type="cellIs" dxfId="4707" priority="53" operator="between">
      <formula>1</formula>
      <formula>449</formula>
    </cfRule>
  </conditionalFormatting>
  <conditionalFormatting sqref="AO70">
    <cfRule type="containsText" dxfId="4706" priority="52" operator="containsText" text="P">
      <formula>NOT(ISERROR(SEARCH("P",AO70)))</formula>
    </cfRule>
  </conditionalFormatting>
  <conditionalFormatting sqref="AO70">
    <cfRule type="containsText" dxfId="4705" priority="51" operator="containsText" text="VL">
      <formula>NOT(ISERROR(SEARCH("VL",AO70)))</formula>
    </cfRule>
  </conditionalFormatting>
  <conditionalFormatting sqref="AO70">
    <cfRule type="cellIs" dxfId="4704" priority="50" operator="between">
      <formula>1</formula>
      <formula>449</formula>
    </cfRule>
  </conditionalFormatting>
  <conditionalFormatting sqref="AS70">
    <cfRule type="containsText" dxfId="4703" priority="49" operator="containsText" text="P">
      <formula>NOT(ISERROR(SEARCH("P",AS70)))</formula>
    </cfRule>
  </conditionalFormatting>
  <conditionalFormatting sqref="AS70">
    <cfRule type="containsText" dxfId="4702" priority="48" operator="containsText" text="VL">
      <formula>NOT(ISERROR(SEARCH("VL",AS70)))</formula>
    </cfRule>
  </conditionalFormatting>
  <conditionalFormatting sqref="AS70">
    <cfRule type="cellIs" dxfId="4701" priority="47" operator="between">
      <formula>1</formula>
      <formula>449</formula>
    </cfRule>
  </conditionalFormatting>
  <conditionalFormatting sqref="AO71">
    <cfRule type="containsText" dxfId="4700" priority="46" operator="containsText" text="P">
      <formula>NOT(ISERROR(SEARCH("P",AO71)))</formula>
    </cfRule>
  </conditionalFormatting>
  <conditionalFormatting sqref="AO71">
    <cfRule type="containsText" dxfId="4699" priority="45" operator="containsText" text="VL">
      <formula>NOT(ISERROR(SEARCH("VL",AO71)))</formula>
    </cfRule>
  </conditionalFormatting>
  <conditionalFormatting sqref="AO71">
    <cfRule type="cellIs" dxfId="4698" priority="44" operator="between">
      <formula>1</formula>
      <formula>449</formula>
    </cfRule>
  </conditionalFormatting>
  <conditionalFormatting sqref="AO73">
    <cfRule type="containsText" dxfId="4697" priority="43" operator="containsText" text="P">
      <formula>NOT(ISERROR(SEARCH("P",AO73)))</formula>
    </cfRule>
  </conditionalFormatting>
  <conditionalFormatting sqref="AO73">
    <cfRule type="containsText" dxfId="4696" priority="42" operator="containsText" text="VL">
      <formula>NOT(ISERROR(SEARCH("VL",AO73)))</formula>
    </cfRule>
  </conditionalFormatting>
  <conditionalFormatting sqref="AO73">
    <cfRule type="cellIs" dxfId="4695" priority="41" operator="between">
      <formula>1</formula>
      <formula>449</formula>
    </cfRule>
  </conditionalFormatting>
  <conditionalFormatting sqref="AS72">
    <cfRule type="containsText" dxfId="4694" priority="40" operator="containsText" text="P">
      <formula>NOT(ISERROR(SEARCH("P",AS72)))</formula>
    </cfRule>
  </conditionalFormatting>
  <conditionalFormatting sqref="AS72">
    <cfRule type="containsText" dxfId="4693" priority="39" operator="containsText" text="VL">
      <formula>NOT(ISERROR(SEARCH("VL",AS72)))</formula>
    </cfRule>
  </conditionalFormatting>
  <conditionalFormatting sqref="AS72">
    <cfRule type="cellIs" dxfId="4692" priority="38" operator="between">
      <formula>1</formula>
      <formula>449</formula>
    </cfRule>
  </conditionalFormatting>
  <conditionalFormatting sqref="AS72">
    <cfRule type="containsText" dxfId="4691" priority="37" operator="containsText" text="P">
      <formula>NOT(ISERROR(SEARCH("P",AS72)))</formula>
    </cfRule>
  </conditionalFormatting>
  <conditionalFormatting sqref="AS72">
    <cfRule type="containsText" dxfId="4690" priority="36" operator="containsText" text="VL">
      <formula>NOT(ISERROR(SEARCH("VL",AS72)))</formula>
    </cfRule>
  </conditionalFormatting>
  <conditionalFormatting sqref="AS72">
    <cfRule type="cellIs" dxfId="4689" priority="35" operator="between">
      <formula>1</formula>
      <formula>449</formula>
    </cfRule>
  </conditionalFormatting>
  <conditionalFormatting sqref="AS73">
    <cfRule type="containsText" dxfId="4688" priority="34" operator="containsText" text="P">
      <formula>NOT(ISERROR(SEARCH("P",AS73)))</formula>
    </cfRule>
  </conditionalFormatting>
  <conditionalFormatting sqref="AS73">
    <cfRule type="containsText" dxfId="4687" priority="33" operator="containsText" text="VL">
      <formula>NOT(ISERROR(SEARCH("VL",AS73)))</formula>
    </cfRule>
  </conditionalFormatting>
  <conditionalFormatting sqref="AS73">
    <cfRule type="cellIs" dxfId="4686" priority="32" operator="between">
      <formula>1</formula>
      <formula>449</formula>
    </cfRule>
  </conditionalFormatting>
  <conditionalFormatting sqref="AS73">
    <cfRule type="containsText" dxfId="4685" priority="31" operator="containsText" text="P">
      <formula>NOT(ISERROR(SEARCH("P",AS73)))</formula>
    </cfRule>
  </conditionalFormatting>
  <conditionalFormatting sqref="AS73">
    <cfRule type="containsText" dxfId="4684" priority="30" operator="containsText" text="VL">
      <formula>NOT(ISERROR(SEARCH("VL",AS73)))</formula>
    </cfRule>
  </conditionalFormatting>
  <conditionalFormatting sqref="AO75:AP75">
    <cfRule type="containsText" dxfId="4683" priority="29" operator="containsText" text="P">
      <formula>NOT(ISERROR(SEARCH("P",AO75)))</formula>
    </cfRule>
  </conditionalFormatting>
  <conditionalFormatting sqref="AO75:AP75">
    <cfRule type="containsText" dxfId="4682" priority="28" operator="containsText" text="VL">
      <formula>NOT(ISERROR(SEARCH("VL",AO75)))</formula>
    </cfRule>
  </conditionalFormatting>
  <conditionalFormatting sqref="AO75:AP75">
    <cfRule type="cellIs" dxfId="4681" priority="27" operator="between">
      <formula>1</formula>
      <formula>449</formula>
    </cfRule>
  </conditionalFormatting>
  <conditionalFormatting sqref="AP74">
    <cfRule type="containsText" dxfId="4680" priority="26" operator="containsText" text="P">
      <formula>NOT(ISERROR(SEARCH("P",AP74)))</formula>
    </cfRule>
  </conditionalFormatting>
  <conditionalFormatting sqref="AP74">
    <cfRule type="containsText" dxfId="4679" priority="25" operator="containsText" text="VL">
      <formula>NOT(ISERROR(SEARCH("VL",AP74)))</formula>
    </cfRule>
  </conditionalFormatting>
  <conditionalFormatting sqref="AP74">
    <cfRule type="cellIs" dxfId="4678" priority="24" operator="between">
      <formula>1</formula>
      <formula>449</formula>
    </cfRule>
  </conditionalFormatting>
  <conditionalFormatting sqref="AS74">
    <cfRule type="containsText" dxfId="4677" priority="23" operator="containsText" text="P">
      <formula>NOT(ISERROR(SEARCH("P",AS74)))</formula>
    </cfRule>
  </conditionalFormatting>
  <conditionalFormatting sqref="AS74">
    <cfRule type="containsText" dxfId="4676" priority="22" operator="containsText" text="VL">
      <formula>NOT(ISERROR(SEARCH("VL",AS74)))</formula>
    </cfRule>
  </conditionalFormatting>
  <conditionalFormatting sqref="AS74">
    <cfRule type="containsText" dxfId="4675" priority="21" operator="containsText" text="P">
      <formula>NOT(ISERROR(SEARCH("P",AS74)))</formula>
    </cfRule>
  </conditionalFormatting>
  <conditionalFormatting sqref="AS74">
    <cfRule type="containsText" dxfId="4674" priority="20" operator="containsText" text="VL">
      <formula>NOT(ISERROR(SEARCH("VL",AS74)))</formula>
    </cfRule>
  </conditionalFormatting>
  <conditionalFormatting sqref="AS74">
    <cfRule type="cellIs" dxfId="4673" priority="19" operator="between">
      <formula>1</formula>
      <formula>449</formula>
    </cfRule>
  </conditionalFormatting>
  <conditionalFormatting sqref="AO76:AO77">
    <cfRule type="containsText" dxfId="4672" priority="18" operator="containsText" text="P">
      <formula>NOT(ISERROR(SEARCH("P",AO76)))</formula>
    </cfRule>
  </conditionalFormatting>
  <conditionalFormatting sqref="AO76:AO77">
    <cfRule type="containsText" dxfId="4671" priority="17" operator="containsText" text="VL">
      <formula>NOT(ISERROR(SEARCH("VL",AO76)))</formula>
    </cfRule>
  </conditionalFormatting>
  <conditionalFormatting sqref="AO76:AO77">
    <cfRule type="cellIs" dxfId="4670" priority="16" operator="between">
      <formula>1</formula>
      <formula>449</formula>
    </cfRule>
  </conditionalFormatting>
  <conditionalFormatting sqref="AQ76:AS76">
    <cfRule type="containsText" dxfId="4669" priority="15" operator="containsText" text="P">
      <formula>NOT(ISERROR(SEARCH("P",AQ76)))</formula>
    </cfRule>
  </conditionalFormatting>
  <conditionalFormatting sqref="AQ76:AS76">
    <cfRule type="containsText" dxfId="4668" priority="14" operator="containsText" text="VL">
      <formula>NOT(ISERROR(SEARCH("VL",AQ76)))</formula>
    </cfRule>
  </conditionalFormatting>
  <conditionalFormatting sqref="AQ76:AS76">
    <cfRule type="cellIs" dxfId="4667" priority="13" operator="between">
      <formula>1</formula>
      <formula>449</formula>
    </cfRule>
  </conditionalFormatting>
  <conditionalFormatting sqref="AQ77">
    <cfRule type="containsText" dxfId="4666" priority="12" operator="containsText" text="P">
      <formula>NOT(ISERROR(SEARCH("P",AQ77)))</formula>
    </cfRule>
  </conditionalFormatting>
  <conditionalFormatting sqref="AQ77">
    <cfRule type="containsText" dxfId="4665" priority="11" operator="containsText" text="VL">
      <formula>NOT(ISERROR(SEARCH("VL",AQ77)))</formula>
    </cfRule>
  </conditionalFormatting>
  <conditionalFormatting sqref="AQ77">
    <cfRule type="cellIs" dxfId="4664" priority="10" operator="between">
      <formula>1</formula>
      <formula>449</formula>
    </cfRule>
  </conditionalFormatting>
  <conditionalFormatting sqref="AO78:AP78">
    <cfRule type="containsText" dxfId="4663" priority="9" operator="containsText" text="P">
      <formula>NOT(ISERROR(SEARCH("P",AO78)))</formula>
    </cfRule>
  </conditionalFormatting>
  <conditionalFormatting sqref="AO78:AP78">
    <cfRule type="containsText" dxfId="4662" priority="8" operator="containsText" text="VL">
      <formula>NOT(ISERROR(SEARCH("VL",AO78)))</formula>
    </cfRule>
  </conditionalFormatting>
  <conditionalFormatting sqref="AO78:AP78">
    <cfRule type="cellIs" dxfId="4661" priority="7" operator="between">
      <formula>1</formula>
      <formula>449</formula>
    </cfRule>
  </conditionalFormatting>
  <conditionalFormatting sqref="AR78">
    <cfRule type="containsText" dxfId="4660" priority="6" operator="containsText" text="P">
      <formula>NOT(ISERROR(SEARCH("P",AR78)))</formula>
    </cfRule>
  </conditionalFormatting>
  <conditionalFormatting sqref="AR78">
    <cfRule type="containsText" dxfId="4659" priority="5" operator="containsText" text="VL">
      <formula>NOT(ISERROR(SEARCH("VL",AR78)))</formula>
    </cfRule>
  </conditionalFormatting>
  <conditionalFormatting sqref="AR78">
    <cfRule type="cellIs" dxfId="4658" priority="4" operator="between">
      <formula>1</formula>
      <formula>449</formula>
    </cfRule>
  </conditionalFormatting>
  <conditionalFormatting sqref="AR78">
    <cfRule type="containsText" dxfId="4657" priority="3" operator="containsText" text="P">
      <formula>NOT(ISERROR(SEARCH("P",AR78)))</formula>
    </cfRule>
  </conditionalFormatting>
  <conditionalFormatting sqref="AR78">
    <cfRule type="containsText" dxfId="4656" priority="2" operator="containsText" text="VL">
      <formula>NOT(ISERROR(SEARCH("VL",AR78)))</formula>
    </cfRule>
  </conditionalFormatting>
  <conditionalFormatting sqref="AR78">
    <cfRule type="cellIs" dxfId="4655" priority="1" operator="between">
      <formula>1</formula>
      <formula>449</formula>
    </cfRule>
  </conditionalFormatting>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F74A4-25C2-42F3-A6FB-E3A72459A567}">
  <dimension ref="A1:AF153"/>
  <sheetViews>
    <sheetView topLeftCell="F1" workbookViewId="0">
      <selection activeCell="F3" sqref="F3"/>
    </sheetView>
  </sheetViews>
  <sheetFormatPr defaultRowHeight="15"/>
  <cols>
    <col min="1" max="1" width="19" bestFit="1" customWidth="1"/>
    <col min="5" max="5" width="14.5703125" bestFit="1" customWidth="1"/>
    <col min="6" max="14" width="8.85546875" customWidth="1"/>
    <col min="24" max="24" width="25.42578125" bestFit="1" customWidth="1"/>
    <col min="25" max="25" width="15.140625" bestFit="1" customWidth="1"/>
    <col min="26" max="26" width="17.85546875" bestFit="1" customWidth="1"/>
    <col min="27" max="27" width="21.140625" bestFit="1" customWidth="1"/>
    <col min="28" max="28" width="19.28515625" bestFit="1" customWidth="1"/>
    <col min="29" max="29" width="16" bestFit="1" customWidth="1"/>
    <col min="30" max="30" width="19.28515625" bestFit="1" customWidth="1"/>
    <col min="31" max="31" width="13" customWidth="1"/>
    <col min="32" max="32" width="13" style="15" customWidth="1"/>
    <col min="33" max="40" width="13" customWidth="1"/>
    <col min="41" max="41" width="26.42578125" bestFit="1" customWidth="1"/>
  </cols>
  <sheetData>
    <row r="1" spans="1:32">
      <c r="A1" s="146"/>
      <c r="B1" s="146"/>
      <c r="C1" s="146"/>
      <c r="D1" s="146"/>
      <c r="E1" s="147"/>
      <c r="F1" s="331">
        <v>45665</v>
      </c>
      <c r="G1" s="332">
        <v>45696</v>
      </c>
      <c r="H1" s="332">
        <v>45724</v>
      </c>
      <c r="I1" s="332">
        <v>45755</v>
      </c>
      <c r="J1" s="332">
        <v>45785</v>
      </c>
      <c r="K1" s="332">
        <v>45816</v>
      </c>
      <c r="L1" s="332">
        <v>45846</v>
      </c>
      <c r="M1" s="332">
        <v>45877</v>
      </c>
      <c r="N1" s="332">
        <v>45908</v>
      </c>
      <c r="AF1"/>
    </row>
    <row r="2" spans="1:32">
      <c r="A2" s="148" t="s">
        <v>2</v>
      </c>
      <c r="B2" s="149" t="s">
        <v>262</v>
      </c>
      <c r="C2" s="150" t="s">
        <v>263</v>
      </c>
      <c r="D2" s="150" t="s">
        <v>0</v>
      </c>
      <c r="E2" s="151" t="s">
        <v>3</v>
      </c>
      <c r="F2" s="333" t="s">
        <v>140</v>
      </c>
      <c r="G2" s="334" t="s">
        <v>141</v>
      </c>
      <c r="H2" s="334" t="s">
        <v>135</v>
      </c>
      <c r="I2" s="334" t="s">
        <v>136</v>
      </c>
      <c r="J2" s="334" t="s">
        <v>137</v>
      </c>
      <c r="K2" s="334" t="s">
        <v>138</v>
      </c>
      <c r="L2" s="334" t="s">
        <v>139</v>
      </c>
      <c r="M2" s="334" t="s">
        <v>140</v>
      </c>
      <c r="N2" s="334" t="s">
        <v>141</v>
      </c>
      <c r="O2" s="53" t="s">
        <v>4</v>
      </c>
      <c r="P2" s="1" t="s">
        <v>186</v>
      </c>
      <c r="Q2" s="1" t="s">
        <v>5</v>
      </c>
      <c r="R2" s="1" t="s">
        <v>6</v>
      </c>
      <c r="S2" s="1" t="s">
        <v>7</v>
      </c>
      <c r="T2" s="1" t="s">
        <v>8</v>
      </c>
      <c r="U2" s="1" t="s">
        <v>9</v>
      </c>
      <c r="V2" s="1" t="s">
        <v>182</v>
      </c>
      <c r="W2" s="1" t="s">
        <v>183</v>
      </c>
      <c r="X2" s="1" t="s">
        <v>147</v>
      </c>
      <c r="Y2" s="2" t="s">
        <v>12</v>
      </c>
      <c r="Z2" s="2" t="s">
        <v>14</v>
      </c>
      <c r="AA2" s="3" t="s">
        <v>184</v>
      </c>
      <c r="AB2" s="3" t="s">
        <v>185</v>
      </c>
      <c r="AF2"/>
    </row>
    <row r="3" spans="1:32">
      <c r="A3" s="155" t="s">
        <v>101</v>
      </c>
      <c r="B3" s="156" t="s">
        <v>265</v>
      </c>
      <c r="C3" s="157" t="s">
        <v>266</v>
      </c>
      <c r="D3" s="157" t="s">
        <v>111</v>
      </c>
      <c r="E3" s="158" t="s">
        <v>40</v>
      </c>
      <c r="F3" s="270" t="s">
        <v>148</v>
      </c>
      <c r="G3" s="271" t="s">
        <v>147</v>
      </c>
      <c r="H3" s="271" t="s">
        <v>147</v>
      </c>
      <c r="I3" s="270" t="s">
        <v>148</v>
      </c>
      <c r="J3" s="270" t="s">
        <v>148</v>
      </c>
      <c r="K3" s="270" t="s">
        <v>148</v>
      </c>
      <c r="L3" s="270" t="s">
        <v>148</v>
      </c>
      <c r="M3" s="270" t="s">
        <v>148</v>
      </c>
      <c r="N3" s="271" t="s">
        <v>147</v>
      </c>
      <c r="O3" s="54">
        <f>SUM(F3:N3)</f>
        <v>0</v>
      </c>
      <c r="P3" s="16">
        <f>O3-Q3</f>
        <v>0</v>
      </c>
      <c r="Q3" s="5">
        <f>SUMIF(F3:N3,"450")</f>
        <v>0</v>
      </c>
      <c r="R3" s="16">
        <f>P3+Q3</f>
        <v>0</v>
      </c>
      <c r="S3">
        <f>V3*450</f>
        <v>1800</v>
      </c>
      <c r="T3">
        <f>S3-R3</f>
        <v>1800</v>
      </c>
      <c r="U3" s="39">
        <f>T3/S3</f>
        <v>1</v>
      </c>
      <c r="V3">
        <f>W3-(Y3+Z3)</f>
        <v>4</v>
      </c>
      <c r="W3">
        <f>7-X3</f>
        <v>4</v>
      </c>
      <c r="X3" s="5">
        <f>COUNTIF(F3:N3,"RD")</f>
        <v>3</v>
      </c>
      <c r="Y3" s="5">
        <f>COUNTIF(F3:M3,"VL")</f>
        <v>0</v>
      </c>
      <c r="Z3" s="5">
        <f>COUNTIF(F3:N3,"LWOP")</f>
        <v>0</v>
      </c>
      <c r="AA3" s="5">
        <f>COUNTIF(J3:N3,"450")</f>
        <v>0</v>
      </c>
      <c r="AF3"/>
    </row>
    <row r="4" spans="1:32">
      <c r="A4" s="162" t="s">
        <v>110</v>
      </c>
      <c r="B4" s="156" t="s">
        <v>265</v>
      </c>
      <c r="C4" s="157" t="s">
        <v>266</v>
      </c>
      <c r="D4" s="157" t="s">
        <v>111</v>
      </c>
      <c r="E4" s="158" t="s">
        <v>40</v>
      </c>
      <c r="F4" s="270" t="s">
        <v>148</v>
      </c>
      <c r="G4" s="271" t="s">
        <v>147</v>
      </c>
      <c r="H4" s="271" t="s">
        <v>147</v>
      </c>
      <c r="I4" s="270" t="s">
        <v>148</v>
      </c>
      <c r="J4" s="270" t="s">
        <v>148</v>
      </c>
      <c r="K4" s="270" t="s">
        <v>148</v>
      </c>
      <c r="L4" s="270" t="s">
        <v>148</v>
      </c>
      <c r="M4" s="270" t="s">
        <v>148</v>
      </c>
      <c r="N4" s="271" t="s">
        <v>147</v>
      </c>
      <c r="O4" s="54">
        <f>SUM(F4:N4)</f>
        <v>0</v>
      </c>
      <c r="P4" s="16">
        <f>O4-Q4</f>
        <v>0</v>
      </c>
      <c r="Q4" s="5">
        <f>SUMIF(F4:N4,"450")</f>
        <v>0</v>
      </c>
      <c r="R4" s="16">
        <f>P4+Q4</f>
        <v>0</v>
      </c>
      <c r="S4">
        <f>V4*450</f>
        <v>1800</v>
      </c>
      <c r="T4">
        <f>S4-R4</f>
        <v>1800</v>
      </c>
      <c r="U4" s="39">
        <f>T4/S4</f>
        <v>1</v>
      </c>
      <c r="V4">
        <f>W4-(Y4+Z4)</f>
        <v>4</v>
      </c>
      <c r="W4">
        <f>7-X4</f>
        <v>4</v>
      </c>
      <c r="X4" s="5">
        <f>COUNTIF(F4:N4,"RD")</f>
        <v>3</v>
      </c>
      <c r="Y4" s="5">
        <f>COUNTIF(F4:M4,"VL")</f>
        <v>0</v>
      </c>
      <c r="Z4" s="5">
        <f>COUNTIF(F4:N4,"LWOP")</f>
        <v>0</v>
      </c>
      <c r="AF4"/>
    </row>
    <row r="5" spans="1:32">
      <c r="A5" s="162" t="s">
        <v>220</v>
      </c>
      <c r="B5" s="156" t="s">
        <v>265</v>
      </c>
      <c r="C5" s="157" t="s">
        <v>266</v>
      </c>
      <c r="D5" s="157" t="s">
        <v>267</v>
      </c>
      <c r="E5" s="158" t="s">
        <v>40</v>
      </c>
      <c r="F5" s="270" t="s">
        <v>148</v>
      </c>
      <c r="G5" s="271" t="s">
        <v>147</v>
      </c>
      <c r="H5" s="271" t="s">
        <v>147</v>
      </c>
      <c r="I5" s="270" t="s">
        <v>148</v>
      </c>
      <c r="J5" s="270" t="s">
        <v>148</v>
      </c>
      <c r="K5" s="269">
        <v>450</v>
      </c>
      <c r="L5" s="270" t="s">
        <v>148</v>
      </c>
      <c r="M5" s="270" t="s">
        <v>148</v>
      </c>
      <c r="N5" s="271" t="s">
        <v>147</v>
      </c>
      <c r="O5" s="54">
        <f>SUM(F5:N5)</f>
        <v>450</v>
      </c>
      <c r="P5" s="16">
        <f>O5-Q5</f>
        <v>0</v>
      </c>
      <c r="Q5" s="5">
        <f>SUMIF(F5:N5,"450")</f>
        <v>450</v>
      </c>
      <c r="R5" s="16">
        <f>P5+Q5</f>
        <v>450</v>
      </c>
      <c r="S5">
        <f>V5*450</f>
        <v>1800</v>
      </c>
      <c r="T5">
        <f>S5-R5</f>
        <v>1350</v>
      </c>
      <c r="U5" s="39">
        <f>T5/S5</f>
        <v>0.75</v>
      </c>
      <c r="V5">
        <f>W5-(Y5+Z5)</f>
        <v>4</v>
      </c>
      <c r="W5">
        <f>7-X5</f>
        <v>4</v>
      </c>
      <c r="X5" s="5">
        <f>COUNTIF(F5:N5,"RD")</f>
        <v>3</v>
      </c>
      <c r="Y5" s="5">
        <f>COUNTIF(F5:M5,"VL")</f>
        <v>0</v>
      </c>
      <c r="Z5" s="5">
        <f>COUNTIF(F5:N5,"LWOP")</f>
        <v>0</v>
      </c>
      <c r="AF5"/>
    </row>
    <row r="6" spans="1:32">
      <c r="A6" s="162" t="s">
        <v>268</v>
      </c>
      <c r="B6" s="156" t="s">
        <v>265</v>
      </c>
      <c r="C6" s="157" t="s">
        <v>266</v>
      </c>
      <c r="D6" s="157" t="s">
        <v>267</v>
      </c>
      <c r="E6" s="158" t="s">
        <v>40</v>
      </c>
      <c r="F6" s="270" t="s">
        <v>148</v>
      </c>
      <c r="G6" s="271" t="s">
        <v>147</v>
      </c>
      <c r="H6" s="271" t="s">
        <v>147</v>
      </c>
      <c r="I6" s="270" t="s">
        <v>148</v>
      </c>
      <c r="J6" s="270" t="s">
        <v>148</v>
      </c>
      <c r="K6" s="270" t="s">
        <v>148</v>
      </c>
      <c r="L6" s="270" t="s">
        <v>148</v>
      </c>
      <c r="M6" s="270" t="s">
        <v>148</v>
      </c>
      <c r="N6" s="271" t="s">
        <v>147</v>
      </c>
      <c r="O6" s="54">
        <f>SUM(F6:N6)</f>
        <v>0</v>
      </c>
      <c r="P6" s="16">
        <f>O6-Q6</f>
        <v>0</v>
      </c>
      <c r="Q6" s="5">
        <f>SUMIF(F6:N6,"450")</f>
        <v>0</v>
      </c>
      <c r="R6" s="16">
        <f>P6+Q6</f>
        <v>0</v>
      </c>
      <c r="S6">
        <f>V6*450</f>
        <v>1800</v>
      </c>
      <c r="T6">
        <f>S6-R6</f>
        <v>1800</v>
      </c>
      <c r="U6" s="39">
        <f>T6/S6</f>
        <v>1</v>
      </c>
      <c r="V6">
        <f>W6-(Y6+Z6)</f>
        <v>4</v>
      </c>
      <c r="W6">
        <f>7-X6</f>
        <v>4</v>
      </c>
      <c r="X6" s="5">
        <f>COUNTIF(F6:N6,"RD")</f>
        <v>3</v>
      </c>
      <c r="Y6" s="5">
        <f>COUNTIF(F6:M6,"VL")</f>
        <v>0</v>
      </c>
      <c r="Z6" s="5">
        <f>COUNTIF(F6:N6,"LWOP")</f>
        <v>0</v>
      </c>
      <c r="AF6"/>
    </row>
    <row r="7" spans="1:32">
      <c r="A7" s="163" t="s">
        <v>58</v>
      </c>
      <c r="B7" s="156" t="s">
        <v>265</v>
      </c>
      <c r="C7" s="157" t="s">
        <v>266</v>
      </c>
      <c r="D7" s="157" t="s">
        <v>57</v>
      </c>
      <c r="E7" s="158" t="s">
        <v>40</v>
      </c>
      <c r="F7" s="270" t="s">
        <v>148</v>
      </c>
      <c r="G7" s="271" t="s">
        <v>147</v>
      </c>
      <c r="H7" s="271" t="s">
        <v>147</v>
      </c>
      <c r="I7" s="270" t="s">
        <v>148</v>
      </c>
      <c r="J7" s="270" t="s">
        <v>148</v>
      </c>
      <c r="K7" s="270" t="s">
        <v>148</v>
      </c>
      <c r="L7" s="270" t="s">
        <v>148</v>
      </c>
      <c r="M7" s="270" t="s">
        <v>148</v>
      </c>
      <c r="N7" s="271" t="s">
        <v>147</v>
      </c>
      <c r="O7" s="54">
        <f>SUM(F7:N7)</f>
        <v>0</v>
      </c>
      <c r="P7" s="16">
        <f>O7-Q7</f>
        <v>0</v>
      </c>
      <c r="Q7" s="5">
        <f>SUMIF(F7:N7,"450")</f>
        <v>0</v>
      </c>
      <c r="R7" s="16">
        <f>P7+Q7</f>
        <v>0</v>
      </c>
      <c r="S7">
        <f>V7*450</f>
        <v>1800</v>
      </c>
      <c r="T7">
        <f>S7-R7</f>
        <v>1800</v>
      </c>
      <c r="U7" s="39">
        <f>T7/S7</f>
        <v>1</v>
      </c>
      <c r="V7">
        <f>W7-(Y7+Z7)</f>
        <v>4</v>
      </c>
      <c r="W7">
        <f>7-X7</f>
        <v>4</v>
      </c>
      <c r="X7" s="5">
        <f>COUNTIF(F7:N7,"RD")</f>
        <v>3</v>
      </c>
      <c r="Y7" s="5">
        <f>COUNTIF(F7:M7,"VL")</f>
        <v>0</v>
      </c>
      <c r="Z7" s="5">
        <f>COUNTIF(F7:N7,"LWOP")</f>
        <v>0</v>
      </c>
      <c r="AF7"/>
    </row>
    <row r="8" spans="1:32">
      <c r="A8" s="164" t="s">
        <v>94</v>
      </c>
      <c r="B8" s="156" t="s">
        <v>265</v>
      </c>
      <c r="C8" s="157" t="s">
        <v>266</v>
      </c>
      <c r="D8" s="157" t="s">
        <v>57</v>
      </c>
      <c r="E8" s="158" t="s">
        <v>40</v>
      </c>
      <c r="F8" s="270" t="s">
        <v>148</v>
      </c>
      <c r="G8" s="271" t="s">
        <v>147</v>
      </c>
      <c r="H8" s="271" t="s">
        <v>147</v>
      </c>
      <c r="I8" s="270" t="s">
        <v>148</v>
      </c>
      <c r="J8" s="270" t="s">
        <v>148</v>
      </c>
      <c r="K8" s="270" t="s">
        <v>148</v>
      </c>
      <c r="L8" s="270" t="s">
        <v>148</v>
      </c>
      <c r="M8" s="272">
        <v>67</v>
      </c>
      <c r="N8" s="271" t="s">
        <v>147</v>
      </c>
      <c r="O8" s="54">
        <f>SUM(F8:N8)</f>
        <v>67</v>
      </c>
      <c r="P8" s="16">
        <f>O8-Q8</f>
        <v>67</v>
      </c>
      <c r="Q8" s="5">
        <f>SUMIF(F8:N8,"450")</f>
        <v>0</v>
      </c>
      <c r="R8" s="16">
        <f>P8+Q8</f>
        <v>67</v>
      </c>
      <c r="S8">
        <f>V8*450</f>
        <v>1800</v>
      </c>
      <c r="T8">
        <f>S8-R8</f>
        <v>1733</v>
      </c>
      <c r="U8" s="39">
        <f>T8/S8</f>
        <v>0.96277777777777773</v>
      </c>
      <c r="V8">
        <f>W8-(Y8+Z8)</f>
        <v>4</v>
      </c>
      <c r="W8">
        <f>7-X8</f>
        <v>4</v>
      </c>
      <c r="X8" s="5">
        <f>COUNTIF(F8:N8,"RD")</f>
        <v>3</v>
      </c>
      <c r="Y8" s="5">
        <f>COUNTIF(F8:M8,"VL")</f>
        <v>0</v>
      </c>
      <c r="Z8" s="5">
        <f>COUNTIF(F8:N8,"LWOP")</f>
        <v>0</v>
      </c>
      <c r="AF8"/>
    </row>
    <row r="9" spans="1:32">
      <c r="A9" s="155" t="s">
        <v>107</v>
      </c>
      <c r="B9" s="156" t="s">
        <v>265</v>
      </c>
      <c r="C9" s="157" t="s">
        <v>266</v>
      </c>
      <c r="D9" s="157" t="s">
        <v>57</v>
      </c>
      <c r="E9" s="158" t="s">
        <v>40</v>
      </c>
      <c r="F9" s="270" t="s">
        <v>148</v>
      </c>
      <c r="G9" s="271" t="s">
        <v>147</v>
      </c>
      <c r="H9" s="271" t="s">
        <v>147</v>
      </c>
      <c r="I9" s="270" t="s">
        <v>148</v>
      </c>
      <c r="J9" s="270" t="s">
        <v>148</v>
      </c>
      <c r="K9" s="270" t="s">
        <v>148</v>
      </c>
      <c r="L9" s="270" t="s">
        <v>148</v>
      </c>
      <c r="M9" s="308" t="s">
        <v>12</v>
      </c>
      <c r="N9" s="271" t="s">
        <v>147</v>
      </c>
      <c r="O9" s="54">
        <f>SUM(F9:N9)</f>
        <v>0</v>
      </c>
      <c r="P9" s="16">
        <f>O9-Q9</f>
        <v>0</v>
      </c>
      <c r="Q9" s="5">
        <f>SUMIF(F9:N9,"450")</f>
        <v>0</v>
      </c>
      <c r="R9" s="16">
        <f>P9+Q9</f>
        <v>0</v>
      </c>
      <c r="S9">
        <f>V9*450</f>
        <v>1350</v>
      </c>
      <c r="T9">
        <f>S9-R9</f>
        <v>1350</v>
      </c>
      <c r="U9" s="39">
        <f>T9/S9</f>
        <v>1</v>
      </c>
      <c r="V9">
        <f>W9-(Y9+Z9)</f>
        <v>3</v>
      </c>
      <c r="W9">
        <f>7-X9</f>
        <v>4</v>
      </c>
      <c r="X9" s="5">
        <f>COUNTIF(F9:N9,"RD")</f>
        <v>3</v>
      </c>
      <c r="Y9" s="5">
        <f>COUNTIF(F9:M9,"VL")</f>
        <v>1</v>
      </c>
      <c r="Z9" s="5">
        <f>COUNTIF(F9:N9,"LWOP")</f>
        <v>0</v>
      </c>
      <c r="AF9"/>
    </row>
    <row r="10" spans="1:32">
      <c r="A10" s="163" t="s">
        <v>59</v>
      </c>
      <c r="B10" s="156" t="s">
        <v>265</v>
      </c>
      <c r="C10" s="157" t="s">
        <v>266</v>
      </c>
      <c r="D10" s="157" t="s">
        <v>60</v>
      </c>
      <c r="E10" s="158" t="s">
        <v>40</v>
      </c>
      <c r="F10" s="272">
        <v>2</v>
      </c>
      <c r="G10" s="271" t="s">
        <v>147</v>
      </c>
      <c r="H10" s="271" t="s">
        <v>147</v>
      </c>
      <c r="I10" s="308" t="s">
        <v>12</v>
      </c>
      <c r="J10" s="308" t="s">
        <v>12</v>
      </c>
      <c r="K10" s="308" t="s">
        <v>12</v>
      </c>
      <c r="L10" s="308" t="s">
        <v>12</v>
      </c>
      <c r="M10" s="308" t="s">
        <v>12</v>
      </c>
      <c r="N10" s="271" t="s">
        <v>147</v>
      </c>
      <c r="O10" s="54">
        <f>SUM(F10:N10)</f>
        <v>2</v>
      </c>
      <c r="P10" s="16">
        <f>O10-Q10</f>
        <v>2</v>
      </c>
      <c r="Q10" s="5">
        <f>SUMIF(F10:N10,"450")</f>
        <v>0</v>
      </c>
      <c r="R10" s="16">
        <f>P10+Q10</f>
        <v>2</v>
      </c>
      <c r="S10">
        <f>V10*450</f>
        <v>-450</v>
      </c>
      <c r="T10">
        <f>S10-R10</f>
        <v>-452</v>
      </c>
      <c r="U10" s="39">
        <f>T10/S10</f>
        <v>1.0044444444444445</v>
      </c>
      <c r="V10">
        <f>W10-(Y10+Z10)</f>
        <v>-1</v>
      </c>
      <c r="W10">
        <f>7-X10</f>
        <v>4</v>
      </c>
      <c r="X10" s="5">
        <f>COUNTIF(F10:N10,"RD")</f>
        <v>3</v>
      </c>
      <c r="Y10" s="5">
        <f>COUNTIF(F10:M10,"VL")</f>
        <v>5</v>
      </c>
      <c r="Z10" s="5">
        <f>COUNTIF(F10:N10,"LWOP")</f>
        <v>0</v>
      </c>
      <c r="AF10"/>
    </row>
    <row r="11" spans="1:32">
      <c r="A11" s="164" t="s">
        <v>84</v>
      </c>
      <c r="B11" s="156" t="s">
        <v>265</v>
      </c>
      <c r="C11" s="157" t="s">
        <v>266</v>
      </c>
      <c r="D11" s="157" t="s">
        <v>60</v>
      </c>
      <c r="E11" s="158" t="s">
        <v>40</v>
      </c>
      <c r="F11" s="270" t="s">
        <v>148</v>
      </c>
      <c r="G11" s="271" t="s">
        <v>147</v>
      </c>
      <c r="H11" s="271" t="s">
        <v>147</v>
      </c>
      <c r="I11" s="270" t="s">
        <v>148</v>
      </c>
      <c r="J11" s="270" t="s">
        <v>148</v>
      </c>
      <c r="K11" s="270" t="s">
        <v>148</v>
      </c>
      <c r="L11" s="270" t="s">
        <v>148</v>
      </c>
      <c r="M11" s="270" t="s">
        <v>148</v>
      </c>
      <c r="N11" s="271" t="s">
        <v>147</v>
      </c>
      <c r="O11" s="54">
        <f>SUM(F11:N11)</f>
        <v>0</v>
      </c>
      <c r="P11" s="16">
        <f>O11-Q11</f>
        <v>0</v>
      </c>
      <c r="Q11" s="5">
        <f>SUMIF(F11:N11,"450")</f>
        <v>0</v>
      </c>
      <c r="R11" s="16">
        <f>P11+Q11</f>
        <v>0</v>
      </c>
      <c r="S11">
        <f>V11*450</f>
        <v>1800</v>
      </c>
      <c r="T11">
        <f>S11-R11</f>
        <v>1800</v>
      </c>
      <c r="U11" s="39">
        <f>T11/S11</f>
        <v>1</v>
      </c>
      <c r="V11">
        <f>W11-(Y11+Z11)</f>
        <v>4</v>
      </c>
      <c r="W11">
        <f>7-X11</f>
        <v>4</v>
      </c>
      <c r="X11" s="5">
        <f>COUNTIF(F11:N11,"RD")</f>
        <v>3</v>
      </c>
      <c r="Y11" s="5">
        <f>COUNTIF(F11:M11,"VL")</f>
        <v>0</v>
      </c>
      <c r="Z11" s="5">
        <f>COUNTIF(F11:N11,"LWOP")</f>
        <v>0</v>
      </c>
      <c r="AF11"/>
    </row>
    <row r="12" spans="1:32">
      <c r="A12" s="164" t="s">
        <v>230</v>
      </c>
      <c r="B12" s="156" t="s">
        <v>265</v>
      </c>
      <c r="C12" s="157" t="s">
        <v>266</v>
      </c>
      <c r="D12" s="157" t="s">
        <v>60</v>
      </c>
      <c r="E12" s="158" t="s">
        <v>40</v>
      </c>
      <c r="F12" s="270" t="s">
        <v>148</v>
      </c>
      <c r="G12" s="271" t="s">
        <v>147</v>
      </c>
      <c r="H12" s="271" t="s">
        <v>147</v>
      </c>
      <c r="I12" s="270" t="s">
        <v>148</v>
      </c>
      <c r="J12" s="270" t="s">
        <v>148</v>
      </c>
      <c r="K12" s="270" t="s">
        <v>148</v>
      </c>
      <c r="L12" s="270" t="s">
        <v>148</v>
      </c>
      <c r="M12" s="270" t="s">
        <v>148</v>
      </c>
      <c r="N12" s="271" t="s">
        <v>147</v>
      </c>
      <c r="O12" s="54">
        <f>SUM(F12:N12)</f>
        <v>0</v>
      </c>
      <c r="P12" s="16">
        <f>O12-Q12</f>
        <v>0</v>
      </c>
      <c r="Q12" s="5">
        <f>SUMIF(F12:N12,"450")</f>
        <v>0</v>
      </c>
      <c r="R12" s="16">
        <f>P12+Q12</f>
        <v>0</v>
      </c>
      <c r="S12">
        <f>V12*450</f>
        <v>1800</v>
      </c>
      <c r="T12">
        <f>S12-R12</f>
        <v>1800</v>
      </c>
      <c r="U12" s="39">
        <f>T12/S12</f>
        <v>1</v>
      </c>
      <c r="V12">
        <f>W12-(Y12+Z12)</f>
        <v>4</v>
      </c>
      <c r="W12">
        <f>7-X12</f>
        <v>4</v>
      </c>
      <c r="X12" s="5">
        <f>COUNTIF(F12:N12,"RD")</f>
        <v>3</v>
      </c>
      <c r="Y12" s="5">
        <f>COUNTIF(F12:M12,"VL")</f>
        <v>0</v>
      </c>
      <c r="Z12" s="5">
        <f>COUNTIF(F12:N12,"LWOP")</f>
        <v>0</v>
      </c>
      <c r="AF12"/>
    </row>
    <row r="13" spans="1:32">
      <c r="A13" s="164" t="s">
        <v>24</v>
      </c>
      <c r="B13" s="156" t="s">
        <v>265</v>
      </c>
      <c r="C13" s="157" t="s">
        <v>266</v>
      </c>
      <c r="D13" s="157" t="s">
        <v>22</v>
      </c>
      <c r="E13" s="158" t="s">
        <v>25</v>
      </c>
      <c r="F13" s="270" t="s">
        <v>148</v>
      </c>
      <c r="G13" s="271" t="s">
        <v>147</v>
      </c>
      <c r="H13" s="271" t="s">
        <v>147</v>
      </c>
      <c r="I13" s="270" t="s">
        <v>148</v>
      </c>
      <c r="J13" s="270" t="s">
        <v>148</v>
      </c>
      <c r="K13" s="270" t="s">
        <v>148</v>
      </c>
      <c r="L13" s="270" t="s">
        <v>148</v>
      </c>
      <c r="M13" s="272">
        <v>10</v>
      </c>
      <c r="N13" s="271" t="s">
        <v>147</v>
      </c>
      <c r="O13" s="54">
        <f>SUM(F13:N13)</f>
        <v>10</v>
      </c>
      <c r="P13" s="16">
        <f>O13-Q13</f>
        <v>10</v>
      </c>
      <c r="Q13" s="5">
        <f>SUMIF(F13:N13,"450")</f>
        <v>0</v>
      </c>
      <c r="R13" s="16">
        <f>P13+Q13</f>
        <v>10</v>
      </c>
      <c r="S13">
        <f>V13*450</f>
        <v>1800</v>
      </c>
      <c r="T13">
        <f>S13-R13</f>
        <v>1790</v>
      </c>
      <c r="U13" s="39">
        <f>T13/S13</f>
        <v>0.99444444444444446</v>
      </c>
      <c r="V13">
        <f>W13-(Y13+Z13)</f>
        <v>4</v>
      </c>
      <c r="W13">
        <f>7-X13</f>
        <v>4</v>
      </c>
      <c r="X13" s="5">
        <f>COUNTIF(F13:N13,"RD")</f>
        <v>3</v>
      </c>
      <c r="Y13" s="5">
        <f>COUNTIF(F13:M13,"VL")</f>
        <v>0</v>
      </c>
      <c r="Z13" s="5">
        <f>COUNTIF(F13:N13,"LWOP")</f>
        <v>0</v>
      </c>
      <c r="AF13"/>
    </row>
    <row r="14" spans="1:32">
      <c r="A14" s="164" t="s">
        <v>270</v>
      </c>
      <c r="B14" s="156" t="s">
        <v>265</v>
      </c>
      <c r="C14" s="157" t="s">
        <v>266</v>
      </c>
      <c r="D14" s="157" t="s">
        <v>22</v>
      </c>
      <c r="E14" s="158" t="s">
        <v>33</v>
      </c>
      <c r="F14" s="270" t="s">
        <v>148</v>
      </c>
      <c r="G14" s="270" t="s">
        <v>148</v>
      </c>
      <c r="H14" s="271" t="s">
        <v>147</v>
      </c>
      <c r="I14" s="270" t="s">
        <v>148</v>
      </c>
      <c r="J14" s="269">
        <v>450</v>
      </c>
      <c r="K14" s="269">
        <v>450</v>
      </c>
      <c r="L14" s="272">
        <v>3</v>
      </c>
      <c r="M14" s="269">
        <v>450</v>
      </c>
      <c r="N14" s="271" t="s">
        <v>147</v>
      </c>
      <c r="O14" s="54">
        <f>SUM(F14:N14)</f>
        <v>1353</v>
      </c>
      <c r="P14" s="16">
        <f>O14-Q14</f>
        <v>3</v>
      </c>
      <c r="Q14" s="5">
        <f>SUMIF(F14:N14,"450")</f>
        <v>1350</v>
      </c>
      <c r="R14" s="16">
        <f>P14+Q14</f>
        <v>1353</v>
      </c>
      <c r="S14">
        <f>V14*450</f>
        <v>2250</v>
      </c>
      <c r="T14">
        <f>S14-R14</f>
        <v>897</v>
      </c>
      <c r="U14" s="39">
        <f>T14/S14</f>
        <v>0.39866666666666667</v>
      </c>
      <c r="V14">
        <f>W14-(Y14+Z14)</f>
        <v>5</v>
      </c>
      <c r="W14">
        <f>7-X14</f>
        <v>5</v>
      </c>
      <c r="X14" s="5">
        <f>COUNTIF(F14:N14,"RD")</f>
        <v>2</v>
      </c>
      <c r="Y14" s="5">
        <f>COUNTIF(F14:M14,"VL")</f>
        <v>0</v>
      </c>
      <c r="Z14" s="5">
        <f>COUNTIF(F14:N14,"LWOP")</f>
        <v>0</v>
      </c>
      <c r="AF14"/>
    </row>
    <row r="15" spans="1:32">
      <c r="A15" s="164" t="s">
        <v>271</v>
      </c>
      <c r="B15" s="156" t="s">
        <v>265</v>
      </c>
      <c r="C15" s="157" t="s">
        <v>266</v>
      </c>
      <c r="D15" s="157" t="s">
        <v>22</v>
      </c>
      <c r="E15" s="158" t="s">
        <v>33</v>
      </c>
      <c r="F15" s="270" t="s">
        <v>148</v>
      </c>
      <c r="G15" s="271" t="s">
        <v>147</v>
      </c>
      <c r="H15" s="271" t="s">
        <v>147</v>
      </c>
      <c r="I15" s="270" t="s">
        <v>148</v>
      </c>
      <c r="J15" s="270" t="s">
        <v>148</v>
      </c>
      <c r="K15" s="270" t="s">
        <v>148</v>
      </c>
      <c r="L15" s="270" t="s">
        <v>148</v>
      </c>
      <c r="M15" s="270" t="s">
        <v>148</v>
      </c>
      <c r="N15" s="271" t="s">
        <v>147</v>
      </c>
      <c r="O15" s="54">
        <f>SUM(F15:N15)</f>
        <v>0</v>
      </c>
      <c r="P15" s="16">
        <f>O15-Q15</f>
        <v>0</v>
      </c>
      <c r="Q15" s="5">
        <f>SUMIF(F15:N15,"450")</f>
        <v>0</v>
      </c>
      <c r="R15" s="16">
        <f>P15+Q15</f>
        <v>0</v>
      </c>
      <c r="S15">
        <f>V15*450</f>
        <v>1800</v>
      </c>
      <c r="T15">
        <f>S15-R15</f>
        <v>1800</v>
      </c>
      <c r="U15" s="39">
        <f>T15/S15</f>
        <v>1</v>
      </c>
      <c r="V15">
        <f>W15-(Y15+Z15)</f>
        <v>4</v>
      </c>
      <c r="W15">
        <f>7-X15</f>
        <v>4</v>
      </c>
      <c r="X15" s="5">
        <f>COUNTIF(F15:N15,"RD")</f>
        <v>3</v>
      </c>
      <c r="Y15" s="5">
        <f>COUNTIF(F15:M15,"VL")</f>
        <v>0</v>
      </c>
      <c r="Z15" s="5">
        <f>COUNTIF(F15:N15,"LWOP")</f>
        <v>0</v>
      </c>
      <c r="AF15"/>
    </row>
    <row r="16" spans="1:32">
      <c r="A16" s="164" t="s">
        <v>273</v>
      </c>
      <c r="B16" s="156" t="s">
        <v>265</v>
      </c>
      <c r="C16" s="157" t="s">
        <v>266</v>
      </c>
      <c r="D16" s="157" t="s">
        <v>22</v>
      </c>
      <c r="E16" s="158" t="s">
        <v>25</v>
      </c>
      <c r="F16" s="272">
        <v>6</v>
      </c>
      <c r="G16" s="271" t="s">
        <v>147</v>
      </c>
      <c r="H16" s="271" t="s">
        <v>147</v>
      </c>
      <c r="I16" s="270" t="s">
        <v>148</v>
      </c>
      <c r="J16" s="270" t="s">
        <v>148</v>
      </c>
      <c r="K16" s="270" t="s">
        <v>148</v>
      </c>
      <c r="L16" s="270" t="s">
        <v>148</v>
      </c>
      <c r="M16" s="270" t="s">
        <v>148</v>
      </c>
      <c r="N16" s="271" t="s">
        <v>147</v>
      </c>
      <c r="O16" s="54">
        <f>SUM(F16:N16)</f>
        <v>6</v>
      </c>
      <c r="P16" s="16">
        <f>O16-Q16</f>
        <v>6</v>
      </c>
      <c r="Q16" s="5">
        <f>SUMIF(F16:N16,"450")</f>
        <v>0</v>
      </c>
      <c r="R16" s="16">
        <f>P16+Q16</f>
        <v>6</v>
      </c>
      <c r="S16">
        <f>V16*450</f>
        <v>1800</v>
      </c>
      <c r="T16">
        <f>S16-R16</f>
        <v>1794</v>
      </c>
      <c r="U16" s="39">
        <f>T16/S16</f>
        <v>0.9966666666666667</v>
      </c>
      <c r="V16">
        <f>W16-(Y16+Z16)</f>
        <v>4</v>
      </c>
      <c r="W16">
        <f>7-X16</f>
        <v>4</v>
      </c>
      <c r="X16" s="5">
        <f>COUNTIF(F16:N16,"RD")</f>
        <v>3</v>
      </c>
      <c r="Y16" s="5">
        <f>COUNTIF(F16:M16,"VL")</f>
        <v>0</v>
      </c>
      <c r="Z16" s="5">
        <f>COUNTIF(F16:N16,"LWOP")</f>
        <v>0</v>
      </c>
      <c r="AF16"/>
    </row>
    <row r="17" spans="1:32">
      <c r="A17" s="164" t="s">
        <v>43</v>
      </c>
      <c r="B17" s="156" t="s">
        <v>265</v>
      </c>
      <c r="C17" s="157" t="s">
        <v>266</v>
      </c>
      <c r="D17" s="157" t="s">
        <v>22</v>
      </c>
      <c r="E17" s="158" t="s">
        <v>25</v>
      </c>
      <c r="F17" s="270" t="s">
        <v>148</v>
      </c>
      <c r="G17" s="271" t="s">
        <v>147</v>
      </c>
      <c r="H17" s="271" t="s">
        <v>147</v>
      </c>
      <c r="I17" s="270" t="s">
        <v>174</v>
      </c>
      <c r="J17" s="270" t="s">
        <v>148</v>
      </c>
      <c r="K17" s="270" t="s">
        <v>148</v>
      </c>
      <c r="L17" s="270" t="s">
        <v>148</v>
      </c>
      <c r="M17" s="270" t="s">
        <v>148</v>
      </c>
      <c r="N17" s="271" t="s">
        <v>147</v>
      </c>
      <c r="O17" s="54">
        <f>SUM(F17:N17)</f>
        <v>0</v>
      </c>
      <c r="P17" s="16">
        <f>O17-Q17</f>
        <v>0</v>
      </c>
      <c r="Q17" s="5">
        <f>SUMIF(F17:N17,"450")</f>
        <v>0</v>
      </c>
      <c r="R17" s="16">
        <f>P17+Q17</f>
        <v>0</v>
      </c>
      <c r="S17">
        <f>V17*450</f>
        <v>1800</v>
      </c>
      <c r="T17">
        <f>S17-R17</f>
        <v>1800</v>
      </c>
      <c r="U17" s="39">
        <f>T17/S17</f>
        <v>1</v>
      </c>
      <c r="V17">
        <f>W17-(Y17+Z17)</f>
        <v>4</v>
      </c>
      <c r="W17">
        <f>7-X17</f>
        <v>4</v>
      </c>
      <c r="X17" s="5">
        <f>COUNTIF(F17:N17,"RD")</f>
        <v>3</v>
      </c>
      <c r="Y17" s="5">
        <f>COUNTIF(F17:M17,"VL")</f>
        <v>0</v>
      </c>
      <c r="Z17" s="5">
        <f>COUNTIF(F17:N17,"LWOP")</f>
        <v>0</v>
      </c>
      <c r="AF17"/>
    </row>
    <row r="18" spans="1:32">
      <c r="A18" s="164" t="s">
        <v>218</v>
      </c>
      <c r="B18" s="156" t="s">
        <v>265</v>
      </c>
      <c r="C18" s="157" t="s">
        <v>266</v>
      </c>
      <c r="D18" s="157" t="s">
        <v>22</v>
      </c>
      <c r="E18" s="158" t="s">
        <v>33</v>
      </c>
      <c r="F18" s="272">
        <v>11</v>
      </c>
      <c r="G18" s="271" t="s">
        <v>147</v>
      </c>
      <c r="H18" s="271" t="s">
        <v>147</v>
      </c>
      <c r="I18" s="270" t="s">
        <v>148</v>
      </c>
      <c r="J18" s="272">
        <v>31</v>
      </c>
      <c r="K18" s="272">
        <v>15</v>
      </c>
      <c r="L18" s="270" t="s">
        <v>148</v>
      </c>
      <c r="M18" s="270" t="s">
        <v>148</v>
      </c>
      <c r="N18" s="271" t="s">
        <v>147</v>
      </c>
      <c r="O18" s="54">
        <f>SUM(F18:N18)</f>
        <v>57</v>
      </c>
      <c r="P18" s="16">
        <f>O18-Q18</f>
        <v>57</v>
      </c>
      <c r="Q18" s="5">
        <f>SUMIF(F18:N18,"450")</f>
        <v>0</v>
      </c>
      <c r="R18" s="16">
        <f>P18+Q18</f>
        <v>57</v>
      </c>
      <c r="S18">
        <f>V18*450</f>
        <v>1800</v>
      </c>
      <c r="T18">
        <f>S18-R18</f>
        <v>1743</v>
      </c>
      <c r="U18" s="39">
        <f>T18/S18</f>
        <v>0.96833333333333338</v>
      </c>
      <c r="V18">
        <f>W18-(Y18+Z18)</f>
        <v>4</v>
      </c>
      <c r="W18">
        <f>7-X18</f>
        <v>4</v>
      </c>
      <c r="X18" s="5">
        <f>COUNTIF(F18:N18,"RD")</f>
        <v>3</v>
      </c>
      <c r="Y18" s="5">
        <f>COUNTIF(F18:M18,"VL")</f>
        <v>0</v>
      </c>
      <c r="Z18" s="5">
        <f>COUNTIF(F18:N18,"LWOP")</f>
        <v>0</v>
      </c>
      <c r="AF18"/>
    </row>
    <row r="19" spans="1:32">
      <c r="A19" s="164" t="s">
        <v>274</v>
      </c>
      <c r="B19" s="156" t="s">
        <v>265</v>
      </c>
      <c r="C19" s="157" t="s">
        <v>266</v>
      </c>
      <c r="D19" s="157" t="s">
        <v>22</v>
      </c>
      <c r="E19" s="158" t="s">
        <v>63</v>
      </c>
      <c r="F19" s="272">
        <v>10</v>
      </c>
      <c r="G19" s="270" t="s">
        <v>148</v>
      </c>
      <c r="H19" s="270" t="s">
        <v>148</v>
      </c>
      <c r="I19" s="271" t="s">
        <v>147</v>
      </c>
      <c r="J19" s="308" t="s">
        <v>12</v>
      </c>
      <c r="K19" s="270" t="s">
        <v>148</v>
      </c>
      <c r="L19" s="272">
        <v>9</v>
      </c>
      <c r="M19" s="272">
        <v>5</v>
      </c>
      <c r="N19" s="272">
        <v>11</v>
      </c>
      <c r="O19" s="54">
        <f>SUM(F19:N19)</f>
        <v>35</v>
      </c>
      <c r="P19" s="16">
        <f>O19-Q19</f>
        <v>35</v>
      </c>
      <c r="Q19" s="5">
        <f>SUMIF(F19:N19,"450")</f>
        <v>0</v>
      </c>
      <c r="R19" s="16">
        <f>P19+Q19</f>
        <v>35</v>
      </c>
      <c r="S19">
        <f>V19*450</f>
        <v>2250</v>
      </c>
      <c r="T19">
        <f>S19-R19</f>
        <v>2215</v>
      </c>
      <c r="U19" s="39">
        <f>T19/S19</f>
        <v>0.98444444444444446</v>
      </c>
      <c r="V19">
        <f>W19-(Y19+Z19)</f>
        <v>5</v>
      </c>
      <c r="W19">
        <f>7-X19</f>
        <v>6</v>
      </c>
      <c r="X19" s="5">
        <f>COUNTIF(F19:N19,"RD")</f>
        <v>1</v>
      </c>
      <c r="Y19" s="5">
        <f>COUNTIF(F19:M19,"VL")</f>
        <v>1</v>
      </c>
      <c r="Z19" s="5">
        <f>COUNTIF(F19:N19,"LWOP")</f>
        <v>0</v>
      </c>
      <c r="AF19"/>
    </row>
    <row r="20" spans="1:32">
      <c r="A20" s="164" t="s">
        <v>275</v>
      </c>
      <c r="B20" s="156" t="s">
        <v>265</v>
      </c>
      <c r="C20" s="157" t="s">
        <v>266</v>
      </c>
      <c r="D20" s="157" t="s">
        <v>22</v>
      </c>
      <c r="E20" s="158" t="s">
        <v>63</v>
      </c>
      <c r="F20" s="270" t="s">
        <v>148</v>
      </c>
      <c r="G20" s="271" t="s">
        <v>147</v>
      </c>
      <c r="H20" s="271" t="s">
        <v>147</v>
      </c>
      <c r="I20" s="270" t="s">
        <v>174</v>
      </c>
      <c r="J20" s="272">
        <v>12</v>
      </c>
      <c r="K20" s="270" t="s">
        <v>174</v>
      </c>
      <c r="L20" s="270" t="s">
        <v>174</v>
      </c>
      <c r="M20" s="272">
        <v>7</v>
      </c>
      <c r="N20" s="271" t="s">
        <v>147</v>
      </c>
      <c r="O20" s="54">
        <f>SUM(F20:N20)</f>
        <v>19</v>
      </c>
      <c r="P20" s="16">
        <f>O20-Q20</f>
        <v>19</v>
      </c>
      <c r="Q20" s="5">
        <f>SUMIF(F20:N20,"450")</f>
        <v>0</v>
      </c>
      <c r="R20" s="16">
        <f>P20+Q20</f>
        <v>19</v>
      </c>
      <c r="S20">
        <f>V20*450</f>
        <v>1800</v>
      </c>
      <c r="T20">
        <f>S20-R20</f>
        <v>1781</v>
      </c>
      <c r="U20" s="39">
        <f>T20/S20</f>
        <v>0.98944444444444446</v>
      </c>
      <c r="V20">
        <f>W20-(Y20+Z20)</f>
        <v>4</v>
      </c>
      <c r="W20">
        <f>7-X20</f>
        <v>4</v>
      </c>
      <c r="X20" s="5">
        <f>COUNTIF(F20:N20,"RD")</f>
        <v>3</v>
      </c>
      <c r="Y20" s="5">
        <f>COUNTIF(F20:M20,"VL")</f>
        <v>0</v>
      </c>
      <c r="Z20" s="5">
        <f>COUNTIF(F20:N20,"LWOP")</f>
        <v>0</v>
      </c>
      <c r="AF20"/>
    </row>
    <row r="21" spans="1:32">
      <c r="A21" s="164" t="s">
        <v>276</v>
      </c>
      <c r="B21" s="156" t="s">
        <v>265</v>
      </c>
      <c r="C21" s="157" t="s">
        <v>266</v>
      </c>
      <c r="D21" s="157" t="s">
        <v>22</v>
      </c>
      <c r="E21" s="158" t="s">
        <v>30</v>
      </c>
      <c r="F21" s="270" t="s">
        <v>148</v>
      </c>
      <c r="G21" s="270" t="s">
        <v>148</v>
      </c>
      <c r="H21" s="271" t="s">
        <v>147</v>
      </c>
      <c r="I21" s="270" t="s">
        <v>148</v>
      </c>
      <c r="J21" s="270" t="s">
        <v>148</v>
      </c>
      <c r="K21" s="270" t="s">
        <v>148</v>
      </c>
      <c r="L21" s="270" t="s">
        <v>148</v>
      </c>
      <c r="M21" s="270" t="s">
        <v>148</v>
      </c>
      <c r="N21" s="271" t="s">
        <v>147</v>
      </c>
      <c r="O21" s="54">
        <f>SUM(F21:N21)</f>
        <v>0</v>
      </c>
      <c r="P21" s="16">
        <f>O21-Q21</f>
        <v>0</v>
      </c>
      <c r="Q21" s="5">
        <f>SUMIF(F21:N21,"450")</f>
        <v>0</v>
      </c>
      <c r="R21" s="16">
        <f>P21+Q21</f>
        <v>0</v>
      </c>
      <c r="S21">
        <f>V21*450</f>
        <v>2250</v>
      </c>
      <c r="T21">
        <f>S21-R21</f>
        <v>2250</v>
      </c>
      <c r="U21" s="39">
        <f>T21/S21</f>
        <v>1</v>
      </c>
      <c r="V21">
        <f>W21-(Y21+Z21)</f>
        <v>5</v>
      </c>
      <c r="W21">
        <f>7-X21</f>
        <v>5</v>
      </c>
      <c r="X21" s="5">
        <f>COUNTIF(F21:N21,"RD")</f>
        <v>2</v>
      </c>
      <c r="Y21" s="5">
        <f>COUNTIF(F21:M21,"VL")</f>
        <v>0</v>
      </c>
      <c r="Z21" s="5">
        <f>COUNTIF(F21:N21,"LWOP")</f>
        <v>0</v>
      </c>
      <c r="AF21"/>
    </row>
    <row r="22" spans="1:32">
      <c r="A22" s="164" t="s">
        <v>277</v>
      </c>
      <c r="B22" s="156" t="s">
        <v>265</v>
      </c>
      <c r="C22" s="157" t="s">
        <v>266</v>
      </c>
      <c r="D22" s="157" t="s">
        <v>22</v>
      </c>
      <c r="E22" s="158" t="s">
        <v>30</v>
      </c>
      <c r="F22" s="270" t="s">
        <v>148</v>
      </c>
      <c r="G22" s="271" t="s">
        <v>147</v>
      </c>
      <c r="H22" s="271" t="s">
        <v>147</v>
      </c>
      <c r="I22" s="270" t="s">
        <v>148</v>
      </c>
      <c r="J22" s="270" t="s">
        <v>148</v>
      </c>
      <c r="K22" s="270" t="s">
        <v>148</v>
      </c>
      <c r="L22" s="308" t="s">
        <v>12</v>
      </c>
      <c r="M22" s="270" t="s">
        <v>148</v>
      </c>
      <c r="N22" s="271" t="s">
        <v>147</v>
      </c>
      <c r="O22" s="54">
        <f>SUM(F22:N22)</f>
        <v>0</v>
      </c>
      <c r="P22" s="16">
        <f>O22-Q22</f>
        <v>0</v>
      </c>
      <c r="Q22" s="5">
        <f>SUMIF(F22:N22,"450")</f>
        <v>0</v>
      </c>
      <c r="R22" s="16">
        <f>P22+Q22</f>
        <v>0</v>
      </c>
      <c r="S22">
        <f>V22*450</f>
        <v>1350</v>
      </c>
      <c r="T22">
        <f>S22-R22</f>
        <v>1350</v>
      </c>
      <c r="U22" s="39">
        <f>T22/S22</f>
        <v>1</v>
      </c>
      <c r="V22">
        <f>W22-(Y22+Z22)</f>
        <v>3</v>
      </c>
      <c r="W22">
        <f>7-X22</f>
        <v>4</v>
      </c>
      <c r="X22" s="5">
        <f>COUNTIF(F22:N22,"RD")</f>
        <v>3</v>
      </c>
      <c r="Y22" s="5">
        <f>COUNTIF(F22:M22,"VL")</f>
        <v>1</v>
      </c>
      <c r="Z22" s="5">
        <f>COUNTIF(F22:N22,"LWOP")</f>
        <v>0</v>
      </c>
      <c r="AF22"/>
    </row>
    <row r="23" spans="1:32">
      <c r="A23" s="164" t="s">
        <v>279</v>
      </c>
      <c r="B23" s="156" t="s">
        <v>265</v>
      </c>
      <c r="C23" s="157" t="s">
        <v>266</v>
      </c>
      <c r="D23" s="157" t="s">
        <v>22</v>
      </c>
      <c r="E23" s="158" t="s">
        <v>30</v>
      </c>
      <c r="F23" s="270" t="s">
        <v>148</v>
      </c>
      <c r="G23" s="270" t="s">
        <v>148</v>
      </c>
      <c r="H23" s="271" t="s">
        <v>147</v>
      </c>
      <c r="I23" s="270" t="s">
        <v>148</v>
      </c>
      <c r="J23" s="270" t="s">
        <v>148</v>
      </c>
      <c r="K23" s="270" t="s">
        <v>148</v>
      </c>
      <c r="L23" s="270" t="s">
        <v>148</v>
      </c>
      <c r="M23" s="270" t="s">
        <v>148</v>
      </c>
      <c r="N23" s="271" t="s">
        <v>147</v>
      </c>
      <c r="O23" s="54">
        <f>SUM(F23:N23)</f>
        <v>0</v>
      </c>
      <c r="P23" s="16">
        <f>O23-Q23</f>
        <v>0</v>
      </c>
      <c r="Q23" s="5">
        <f>SUMIF(F23:N23,"450")</f>
        <v>0</v>
      </c>
      <c r="R23" s="16">
        <f>P23+Q23</f>
        <v>0</v>
      </c>
      <c r="S23">
        <f>V23*450</f>
        <v>2250</v>
      </c>
      <c r="T23">
        <f>S23-R23</f>
        <v>2250</v>
      </c>
      <c r="U23" s="39">
        <f>T23/S23</f>
        <v>1</v>
      </c>
      <c r="V23">
        <f>W23-(Y23+Z23)</f>
        <v>5</v>
      </c>
      <c r="W23">
        <f>7-X23</f>
        <v>5</v>
      </c>
      <c r="X23" s="5">
        <f>COUNTIF(F23:N23,"RD")</f>
        <v>2</v>
      </c>
      <c r="Y23" s="5">
        <f>COUNTIF(F23:M23,"VL")</f>
        <v>0</v>
      </c>
      <c r="Z23" s="5">
        <f>COUNTIF(F23:N23,"LWOP")</f>
        <v>0</v>
      </c>
      <c r="AF23"/>
    </row>
    <row r="24" spans="1:32">
      <c r="A24" s="164" t="s">
        <v>225</v>
      </c>
      <c r="B24" s="156" t="s">
        <v>265</v>
      </c>
      <c r="C24" s="157" t="s">
        <v>266</v>
      </c>
      <c r="D24" s="157" t="s">
        <v>22</v>
      </c>
      <c r="E24" s="158" t="s">
        <v>30</v>
      </c>
      <c r="F24" s="270" t="s">
        <v>148</v>
      </c>
      <c r="G24" s="271" t="s">
        <v>147</v>
      </c>
      <c r="H24" s="271" t="s">
        <v>147</v>
      </c>
      <c r="I24" s="269">
        <v>450</v>
      </c>
      <c r="J24" s="269">
        <v>450</v>
      </c>
      <c r="K24" s="270" t="s">
        <v>148</v>
      </c>
      <c r="L24" s="270" t="s">
        <v>148</v>
      </c>
      <c r="M24" s="270" t="s">
        <v>148</v>
      </c>
      <c r="N24" s="271" t="s">
        <v>147</v>
      </c>
      <c r="O24" s="54">
        <f>SUM(F24:N24)</f>
        <v>900</v>
      </c>
      <c r="P24" s="16">
        <f>O24-Q24</f>
        <v>0</v>
      </c>
      <c r="Q24" s="5">
        <f>SUMIF(F24:N24,"450")</f>
        <v>900</v>
      </c>
      <c r="R24" s="16">
        <f>P24+Q24</f>
        <v>900</v>
      </c>
      <c r="S24">
        <f>V24*450</f>
        <v>1800</v>
      </c>
      <c r="T24">
        <f>S24-R24</f>
        <v>900</v>
      </c>
      <c r="U24" s="39">
        <f>T24/S24</f>
        <v>0.5</v>
      </c>
      <c r="V24">
        <f>W24-(Y24+Z24)</f>
        <v>4</v>
      </c>
      <c r="W24">
        <f>7-X24</f>
        <v>4</v>
      </c>
      <c r="X24" s="5">
        <f>COUNTIF(F24:N24,"RD")</f>
        <v>3</v>
      </c>
      <c r="Y24" s="5">
        <f>COUNTIF(F24:M24,"VL")</f>
        <v>0</v>
      </c>
      <c r="Z24" s="5">
        <f>COUNTIF(F24:N24,"LWOP")</f>
        <v>0</v>
      </c>
      <c r="AF24"/>
    </row>
    <row r="25" spans="1:32">
      <c r="A25" s="164" t="s">
        <v>77</v>
      </c>
      <c r="B25" s="156" t="s">
        <v>265</v>
      </c>
      <c r="C25" s="157" t="s">
        <v>266</v>
      </c>
      <c r="D25" s="157" t="s">
        <v>22</v>
      </c>
      <c r="E25" s="158" t="s">
        <v>30</v>
      </c>
      <c r="F25" s="270" t="s">
        <v>148</v>
      </c>
      <c r="G25" s="271" t="s">
        <v>147</v>
      </c>
      <c r="H25" s="271" t="s">
        <v>147</v>
      </c>
      <c r="I25" s="308" t="s">
        <v>12</v>
      </c>
      <c r="J25" s="270" t="s">
        <v>148</v>
      </c>
      <c r="K25" s="270" t="s">
        <v>148</v>
      </c>
      <c r="L25" s="270" t="s">
        <v>148</v>
      </c>
      <c r="M25" s="308" t="s">
        <v>12</v>
      </c>
      <c r="N25" s="271" t="s">
        <v>147</v>
      </c>
      <c r="O25" s="54">
        <f>SUM(F25:N25)</f>
        <v>0</v>
      </c>
      <c r="P25" s="16">
        <f>O25-Q25</f>
        <v>0</v>
      </c>
      <c r="Q25" s="5">
        <f>SUMIF(F25:N25,"450")</f>
        <v>0</v>
      </c>
      <c r="R25" s="16">
        <f>P25+Q25</f>
        <v>0</v>
      </c>
      <c r="S25">
        <f>V25*450</f>
        <v>900</v>
      </c>
      <c r="T25">
        <f>S25-R25</f>
        <v>900</v>
      </c>
      <c r="U25" s="39">
        <f>T25/S25</f>
        <v>1</v>
      </c>
      <c r="V25">
        <f>W25-(Y25+Z25)</f>
        <v>2</v>
      </c>
      <c r="W25">
        <f>7-X25</f>
        <v>4</v>
      </c>
      <c r="X25" s="5">
        <f>COUNTIF(F25:N25,"RD")</f>
        <v>3</v>
      </c>
      <c r="Y25" s="5">
        <f>COUNTIF(F25:M25,"VL")</f>
        <v>2</v>
      </c>
      <c r="Z25" s="5">
        <f>COUNTIF(F25:N25,"LWOP")</f>
        <v>0</v>
      </c>
      <c r="AF25"/>
    </row>
    <row r="26" spans="1:32">
      <c r="A26" s="164" t="s">
        <v>280</v>
      </c>
      <c r="B26" s="156" t="s">
        <v>265</v>
      </c>
      <c r="C26" s="157" t="s">
        <v>266</v>
      </c>
      <c r="D26" s="157" t="s">
        <v>22</v>
      </c>
      <c r="E26" s="158" t="s">
        <v>63</v>
      </c>
      <c r="F26" s="270" t="s">
        <v>148</v>
      </c>
      <c r="G26" s="271" t="s">
        <v>147</v>
      </c>
      <c r="H26" s="271" t="s">
        <v>147</v>
      </c>
      <c r="I26" s="270" t="s">
        <v>148</v>
      </c>
      <c r="J26" s="270" t="s">
        <v>148</v>
      </c>
      <c r="K26" s="270" t="s">
        <v>148</v>
      </c>
      <c r="L26" s="270" t="s">
        <v>148</v>
      </c>
      <c r="M26" s="270" t="s">
        <v>148</v>
      </c>
      <c r="N26" s="271" t="s">
        <v>147</v>
      </c>
      <c r="O26" s="54">
        <f>SUM(F26:N26)</f>
        <v>0</v>
      </c>
      <c r="P26" s="16">
        <f>O26-Q26</f>
        <v>0</v>
      </c>
      <c r="Q26" s="5">
        <f>SUMIF(F26:N26,"450")</f>
        <v>0</v>
      </c>
      <c r="R26" s="16">
        <f>P26+Q26</f>
        <v>0</v>
      </c>
      <c r="S26">
        <f>V26*450</f>
        <v>1800</v>
      </c>
      <c r="T26">
        <f>S26-R26</f>
        <v>1800</v>
      </c>
      <c r="U26" s="39">
        <f>T26/S26</f>
        <v>1</v>
      </c>
      <c r="V26">
        <f>W26-(Y26+Z26)</f>
        <v>4</v>
      </c>
      <c r="W26">
        <f>7-X26</f>
        <v>4</v>
      </c>
      <c r="X26" s="5">
        <f>COUNTIF(F26:N26,"RD")</f>
        <v>3</v>
      </c>
      <c r="Y26" s="5">
        <f>COUNTIF(F26:M26,"VL")</f>
        <v>0</v>
      </c>
      <c r="Z26" s="5">
        <f>COUNTIF(F26:N26,"LWOP")</f>
        <v>0</v>
      </c>
      <c r="AF26"/>
    </row>
    <row r="27" spans="1:32">
      <c r="A27" s="164" t="s">
        <v>227</v>
      </c>
      <c r="B27" s="156" t="s">
        <v>265</v>
      </c>
      <c r="C27" s="157" t="s">
        <v>266</v>
      </c>
      <c r="D27" s="157" t="s">
        <v>22</v>
      </c>
      <c r="E27" s="158" t="s">
        <v>63</v>
      </c>
      <c r="F27" s="270" t="s">
        <v>148</v>
      </c>
      <c r="G27" s="271" t="s">
        <v>147</v>
      </c>
      <c r="H27" s="271" t="s">
        <v>147</v>
      </c>
      <c r="I27" s="270" t="s">
        <v>148</v>
      </c>
      <c r="J27" s="270" t="s">
        <v>148</v>
      </c>
      <c r="K27" s="270" t="s">
        <v>148</v>
      </c>
      <c r="L27" s="270" t="s">
        <v>148</v>
      </c>
      <c r="M27" s="270" t="s">
        <v>148</v>
      </c>
      <c r="N27" s="271" t="s">
        <v>147</v>
      </c>
      <c r="O27" s="54">
        <f>SUM(F27:N27)</f>
        <v>0</v>
      </c>
      <c r="P27" s="16">
        <f>O27-Q27</f>
        <v>0</v>
      </c>
      <c r="Q27" s="5">
        <f>SUMIF(F27:N27,"450")</f>
        <v>0</v>
      </c>
      <c r="R27" s="16">
        <f>P27+Q27</f>
        <v>0</v>
      </c>
      <c r="S27">
        <f>V27*450</f>
        <v>1800</v>
      </c>
      <c r="T27">
        <f>S27-R27</f>
        <v>1800</v>
      </c>
      <c r="U27" s="39">
        <f>T27/S27</f>
        <v>1</v>
      </c>
      <c r="V27">
        <f>W27-(Y27+Z27)</f>
        <v>4</v>
      </c>
      <c r="W27">
        <f>7-X27</f>
        <v>4</v>
      </c>
      <c r="X27" s="5">
        <f>COUNTIF(F27:N27,"RD")</f>
        <v>3</v>
      </c>
      <c r="Y27" s="5">
        <f>COUNTIF(F27:M27,"VL")</f>
        <v>0</v>
      </c>
      <c r="Z27" s="5">
        <f>COUNTIF(F27:N27,"LWOP")</f>
        <v>0</v>
      </c>
      <c r="AF27"/>
    </row>
    <row r="28" spans="1:32">
      <c r="A28" s="164" t="s">
        <v>281</v>
      </c>
      <c r="B28" s="156" t="s">
        <v>265</v>
      </c>
      <c r="C28" s="157" t="s">
        <v>266</v>
      </c>
      <c r="D28" s="157" t="s">
        <v>22</v>
      </c>
      <c r="E28" s="158" t="s">
        <v>30</v>
      </c>
      <c r="F28" s="270" t="s">
        <v>148</v>
      </c>
      <c r="G28" s="271" t="s">
        <v>147</v>
      </c>
      <c r="H28" s="271" t="s">
        <v>147</v>
      </c>
      <c r="I28" s="270" t="s">
        <v>148</v>
      </c>
      <c r="J28" s="270" t="s">
        <v>148</v>
      </c>
      <c r="K28" s="270" t="s">
        <v>148</v>
      </c>
      <c r="L28" s="270" t="s">
        <v>148</v>
      </c>
      <c r="M28" s="270" t="s">
        <v>148</v>
      </c>
      <c r="N28" s="271" t="s">
        <v>147</v>
      </c>
      <c r="O28" s="54">
        <f>SUM(F28:N28)</f>
        <v>0</v>
      </c>
      <c r="P28" s="16">
        <f>O28-Q28</f>
        <v>0</v>
      </c>
      <c r="Q28" s="5">
        <f>SUMIF(F28:N28,"450")</f>
        <v>0</v>
      </c>
      <c r="R28" s="16">
        <f>P28+Q28</f>
        <v>0</v>
      </c>
      <c r="S28">
        <f>V28*450</f>
        <v>1800</v>
      </c>
      <c r="T28">
        <f>S28-R28</f>
        <v>1800</v>
      </c>
      <c r="U28" s="39">
        <f>T28/S28</f>
        <v>1</v>
      </c>
      <c r="V28">
        <f>W28-(Y28+Z28)</f>
        <v>4</v>
      </c>
      <c r="W28">
        <f>7-X28</f>
        <v>4</v>
      </c>
      <c r="X28" s="5">
        <f>COUNTIF(F28:N28,"RD")</f>
        <v>3</v>
      </c>
      <c r="Y28" s="5">
        <f>COUNTIF(F28:M28,"VL")</f>
        <v>0</v>
      </c>
      <c r="Z28" s="5">
        <f>COUNTIF(F28:N28,"LWOP")</f>
        <v>0</v>
      </c>
      <c r="AF28"/>
    </row>
    <row r="29" spans="1:32">
      <c r="A29" s="164" t="s">
        <v>283</v>
      </c>
      <c r="B29" s="156" t="s">
        <v>265</v>
      </c>
      <c r="C29" s="157" t="s">
        <v>266</v>
      </c>
      <c r="D29" s="157" t="s">
        <v>22</v>
      </c>
      <c r="E29" s="158" t="s">
        <v>33</v>
      </c>
      <c r="F29" s="270" t="s">
        <v>148</v>
      </c>
      <c r="G29" s="271" t="s">
        <v>147</v>
      </c>
      <c r="H29" s="271" t="s">
        <v>147</v>
      </c>
      <c r="I29" s="270" t="s">
        <v>148</v>
      </c>
      <c r="J29" s="272">
        <v>1</v>
      </c>
      <c r="K29" s="270" t="s">
        <v>148</v>
      </c>
      <c r="L29" s="270" t="s">
        <v>148</v>
      </c>
      <c r="M29" s="272">
        <v>4</v>
      </c>
      <c r="N29" s="271" t="s">
        <v>147</v>
      </c>
      <c r="O29" s="54">
        <f>SUM(F29:N29)</f>
        <v>5</v>
      </c>
      <c r="P29" s="16">
        <f>O29-Q29</f>
        <v>5</v>
      </c>
      <c r="Q29" s="5">
        <f>SUMIF(F29:N29,"450")</f>
        <v>0</v>
      </c>
      <c r="R29" s="16">
        <f>P29+Q29</f>
        <v>5</v>
      </c>
      <c r="S29">
        <f>V29*450</f>
        <v>1800</v>
      </c>
      <c r="T29">
        <f>S29-R29</f>
        <v>1795</v>
      </c>
      <c r="U29" s="39">
        <f>T29/S29</f>
        <v>0.99722222222222223</v>
      </c>
      <c r="V29">
        <f>W29-(Y29+Z29)</f>
        <v>4</v>
      </c>
      <c r="W29">
        <f>7-X29</f>
        <v>4</v>
      </c>
      <c r="X29" s="5">
        <f>COUNTIF(F29:N29,"RD")</f>
        <v>3</v>
      </c>
      <c r="Y29" s="5">
        <f>COUNTIF(F29:M29,"VL")</f>
        <v>0</v>
      </c>
      <c r="Z29" s="5">
        <f>COUNTIF(F29:N29,"LWOP")</f>
        <v>0</v>
      </c>
      <c r="AF29"/>
    </row>
    <row r="30" spans="1:32">
      <c r="A30" s="164" t="s">
        <v>284</v>
      </c>
      <c r="B30" s="156" t="s">
        <v>265</v>
      </c>
      <c r="C30" s="157" t="s">
        <v>266</v>
      </c>
      <c r="D30" s="157" t="s">
        <v>22</v>
      </c>
      <c r="E30" s="158" t="s">
        <v>63</v>
      </c>
      <c r="F30" s="272">
        <v>26</v>
      </c>
      <c r="G30" s="270" t="s">
        <v>148</v>
      </c>
      <c r="H30" s="270" t="s">
        <v>148</v>
      </c>
      <c r="I30" s="271" t="s">
        <v>147</v>
      </c>
      <c r="J30" s="272">
        <v>6</v>
      </c>
      <c r="K30" s="272">
        <v>2</v>
      </c>
      <c r="L30" s="270" t="s">
        <v>148</v>
      </c>
      <c r="M30" s="272">
        <v>2</v>
      </c>
      <c r="N30" s="270" t="s">
        <v>148</v>
      </c>
      <c r="O30" s="54">
        <f>SUM(F30:N30)</f>
        <v>36</v>
      </c>
      <c r="P30" s="16">
        <f>O30-Q30</f>
        <v>36</v>
      </c>
      <c r="Q30" s="5">
        <f>SUMIF(F30:N30,"450")</f>
        <v>0</v>
      </c>
      <c r="R30" s="16">
        <f>P30+Q30</f>
        <v>36</v>
      </c>
      <c r="S30">
        <f>V30*450</f>
        <v>2700</v>
      </c>
      <c r="T30">
        <f>S30-R30</f>
        <v>2664</v>
      </c>
      <c r="U30" s="39">
        <f>T30/S30</f>
        <v>0.98666666666666669</v>
      </c>
      <c r="V30">
        <f>W30-(Y30+Z30)</f>
        <v>6</v>
      </c>
      <c r="W30">
        <f>7-X30</f>
        <v>6</v>
      </c>
      <c r="X30" s="5">
        <f>COUNTIF(F30:N30,"RD")</f>
        <v>1</v>
      </c>
      <c r="Y30" s="5">
        <f>COUNTIF(F30:M30,"VL")</f>
        <v>0</v>
      </c>
      <c r="Z30" s="5">
        <f>COUNTIF(F30:N30,"LWOP")</f>
        <v>0</v>
      </c>
      <c r="AF30"/>
    </row>
    <row r="31" spans="1:32">
      <c r="A31" s="164" t="s">
        <v>285</v>
      </c>
      <c r="B31" s="156" t="s">
        <v>265</v>
      </c>
      <c r="C31" s="157" t="s">
        <v>266</v>
      </c>
      <c r="D31" s="157" t="s">
        <v>22</v>
      </c>
      <c r="E31" s="158" t="s">
        <v>25</v>
      </c>
      <c r="F31" s="270" t="s">
        <v>148</v>
      </c>
      <c r="G31" s="271" t="s">
        <v>147</v>
      </c>
      <c r="H31" s="271" t="s">
        <v>147</v>
      </c>
      <c r="I31" s="270" t="s">
        <v>174</v>
      </c>
      <c r="J31" s="270" t="s">
        <v>148</v>
      </c>
      <c r="K31" s="270" t="s">
        <v>148</v>
      </c>
      <c r="L31" s="270" t="s">
        <v>148</v>
      </c>
      <c r="M31" s="270" t="s">
        <v>148</v>
      </c>
      <c r="N31" s="271" t="s">
        <v>147</v>
      </c>
      <c r="O31" s="54">
        <f>SUM(F31:N31)</f>
        <v>0</v>
      </c>
      <c r="P31" s="16">
        <f>O31-Q31</f>
        <v>0</v>
      </c>
      <c r="Q31" s="5">
        <f>SUMIF(F31:N31,"450")</f>
        <v>0</v>
      </c>
      <c r="R31" s="16">
        <f>P31+Q31</f>
        <v>0</v>
      </c>
      <c r="S31">
        <f>V31*450</f>
        <v>1800</v>
      </c>
      <c r="T31">
        <f>S31-R31</f>
        <v>1800</v>
      </c>
      <c r="U31" s="39">
        <f>T31/S31</f>
        <v>1</v>
      </c>
      <c r="V31">
        <f>W31-(Y31+Z31)</f>
        <v>4</v>
      </c>
      <c r="W31">
        <f>7-X31</f>
        <v>4</v>
      </c>
      <c r="X31" s="5">
        <f>COUNTIF(F31:N31,"RD")</f>
        <v>3</v>
      </c>
      <c r="Y31" s="5">
        <f>COUNTIF(F31:M31,"VL")</f>
        <v>0</v>
      </c>
      <c r="Z31" s="5">
        <f>COUNTIF(F31:N31,"LWOP")</f>
        <v>0</v>
      </c>
      <c r="AF31"/>
    </row>
    <row r="32" spans="1:32">
      <c r="A32" s="164" t="s">
        <v>91</v>
      </c>
      <c r="B32" s="156" t="s">
        <v>265</v>
      </c>
      <c r="C32" s="157" t="s">
        <v>266</v>
      </c>
      <c r="D32" s="157" t="s">
        <v>22</v>
      </c>
      <c r="E32" s="158" t="s">
        <v>30</v>
      </c>
      <c r="F32" s="270" t="s">
        <v>148</v>
      </c>
      <c r="G32" s="271" t="s">
        <v>147</v>
      </c>
      <c r="H32" s="271" t="s">
        <v>147</v>
      </c>
      <c r="I32" s="272">
        <v>1</v>
      </c>
      <c r="J32" s="270" t="s">
        <v>148</v>
      </c>
      <c r="K32" s="270" t="s">
        <v>148</v>
      </c>
      <c r="L32" s="270" t="s">
        <v>148</v>
      </c>
      <c r="M32" s="269">
        <v>450</v>
      </c>
      <c r="N32" s="271" t="s">
        <v>147</v>
      </c>
      <c r="O32" s="54">
        <f>SUM(F32:N32)</f>
        <v>451</v>
      </c>
      <c r="P32" s="16">
        <f>O32-Q32</f>
        <v>1</v>
      </c>
      <c r="Q32" s="5">
        <f>SUMIF(F32:N32,"450")</f>
        <v>450</v>
      </c>
      <c r="R32" s="16">
        <f>P32+Q32</f>
        <v>451</v>
      </c>
      <c r="S32">
        <f>V32*450</f>
        <v>1800</v>
      </c>
      <c r="T32">
        <f>S32-R32</f>
        <v>1349</v>
      </c>
      <c r="U32" s="39">
        <f>T32/S32</f>
        <v>0.74944444444444447</v>
      </c>
      <c r="V32">
        <f>W32-(Y32+Z32)</f>
        <v>4</v>
      </c>
      <c r="W32">
        <f>7-X32</f>
        <v>4</v>
      </c>
      <c r="X32" s="5">
        <f>COUNTIF(F32:N32,"RD")</f>
        <v>3</v>
      </c>
      <c r="Y32" s="5">
        <f>COUNTIF(F32:M32,"VL")</f>
        <v>0</v>
      </c>
      <c r="Z32" s="5">
        <f>COUNTIF(F32:N32,"LWOP")</f>
        <v>0</v>
      </c>
      <c r="AF32"/>
    </row>
    <row r="33" spans="1:32">
      <c r="A33" s="164" t="s">
        <v>178</v>
      </c>
      <c r="B33" s="156" t="s">
        <v>265</v>
      </c>
      <c r="C33" s="157" t="s">
        <v>266</v>
      </c>
      <c r="D33" s="157" t="s">
        <v>22</v>
      </c>
      <c r="E33" s="158" t="s">
        <v>33</v>
      </c>
      <c r="F33" s="270" t="s">
        <v>148</v>
      </c>
      <c r="G33" s="270" t="s">
        <v>148</v>
      </c>
      <c r="H33" s="271" t="s">
        <v>147</v>
      </c>
      <c r="I33" s="270" t="s">
        <v>148</v>
      </c>
      <c r="J33" s="270" t="s">
        <v>148</v>
      </c>
      <c r="K33" s="270" t="s">
        <v>148</v>
      </c>
      <c r="L33" s="270" t="s">
        <v>148</v>
      </c>
      <c r="M33" s="270" t="s">
        <v>148</v>
      </c>
      <c r="N33" s="271" t="s">
        <v>147</v>
      </c>
      <c r="O33" s="54">
        <f>SUM(F33:N33)</f>
        <v>0</v>
      </c>
      <c r="P33" s="16">
        <f>O33-Q33</f>
        <v>0</v>
      </c>
      <c r="Q33" s="5">
        <f>SUMIF(F33:N33,"450")</f>
        <v>0</v>
      </c>
      <c r="R33" s="16">
        <f>P33+Q33</f>
        <v>0</v>
      </c>
      <c r="S33">
        <f>V33*450</f>
        <v>2250</v>
      </c>
      <c r="T33">
        <f>S33-R33</f>
        <v>2250</v>
      </c>
      <c r="U33" s="39">
        <f>T33/S33</f>
        <v>1</v>
      </c>
      <c r="V33">
        <f>W33-(Y33+Z33)</f>
        <v>5</v>
      </c>
      <c r="W33">
        <f>7-X33</f>
        <v>5</v>
      </c>
      <c r="X33" s="5">
        <f>COUNTIF(F33:N33,"RD")</f>
        <v>2</v>
      </c>
      <c r="Y33" s="5">
        <f>COUNTIF(F33:M33,"VL")</f>
        <v>0</v>
      </c>
      <c r="Z33" s="5">
        <f>COUNTIF(F33:N33,"LWOP")</f>
        <v>0</v>
      </c>
      <c r="AF33"/>
    </row>
    <row r="34" spans="1:32">
      <c r="A34" s="164" t="s">
        <v>286</v>
      </c>
      <c r="B34" s="156" t="s">
        <v>265</v>
      </c>
      <c r="C34" s="157" t="s">
        <v>266</v>
      </c>
      <c r="D34" s="157" t="s">
        <v>22</v>
      </c>
      <c r="E34" s="158" t="s">
        <v>63</v>
      </c>
      <c r="F34" s="270" t="s">
        <v>148</v>
      </c>
      <c r="G34" s="271" t="s">
        <v>147</v>
      </c>
      <c r="H34" s="271" t="s">
        <v>147</v>
      </c>
      <c r="I34" s="270" t="s">
        <v>148</v>
      </c>
      <c r="J34" s="270" t="s">
        <v>148</v>
      </c>
      <c r="K34" s="270" t="s">
        <v>148</v>
      </c>
      <c r="L34" s="270" t="s">
        <v>148</v>
      </c>
      <c r="M34" s="270" t="s">
        <v>148</v>
      </c>
      <c r="N34" s="271" t="s">
        <v>147</v>
      </c>
      <c r="O34" s="54">
        <f>SUM(F34:N34)</f>
        <v>0</v>
      </c>
      <c r="P34" s="16">
        <f>O34-Q34</f>
        <v>0</v>
      </c>
      <c r="Q34" s="5">
        <f>SUMIF(F34:N34,"450")</f>
        <v>0</v>
      </c>
      <c r="R34" s="16">
        <f>P34+Q34</f>
        <v>0</v>
      </c>
      <c r="S34">
        <f>V34*450</f>
        <v>1800</v>
      </c>
      <c r="T34">
        <f>S34-R34</f>
        <v>1800</v>
      </c>
      <c r="U34" s="39">
        <f>T34/S34</f>
        <v>1</v>
      </c>
      <c r="V34">
        <f>W34-(Y34+Z34)</f>
        <v>4</v>
      </c>
      <c r="W34">
        <f>7-X34</f>
        <v>4</v>
      </c>
      <c r="X34" s="5">
        <f>COUNTIF(F34:N34,"RD")</f>
        <v>3</v>
      </c>
      <c r="Y34" s="5">
        <f>COUNTIF(F34:M34,"VL")</f>
        <v>0</v>
      </c>
      <c r="Z34" s="5">
        <f>COUNTIF(F34:N34,"LWOP")</f>
        <v>0</v>
      </c>
      <c r="AF34"/>
    </row>
    <row r="35" spans="1:32">
      <c r="A35" s="335" t="s">
        <v>287</v>
      </c>
      <c r="B35" s="156" t="s">
        <v>265</v>
      </c>
      <c r="C35" s="157" t="s">
        <v>266</v>
      </c>
      <c r="D35" s="157" t="s">
        <v>22</v>
      </c>
      <c r="E35" s="158" t="s">
        <v>63</v>
      </c>
      <c r="F35" s="270" t="s">
        <v>148</v>
      </c>
      <c r="G35" s="270" t="s">
        <v>148</v>
      </c>
      <c r="H35" s="271" t="s">
        <v>147</v>
      </c>
      <c r="I35" s="270" t="s">
        <v>148</v>
      </c>
      <c r="J35" s="270" t="s">
        <v>148</v>
      </c>
      <c r="K35" s="270" t="s">
        <v>148</v>
      </c>
      <c r="L35" s="270" t="s">
        <v>148</v>
      </c>
      <c r="M35" s="270" t="s">
        <v>148</v>
      </c>
      <c r="N35" s="271" t="s">
        <v>147</v>
      </c>
      <c r="O35" s="54">
        <f>SUM(F35:N35)</f>
        <v>0</v>
      </c>
      <c r="P35" s="16">
        <f>O35-Q35</f>
        <v>0</v>
      </c>
      <c r="Q35" s="5">
        <f>SUMIF(F35:N35,"450")</f>
        <v>0</v>
      </c>
      <c r="R35" s="16">
        <f>P35+Q35</f>
        <v>0</v>
      </c>
      <c r="S35">
        <f>V35*450</f>
        <v>2250</v>
      </c>
      <c r="T35">
        <f>S35-R35</f>
        <v>2250</v>
      </c>
      <c r="U35" s="39">
        <f>T35/S35</f>
        <v>1</v>
      </c>
      <c r="V35">
        <f>W35-(Y35+Z35)</f>
        <v>5</v>
      </c>
      <c r="W35">
        <f>7-X35</f>
        <v>5</v>
      </c>
      <c r="X35" s="5">
        <f>COUNTIF(F35:N35,"RD")</f>
        <v>2</v>
      </c>
      <c r="Y35" s="5">
        <f>COUNTIF(F35:M35,"VL")</f>
        <v>0</v>
      </c>
      <c r="Z35" s="5">
        <f>COUNTIF(F35:N35,"LWOP")</f>
        <v>0</v>
      </c>
      <c r="AF35"/>
    </row>
    <row r="36" spans="1:32">
      <c r="A36" s="336" t="s">
        <v>229</v>
      </c>
      <c r="B36" s="156" t="s">
        <v>265</v>
      </c>
      <c r="C36" s="157" t="s">
        <v>266</v>
      </c>
      <c r="D36" s="157" t="s">
        <v>22</v>
      </c>
      <c r="E36" s="158" t="s">
        <v>33</v>
      </c>
      <c r="F36" s="270" t="s">
        <v>148</v>
      </c>
      <c r="G36" s="271" t="s">
        <v>147</v>
      </c>
      <c r="H36" s="271" t="s">
        <v>147</v>
      </c>
      <c r="I36" s="270" t="s">
        <v>148</v>
      </c>
      <c r="J36" s="270" t="s">
        <v>148</v>
      </c>
      <c r="K36" s="270" t="s">
        <v>148</v>
      </c>
      <c r="L36" s="270" t="s">
        <v>148</v>
      </c>
      <c r="M36" s="270" t="s">
        <v>148</v>
      </c>
      <c r="N36" s="271" t="s">
        <v>147</v>
      </c>
      <c r="O36" s="54">
        <f>SUM(F36:N36)</f>
        <v>0</v>
      </c>
      <c r="P36" s="16">
        <f>O36-Q36</f>
        <v>0</v>
      </c>
      <c r="Q36" s="5">
        <f>SUMIF(F36:N36,"450")</f>
        <v>0</v>
      </c>
      <c r="R36" s="16">
        <f>P36+Q36</f>
        <v>0</v>
      </c>
      <c r="S36">
        <f>V36*450</f>
        <v>1800</v>
      </c>
      <c r="T36">
        <f>S36-R36</f>
        <v>1800</v>
      </c>
      <c r="U36" s="39">
        <f>T36/S36</f>
        <v>1</v>
      </c>
      <c r="V36">
        <f>W36-(Y36+Z36)</f>
        <v>4</v>
      </c>
      <c r="W36">
        <f>7-X36</f>
        <v>4</v>
      </c>
      <c r="X36" s="5">
        <f>COUNTIF(F36:N36,"RD")</f>
        <v>3</v>
      </c>
      <c r="Y36" s="5">
        <f>COUNTIF(F36:M36,"VL")</f>
        <v>0</v>
      </c>
      <c r="Z36" s="5">
        <f>COUNTIF(F36:N36,"LWOP")</f>
        <v>0</v>
      </c>
      <c r="AF36"/>
    </row>
    <row r="37" spans="1:32">
      <c r="A37" s="162" t="s">
        <v>189</v>
      </c>
      <c r="B37" s="156" t="s">
        <v>265</v>
      </c>
      <c r="C37" s="157" t="s">
        <v>266</v>
      </c>
      <c r="D37" s="157" t="s">
        <v>22</v>
      </c>
      <c r="E37" s="158" t="s">
        <v>63</v>
      </c>
      <c r="F37" s="270" t="s">
        <v>148</v>
      </c>
      <c r="G37" s="270" t="s">
        <v>148</v>
      </c>
      <c r="H37" s="270" t="s">
        <v>148</v>
      </c>
      <c r="I37" s="271" t="s">
        <v>147</v>
      </c>
      <c r="J37" s="270" t="s">
        <v>148</v>
      </c>
      <c r="K37" s="270" t="s">
        <v>148</v>
      </c>
      <c r="L37" s="270" t="s">
        <v>148</v>
      </c>
      <c r="M37" s="270" t="s">
        <v>148</v>
      </c>
      <c r="N37" s="270" t="s">
        <v>148</v>
      </c>
      <c r="O37" s="54">
        <f>SUM(F37:N37)</f>
        <v>0</v>
      </c>
      <c r="P37" s="16">
        <f>O37-Q37</f>
        <v>0</v>
      </c>
      <c r="Q37" s="5">
        <f>SUMIF(F37:N37,"450")</f>
        <v>0</v>
      </c>
      <c r="R37" s="16">
        <f>P37+Q37</f>
        <v>0</v>
      </c>
      <c r="S37">
        <f>V37*450</f>
        <v>2700</v>
      </c>
      <c r="T37">
        <f>S37-R37</f>
        <v>2700</v>
      </c>
      <c r="U37" s="39">
        <f>T37/S37</f>
        <v>1</v>
      </c>
      <c r="V37">
        <f>W37-(Y37+Z37)</f>
        <v>6</v>
      </c>
      <c r="W37">
        <f>7-X37</f>
        <v>6</v>
      </c>
      <c r="X37" s="5">
        <f>COUNTIF(F37:N37,"RD")</f>
        <v>1</v>
      </c>
      <c r="Y37" s="5">
        <f>COUNTIF(F37:M37,"VL")</f>
        <v>0</v>
      </c>
      <c r="Z37" s="5">
        <f>COUNTIF(F37:N37,"LWOP")</f>
        <v>0</v>
      </c>
      <c r="AF37"/>
    </row>
    <row r="38" spans="1:32">
      <c r="A38" s="162" t="s">
        <v>100</v>
      </c>
      <c r="B38" s="156" t="s">
        <v>265</v>
      </c>
      <c r="C38" s="157" t="s">
        <v>266</v>
      </c>
      <c r="D38" s="157" t="s">
        <v>22</v>
      </c>
      <c r="E38" s="158" t="s">
        <v>63</v>
      </c>
      <c r="F38" s="272">
        <v>3</v>
      </c>
      <c r="G38" s="270" t="s">
        <v>148</v>
      </c>
      <c r="H38" s="271" t="s">
        <v>147</v>
      </c>
      <c r="I38" s="270" t="s">
        <v>148</v>
      </c>
      <c r="J38" s="270" t="s">
        <v>148</v>
      </c>
      <c r="K38" s="270" t="s">
        <v>148</v>
      </c>
      <c r="L38" s="308" t="s">
        <v>12</v>
      </c>
      <c r="M38" s="270" t="s">
        <v>148</v>
      </c>
      <c r="N38" s="271" t="s">
        <v>147</v>
      </c>
      <c r="O38" s="54">
        <f>SUM(F38:N38)</f>
        <v>3</v>
      </c>
      <c r="P38" s="16">
        <f>O38-Q38</f>
        <v>3</v>
      </c>
      <c r="Q38" s="5">
        <f>SUMIF(F38:N38,"450")</f>
        <v>0</v>
      </c>
      <c r="R38" s="16">
        <f>P38+Q38</f>
        <v>3</v>
      </c>
      <c r="S38">
        <f>V38*450</f>
        <v>1800</v>
      </c>
      <c r="T38">
        <f>S38-R38</f>
        <v>1797</v>
      </c>
      <c r="U38" s="39">
        <f>T38/S38</f>
        <v>0.99833333333333329</v>
      </c>
      <c r="V38">
        <f>W38-(Y38+Z38)</f>
        <v>4</v>
      </c>
      <c r="W38">
        <f>7-X38</f>
        <v>5</v>
      </c>
      <c r="X38" s="5">
        <f>COUNTIF(F38:N38,"RD")</f>
        <v>2</v>
      </c>
      <c r="Y38" s="5">
        <f>COUNTIF(F38:M38,"VL")</f>
        <v>1</v>
      </c>
      <c r="Z38" s="5">
        <f>COUNTIF(F38:N38,"LWOP")</f>
        <v>0</v>
      </c>
      <c r="AF38"/>
    </row>
    <row r="39" spans="1:32">
      <c r="A39" s="162" t="s">
        <v>288</v>
      </c>
      <c r="B39" s="156" t="s">
        <v>265</v>
      </c>
      <c r="C39" s="157" t="s">
        <v>266</v>
      </c>
      <c r="D39" s="157" t="s">
        <v>22</v>
      </c>
      <c r="E39" s="158" t="s">
        <v>33</v>
      </c>
      <c r="F39" s="272">
        <v>1</v>
      </c>
      <c r="G39" s="271" t="s">
        <v>147</v>
      </c>
      <c r="H39" s="271" t="s">
        <v>147</v>
      </c>
      <c r="I39" s="272">
        <v>225</v>
      </c>
      <c r="J39" s="270" t="s">
        <v>148</v>
      </c>
      <c r="K39" s="270" t="s">
        <v>148</v>
      </c>
      <c r="L39" s="270" t="s">
        <v>148</v>
      </c>
      <c r="M39" s="270" t="s">
        <v>148</v>
      </c>
      <c r="N39" s="271" t="s">
        <v>147</v>
      </c>
      <c r="O39" s="54">
        <f>SUM(F39:N39)</f>
        <v>226</v>
      </c>
      <c r="P39" s="16">
        <f>O39-Q39</f>
        <v>226</v>
      </c>
      <c r="Q39" s="5">
        <f>SUMIF(F39:N39,"450")</f>
        <v>0</v>
      </c>
      <c r="R39" s="16">
        <f>P39+Q39</f>
        <v>226</v>
      </c>
      <c r="S39">
        <f>V39*450</f>
        <v>1800</v>
      </c>
      <c r="T39">
        <f>S39-R39</f>
        <v>1574</v>
      </c>
      <c r="U39" s="39">
        <f>T39/S39</f>
        <v>0.87444444444444447</v>
      </c>
      <c r="V39">
        <f>W39-(Y39+Z39)</f>
        <v>4</v>
      </c>
      <c r="W39">
        <f>7-X39</f>
        <v>4</v>
      </c>
      <c r="X39" s="5">
        <f>COUNTIF(F39:N39,"RD")</f>
        <v>3</v>
      </c>
      <c r="Y39" s="5">
        <f>COUNTIF(F39:M39,"VL")</f>
        <v>0</v>
      </c>
      <c r="Z39" s="5">
        <f>COUNTIF(F39:N39,"LWOP")</f>
        <v>0</v>
      </c>
      <c r="AF39"/>
    </row>
    <row r="40" spans="1:32">
      <c r="A40" s="162" t="s">
        <v>104</v>
      </c>
      <c r="B40" s="156" t="s">
        <v>265</v>
      </c>
      <c r="C40" s="157" t="s">
        <v>266</v>
      </c>
      <c r="D40" s="157" t="s">
        <v>22</v>
      </c>
      <c r="E40" s="158" t="s">
        <v>25</v>
      </c>
      <c r="F40" s="270" t="s">
        <v>148</v>
      </c>
      <c r="G40" s="271" t="s">
        <v>147</v>
      </c>
      <c r="H40" s="271" t="s">
        <v>147</v>
      </c>
      <c r="I40" s="270" t="s">
        <v>174</v>
      </c>
      <c r="J40" s="270" t="s">
        <v>148</v>
      </c>
      <c r="K40" s="270" t="s">
        <v>148</v>
      </c>
      <c r="L40" s="270" t="s">
        <v>148</v>
      </c>
      <c r="M40" s="270" t="s">
        <v>148</v>
      </c>
      <c r="N40" s="271" t="s">
        <v>147</v>
      </c>
      <c r="O40" s="54">
        <f>SUM(F40:N40)</f>
        <v>0</v>
      </c>
      <c r="P40" s="16">
        <f>O40-Q40</f>
        <v>0</v>
      </c>
      <c r="Q40" s="5">
        <f>SUMIF(F40:N40,"450")</f>
        <v>0</v>
      </c>
      <c r="R40" s="16">
        <f>P40+Q40</f>
        <v>0</v>
      </c>
      <c r="S40">
        <f>V40*450</f>
        <v>1800</v>
      </c>
      <c r="T40">
        <f>S40-R40</f>
        <v>1800</v>
      </c>
      <c r="U40" s="39">
        <f>T40/S40</f>
        <v>1</v>
      </c>
      <c r="V40">
        <f>W40-(Y40+Z40)</f>
        <v>4</v>
      </c>
      <c r="W40">
        <f>7-X40</f>
        <v>4</v>
      </c>
      <c r="X40" s="5">
        <f>COUNTIF(F40:N40,"RD")</f>
        <v>3</v>
      </c>
      <c r="Y40" s="5">
        <f>COUNTIF(F40:M40,"VL")</f>
        <v>0</v>
      </c>
      <c r="Z40" s="5">
        <f>COUNTIF(F40:N40,"LWOP")</f>
        <v>0</v>
      </c>
      <c r="AF40"/>
    </row>
    <row r="41" spans="1:32">
      <c r="A41" s="162" t="s">
        <v>289</v>
      </c>
      <c r="B41" s="156" t="s">
        <v>265</v>
      </c>
      <c r="C41" s="157" t="s">
        <v>266</v>
      </c>
      <c r="D41" s="157" t="s">
        <v>22</v>
      </c>
      <c r="E41" s="158" t="s">
        <v>56</v>
      </c>
      <c r="F41" s="337">
        <v>450</v>
      </c>
      <c r="G41" s="270" t="s">
        <v>148</v>
      </c>
      <c r="H41" s="270" t="s">
        <v>148</v>
      </c>
      <c r="I41" s="271" t="s">
        <v>147</v>
      </c>
      <c r="J41" s="270" t="s">
        <v>148</v>
      </c>
      <c r="K41" s="272">
        <v>22</v>
      </c>
      <c r="L41" s="270" t="s">
        <v>148</v>
      </c>
      <c r="M41" s="270" t="s">
        <v>148</v>
      </c>
      <c r="N41" s="270" t="s">
        <v>148</v>
      </c>
      <c r="O41" s="54">
        <f>SUM(F41:N41)</f>
        <v>472</v>
      </c>
      <c r="P41" s="16">
        <f>O41-Q41</f>
        <v>22</v>
      </c>
      <c r="Q41" s="5">
        <f>SUMIF(F41:N41,"450")</f>
        <v>450</v>
      </c>
      <c r="R41" s="16">
        <f>P41+Q41</f>
        <v>472</v>
      </c>
      <c r="S41">
        <f>V41*450</f>
        <v>2700</v>
      </c>
      <c r="T41">
        <f>S41-R41</f>
        <v>2228</v>
      </c>
      <c r="U41" s="39">
        <f>T41/S41</f>
        <v>0.82518518518518513</v>
      </c>
      <c r="V41">
        <f>W41-(Y41+Z41)</f>
        <v>6</v>
      </c>
      <c r="W41">
        <f>7-X41</f>
        <v>6</v>
      </c>
      <c r="X41" s="5">
        <f>COUNTIF(F41:N41,"RD")</f>
        <v>1</v>
      </c>
      <c r="Y41" s="5">
        <f>COUNTIF(F41:M41,"VL")</f>
        <v>0</v>
      </c>
      <c r="Z41" s="5">
        <f>COUNTIF(F41:N41,"LWOP")</f>
        <v>0</v>
      </c>
      <c r="AF41"/>
    </row>
    <row r="42" spans="1:32">
      <c r="A42" s="162" t="s">
        <v>290</v>
      </c>
      <c r="B42" s="156" t="s">
        <v>265</v>
      </c>
      <c r="C42" s="157" t="s">
        <v>266</v>
      </c>
      <c r="D42" s="157" t="s">
        <v>22</v>
      </c>
      <c r="E42" s="158" t="s">
        <v>30</v>
      </c>
      <c r="F42" s="272">
        <v>17</v>
      </c>
      <c r="G42" s="270" t="s">
        <v>148</v>
      </c>
      <c r="H42" s="270" t="s">
        <v>148</v>
      </c>
      <c r="I42" s="271" t="s">
        <v>147</v>
      </c>
      <c r="J42" s="270" t="s">
        <v>148</v>
      </c>
      <c r="K42" s="270" t="s">
        <v>148</v>
      </c>
      <c r="L42" s="270" t="s">
        <v>148</v>
      </c>
      <c r="M42" s="270" t="s">
        <v>148</v>
      </c>
      <c r="N42" s="270" t="s">
        <v>148</v>
      </c>
      <c r="O42" s="54">
        <f>SUM(F42:N42)</f>
        <v>17</v>
      </c>
      <c r="P42" s="16">
        <f>O42-Q42</f>
        <v>17</v>
      </c>
      <c r="Q42" s="5">
        <f>SUMIF(F42:N42,"450")</f>
        <v>0</v>
      </c>
      <c r="R42" s="16">
        <f>P42+Q42</f>
        <v>17</v>
      </c>
      <c r="S42">
        <f>V42*450</f>
        <v>2700</v>
      </c>
      <c r="T42">
        <f>S42-R42</f>
        <v>2683</v>
      </c>
      <c r="U42" s="39">
        <f>T42/S42</f>
        <v>0.99370370370370376</v>
      </c>
      <c r="V42">
        <f>W42-(Y42+Z42)</f>
        <v>6</v>
      </c>
      <c r="W42">
        <f>7-X42</f>
        <v>6</v>
      </c>
      <c r="X42" s="5">
        <f>COUNTIF(F42:N42,"RD")</f>
        <v>1</v>
      </c>
      <c r="Y42" s="5">
        <f>COUNTIF(F42:M42,"VL")</f>
        <v>0</v>
      </c>
      <c r="Z42" s="5">
        <f>COUNTIF(F42:N42,"LWOP")</f>
        <v>0</v>
      </c>
      <c r="AF42"/>
    </row>
    <row r="43" spans="1:32">
      <c r="A43" s="162" t="s">
        <v>231</v>
      </c>
      <c r="B43" s="156" t="s">
        <v>265</v>
      </c>
      <c r="C43" s="157" t="s">
        <v>266</v>
      </c>
      <c r="D43" s="157" t="s">
        <v>22</v>
      </c>
      <c r="E43" s="158" t="s">
        <v>30</v>
      </c>
      <c r="F43" s="270" t="s">
        <v>148</v>
      </c>
      <c r="G43" s="271" t="s">
        <v>147</v>
      </c>
      <c r="H43" s="271" t="s">
        <v>147</v>
      </c>
      <c r="I43" s="270" t="s">
        <v>148</v>
      </c>
      <c r="J43" s="270" t="s">
        <v>148</v>
      </c>
      <c r="K43" s="272">
        <v>6</v>
      </c>
      <c r="L43" s="270" t="s">
        <v>148</v>
      </c>
      <c r="M43" s="270" t="s">
        <v>148</v>
      </c>
      <c r="N43" s="271" t="s">
        <v>147</v>
      </c>
      <c r="O43" s="54">
        <f>SUM(F43:N43)</f>
        <v>6</v>
      </c>
      <c r="P43" s="16">
        <f>O43-Q43</f>
        <v>6</v>
      </c>
      <c r="Q43" s="5">
        <f>SUMIF(F43:N43,"450")</f>
        <v>0</v>
      </c>
      <c r="R43" s="16">
        <f>P43+Q43</f>
        <v>6</v>
      </c>
      <c r="S43">
        <f>V43*450</f>
        <v>1800</v>
      </c>
      <c r="T43">
        <f>S43-R43</f>
        <v>1794</v>
      </c>
      <c r="U43" s="39">
        <f>T43/S43</f>
        <v>0.9966666666666667</v>
      </c>
      <c r="V43">
        <f>W43-(Y43+Z43)</f>
        <v>4</v>
      </c>
      <c r="W43">
        <f>7-X43</f>
        <v>4</v>
      </c>
      <c r="X43" s="5">
        <f>COUNTIF(F43:N43,"RD")</f>
        <v>3</v>
      </c>
      <c r="Y43" s="5">
        <f>COUNTIF(F43:M43,"VL")</f>
        <v>0</v>
      </c>
      <c r="Z43" s="5">
        <f>COUNTIF(F43:N43,"LWOP")</f>
        <v>0</v>
      </c>
      <c r="AF43"/>
    </row>
    <row r="44" spans="1:32">
      <c r="A44" s="162" t="s">
        <v>291</v>
      </c>
      <c r="B44" s="156" t="s">
        <v>265</v>
      </c>
      <c r="C44" s="157" t="s">
        <v>266</v>
      </c>
      <c r="D44" s="157" t="s">
        <v>22</v>
      </c>
      <c r="E44" s="158" t="s">
        <v>30</v>
      </c>
      <c r="F44" s="272">
        <v>3</v>
      </c>
      <c r="G44" s="271" t="s">
        <v>147</v>
      </c>
      <c r="H44" s="271" t="s">
        <v>147</v>
      </c>
      <c r="I44" s="272">
        <v>2</v>
      </c>
      <c r="J44" s="269">
        <v>450</v>
      </c>
      <c r="K44" s="270" t="s">
        <v>148</v>
      </c>
      <c r="L44" s="269">
        <v>450</v>
      </c>
      <c r="M44" s="270" t="s">
        <v>148</v>
      </c>
      <c r="N44" s="271" t="s">
        <v>147</v>
      </c>
      <c r="O44" s="54">
        <f>SUM(F44:N44)</f>
        <v>905</v>
      </c>
      <c r="P44" s="16">
        <f>O44-Q44</f>
        <v>5</v>
      </c>
      <c r="Q44" s="5">
        <f>SUMIF(F44:N44,"450")</f>
        <v>900</v>
      </c>
      <c r="R44" s="16">
        <f>P44+Q44</f>
        <v>905</v>
      </c>
      <c r="S44">
        <f>V44*450</f>
        <v>1800</v>
      </c>
      <c r="T44">
        <f>S44-R44</f>
        <v>895</v>
      </c>
      <c r="U44" s="39">
        <f>T44/S44</f>
        <v>0.49722222222222223</v>
      </c>
      <c r="V44">
        <f>W44-(Y44+Z44)</f>
        <v>4</v>
      </c>
      <c r="W44">
        <f>7-X44</f>
        <v>4</v>
      </c>
      <c r="X44" s="5">
        <f>COUNTIF(F44:N44,"RD")</f>
        <v>3</v>
      </c>
      <c r="Y44" s="5">
        <f>COUNTIF(F44:M44,"VL")</f>
        <v>0</v>
      </c>
      <c r="Z44" s="5">
        <f>COUNTIF(F44:N44,"LWOP")</f>
        <v>0</v>
      </c>
      <c r="AF44"/>
    </row>
    <row r="45" spans="1:32">
      <c r="A45" s="162" t="s">
        <v>293</v>
      </c>
      <c r="B45" s="156" t="s">
        <v>265</v>
      </c>
      <c r="C45" s="157" t="s">
        <v>266</v>
      </c>
      <c r="D45" s="157" t="s">
        <v>22</v>
      </c>
      <c r="E45" s="158" t="s">
        <v>33</v>
      </c>
      <c r="F45" s="270" t="s">
        <v>148</v>
      </c>
      <c r="G45" s="270" t="s">
        <v>148</v>
      </c>
      <c r="H45" s="271" t="s">
        <v>147</v>
      </c>
      <c r="I45" s="270" t="s">
        <v>148</v>
      </c>
      <c r="J45" s="270" t="s">
        <v>148</v>
      </c>
      <c r="K45" s="270" t="s">
        <v>148</v>
      </c>
      <c r="L45" s="270" t="s">
        <v>148</v>
      </c>
      <c r="M45" s="270" t="s">
        <v>148</v>
      </c>
      <c r="N45" s="271" t="s">
        <v>147</v>
      </c>
      <c r="O45" s="54">
        <f>SUM(F45:N45)</f>
        <v>0</v>
      </c>
      <c r="P45" s="16">
        <f>O45-Q45</f>
        <v>0</v>
      </c>
      <c r="Q45" s="5">
        <f>SUMIF(F45:N45,"450")</f>
        <v>0</v>
      </c>
      <c r="R45" s="16">
        <f>P45+Q45</f>
        <v>0</v>
      </c>
      <c r="S45">
        <f>V45*450</f>
        <v>2250</v>
      </c>
      <c r="T45">
        <f>S45-R45</f>
        <v>2250</v>
      </c>
      <c r="U45" s="39">
        <f>T45/S45</f>
        <v>1</v>
      </c>
      <c r="V45">
        <f>W45-(Y45+Z45)</f>
        <v>5</v>
      </c>
      <c r="W45">
        <f>7-X45</f>
        <v>5</v>
      </c>
      <c r="X45" s="5">
        <f>COUNTIF(F45:N45,"RD")</f>
        <v>2</v>
      </c>
      <c r="Y45" s="5">
        <f>COUNTIF(F45:M45,"VL")</f>
        <v>0</v>
      </c>
      <c r="Z45" s="5">
        <f>COUNTIF(F45:N45,"LWOP")</f>
        <v>0</v>
      </c>
      <c r="AF45"/>
    </row>
    <row r="46" spans="1:32">
      <c r="A46" s="162" t="s">
        <v>294</v>
      </c>
      <c r="B46" s="156" t="s">
        <v>265</v>
      </c>
      <c r="C46" s="157" t="s">
        <v>266</v>
      </c>
      <c r="D46" s="157" t="s">
        <v>22</v>
      </c>
      <c r="E46" s="158" t="s">
        <v>63</v>
      </c>
      <c r="F46" s="272">
        <v>18</v>
      </c>
      <c r="G46" s="270" t="s">
        <v>148</v>
      </c>
      <c r="H46" s="271" t="s">
        <v>147</v>
      </c>
      <c r="I46" s="272">
        <v>7</v>
      </c>
      <c r="J46" s="270" t="s">
        <v>148</v>
      </c>
      <c r="K46" s="270" t="s">
        <v>148</v>
      </c>
      <c r="L46" s="308" t="s">
        <v>12</v>
      </c>
      <c r="M46" s="308" t="s">
        <v>12</v>
      </c>
      <c r="N46" s="271" t="s">
        <v>147</v>
      </c>
      <c r="O46" s="54">
        <f>SUM(F46:N46)</f>
        <v>25</v>
      </c>
      <c r="P46" s="16">
        <f>O46-Q46</f>
        <v>25</v>
      </c>
      <c r="Q46" s="5">
        <f>SUMIF(F46:N46,"450")</f>
        <v>0</v>
      </c>
      <c r="R46" s="16">
        <f>P46+Q46</f>
        <v>25</v>
      </c>
      <c r="S46">
        <f>V46*450</f>
        <v>1350</v>
      </c>
      <c r="T46">
        <f>S46-R46</f>
        <v>1325</v>
      </c>
      <c r="U46" s="39">
        <f>T46/S46</f>
        <v>0.98148148148148151</v>
      </c>
      <c r="V46">
        <f>W46-(Y46+Z46)</f>
        <v>3</v>
      </c>
      <c r="W46">
        <f>7-X46</f>
        <v>5</v>
      </c>
      <c r="X46" s="5">
        <f>COUNTIF(F46:N46,"RD")</f>
        <v>2</v>
      </c>
      <c r="Y46" s="5">
        <f>COUNTIF(F46:M46,"VL")</f>
        <v>2</v>
      </c>
      <c r="Z46" s="5">
        <f>COUNTIF(F46:N46,"LWOP")</f>
        <v>0</v>
      </c>
      <c r="AF46"/>
    </row>
    <row r="47" spans="1:32">
      <c r="A47" s="162" t="s">
        <v>117</v>
      </c>
      <c r="B47" s="156" t="s">
        <v>265</v>
      </c>
      <c r="C47" s="157" t="s">
        <v>266</v>
      </c>
      <c r="D47" s="157" t="s">
        <v>22</v>
      </c>
      <c r="E47" s="158" t="s">
        <v>30</v>
      </c>
      <c r="F47" s="270" t="s">
        <v>148</v>
      </c>
      <c r="G47" s="271" t="s">
        <v>147</v>
      </c>
      <c r="H47" s="271" t="s">
        <v>147</v>
      </c>
      <c r="I47" s="270" t="s">
        <v>148</v>
      </c>
      <c r="J47" s="270" t="s">
        <v>148</v>
      </c>
      <c r="K47" s="270" t="s">
        <v>148</v>
      </c>
      <c r="L47" s="270" t="s">
        <v>148</v>
      </c>
      <c r="M47" s="270" t="s">
        <v>148</v>
      </c>
      <c r="N47" s="271" t="s">
        <v>147</v>
      </c>
      <c r="O47" s="54">
        <f>SUM(F47:N47)</f>
        <v>0</v>
      </c>
      <c r="P47" s="16">
        <f>O47-Q47</f>
        <v>0</v>
      </c>
      <c r="Q47" s="5">
        <f>SUMIF(F47:N47,"450")</f>
        <v>0</v>
      </c>
      <c r="R47" s="16">
        <f>P47+Q47</f>
        <v>0</v>
      </c>
      <c r="S47">
        <f>V47*450</f>
        <v>1800</v>
      </c>
      <c r="T47">
        <f>S47-R47</f>
        <v>1800</v>
      </c>
      <c r="U47" s="39">
        <f>T47/S47</f>
        <v>1</v>
      </c>
      <c r="V47">
        <f>W47-(Y47+Z47)</f>
        <v>4</v>
      </c>
      <c r="W47">
        <f>7-X47</f>
        <v>4</v>
      </c>
      <c r="X47" s="5">
        <f>COUNTIF(F47:N47,"RD")</f>
        <v>3</v>
      </c>
      <c r="Y47" s="5">
        <f>COUNTIF(F47:M47,"VL")</f>
        <v>0</v>
      </c>
      <c r="Z47" s="5">
        <f>COUNTIF(F47:N47,"LWOP")</f>
        <v>0</v>
      </c>
      <c r="AF47"/>
    </row>
    <row r="48" spans="1:32">
      <c r="A48" s="162" t="s">
        <v>295</v>
      </c>
      <c r="B48" s="156" t="s">
        <v>265</v>
      </c>
      <c r="C48" s="157" t="s">
        <v>266</v>
      </c>
      <c r="D48" s="157" t="s">
        <v>22</v>
      </c>
      <c r="E48" s="158" t="s">
        <v>30</v>
      </c>
      <c r="F48" s="270" t="s">
        <v>148</v>
      </c>
      <c r="G48" s="271" t="s">
        <v>147</v>
      </c>
      <c r="H48" s="271" t="s">
        <v>147</v>
      </c>
      <c r="I48" s="269" t="s">
        <v>187</v>
      </c>
      <c r="J48" s="269" t="s">
        <v>187</v>
      </c>
      <c r="K48" s="269" t="s">
        <v>187</v>
      </c>
      <c r="L48" s="269" t="s">
        <v>187</v>
      </c>
      <c r="M48" s="269" t="s">
        <v>187</v>
      </c>
      <c r="N48" s="271" t="s">
        <v>147</v>
      </c>
      <c r="O48" s="54">
        <f>SUM(F48:N48)</f>
        <v>0</v>
      </c>
      <c r="P48" s="16">
        <f>O48-Q48</f>
        <v>0</v>
      </c>
      <c r="Q48" s="5">
        <f>SUMIF(F48:N48,"450")</f>
        <v>0</v>
      </c>
      <c r="R48" s="16">
        <f>P48+Q48</f>
        <v>0</v>
      </c>
      <c r="S48">
        <f>V48*450</f>
        <v>1800</v>
      </c>
      <c r="T48">
        <f>S48-R48</f>
        <v>1800</v>
      </c>
      <c r="U48" s="39">
        <f>T48/S48</f>
        <v>1</v>
      </c>
      <c r="V48">
        <f>W48-(Y48+Z48)</f>
        <v>4</v>
      </c>
      <c r="W48">
        <f>7-X48</f>
        <v>4</v>
      </c>
      <c r="X48" s="5">
        <f>COUNTIF(F48:N48,"RD")</f>
        <v>3</v>
      </c>
      <c r="Y48" s="5">
        <f>COUNTIF(F48:M48,"VL")</f>
        <v>0</v>
      </c>
      <c r="Z48" s="5">
        <f>COUNTIF(F48:N48,"LWOP")</f>
        <v>0</v>
      </c>
      <c r="AF48"/>
    </row>
    <row r="49" spans="1:32">
      <c r="A49" s="162" t="s">
        <v>296</v>
      </c>
      <c r="B49" s="156" t="s">
        <v>265</v>
      </c>
      <c r="C49" s="157" t="s">
        <v>266</v>
      </c>
      <c r="D49" s="157" t="s">
        <v>22</v>
      </c>
      <c r="E49" s="158" t="s">
        <v>30</v>
      </c>
      <c r="F49" s="270" t="s">
        <v>148</v>
      </c>
      <c r="G49" s="270" t="s">
        <v>148</v>
      </c>
      <c r="H49" s="271" t="s">
        <v>147</v>
      </c>
      <c r="I49" s="270" t="s">
        <v>148</v>
      </c>
      <c r="J49" s="270" t="s">
        <v>148</v>
      </c>
      <c r="K49" s="270" t="s">
        <v>148</v>
      </c>
      <c r="L49" s="270" t="s">
        <v>148</v>
      </c>
      <c r="M49" s="270" t="s">
        <v>148</v>
      </c>
      <c r="N49" s="271" t="s">
        <v>147</v>
      </c>
      <c r="O49" s="54">
        <f>SUM(F49:N49)</f>
        <v>0</v>
      </c>
      <c r="P49" s="16">
        <f>O49-Q49</f>
        <v>0</v>
      </c>
      <c r="Q49" s="5">
        <f>SUMIF(F49:N49,"450")</f>
        <v>0</v>
      </c>
      <c r="R49" s="16">
        <f>P49+Q49</f>
        <v>0</v>
      </c>
      <c r="S49">
        <f>V49*450</f>
        <v>2250</v>
      </c>
      <c r="T49">
        <f>S49-R49</f>
        <v>2250</v>
      </c>
      <c r="U49" s="39">
        <f>T49/S49</f>
        <v>1</v>
      </c>
      <c r="V49">
        <f>W49-(Y49+Z49)</f>
        <v>5</v>
      </c>
      <c r="W49">
        <f>7-X49</f>
        <v>5</v>
      </c>
      <c r="X49" s="5">
        <f>COUNTIF(F49:N49,"RD")</f>
        <v>2</v>
      </c>
      <c r="Y49" s="5">
        <f>COUNTIF(F49:M49,"VL")</f>
        <v>0</v>
      </c>
      <c r="Z49" s="5">
        <f>COUNTIF(F49:N49,"LWOP")</f>
        <v>0</v>
      </c>
      <c r="AF49"/>
    </row>
    <row r="50" spans="1:32">
      <c r="A50" s="162" t="s">
        <v>237</v>
      </c>
      <c r="B50" s="156" t="s">
        <v>265</v>
      </c>
      <c r="C50" s="157" t="s">
        <v>266</v>
      </c>
      <c r="D50" s="157" t="s">
        <v>22</v>
      </c>
      <c r="E50" s="158" t="s">
        <v>30</v>
      </c>
      <c r="F50" s="270" t="s">
        <v>148</v>
      </c>
      <c r="G50" s="271" t="s">
        <v>147</v>
      </c>
      <c r="H50" s="271" t="s">
        <v>147</v>
      </c>
      <c r="I50" s="270" t="s">
        <v>148</v>
      </c>
      <c r="J50" s="270" t="s">
        <v>148</v>
      </c>
      <c r="K50" s="270" t="s">
        <v>148</v>
      </c>
      <c r="L50" s="272">
        <v>25</v>
      </c>
      <c r="M50" s="270" t="s">
        <v>148</v>
      </c>
      <c r="N50" s="271" t="s">
        <v>147</v>
      </c>
      <c r="O50" s="54">
        <f>SUM(F50:N50)</f>
        <v>25</v>
      </c>
      <c r="P50" s="16">
        <f>O50-Q50</f>
        <v>25</v>
      </c>
      <c r="Q50" s="5">
        <f>SUMIF(F50:N50,"450")</f>
        <v>0</v>
      </c>
      <c r="R50" s="16">
        <f>P50+Q50</f>
        <v>25</v>
      </c>
      <c r="S50">
        <f>V50*450</f>
        <v>1800</v>
      </c>
      <c r="T50">
        <f>S50-R50</f>
        <v>1775</v>
      </c>
      <c r="U50" s="39">
        <f>T50/S50</f>
        <v>0.98611111111111116</v>
      </c>
      <c r="V50">
        <f>W50-(Y50+Z50)</f>
        <v>4</v>
      </c>
      <c r="W50">
        <f>7-X50</f>
        <v>4</v>
      </c>
      <c r="X50" s="5">
        <f>COUNTIF(F50:N50,"RD")</f>
        <v>3</v>
      </c>
      <c r="Y50" s="5">
        <f>COUNTIF(F50:M50,"VL")</f>
        <v>0</v>
      </c>
      <c r="Z50" s="5">
        <f>COUNTIF(F50:N50,"LWOP")</f>
        <v>0</v>
      </c>
      <c r="AF50"/>
    </row>
    <row r="51" spans="1:32">
      <c r="A51" s="338" t="s">
        <v>125</v>
      </c>
      <c r="B51" s="156" t="s">
        <v>265</v>
      </c>
      <c r="C51" s="157" t="s">
        <v>266</v>
      </c>
      <c r="D51" s="157" t="s">
        <v>22</v>
      </c>
      <c r="E51" s="158" t="s">
        <v>25</v>
      </c>
      <c r="F51" s="337">
        <v>450</v>
      </c>
      <c r="G51" s="271" t="s">
        <v>147</v>
      </c>
      <c r="H51" s="271" t="s">
        <v>147</v>
      </c>
      <c r="I51" s="270" t="s">
        <v>148</v>
      </c>
      <c r="J51" s="270" t="s">
        <v>148</v>
      </c>
      <c r="K51" s="270" t="s">
        <v>148</v>
      </c>
      <c r="L51" s="270" t="s">
        <v>148</v>
      </c>
      <c r="M51" s="270" t="s">
        <v>148</v>
      </c>
      <c r="N51" s="271" t="s">
        <v>147</v>
      </c>
      <c r="O51" s="54">
        <f>SUM(F51:N51)</f>
        <v>450</v>
      </c>
      <c r="P51" s="16">
        <f>O51-Q51</f>
        <v>0</v>
      </c>
      <c r="Q51" s="5">
        <f>SUMIF(F51:N51,"450")</f>
        <v>450</v>
      </c>
      <c r="R51" s="16">
        <f>P51+Q51</f>
        <v>450</v>
      </c>
      <c r="S51">
        <f>V51*450</f>
        <v>1800</v>
      </c>
      <c r="T51">
        <f>S51-R51</f>
        <v>1350</v>
      </c>
      <c r="U51" s="39">
        <f>T51/S51</f>
        <v>0.75</v>
      </c>
      <c r="V51">
        <f>W51-(Y51+Z51)</f>
        <v>4</v>
      </c>
      <c r="W51">
        <f>7-X51</f>
        <v>4</v>
      </c>
      <c r="X51" s="5">
        <f>COUNTIF(F51:N51,"RD")</f>
        <v>3</v>
      </c>
      <c r="Y51" s="5">
        <f>COUNTIF(F51:M51,"VL")</f>
        <v>0</v>
      </c>
      <c r="Z51" s="5">
        <f>COUNTIF(F51:N51,"LWOP")</f>
        <v>0</v>
      </c>
      <c r="AF51"/>
    </row>
    <row r="52" spans="1:32">
      <c r="A52" s="164" t="s">
        <v>297</v>
      </c>
      <c r="B52" s="156" t="s">
        <v>265</v>
      </c>
      <c r="C52" s="157" t="s">
        <v>266</v>
      </c>
      <c r="D52" s="157" t="s">
        <v>22</v>
      </c>
      <c r="E52" s="158" t="s">
        <v>33</v>
      </c>
      <c r="F52" s="270" t="s">
        <v>148</v>
      </c>
      <c r="G52" s="271" t="s">
        <v>147</v>
      </c>
      <c r="H52" s="270" t="s">
        <v>148</v>
      </c>
      <c r="I52" s="270" t="s">
        <v>148</v>
      </c>
      <c r="J52" s="270" t="s">
        <v>148</v>
      </c>
      <c r="K52" s="270" t="s">
        <v>148</v>
      </c>
      <c r="L52" s="270" t="s">
        <v>148</v>
      </c>
      <c r="M52" s="270" t="s">
        <v>148</v>
      </c>
      <c r="N52" s="271" t="s">
        <v>147</v>
      </c>
      <c r="O52" s="54">
        <f>SUM(F52:N52)</f>
        <v>0</v>
      </c>
      <c r="P52" s="16">
        <f>O52-Q52</f>
        <v>0</v>
      </c>
      <c r="Q52" s="5">
        <f>SUMIF(F52:N52,"450")</f>
        <v>0</v>
      </c>
      <c r="R52" s="16">
        <f>P52+Q52</f>
        <v>0</v>
      </c>
      <c r="S52">
        <f>V52*450</f>
        <v>2250</v>
      </c>
      <c r="T52">
        <f>S52-R52</f>
        <v>2250</v>
      </c>
      <c r="U52" s="39">
        <f>T52/S52</f>
        <v>1</v>
      </c>
      <c r="V52">
        <f>W52-(Y52+Z52)</f>
        <v>5</v>
      </c>
      <c r="W52">
        <f>7-X52</f>
        <v>5</v>
      </c>
      <c r="X52" s="5">
        <f>COUNTIF(F52:N52,"RD")</f>
        <v>2</v>
      </c>
      <c r="Y52" s="5">
        <f>COUNTIF(F52:M52,"VL")</f>
        <v>0</v>
      </c>
      <c r="Z52" s="5">
        <f>COUNTIF(F52:N52,"LWOP")</f>
        <v>0</v>
      </c>
      <c r="AF52"/>
    </row>
    <row r="53" spans="1:32">
      <c r="A53" s="164" t="s">
        <v>238</v>
      </c>
      <c r="B53" s="156" t="s">
        <v>265</v>
      </c>
      <c r="C53" s="157" t="s">
        <v>266</v>
      </c>
      <c r="D53" s="157" t="s">
        <v>22</v>
      </c>
      <c r="E53" s="158" t="s">
        <v>30</v>
      </c>
      <c r="F53" s="270" t="s">
        <v>148</v>
      </c>
      <c r="G53" s="271" t="s">
        <v>147</v>
      </c>
      <c r="H53" s="271" t="s">
        <v>147</v>
      </c>
      <c r="I53" s="270" t="s">
        <v>148</v>
      </c>
      <c r="J53" s="270" t="s">
        <v>148</v>
      </c>
      <c r="K53" s="270" t="s">
        <v>148</v>
      </c>
      <c r="L53" s="272">
        <v>3</v>
      </c>
      <c r="M53" s="270" t="s">
        <v>148</v>
      </c>
      <c r="N53" s="271" t="s">
        <v>147</v>
      </c>
      <c r="O53" s="54">
        <f>SUM(F53:N53)</f>
        <v>3</v>
      </c>
      <c r="P53" s="16">
        <f>O53-Q53</f>
        <v>3</v>
      </c>
      <c r="Q53" s="5">
        <f>SUMIF(F53:N53,"450")</f>
        <v>0</v>
      </c>
      <c r="R53" s="16">
        <f>P53+Q53</f>
        <v>3</v>
      </c>
      <c r="S53">
        <f>V53*450</f>
        <v>1800</v>
      </c>
      <c r="T53">
        <f>S53-R53</f>
        <v>1797</v>
      </c>
      <c r="U53" s="39">
        <f>T53/S53</f>
        <v>0.99833333333333329</v>
      </c>
      <c r="V53">
        <f>W53-(Y53+Z53)</f>
        <v>4</v>
      </c>
      <c r="W53">
        <f>7-X53</f>
        <v>4</v>
      </c>
      <c r="X53" s="5">
        <f>COUNTIF(F53:N53,"RD")</f>
        <v>3</v>
      </c>
      <c r="Y53" s="5">
        <f>COUNTIF(F53:M53,"VL")</f>
        <v>0</v>
      </c>
      <c r="Z53" s="5">
        <f>COUNTIF(F53:N53,"LWOP")</f>
        <v>0</v>
      </c>
      <c r="AF53"/>
    </row>
    <row r="54" spans="1:32">
      <c r="A54" s="164" t="s">
        <v>298</v>
      </c>
      <c r="B54" s="156" t="s">
        <v>265</v>
      </c>
      <c r="C54" s="157" t="s">
        <v>266</v>
      </c>
      <c r="D54" s="157" t="s">
        <v>22</v>
      </c>
      <c r="E54" s="158" t="s">
        <v>30</v>
      </c>
      <c r="F54" s="270" t="s">
        <v>148</v>
      </c>
      <c r="G54" s="271" t="s">
        <v>147</v>
      </c>
      <c r="H54" s="271" t="s">
        <v>147</v>
      </c>
      <c r="I54" s="270" t="s">
        <v>148</v>
      </c>
      <c r="J54" s="270" t="s">
        <v>148</v>
      </c>
      <c r="K54" s="270" t="s">
        <v>148</v>
      </c>
      <c r="L54" s="270" t="s">
        <v>148</v>
      </c>
      <c r="M54" s="270" t="s">
        <v>148</v>
      </c>
      <c r="N54" s="271" t="s">
        <v>147</v>
      </c>
      <c r="O54" s="54">
        <f>SUM(F54:N54)</f>
        <v>0</v>
      </c>
      <c r="P54" s="16">
        <f>O54-Q54</f>
        <v>0</v>
      </c>
      <c r="Q54" s="5">
        <f>SUMIF(F54:N54,"450")</f>
        <v>0</v>
      </c>
      <c r="R54" s="16">
        <f>P54+Q54</f>
        <v>0</v>
      </c>
      <c r="S54">
        <f>V54*450</f>
        <v>1800</v>
      </c>
      <c r="T54">
        <f>S54-R54</f>
        <v>1800</v>
      </c>
      <c r="U54" s="39">
        <f>T54/S54</f>
        <v>1</v>
      </c>
      <c r="V54">
        <f>W54-(Y54+Z54)</f>
        <v>4</v>
      </c>
      <c r="W54">
        <f>7-X54</f>
        <v>4</v>
      </c>
      <c r="X54" s="5">
        <f>COUNTIF(F54:N54,"RD")</f>
        <v>3</v>
      </c>
      <c r="Y54" s="5">
        <f>COUNTIF(F54:M54,"VL")</f>
        <v>0</v>
      </c>
      <c r="Z54" s="5">
        <f>COUNTIF(F54:N54,"LWOP")</f>
        <v>0</v>
      </c>
      <c r="AF54"/>
    </row>
    <row r="55" spans="1:32">
      <c r="A55" s="164" t="s">
        <v>129</v>
      </c>
      <c r="B55" s="156" t="s">
        <v>265</v>
      </c>
      <c r="C55" s="157" t="s">
        <v>266</v>
      </c>
      <c r="D55" s="157" t="s">
        <v>22</v>
      </c>
      <c r="E55" s="158" t="s">
        <v>56</v>
      </c>
      <c r="F55" s="270" t="s">
        <v>174</v>
      </c>
      <c r="G55" s="270" t="s">
        <v>148</v>
      </c>
      <c r="H55" s="270" t="s">
        <v>148</v>
      </c>
      <c r="I55" s="272">
        <v>16</v>
      </c>
      <c r="J55" s="269">
        <v>450</v>
      </c>
      <c r="K55" s="270" t="s">
        <v>148</v>
      </c>
      <c r="L55" s="272">
        <v>4</v>
      </c>
      <c r="M55" s="272">
        <v>15</v>
      </c>
      <c r="N55" s="272">
        <v>2</v>
      </c>
      <c r="O55" s="54">
        <f>SUM(F55:N55)</f>
        <v>487</v>
      </c>
      <c r="P55" s="16">
        <f>O55-Q55</f>
        <v>37</v>
      </c>
      <c r="Q55" s="5">
        <f>SUMIF(F55:N55,"450")</f>
        <v>450</v>
      </c>
      <c r="R55" s="16">
        <f>P55+Q55</f>
        <v>487</v>
      </c>
      <c r="S55">
        <f>V55*450</f>
        <v>3150</v>
      </c>
      <c r="T55">
        <f>S55-R55</f>
        <v>2663</v>
      </c>
      <c r="U55" s="39">
        <f>T55/S55</f>
        <v>0.84539682539682537</v>
      </c>
      <c r="V55">
        <f>W55-(Y55+Z55)</f>
        <v>7</v>
      </c>
      <c r="W55">
        <f>7-X55</f>
        <v>7</v>
      </c>
      <c r="X55" s="5">
        <f>COUNTIF(F55:N55,"RD")</f>
        <v>0</v>
      </c>
      <c r="Y55" s="5">
        <f>COUNTIF(F55:M55,"VL")</f>
        <v>0</v>
      </c>
      <c r="Z55" s="5">
        <f>COUNTIF(F55:N55,"LWOP")</f>
        <v>0</v>
      </c>
      <c r="AF55"/>
    </row>
    <row r="56" spans="1:32">
      <c r="A56" s="164" t="s">
        <v>299</v>
      </c>
      <c r="B56" s="156" t="s">
        <v>265</v>
      </c>
      <c r="C56" s="157" t="s">
        <v>266</v>
      </c>
      <c r="D56" s="157" t="s">
        <v>22</v>
      </c>
      <c r="E56" s="158" t="s">
        <v>56</v>
      </c>
      <c r="F56" s="272">
        <v>12</v>
      </c>
      <c r="G56" s="270" t="s">
        <v>148</v>
      </c>
      <c r="H56" s="270" t="s">
        <v>148</v>
      </c>
      <c r="I56" s="270" t="s">
        <v>148</v>
      </c>
      <c r="J56" s="270" t="s">
        <v>148</v>
      </c>
      <c r="K56" s="271" t="s">
        <v>147</v>
      </c>
      <c r="L56" s="269">
        <v>450</v>
      </c>
      <c r="M56" s="272">
        <v>5</v>
      </c>
      <c r="N56" s="272">
        <v>16</v>
      </c>
      <c r="O56" s="54">
        <f>SUM(F56:N56)</f>
        <v>483</v>
      </c>
      <c r="P56" s="16">
        <f>O56-Q56</f>
        <v>33</v>
      </c>
      <c r="Q56" s="5">
        <f>SUMIF(F56:N56,"450")</f>
        <v>450</v>
      </c>
      <c r="R56" s="16">
        <f>P56+Q56</f>
        <v>483</v>
      </c>
      <c r="S56">
        <f>V56*450</f>
        <v>2700</v>
      </c>
      <c r="T56">
        <f>S56-R56</f>
        <v>2217</v>
      </c>
      <c r="U56" s="39">
        <f>T56/S56</f>
        <v>0.82111111111111112</v>
      </c>
      <c r="V56">
        <f>W56-(Y56+Z56)</f>
        <v>6</v>
      </c>
      <c r="W56">
        <f>7-X56</f>
        <v>6</v>
      </c>
      <c r="X56" s="5">
        <f>COUNTIF(F56:N56,"RD")</f>
        <v>1</v>
      </c>
      <c r="Y56" s="5">
        <f>COUNTIF(F56:M56,"VL")</f>
        <v>0</v>
      </c>
      <c r="Z56" s="5">
        <f>COUNTIF(F56:N56,"LWOP")</f>
        <v>0</v>
      </c>
      <c r="AF56"/>
    </row>
    <row r="57" spans="1:32">
      <c r="A57" s="164" t="s">
        <v>39</v>
      </c>
      <c r="B57" s="156" t="s">
        <v>300</v>
      </c>
      <c r="C57" s="157" t="s">
        <v>301</v>
      </c>
      <c r="D57" s="157" t="s">
        <v>37</v>
      </c>
      <c r="E57" s="158" t="s">
        <v>40</v>
      </c>
      <c r="F57" s="271" t="s">
        <v>147</v>
      </c>
      <c r="G57" s="271" t="s">
        <v>147</v>
      </c>
      <c r="H57" s="270" t="s">
        <v>148</v>
      </c>
      <c r="I57" s="270" t="s">
        <v>148</v>
      </c>
      <c r="J57" s="272">
        <v>225</v>
      </c>
      <c r="K57" s="272">
        <v>2</v>
      </c>
      <c r="L57" s="270" t="s">
        <v>148</v>
      </c>
      <c r="M57" s="271" t="s">
        <v>147</v>
      </c>
      <c r="N57" s="271" t="s">
        <v>147</v>
      </c>
      <c r="O57" s="54">
        <f>SUM(F57:N57)</f>
        <v>227</v>
      </c>
      <c r="P57" s="16">
        <f>O57-Q57</f>
        <v>227</v>
      </c>
      <c r="Q57" s="5">
        <f>SUMIF(F57:N57,"450")</f>
        <v>0</v>
      </c>
      <c r="R57" s="16">
        <f>P57+Q57</f>
        <v>227</v>
      </c>
      <c r="S57">
        <f>V57*450</f>
        <v>1350</v>
      </c>
      <c r="T57">
        <f>S57-R57</f>
        <v>1123</v>
      </c>
      <c r="U57" s="39">
        <f>T57/S57</f>
        <v>0.83185185185185184</v>
      </c>
      <c r="V57">
        <f>W57-(Y57+Z57)</f>
        <v>3</v>
      </c>
      <c r="W57">
        <f>7-X57</f>
        <v>3</v>
      </c>
      <c r="X57" s="5">
        <f>COUNTIF(F57:N57,"RD")</f>
        <v>4</v>
      </c>
      <c r="Y57" s="5">
        <f>COUNTIF(F57:M57,"VL")</f>
        <v>0</v>
      </c>
      <c r="Z57" s="5">
        <f>COUNTIF(F57:N57,"LWOP")</f>
        <v>0</v>
      </c>
      <c r="AF57"/>
    </row>
    <row r="58" spans="1:32">
      <c r="A58" s="164" t="s">
        <v>215</v>
      </c>
      <c r="B58" s="156" t="s">
        <v>303</v>
      </c>
      <c r="C58" s="157" t="s">
        <v>304</v>
      </c>
      <c r="D58" s="157" t="s">
        <v>37</v>
      </c>
      <c r="E58" s="158" t="s">
        <v>40</v>
      </c>
      <c r="F58" s="270" t="s">
        <v>148</v>
      </c>
      <c r="G58" s="270" t="s">
        <v>148</v>
      </c>
      <c r="H58" s="270" t="s">
        <v>148</v>
      </c>
      <c r="I58" s="271" t="s">
        <v>147</v>
      </c>
      <c r="J58" s="271" t="s">
        <v>147</v>
      </c>
      <c r="K58" s="269">
        <v>450</v>
      </c>
      <c r="L58" s="269">
        <v>450</v>
      </c>
      <c r="M58" s="269">
        <v>450</v>
      </c>
      <c r="N58" s="270" t="s">
        <v>148</v>
      </c>
      <c r="O58" s="54">
        <f>SUM(F58:N58)</f>
        <v>1350</v>
      </c>
      <c r="P58" s="16">
        <f>O58-Q58</f>
        <v>0</v>
      </c>
      <c r="Q58" s="5">
        <f>SUMIF(F58:N58,"450")</f>
        <v>1350</v>
      </c>
      <c r="R58" s="16">
        <f>P58+Q58</f>
        <v>1350</v>
      </c>
      <c r="S58">
        <f>V58*450</f>
        <v>2250</v>
      </c>
      <c r="T58">
        <f>S58-R58</f>
        <v>900</v>
      </c>
      <c r="U58" s="39">
        <f>T58/S58</f>
        <v>0.4</v>
      </c>
      <c r="V58">
        <f>W58-(Y58+Z58)</f>
        <v>5</v>
      </c>
      <c r="W58">
        <f>7-X58</f>
        <v>5</v>
      </c>
      <c r="X58" s="5">
        <f>COUNTIF(F58:N58,"RD")</f>
        <v>2</v>
      </c>
      <c r="Y58" s="5">
        <f>COUNTIF(F58:M58,"VL")</f>
        <v>0</v>
      </c>
      <c r="Z58" s="5">
        <f>COUNTIF(F58:N58,"LWOP")</f>
        <v>0</v>
      </c>
      <c r="AF58"/>
    </row>
    <row r="59" spans="1:32">
      <c r="A59" s="164" t="s">
        <v>44</v>
      </c>
      <c r="B59" s="156" t="s">
        <v>305</v>
      </c>
      <c r="C59" s="157" t="s">
        <v>301</v>
      </c>
      <c r="D59" s="157" t="s">
        <v>37</v>
      </c>
      <c r="E59" s="158" t="s">
        <v>40</v>
      </c>
      <c r="F59" s="271" t="s">
        <v>147</v>
      </c>
      <c r="G59" s="271" t="s">
        <v>147</v>
      </c>
      <c r="H59" s="270" t="s">
        <v>148</v>
      </c>
      <c r="I59" s="270" t="s">
        <v>148</v>
      </c>
      <c r="J59" s="270" t="s">
        <v>148</v>
      </c>
      <c r="K59" s="270" t="s">
        <v>148</v>
      </c>
      <c r="L59" s="308" t="s">
        <v>12</v>
      </c>
      <c r="M59" s="271" t="s">
        <v>147</v>
      </c>
      <c r="N59" s="271" t="s">
        <v>147</v>
      </c>
      <c r="O59" s="54">
        <f>SUM(F59:N59)</f>
        <v>0</v>
      </c>
      <c r="P59" s="16">
        <f>O59-Q59</f>
        <v>0</v>
      </c>
      <c r="Q59" s="5">
        <f>SUMIF(F59:N59,"450")</f>
        <v>0</v>
      </c>
      <c r="R59" s="16">
        <f>P59+Q59</f>
        <v>0</v>
      </c>
      <c r="S59">
        <f>V59*450</f>
        <v>900</v>
      </c>
      <c r="T59">
        <f>S59-R59</f>
        <v>900</v>
      </c>
      <c r="U59" s="39">
        <f>T59/S59</f>
        <v>1</v>
      </c>
      <c r="V59">
        <f>W59-(Y59+Z59)</f>
        <v>2</v>
      </c>
      <c r="W59">
        <f>7-X59</f>
        <v>3</v>
      </c>
      <c r="X59" s="5">
        <f>COUNTIF(F59:N59,"RD")</f>
        <v>4</v>
      </c>
      <c r="Y59" s="5">
        <f>COUNTIF(F59:M59,"VL")</f>
        <v>1</v>
      </c>
      <c r="Z59" s="5">
        <f>COUNTIF(F59:N59,"LWOP")</f>
        <v>0</v>
      </c>
      <c r="AF59"/>
    </row>
    <row r="60" spans="1:32">
      <c r="A60" s="164" t="s">
        <v>52</v>
      </c>
      <c r="B60" s="156" t="s">
        <v>305</v>
      </c>
      <c r="C60" s="157" t="s">
        <v>266</v>
      </c>
      <c r="D60" s="157" t="s">
        <v>37</v>
      </c>
      <c r="E60" s="158" t="s">
        <v>40</v>
      </c>
      <c r="F60" s="272">
        <v>240</v>
      </c>
      <c r="G60" s="271" t="s">
        <v>147</v>
      </c>
      <c r="H60" s="271" t="s">
        <v>147</v>
      </c>
      <c r="I60" s="272">
        <v>2</v>
      </c>
      <c r="J60" s="272">
        <v>1</v>
      </c>
      <c r="K60" s="270" t="s">
        <v>148</v>
      </c>
      <c r="L60" s="270" t="s">
        <v>148</v>
      </c>
      <c r="M60" s="270" t="s">
        <v>148</v>
      </c>
      <c r="N60" s="271" t="s">
        <v>147</v>
      </c>
      <c r="O60" s="54">
        <f>SUM(F60:N60)</f>
        <v>243</v>
      </c>
      <c r="P60" s="16">
        <f>O60-Q60</f>
        <v>243</v>
      </c>
      <c r="Q60" s="5">
        <f>SUMIF(F60:N60,"450")</f>
        <v>0</v>
      </c>
      <c r="R60" s="16">
        <f>P60+Q60</f>
        <v>243</v>
      </c>
      <c r="S60">
        <f>V60*450</f>
        <v>1800</v>
      </c>
      <c r="T60">
        <f>S60-R60</f>
        <v>1557</v>
      </c>
      <c r="U60" s="39">
        <f>T60/S60</f>
        <v>0.86499999999999999</v>
      </c>
      <c r="V60">
        <f>W60-(Y60+Z60)</f>
        <v>4</v>
      </c>
      <c r="W60">
        <f>7-X60</f>
        <v>4</v>
      </c>
      <c r="X60" s="5">
        <f>COUNTIF(F60:N60,"RD")</f>
        <v>3</v>
      </c>
      <c r="Y60" s="5">
        <f>COUNTIF(F60:M60,"VL")</f>
        <v>0</v>
      </c>
      <c r="Z60" s="5">
        <f>COUNTIF(F60:N60,"LWOP")</f>
        <v>0</v>
      </c>
      <c r="AF60"/>
    </row>
    <row r="61" spans="1:32">
      <c r="A61" s="164" t="s">
        <v>74</v>
      </c>
      <c r="B61" s="156" t="s">
        <v>305</v>
      </c>
      <c r="C61" s="157" t="s">
        <v>266</v>
      </c>
      <c r="D61" s="157" t="s">
        <v>37</v>
      </c>
      <c r="E61" s="158" t="s">
        <v>40</v>
      </c>
      <c r="F61" s="270" t="s">
        <v>148</v>
      </c>
      <c r="G61" s="271" t="s">
        <v>147</v>
      </c>
      <c r="H61" s="271" t="s">
        <v>147</v>
      </c>
      <c r="I61" s="272">
        <v>37</v>
      </c>
      <c r="J61" s="270" t="s">
        <v>148</v>
      </c>
      <c r="K61" s="270" t="s">
        <v>148</v>
      </c>
      <c r="L61" s="270" t="s">
        <v>148</v>
      </c>
      <c r="M61" s="269">
        <v>450</v>
      </c>
      <c r="N61" s="271" t="s">
        <v>147</v>
      </c>
      <c r="O61" s="54">
        <f>SUM(F61:N61)</f>
        <v>487</v>
      </c>
      <c r="P61" s="16">
        <f>O61-Q61</f>
        <v>37</v>
      </c>
      <c r="Q61" s="5">
        <f>SUMIF(F61:N61,"450")</f>
        <v>450</v>
      </c>
      <c r="R61" s="16">
        <f>P61+Q61</f>
        <v>487</v>
      </c>
      <c r="S61">
        <f>V61*450</f>
        <v>1800</v>
      </c>
      <c r="T61">
        <f>S61-R61</f>
        <v>1313</v>
      </c>
      <c r="U61" s="39">
        <f>T61/S61</f>
        <v>0.72944444444444445</v>
      </c>
      <c r="V61">
        <f>W61-(Y61+Z61)</f>
        <v>4</v>
      </c>
      <c r="W61">
        <f>7-X61</f>
        <v>4</v>
      </c>
      <c r="X61" s="5">
        <f>COUNTIF(F61:N61,"RD")</f>
        <v>3</v>
      </c>
      <c r="Y61" s="5">
        <f>COUNTIF(F61:M61,"VL")</f>
        <v>0</v>
      </c>
      <c r="Z61" s="5">
        <f>COUNTIF(F61:N61,"LWOP")</f>
        <v>0</v>
      </c>
      <c r="AF61"/>
    </row>
    <row r="62" spans="1:32">
      <c r="A62" s="164" t="s">
        <v>224</v>
      </c>
      <c r="B62" s="156" t="s">
        <v>305</v>
      </c>
      <c r="C62" s="157" t="s">
        <v>307</v>
      </c>
      <c r="D62" s="157" t="s">
        <v>37</v>
      </c>
      <c r="E62" s="158" t="s">
        <v>40</v>
      </c>
      <c r="F62" s="270" t="s">
        <v>148</v>
      </c>
      <c r="G62" s="270" t="s">
        <v>148</v>
      </c>
      <c r="H62" s="272">
        <v>39</v>
      </c>
      <c r="I62" s="270" t="s">
        <v>148</v>
      </c>
      <c r="J62" s="271" t="s">
        <v>147</v>
      </c>
      <c r="K62" s="271" t="s">
        <v>147</v>
      </c>
      <c r="L62" s="270" t="s">
        <v>148</v>
      </c>
      <c r="M62" s="270" t="s">
        <v>148</v>
      </c>
      <c r="N62" s="270" t="s">
        <v>148</v>
      </c>
      <c r="O62" s="54">
        <f>SUM(F62:N62)</f>
        <v>39</v>
      </c>
      <c r="P62" s="16">
        <f>O62-Q62</f>
        <v>39</v>
      </c>
      <c r="Q62" s="5">
        <f>SUMIF(F62:N62,"450")</f>
        <v>0</v>
      </c>
      <c r="R62" s="16">
        <f>P62+Q62</f>
        <v>39</v>
      </c>
      <c r="S62">
        <f>V62*450</f>
        <v>2250</v>
      </c>
      <c r="T62">
        <f>S62-R62</f>
        <v>2211</v>
      </c>
      <c r="U62" s="39">
        <f>T62/S62</f>
        <v>0.98266666666666669</v>
      </c>
      <c r="V62">
        <f>W62-(Y62+Z62)</f>
        <v>5</v>
      </c>
      <c r="W62">
        <f>7-X62</f>
        <v>5</v>
      </c>
      <c r="X62" s="5">
        <f>COUNTIF(F62:N62,"RD")</f>
        <v>2</v>
      </c>
      <c r="Y62" s="5">
        <f>COUNTIF(F62:M62,"VL")</f>
        <v>0</v>
      </c>
      <c r="Z62" s="5">
        <f>COUNTIF(F62:N62,"LWOP")</f>
        <v>0</v>
      </c>
      <c r="AF62"/>
    </row>
    <row r="63" spans="1:32">
      <c r="A63" s="164" t="s">
        <v>76</v>
      </c>
      <c r="B63" s="156" t="s">
        <v>303</v>
      </c>
      <c r="C63" s="157" t="s">
        <v>301</v>
      </c>
      <c r="D63" s="157" t="s">
        <v>37</v>
      </c>
      <c r="E63" s="158" t="s">
        <v>40</v>
      </c>
      <c r="F63" s="271" t="s">
        <v>147</v>
      </c>
      <c r="G63" s="271" t="s">
        <v>147</v>
      </c>
      <c r="H63" s="270" t="s">
        <v>148</v>
      </c>
      <c r="I63" s="270" t="s">
        <v>148</v>
      </c>
      <c r="J63" s="270" t="s">
        <v>148</v>
      </c>
      <c r="K63" s="270" t="s">
        <v>148</v>
      </c>
      <c r="L63" s="270" t="s">
        <v>148</v>
      </c>
      <c r="M63" s="271" t="s">
        <v>147</v>
      </c>
      <c r="N63" s="271" t="s">
        <v>147</v>
      </c>
      <c r="O63" s="54">
        <f>SUM(F63:N63)</f>
        <v>0</v>
      </c>
      <c r="P63" s="16">
        <f>O63-Q63</f>
        <v>0</v>
      </c>
      <c r="Q63" s="5">
        <f>SUMIF(F63:N63,"450")</f>
        <v>0</v>
      </c>
      <c r="R63" s="16">
        <f>P63+Q63</f>
        <v>0</v>
      </c>
      <c r="S63">
        <f>V63*450</f>
        <v>1350</v>
      </c>
      <c r="T63">
        <f>S63-R63</f>
        <v>1350</v>
      </c>
      <c r="U63" s="39">
        <f>T63/S63</f>
        <v>1</v>
      </c>
      <c r="V63">
        <f>W63-(Y63+Z63)</f>
        <v>3</v>
      </c>
      <c r="W63">
        <f>7-X63</f>
        <v>3</v>
      </c>
      <c r="X63" s="5">
        <f>COUNTIF(F63:N63,"RD")</f>
        <v>4</v>
      </c>
      <c r="Y63" s="5">
        <f>COUNTIF(F63:M63,"VL")</f>
        <v>0</v>
      </c>
      <c r="Z63" s="5">
        <f>COUNTIF(F63:N63,"LWOP")</f>
        <v>0</v>
      </c>
      <c r="AF63"/>
    </row>
    <row r="64" spans="1:32">
      <c r="A64" s="164" t="s">
        <v>90</v>
      </c>
      <c r="B64" s="156" t="s">
        <v>305</v>
      </c>
      <c r="C64" s="157" t="s">
        <v>308</v>
      </c>
      <c r="D64" s="157" t="s">
        <v>37</v>
      </c>
      <c r="E64" s="158" t="s">
        <v>40</v>
      </c>
      <c r="F64" s="272">
        <v>2</v>
      </c>
      <c r="G64" s="270" t="s">
        <v>148</v>
      </c>
      <c r="H64" s="271" t="s">
        <v>147</v>
      </c>
      <c r="I64" s="308" t="s">
        <v>12</v>
      </c>
      <c r="J64" s="272">
        <v>3</v>
      </c>
      <c r="K64" s="270" t="s">
        <v>148</v>
      </c>
      <c r="L64" s="270" t="s">
        <v>148</v>
      </c>
      <c r="M64" s="270" t="s">
        <v>148</v>
      </c>
      <c r="N64" s="270" t="s">
        <v>148</v>
      </c>
      <c r="O64" s="54">
        <f>SUM(F64:N64)</f>
        <v>5</v>
      </c>
      <c r="P64" s="16">
        <f>O64-Q64</f>
        <v>5</v>
      </c>
      <c r="Q64" s="5">
        <f>SUMIF(F64:N64,"450")</f>
        <v>0</v>
      </c>
      <c r="R64" s="16">
        <f>P64+Q64</f>
        <v>5</v>
      </c>
      <c r="S64">
        <f>V64*450</f>
        <v>2250</v>
      </c>
      <c r="T64">
        <f>S64-R64</f>
        <v>2245</v>
      </c>
      <c r="U64" s="39">
        <f>T64/S64</f>
        <v>0.99777777777777776</v>
      </c>
      <c r="V64">
        <f>W64-(Y64+Z64)</f>
        <v>5</v>
      </c>
      <c r="W64">
        <f>7-X64</f>
        <v>6</v>
      </c>
      <c r="X64" s="5">
        <f>COUNTIF(F64:N64,"RD")</f>
        <v>1</v>
      </c>
      <c r="Y64" s="5">
        <f>COUNTIF(F64:M64,"VL")</f>
        <v>1</v>
      </c>
      <c r="Z64" s="5">
        <f>COUNTIF(F64:N64,"LWOP")</f>
        <v>0</v>
      </c>
      <c r="AF64"/>
    </row>
    <row r="65" spans="1:32">
      <c r="A65" s="164" t="s">
        <v>96</v>
      </c>
      <c r="B65" s="156" t="s">
        <v>303</v>
      </c>
      <c r="C65" s="157" t="s">
        <v>308</v>
      </c>
      <c r="D65" s="157" t="s">
        <v>37</v>
      </c>
      <c r="E65" s="158" t="s">
        <v>40</v>
      </c>
      <c r="F65" s="270" t="s">
        <v>148</v>
      </c>
      <c r="G65" s="270" t="s">
        <v>148</v>
      </c>
      <c r="H65" s="271" t="s">
        <v>147</v>
      </c>
      <c r="I65" s="271" t="s">
        <v>147</v>
      </c>
      <c r="J65" s="270" t="s">
        <v>148</v>
      </c>
      <c r="K65" s="270" t="s">
        <v>148</v>
      </c>
      <c r="L65" s="270" t="s">
        <v>148</v>
      </c>
      <c r="M65" s="270" t="s">
        <v>148</v>
      </c>
      <c r="N65" s="272">
        <v>69</v>
      </c>
      <c r="O65" s="54">
        <f>SUM(F65:N65)</f>
        <v>69</v>
      </c>
      <c r="P65" s="16">
        <f>O65-Q65</f>
        <v>69</v>
      </c>
      <c r="Q65" s="5">
        <f>SUMIF(F65:N65,"450")</f>
        <v>0</v>
      </c>
      <c r="R65" s="16">
        <f>P65+Q65</f>
        <v>69</v>
      </c>
      <c r="S65">
        <f>V65*450</f>
        <v>2250</v>
      </c>
      <c r="T65">
        <f>S65-R65</f>
        <v>2181</v>
      </c>
      <c r="U65" s="39">
        <f>T65/S65</f>
        <v>0.96933333333333338</v>
      </c>
      <c r="V65">
        <f>W65-(Y65+Z65)</f>
        <v>5</v>
      </c>
      <c r="W65">
        <f>7-X65</f>
        <v>5</v>
      </c>
      <c r="X65" s="5">
        <f>COUNTIF(F65:N65,"RD")</f>
        <v>2</v>
      </c>
      <c r="Y65" s="5">
        <f>COUNTIF(F65:M65,"VL")</f>
        <v>0</v>
      </c>
      <c r="Z65" s="5">
        <f>COUNTIF(F65:N65,"LWOP")</f>
        <v>0</v>
      </c>
      <c r="AF65"/>
    </row>
    <row r="66" spans="1:32">
      <c r="A66" s="335" t="s">
        <v>38</v>
      </c>
      <c r="B66" s="156" t="s">
        <v>309</v>
      </c>
      <c r="C66" s="157" t="s">
        <v>266</v>
      </c>
      <c r="D66" s="157" t="s">
        <v>37</v>
      </c>
      <c r="E66" s="158" t="s">
        <v>40</v>
      </c>
      <c r="F66" s="270" t="s">
        <v>174</v>
      </c>
      <c r="G66" s="271" t="s">
        <v>147</v>
      </c>
      <c r="H66" s="270" t="s">
        <v>148</v>
      </c>
      <c r="I66" s="270" t="s">
        <v>148</v>
      </c>
      <c r="J66" s="270" t="s">
        <v>148</v>
      </c>
      <c r="K66" s="270" t="s">
        <v>148</v>
      </c>
      <c r="L66" s="270" t="s">
        <v>148</v>
      </c>
      <c r="M66" s="270" t="s">
        <v>148</v>
      </c>
      <c r="N66" s="270" t="s">
        <v>148</v>
      </c>
      <c r="O66" s="54">
        <f>SUM(F66:N66)</f>
        <v>0</v>
      </c>
      <c r="P66" s="16">
        <f>O66-Q66</f>
        <v>0</v>
      </c>
      <c r="Q66" s="5">
        <f>SUMIF(F66:N66,"450")</f>
        <v>0</v>
      </c>
      <c r="R66" s="16">
        <f>P66+Q66</f>
        <v>0</v>
      </c>
      <c r="S66">
        <f>V66*450</f>
        <v>2700</v>
      </c>
      <c r="T66">
        <f>S66-R66</f>
        <v>2700</v>
      </c>
      <c r="U66" s="39">
        <f>T66/S66</f>
        <v>1</v>
      </c>
      <c r="V66">
        <f>W66-(Y66+Z66)</f>
        <v>6</v>
      </c>
      <c r="W66">
        <f>7-X66</f>
        <v>6</v>
      </c>
      <c r="X66" s="5">
        <f>COUNTIF(F66:N66,"RD")</f>
        <v>1</v>
      </c>
      <c r="Y66" s="5">
        <f>COUNTIF(F66:M66,"VL")</f>
        <v>0</v>
      </c>
      <c r="Z66" s="5">
        <f>COUNTIF(F66:N66,"LWOP")</f>
        <v>0</v>
      </c>
      <c r="AF66"/>
    </row>
    <row r="67" spans="1:32">
      <c r="A67" s="336" t="s">
        <v>236</v>
      </c>
      <c r="B67" s="156" t="s">
        <v>300</v>
      </c>
      <c r="C67" s="157" t="s">
        <v>301</v>
      </c>
      <c r="D67" s="157" t="s">
        <v>37</v>
      </c>
      <c r="E67" s="158" t="s">
        <v>40</v>
      </c>
      <c r="F67" s="271" t="s">
        <v>147</v>
      </c>
      <c r="G67" s="271" t="s">
        <v>147</v>
      </c>
      <c r="H67" s="270" t="s">
        <v>148</v>
      </c>
      <c r="I67" s="270" t="s">
        <v>148</v>
      </c>
      <c r="J67" s="270" t="s">
        <v>148</v>
      </c>
      <c r="K67" s="270" t="s">
        <v>148</v>
      </c>
      <c r="L67" s="270" t="s">
        <v>148</v>
      </c>
      <c r="M67" s="271" t="s">
        <v>147</v>
      </c>
      <c r="N67" s="271" t="s">
        <v>147</v>
      </c>
      <c r="O67" s="54">
        <f>SUM(F67:N67)</f>
        <v>0</v>
      </c>
      <c r="P67" s="16">
        <f>O67-Q67</f>
        <v>0</v>
      </c>
      <c r="Q67" s="5">
        <f>SUMIF(F67:N67,"450")</f>
        <v>0</v>
      </c>
      <c r="R67" s="16">
        <f>P67+Q67</f>
        <v>0</v>
      </c>
      <c r="S67">
        <f>V67*450</f>
        <v>1350</v>
      </c>
      <c r="T67">
        <f>S67-R67</f>
        <v>1350</v>
      </c>
      <c r="U67" s="39">
        <f>T67/S67</f>
        <v>1</v>
      </c>
      <c r="V67">
        <f>W67-(Y67+Z67)</f>
        <v>3</v>
      </c>
      <c r="W67">
        <f>7-X67</f>
        <v>3</v>
      </c>
      <c r="X67" s="5">
        <f>COUNTIF(F67:N67,"RD")</f>
        <v>4</v>
      </c>
      <c r="Y67" s="5">
        <f>COUNTIF(F67:M67,"VL")</f>
        <v>0</v>
      </c>
      <c r="Z67" s="5">
        <f>COUNTIF(F67:N67,"LWOP")</f>
        <v>0</v>
      </c>
      <c r="AF67"/>
    </row>
    <row r="68" spans="1:32">
      <c r="A68" s="162" t="s">
        <v>310</v>
      </c>
      <c r="B68" s="156" t="s">
        <v>303</v>
      </c>
      <c r="C68" s="157" t="s">
        <v>266</v>
      </c>
      <c r="D68" s="157" t="s">
        <v>37</v>
      </c>
      <c r="E68" s="158" t="s">
        <v>40</v>
      </c>
      <c r="F68" s="270" t="s">
        <v>148</v>
      </c>
      <c r="G68" s="271" t="s">
        <v>147</v>
      </c>
      <c r="H68" s="271" t="s">
        <v>147</v>
      </c>
      <c r="I68" s="270" t="s">
        <v>148</v>
      </c>
      <c r="J68" s="270" t="s">
        <v>148</v>
      </c>
      <c r="K68" s="270" t="s">
        <v>148</v>
      </c>
      <c r="L68" s="270" t="s">
        <v>148</v>
      </c>
      <c r="M68" s="270" t="s">
        <v>148</v>
      </c>
      <c r="N68" s="271" t="s">
        <v>147</v>
      </c>
      <c r="O68" s="54">
        <f>SUM(F68:N68)</f>
        <v>0</v>
      </c>
      <c r="P68" s="16">
        <f>O68-Q68</f>
        <v>0</v>
      </c>
      <c r="Q68" s="5">
        <f>SUMIF(F68:N68,"450")</f>
        <v>0</v>
      </c>
      <c r="R68" s="16">
        <f>P68+Q68</f>
        <v>0</v>
      </c>
      <c r="S68">
        <f>V68*450</f>
        <v>1800</v>
      </c>
      <c r="T68">
        <f>S68-R68</f>
        <v>1800</v>
      </c>
      <c r="U68" s="39">
        <f>T68/S68</f>
        <v>1</v>
      </c>
      <c r="V68">
        <f>W68-(Y68+Z68)</f>
        <v>4</v>
      </c>
      <c r="W68">
        <f>7-X68</f>
        <v>4</v>
      </c>
      <c r="X68" s="5">
        <f>COUNTIF(F68:N68,"RD")</f>
        <v>3</v>
      </c>
      <c r="Y68" s="5">
        <f>COUNTIF(F68:M68,"VL")</f>
        <v>0</v>
      </c>
      <c r="Z68" s="5">
        <f>COUNTIF(F68:N68,"LWOP")</f>
        <v>0</v>
      </c>
      <c r="AF68"/>
    </row>
    <row r="69" spans="1:32">
      <c r="A69" s="162" t="s">
        <v>240</v>
      </c>
      <c r="B69" s="156" t="s">
        <v>300</v>
      </c>
      <c r="C69" s="157" t="s">
        <v>308</v>
      </c>
      <c r="D69" s="157" t="s">
        <v>37</v>
      </c>
      <c r="E69" s="158" t="s">
        <v>40</v>
      </c>
      <c r="F69" s="270" t="s">
        <v>148</v>
      </c>
      <c r="G69" s="270" t="s">
        <v>148</v>
      </c>
      <c r="H69" s="271" t="s">
        <v>147</v>
      </c>
      <c r="I69" s="271" t="s">
        <v>147</v>
      </c>
      <c r="J69" s="270" t="s">
        <v>148</v>
      </c>
      <c r="K69" s="270" t="s">
        <v>148</v>
      </c>
      <c r="L69" s="270" t="s">
        <v>148</v>
      </c>
      <c r="M69" s="270" t="s">
        <v>148</v>
      </c>
      <c r="N69" s="270" t="s">
        <v>148</v>
      </c>
      <c r="O69" s="54">
        <f>SUM(F69:N69)</f>
        <v>0</v>
      </c>
      <c r="P69" s="16">
        <f>O69-Q69</f>
        <v>0</v>
      </c>
      <c r="Q69" s="5">
        <f>SUMIF(F69:N69,"450")</f>
        <v>0</v>
      </c>
      <c r="R69" s="16">
        <f>P69+Q69</f>
        <v>0</v>
      </c>
      <c r="S69">
        <f>V69*450</f>
        <v>2250</v>
      </c>
      <c r="T69">
        <f>S69-R69</f>
        <v>2250</v>
      </c>
      <c r="U69" s="39">
        <f>T69/S69</f>
        <v>1</v>
      </c>
      <c r="V69">
        <f>W69-(Y69+Z69)</f>
        <v>5</v>
      </c>
      <c r="W69">
        <f>7-X69</f>
        <v>5</v>
      </c>
      <c r="X69" s="5">
        <f>COUNTIF(F69:N69,"RD")</f>
        <v>2</v>
      </c>
      <c r="Y69" s="5">
        <f>COUNTIF(F69:M69,"VL")</f>
        <v>0</v>
      </c>
      <c r="Z69" s="5">
        <f>COUNTIF(F69:N69,"LWOP")</f>
        <v>0</v>
      </c>
      <c r="AF69"/>
    </row>
    <row r="70" spans="1:32">
      <c r="A70" s="338" t="s">
        <v>239</v>
      </c>
      <c r="B70" s="156" t="s">
        <v>300</v>
      </c>
      <c r="C70" s="157" t="s">
        <v>307</v>
      </c>
      <c r="D70" s="157" t="s">
        <v>37</v>
      </c>
      <c r="E70" s="158" t="s">
        <v>40</v>
      </c>
      <c r="F70" s="337">
        <v>450</v>
      </c>
      <c r="G70" s="272">
        <v>78</v>
      </c>
      <c r="H70" s="272">
        <v>3</v>
      </c>
      <c r="I70" s="272">
        <v>123</v>
      </c>
      <c r="J70" s="271" t="s">
        <v>147</v>
      </c>
      <c r="K70" s="271" t="s">
        <v>147</v>
      </c>
      <c r="L70" s="272">
        <v>9</v>
      </c>
      <c r="M70" s="272">
        <v>37</v>
      </c>
      <c r="N70" s="270" t="s">
        <v>148</v>
      </c>
      <c r="O70" s="54">
        <f>SUM(F70:N70)</f>
        <v>700</v>
      </c>
      <c r="P70" s="16">
        <f>O70-Q70</f>
        <v>250</v>
      </c>
      <c r="Q70" s="5">
        <f>SUMIF(F70:N70,"450")</f>
        <v>450</v>
      </c>
      <c r="R70" s="16">
        <f>P70+Q70</f>
        <v>700</v>
      </c>
      <c r="S70">
        <f>V70*450</f>
        <v>2250</v>
      </c>
      <c r="T70">
        <f>S70-R70</f>
        <v>1550</v>
      </c>
      <c r="U70" s="39">
        <f>T70/S70</f>
        <v>0.68888888888888888</v>
      </c>
      <c r="V70">
        <f>W70-(Y70+Z70)</f>
        <v>5</v>
      </c>
      <c r="W70">
        <f>7-X70</f>
        <v>5</v>
      </c>
      <c r="X70" s="5">
        <f>COUNTIF(F70:N70,"RD")</f>
        <v>2</v>
      </c>
      <c r="Y70" s="5">
        <f>COUNTIF(F70:M70,"VL")</f>
        <v>0</v>
      </c>
      <c r="Z70" s="5">
        <f>COUNTIF(F70:N70,"LWOP")</f>
        <v>0</v>
      </c>
      <c r="AF70"/>
    </row>
    <row r="71" spans="1:32">
      <c r="A71" s="339" t="s">
        <v>311</v>
      </c>
      <c r="B71" s="156" t="s">
        <v>300</v>
      </c>
      <c r="C71" s="157" t="s">
        <v>307</v>
      </c>
      <c r="D71" s="157" t="s">
        <v>26</v>
      </c>
      <c r="E71" s="158" t="s">
        <v>25</v>
      </c>
      <c r="F71" s="270" t="s">
        <v>148</v>
      </c>
      <c r="G71" s="270" t="s">
        <v>148</v>
      </c>
      <c r="H71" s="270" t="s">
        <v>148</v>
      </c>
      <c r="I71" s="270" t="s">
        <v>148</v>
      </c>
      <c r="J71" s="271" t="s">
        <v>147</v>
      </c>
      <c r="K71" s="271" t="s">
        <v>147</v>
      </c>
      <c r="L71" s="270" t="s">
        <v>148</v>
      </c>
      <c r="M71" s="272">
        <v>23</v>
      </c>
      <c r="N71" s="270" t="s">
        <v>148</v>
      </c>
      <c r="O71" s="54">
        <f>SUM(F71:N71)</f>
        <v>23</v>
      </c>
      <c r="P71" s="16">
        <f>O71-Q71</f>
        <v>23</v>
      </c>
      <c r="Q71" s="5">
        <f>SUMIF(F71:N71,"450")</f>
        <v>0</v>
      </c>
      <c r="R71" s="16">
        <f>P71+Q71</f>
        <v>23</v>
      </c>
      <c r="S71">
        <f>V71*450</f>
        <v>2250</v>
      </c>
      <c r="T71">
        <f>S71-R71</f>
        <v>2227</v>
      </c>
      <c r="U71" s="39">
        <f>T71/S71</f>
        <v>0.98977777777777776</v>
      </c>
      <c r="V71">
        <f>W71-(Y71+Z71)</f>
        <v>5</v>
      </c>
      <c r="W71">
        <f>7-X71</f>
        <v>5</v>
      </c>
      <c r="X71" s="5">
        <f>COUNTIF(F71:N71,"RD")</f>
        <v>2</v>
      </c>
      <c r="Y71" s="5">
        <f>COUNTIF(F71:M71,"VL")</f>
        <v>0</v>
      </c>
      <c r="Z71" s="5">
        <f>COUNTIF(F71:N71,"LWOP")</f>
        <v>0</v>
      </c>
      <c r="AF71"/>
    </row>
    <row r="72" spans="1:32">
      <c r="A72" s="164" t="s">
        <v>312</v>
      </c>
      <c r="B72" s="156" t="s">
        <v>265</v>
      </c>
      <c r="C72" s="157" t="s">
        <v>266</v>
      </c>
      <c r="D72" s="157" t="s">
        <v>26</v>
      </c>
      <c r="E72" s="158" t="s">
        <v>30</v>
      </c>
      <c r="F72" s="272">
        <v>4</v>
      </c>
      <c r="G72" s="271" t="s">
        <v>147</v>
      </c>
      <c r="H72" s="271" t="s">
        <v>147</v>
      </c>
      <c r="I72" s="269">
        <v>450</v>
      </c>
      <c r="J72" s="272">
        <v>29</v>
      </c>
      <c r="K72" s="270" t="s">
        <v>148</v>
      </c>
      <c r="L72" s="270" t="s">
        <v>148</v>
      </c>
      <c r="M72" s="270" t="s">
        <v>148</v>
      </c>
      <c r="N72" s="271" t="s">
        <v>147</v>
      </c>
      <c r="O72" s="54">
        <f>SUM(F72:N72)</f>
        <v>483</v>
      </c>
      <c r="P72" s="16">
        <f>O72-Q72</f>
        <v>33</v>
      </c>
      <c r="Q72" s="5">
        <f>SUMIF(F72:N72,"450")</f>
        <v>450</v>
      </c>
      <c r="R72" s="16">
        <f>P72+Q72</f>
        <v>483</v>
      </c>
      <c r="S72">
        <f>V72*450</f>
        <v>1800</v>
      </c>
      <c r="T72">
        <f>S72-R72</f>
        <v>1317</v>
      </c>
      <c r="U72" s="39">
        <f>T72/S72</f>
        <v>0.73166666666666669</v>
      </c>
      <c r="V72">
        <f>W72-(Y72+Z72)</f>
        <v>4</v>
      </c>
      <c r="W72">
        <f>7-X72</f>
        <v>4</v>
      </c>
      <c r="X72" s="5">
        <f>COUNTIF(F72:N72,"RD")</f>
        <v>3</v>
      </c>
      <c r="Y72" s="5">
        <f>COUNTIF(F72:M72,"VL")</f>
        <v>0</v>
      </c>
      <c r="Z72" s="5">
        <f>COUNTIF(F72:N72,"LWOP")</f>
        <v>0</v>
      </c>
      <c r="AF72"/>
    </row>
    <row r="73" spans="1:32">
      <c r="A73" s="164" t="s">
        <v>35</v>
      </c>
      <c r="B73" s="156" t="s">
        <v>313</v>
      </c>
      <c r="C73" s="157" t="s">
        <v>266</v>
      </c>
      <c r="D73" s="157" t="s">
        <v>26</v>
      </c>
      <c r="E73" s="158" t="s">
        <v>40</v>
      </c>
      <c r="F73" s="270" t="s">
        <v>148</v>
      </c>
      <c r="G73" s="271" t="s">
        <v>147</v>
      </c>
      <c r="H73" s="270" t="s">
        <v>148</v>
      </c>
      <c r="I73" s="271" t="s">
        <v>147</v>
      </c>
      <c r="J73" s="271" t="s">
        <v>147</v>
      </c>
      <c r="K73" s="270" t="s">
        <v>148</v>
      </c>
      <c r="L73" s="270" t="s">
        <v>148</v>
      </c>
      <c r="M73" s="270" t="s">
        <v>148</v>
      </c>
      <c r="N73" s="270" t="s">
        <v>148</v>
      </c>
      <c r="O73" s="54">
        <f>SUM(F73:N73)</f>
        <v>0</v>
      </c>
      <c r="P73" s="16">
        <f>O73-Q73</f>
        <v>0</v>
      </c>
      <c r="Q73" s="5">
        <f>SUMIF(F73:N73,"450")</f>
        <v>0</v>
      </c>
      <c r="R73" s="16">
        <f>P73+Q73</f>
        <v>0</v>
      </c>
      <c r="S73">
        <f>V73*450</f>
        <v>1800</v>
      </c>
      <c r="T73">
        <f>S73-R73</f>
        <v>1800</v>
      </c>
      <c r="U73" s="39">
        <f>T73/S73</f>
        <v>1</v>
      </c>
      <c r="V73">
        <f>W73-(Y73+Z73)</f>
        <v>4</v>
      </c>
      <c r="W73">
        <f>7-X73</f>
        <v>4</v>
      </c>
      <c r="X73" s="5">
        <f>COUNTIF(F73:N73,"RD")</f>
        <v>3</v>
      </c>
      <c r="Y73" s="5">
        <f>COUNTIF(F73:M73,"VL")</f>
        <v>0</v>
      </c>
      <c r="Z73" s="5">
        <f>COUNTIF(F73:N73,"LWOP")</f>
        <v>0</v>
      </c>
      <c r="AF73"/>
    </row>
    <row r="74" spans="1:32">
      <c r="A74" s="164" t="s">
        <v>315</v>
      </c>
      <c r="B74" s="156" t="s">
        <v>300</v>
      </c>
      <c r="C74" s="157" t="s">
        <v>316</v>
      </c>
      <c r="D74" s="157" t="s">
        <v>26</v>
      </c>
      <c r="E74" s="158" t="s">
        <v>30</v>
      </c>
      <c r="F74" s="270" t="s">
        <v>148</v>
      </c>
      <c r="G74" s="270" t="s">
        <v>148</v>
      </c>
      <c r="H74" s="270" t="s">
        <v>148</v>
      </c>
      <c r="I74" s="270" t="s">
        <v>148</v>
      </c>
      <c r="J74" s="270" t="s">
        <v>148</v>
      </c>
      <c r="K74" s="271" t="s">
        <v>147</v>
      </c>
      <c r="L74" s="271" t="s">
        <v>147</v>
      </c>
      <c r="M74" s="270" t="s">
        <v>148</v>
      </c>
      <c r="N74" s="308" t="s">
        <v>12</v>
      </c>
      <c r="O74" s="54">
        <f>SUM(F74:N74)</f>
        <v>0</v>
      </c>
      <c r="P74" s="16">
        <f>O74-Q74</f>
        <v>0</v>
      </c>
      <c r="Q74" s="5">
        <f>SUMIF(F74:N74,"450")</f>
        <v>0</v>
      </c>
      <c r="R74" s="16">
        <f>P74+Q74</f>
        <v>0</v>
      </c>
      <c r="S74">
        <f>V74*450</f>
        <v>2250</v>
      </c>
      <c r="T74">
        <f>S74-R74</f>
        <v>2250</v>
      </c>
      <c r="U74" s="39">
        <f>T74/S74</f>
        <v>1</v>
      </c>
      <c r="V74">
        <f>W74-(Y74+Z74)</f>
        <v>5</v>
      </c>
      <c r="W74">
        <f>7-X74</f>
        <v>5</v>
      </c>
      <c r="X74" s="5">
        <f>COUNTIF(F74:N74,"RD")</f>
        <v>2</v>
      </c>
      <c r="Y74" s="5">
        <f>COUNTIF(F74:M74,"VL")</f>
        <v>0</v>
      </c>
      <c r="Z74" s="5">
        <f>COUNTIF(F74:N74,"LWOP")</f>
        <v>0</v>
      </c>
      <c r="AF74"/>
    </row>
    <row r="75" spans="1:32">
      <c r="A75" s="164" t="s">
        <v>47</v>
      </c>
      <c r="B75" s="156" t="s">
        <v>265</v>
      </c>
      <c r="C75" s="157" t="s">
        <v>307</v>
      </c>
      <c r="D75" s="157" t="s">
        <v>26</v>
      </c>
      <c r="E75" s="158" t="s">
        <v>33</v>
      </c>
      <c r="F75" s="270" t="s">
        <v>148</v>
      </c>
      <c r="G75" s="271" t="s">
        <v>147</v>
      </c>
      <c r="H75" s="271" t="s">
        <v>147</v>
      </c>
      <c r="I75" s="270" t="s">
        <v>148</v>
      </c>
      <c r="J75" s="269">
        <v>450</v>
      </c>
      <c r="K75" s="269">
        <v>450</v>
      </c>
      <c r="L75" s="270" t="s">
        <v>148</v>
      </c>
      <c r="M75" s="272">
        <v>37</v>
      </c>
      <c r="N75" s="271" t="s">
        <v>147</v>
      </c>
      <c r="O75" s="54">
        <f>SUM(F75:N75)</f>
        <v>937</v>
      </c>
      <c r="P75" s="16">
        <f>O75-Q75</f>
        <v>37</v>
      </c>
      <c r="Q75" s="5">
        <f>SUMIF(F75:N75,"450")</f>
        <v>900</v>
      </c>
      <c r="R75" s="16">
        <f>P75+Q75</f>
        <v>937</v>
      </c>
      <c r="S75">
        <f>V75*450</f>
        <v>1800</v>
      </c>
      <c r="T75">
        <f>S75-R75</f>
        <v>863</v>
      </c>
      <c r="U75" s="39">
        <f>T75/S75</f>
        <v>0.47944444444444445</v>
      </c>
      <c r="V75">
        <f>W75-(Y75+Z75)</f>
        <v>4</v>
      </c>
      <c r="W75">
        <f>7-X75</f>
        <v>4</v>
      </c>
      <c r="X75" s="5">
        <f>COUNTIF(F75:N75,"RD")</f>
        <v>3</v>
      </c>
      <c r="Y75" s="5">
        <f>COUNTIF(F75:M75,"VL")</f>
        <v>0</v>
      </c>
      <c r="Z75" s="5">
        <f>COUNTIF(F75:N75,"LWOP")</f>
        <v>0</v>
      </c>
      <c r="AF75"/>
    </row>
    <row r="76" spans="1:32">
      <c r="A76" s="164" t="s">
        <v>317</v>
      </c>
      <c r="B76" s="156" t="s">
        <v>265</v>
      </c>
      <c r="C76" s="157" t="s">
        <v>307</v>
      </c>
      <c r="D76" s="157" t="s">
        <v>26</v>
      </c>
      <c r="E76" s="158" t="s">
        <v>25</v>
      </c>
      <c r="F76" s="272">
        <v>6</v>
      </c>
      <c r="G76" s="270" t="s">
        <v>148</v>
      </c>
      <c r="H76" s="270" t="s">
        <v>148</v>
      </c>
      <c r="I76" s="270" t="s">
        <v>148</v>
      </c>
      <c r="J76" s="271" t="s">
        <v>147</v>
      </c>
      <c r="K76" s="271" t="s">
        <v>147</v>
      </c>
      <c r="L76" s="270" t="s">
        <v>148</v>
      </c>
      <c r="M76" s="270" t="s">
        <v>148</v>
      </c>
      <c r="N76" s="270" t="s">
        <v>148</v>
      </c>
      <c r="O76" s="54">
        <f>SUM(F76:N76)</f>
        <v>6</v>
      </c>
      <c r="P76" s="16">
        <f>O76-Q76</f>
        <v>6</v>
      </c>
      <c r="Q76" s="5">
        <f>SUMIF(F76:N76,"450")</f>
        <v>0</v>
      </c>
      <c r="R76" s="16">
        <f>P76+Q76</f>
        <v>6</v>
      </c>
      <c r="S76">
        <f>V76*450</f>
        <v>2250</v>
      </c>
      <c r="T76">
        <f>S76-R76</f>
        <v>2244</v>
      </c>
      <c r="U76" s="39">
        <f>T76/S76</f>
        <v>0.99733333333333329</v>
      </c>
      <c r="V76">
        <f>W76-(Y76+Z76)</f>
        <v>5</v>
      </c>
      <c r="W76">
        <f>7-X76</f>
        <v>5</v>
      </c>
      <c r="X76" s="5">
        <f>COUNTIF(F76:N76,"RD")</f>
        <v>2</v>
      </c>
      <c r="Y76" s="5">
        <f>COUNTIF(F76:M76,"VL")</f>
        <v>0</v>
      </c>
      <c r="Z76" s="5">
        <f>COUNTIF(F76:N76,"LWOP")</f>
        <v>0</v>
      </c>
      <c r="AF76"/>
    </row>
    <row r="77" spans="1:32">
      <c r="A77" s="164" t="s">
        <v>49</v>
      </c>
      <c r="B77" s="156" t="s">
        <v>265</v>
      </c>
      <c r="C77" s="157" t="s">
        <v>266</v>
      </c>
      <c r="D77" s="157" t="s">
        <v>26</v>
      </c>
      <c r="E77" s="158" t="s">
        <v>40</v>
      </c>
      <c r="F77" s="270" t="s">
        <v>148</v>
      </c>
      <c r="G77" s="271" t="s">
        <v>147</v>
      </c>
      <c r="H77" s="271" t="s">
        <v>147</v>
      </c>
      <c r="I77" s="269">
        <v>450</v>
      </c>
      <c r="J77" s="270" t="s">
        <v>148</v>
      </c>
      <c r="K77" s="270" t="s">
        <v>148</v>
      </c>
      <c r="L77" s="272">
        <v>8</v>
      </c>
      <c r="M77" s="270" t="s">
        <v>148</v>
      </c>
      <c r="N77" s="271" t="s">
        <v>147</v>
      </c>
      <c r="O77" s="54">
        <f>SUM(F77:N77)</f>
        <v>458</v>
      </c>
      <c r="P77" s="16">
        <f>O77-Q77</f>
        <v>8</v>
      </c>
      <c r="Q77" s="5">
        <f>SUMIF(F77:N77,"450")</f>
        <v>450</v>
      </c>
      <c r="R77" s="16">
        <f>P77+Q77</f>
        <v>458</v>
      </c>
      <c r="S77">
        <f>V77*450</f>
        <v>1800</v>
      </c>
      <c r="T77">
        <f>S77-R77</f>
        <v>1342</v>
      </c>
      <c r="U77" s="39">
        <f>T77/S77</f>
        <v>0.74555555555555553</v>
      </c>
      <c r="V77">
        <f>W77-(Y77+Z77)</f>
        <v>4</v>
      </c>
      <c r="W77">
        <f>7-X77</f>
        <v>4</v>
      </c>
      <c r="X77" s="5">
        <f>COUNTIF(F77:N77,"RD")</f>
        <v>3</v>
      </c>
      <c r="Y77" s="5">
        <f>COUNTIF(F77:M77,"VL")</f>
        <v>0</v>
      </c>
      <c r="Z77" s="5">
        <f>COUNTIF(F77:N77,"LWOP")</f>
        <v>0</v>
      </c>
      <c r="AF77"/>
    </row>
    <row r="78" spans="1:32">
      <c r="A78" s="164" t="s">
        <v>318</v>
      </c>
      <c r="B78" s="156" t="s">
        <v>265</v>
      </c>
      <c r="C78" s="157" t="s">
        <v>266</v>
      </c>
      <c r="D78" s="157" t="s">
        <v>26</v>
      </c>
      <c r="E78" s="158" t="s">
        <v>40</v>
      </c>
      <c r="F78" s="270" t="s">
        <v>148</v>
      </c>
      <c r="G78" s="271" t="s">
        <v>147</v>
      </c>
      <c r="H78" s="271" t="s">
        <v>147</v>
      </c>
      <c r="I78" s="270" t="s">
        <v>148</v>
      </c>
      <c r="J78" s="270" t="s">
        <v>148</v>
      </c>
      <c r="K78" s="270" t="s">
        <v>148</v>
      </c>
      <c r="L78" s="270" t="s">
        <v>148</v>
      </c>
      <c r="M78" s="270" t="s">
        <v>148</v>
      </c>
      <c r="N78" s="271" t="s">
        <v>147</v>
      </c>
      <c r="O78" s="54">
        <f>SUM(F78:N78)</f>
        <v>0</v>
      </c>
      <c r="P78" s="16">
        <f>O78-Q78</f>
        <v>0</v>
      </c>
      <c r="Q78" s="5">
        <f>SUMIF(F78:N78,"450")</f>
        <v>0</v>
      </c>
      <c r="R78" s="16">
        <f>P78+Q78</f>
        <v>0</v>
      </c>
      <c r="S78">
        <f>V78*450</f>
        <v>1800</v>
      </c>
      <c r="T78">
        <f>S78-R78</f>
        <v>1800</v>
      </c>
      <c r="U78" s="39">
        <f>T78/S78</f>
        <v>1</v>
      </c>
      <c r="V78">
        <f>W78-(Y78+Z78)</f>
        <v>4</v>
      </c>
      <c r="W78">
        <f>7-X78</f>
        <v>4</v>
      </c>
      <c r="X78" s="5">
        <f>COUNTIF(F78:N78,"RD")</f>
        <v>3</v>
      </c>
      <c r="Y78" s="5">
        <f>COUNTIF(F78:M78,"VL")</f>
        <v>0</v>
      </c>
      <c r="Z78" s="5">
        <f>COUNTIF(F78:N78,"LWOP")</f>
        <v>0</v>
      </c>
      <c r="AF78"/>
    </row>
    <row r="79" spans="1:32">
      <c r="A79" s="164" t="s">
        <v>217</v>
      </c>
      <c r="B79" s="156" t="s">
        <v>303</v>
      </c>
      <c r="C79" s="157" t="s">
        <v>266</v>
      </c>
      <c r="D79" s="157" t="s">
        <v>26</v>
      </c>
      <c r="E79" s="158" t="s">
        <v>56</v>
      </c>
      <c r="F79" s="270" t="s">
        <v>148</v>
      </c>
      <c r="G79" s="271" t="s">
        <v>147</v>
      </c>
      <c r="H79" s="271" t="s">
        <v>147</v>
      </c>
      <c r="I79" s="270" t="s">
        <v>148</v>
      </c>
      <c r="J79" s="270" t="s">
        <v>148</v>
      </c>
      <c r="K79" s="270" t="s">
        <v>148</v>
      </c>
      <c r="L79" s="270" t="s">
        <v>148</v>
      </c>
      <c r="M79" s="270" t="s">
        <v>148</v>
      </c>
      <c r="N79" s="271" t="s">
        <v>147</v>
      </c>
      <c r="O79" s="54">
        <f>SUM(F79:N79)</f>
        <v>0</v>
      </c>
      <c r="P79" s="16">
        <f>O79-Q79</f>
        <v>0</v>
      </c>
      <c r="Q79" s="5">
        <f>SUMIF(F79:N79,"450")</f>
        <v>0</v>
      </c>
      <c r="R79" s="16">
        <f>P79+Q79</f>
        <v>0</v>
      </c>
      <c r="S79">
        <f>V79*450</f>
        <v>1800</v>
      </c>
      <c r="T79">
        <f>S79-R79</f>
        <v>1800</v>
      </c>
      <c r="U79" s="39">
        <f>T79/S79</f>
        <v>1</v>
      </c>
      <c r="V79">
        <f>W79-(Y79+Z79)</f>
        <v>4</v>
      </c>
      <c r="W79">
        <f>7-X79</f>
        <v>4</v>
      </c>
      <c r="X79" s="5">
        <f>COUNTIF(F79:N79,"RD")</f>
        <v>3</v>
      </c>
      <c r="Y79" s="5">
        <f>COUNTIF(F79:M79,"VL")</f>
        <v>0</v>
      </c>
      <c r="Z79" s="5">
        <f>COUNTIF(F79:N79,"LWOP")</f>
        <v>0</v>
      </c>
      <c r="AF79"/>
    </row>
    <row r="80" spans="1:32">
      <c r="A80" s="164" t="s">
        <v>319</v>
      </c>
      <c r="B80" s="156" t="s">
        <v>265</v>
      </c>
      <c r="C80" s="157" t="s">
        <v>266</v>
      </c>
      <c r="D80" s="157" t="s">
        <v>26</v>
      </c>
      <c r="E80" s="158" t="s">
        <v>40</v>
      </c>
      <c r="F80" s="337">
        <v>450</v>
      </c>
      <c r="G80" s="271" t="s">
        <v>147</v>
      </c>
      <c r="H80" s="271" t="s">
        <v>147</v>
      </c>
      <c r="I80" s="270" t="s">
        <v>148</v>
      </c>
      <c r="J80" s="272">
        <v>50</v>
      </c>
      <c r="K80" s="269">
        <v>450</v>
      </c>
      <c r="L80" s="269">
        <v>450</v>
      </c>
      <c r="M80" s="270" t="s">
        <v>148</v>
      </c>
      <c r="N80" s="271" t="s">
        <v>147</v>
      </c>
      <c r="O80" s="54">
        <f>SUM(F80:N80)</f>
        <v>1400</v>
      </c>
      <c r="P80" s="16">
        <f>O80-Q80</f>
        <v>50</v>
      </c>
      <c r="Q80" s="5">
        <f>SUMIF(F80:N80,"450")</f>
        <v>1350</v>
      </c>
      <c r="R80" s="16">
        <f>P80+Q80</f>
        <v>1400</v>
      </c>
      <c r="S80">
        <f>V80*450</f>
        <v>1800</v>
      </c>
      <c r="T80">
        <f>S80-R80</f>
        <v>400</v>
      </c>
      <c r="U80" s="39">
        <f>T80/S80</f>
        <v>0.22222222222222221</v>
      </c>
      <c r="V80">
        <f>W80-(Y80+Z80)</f>
        <v>4</v>
      </c>
      <c r="W80">
        <f>7-X80</f>
        <v>4</v>
      </c>
      <c r="X80" s="5">
        <f>COUNTIF(F80:N80,"RD")</f>
        <v>3</v>
      </c>
      <c r="Y80" s="5">
        <f>COUNTIF(F80:M80,"VL")</f>
        <v>0</v>
      </c>
      <c r="Z80" s="5">
        <f>COUNTIF(F80:N80,"LWOP")</f>
        <v>0</v>
      </c>
      <c r="AF80"/>
    </row>
    <row r="81" spans="1:32">
      <c r="A81" s="164" t="s">
        <v>320</v>
      </c>
      <c r="B81" s="156" t="s">
        <v>313</v>
      </c>
      <c r="C81" s="157" t="s">
        <v>266</v>
      </c>
      <c r="D81" s="157" t="s">
        <v>26</v>
      </c>
      <c r="E81" s="158" t="s">
        <v>25</v>
      </c>
      <c r="F81" s="270" t="s">
        <v>148</v>
      </c>
      <c r="G81" s="271" t="s">
        <v>147</v>
      </c>
      <c r="H81" s="271" t="s">
        <v>147</v>
      </c>
      <c r="I81" s="270" t="s">
        <v>148</v>
      </c>
      <c r="J81" s="270" t="s">
        <v>148</v>
      </c>
      <c r="K81" s="270" t="s">
        <v>148</v>
      </c>
      <c r="L81" s="270" t="s">
        <v>148</v>
      </c>
      <c r="M81" s="270" t="s">
        <v>148</v>
      </c>
      <c r="N81" s="271" t="s">
        <v>147</v>
      </c>
      <c r="O81" s="54">
        <f>SUM(F81:N81)</f>
        <v>0</v>
      </c>
      <c r="P81" s="16">
        <f>O81-Q81</f>
        <v>0</v>
      </c>
      <c r="Q81" s="5">
        <f>SUMIF(F81:N81,"450")</f>
        <v>0</v>
      </c>
      <c r="R81" s="16">
        <f>P81+Q81</f>
        <v>0</v>
      </c>
      <c r="S81">
        <f>V81*450</f>
        <v>1800</v>
      </c>
      <c r="T81">
        <f>S81-R81</f>
        <v>1800</v>
      </c>
      <c r="U81" s="39">
        <f>T81/S81</f>
        <v>1</v>
      </c>
      <c r="V81">
        <f>W81-(Y81+Z81)</f>
        <v>4</v>
      </c>
      <c r="W81">
        <f>7-X81</f>
        <v>4</v>
      </c>
      <c r="X81" s="5">
        <f>COUNTIF(F81:N81,"RD")</f>
        <v>3</v>
      </c>
      <c r="Y81" s="5">
        <f>COUNTIF(F81:M81,"VL")</f>
        <v>0</v>
      </c>
      <c r="Z81" s="5">
        <f>COUNTIF(F81:N81,"LWOP")</f>
        <v>0</v>
      </c>
      <c r="AF81"/>
    </row>
    <row r="82" spans="1:32">
      <c r="A82" s="164" t="s">
        <v>321</v>
      </c>
      <c r="B82" s="156" t="s">
        <v>265</v>
      </c>
      <c r="C82" s="157" t="s">
        <v>266</v>
      </c>
      <c r="D82" s="157" t="s">
        <v>26</v>
      </c>
      <c r="E82" s="158" t="s">
        <v>25</v>
      </c>
      <c r="F82" s="270" t="s">
        <v>148</v>
      </c>
      <c r="G82" s="271" t="s">
        <v>147</v>
      </c>
      <c r="H82" s="271" t="s">
        <v>147</v>
      </c>
      <c r="I82" s="270" t="s">
        <v>148</v>
      </c>
      <c r="J82" s="270" t="s">
        <v>148</v>
      </c>
      <c r="K82" s="270" t="s">
        <v>148</v>
      </c>
      <c r="L82" s="270" t="s">
        <v>148</v>
      </c>
      <c r="M82" s="270" t="s">
        <v>148</v>
      </c>
      <c r="N82" s="271" t="s">
        <v>147</v>
      </c>
      <c r="O82" s="54">
        <f>SUM(F82:N82)</f>
        <v>0</v>
      </c>
      <c r="P82" s="16">
        <f>O82-Q82</f>
        <v>0</v>
      </c>
      <c r="Q82" s="5">
        <f>SUMIF(F82:N82,"450")</f>
        <v>0</v>
      </c>
      <c r="R82" s="16">
        <f>P82+Q82</f>
        <v>0</v>
      </c>
      <c r="S82">
        <f>V82*450</f>
        <v>1800</v>
      </c>
      <c r="T82">
        <f>S82-R82</f>
        <v>1800</v>
      </c>
      <c r="U82" s="39">
        <f>T82/S82</f>
        <v>1</v>
      </c>
      <c r="V82">
        <f>W82-(Y82+Z82)</f>
        <v>4</v>
      </c>
      <c r="W82">
        <f>7-X82</f>
        <v>4</v>
      </c>
      <c r="X82" s="5">
        <f>COUNTIF(F82:N82,"RD")</f>
        <v>3</v>
      </c>
      <c r="Y82" s="5">
        <f>COUNTIF(F82:M82,"VL")</f>
        <v>0</v>
      </c>
      <c r="Z82" s="5">
        <f>COUNTIF(F82:N82,"LWOP")</f>
        <v>0</v>
      </c>
      <c r="AF82"/>
    </row>
    <row r="83" spans="1:32">
      <c r="A83" s="164" t="s">
        <v>68</v>
      </c>
      <c r="B83" s="156" t="s">
        <v>322</v>
      </c>
      <c r="C83" s="157" t="s">
        <v>316</v>
      </c>
      <c r="D83" s="157" t="s">
        <v>26</v>
      </c>
      <c r="E83" s="158" t="s">
        <v>25</v>
      </c>
      <c r="F83" s="272">
        <v>6</v>
      </c>
      <c r="G83" s="271" t="s">
        <v>147</v>
      </c>
      <c r="H83" s="271" t="s">
        <v>147</v>
      </c>
      <c r="I83" s="270" t="s">
        <v>148</v>
      </c>
      <c r="J83" s="270" t="s">
        <v>148</v>
      </c>
      <c r="K83" s="270" t="s">
        <v>148</v>
      </c>
      <c r="L83" s="272">
        <v>3</v>
      </c>
      <c r="M83" s="270" t="s">
        <v>148</v>
      </c>
      <c r="N83" s="271" t="s">
        <v>147</v>
      </c>
      <c r="O83" s="54">
        <f>SUM(F83:N83)</f>
        <v>9</v>
      </c>
      <c r="P83" s="16">
        <f>O83-Q83</f>
        <v>9</v>
      </c>
      <c r="Q83" s="5">
        <f>SUMIF(F83:N83,"450")</f>
        <v>0</v>
      </c>
      <c r="R83" s="16">
        <f>P83+Q83</f>
        <v>9</v>
      </c>
      <c r="S83">
        <f>V83*450</f>
        <v>1800</v>
      </c>
      <c r="T83">
        <f>S83-R83</f>
        <v>1791</v>
      </c>
      <c r="U83" s="39">
        <f>T83/S83</f>
        <v>0.995</v>
      </c>
      <c r="V83">
        <f>W83-(Y83+Z83)</f>
        <v>4</v>
      </c>
      <c r="W83">
        <f>7-X83</f>
        <v>4</v>
      </c>
      <c r="X83" s="5">
        <f>COUNTIF(F83:N83,"RD")</f>
        <v>3</v>
      </c>
      <c r="Y83" s="5">
        <f>COUNTIF(F83:M83,"VL")</f>
        <v>0</v>
      </c>
      <c r="Z83" s="5">
        <f>COUNTIF(F83:N83,"LWOP")</f>
        <v>0</v>
      </c>
      <c r="AF83"/>
    </row>
    <row r="84" spans="1:32">
      <c r="A84" s="164" t="s">
        <v>71</v>
      </c>
      <c r="B84" s="156" t="s">
        <v>300</v>
      </c>
      <c r="C84" s="157" t="s">
        <v>266</v>
      </c>
      <c r="D84" s="157" t="s">
        <v>26</v>
      </c>
      <c r="E84" s="158" t="s">
        <v>40</v>
      </c>
      <c r="F84" s="270" t="s">
        <v>148</v>
      </c>
      <c r="G84" s="271" t="s">
        <v>147</v>
      </c>
      <c r="H84" s="271" t="s">
        <v>147</v>
      </c>
      <c r="I84" s="270" t="s">
        <v>148</v>
      </c>
      <c r="J84" s="270" t="s">
        <v>148</v>
      </c>
      <c r="K84" s="270" t="s">
        <v>148</v>
      </c>
      <c r="L84" s="270" t="s">
        <v>148</v>
      </c>
      <c r="M84" s="269">
        <v>450</v>
      </c>
      <c r="N84" s="271" t="s">
        <v>147</v>
      </c>
      <c r="O84" s="54">
        <f>SUM(F84:N84)</f>
        <v>450</v>
      </c>
      <c r="P84" s="16">
        <f>O84-Q84</f>
        <v>0</v>
      </c>
      <c r="Q84" s="5">
        <f>SUMIF(F84:N84,"450")</f>
        <v>450</v>
      </c>
      <c r="R84" s="16">
        <f>P84+Q84</f>
        <v>450</v>
      </c>
      <c r="S84">
        <f>V84*450</f>
        <v>1800</v>
      </c>
      <c r="T84">
        <f>S84-R84</f>
        <v>1350</v>
      </c>
      <c r="U84" s="39">
        <f>T84/S84</f>
        <v>0.75</v>
      </c>
      <c r="V84">
        <f>W84-(Y84+Z84)</f>
        <v>4</v>
      </c>
      <c r="W84">
        <f>7-X84</f>
        <v>4</v>
      </c>
      <c r="X84" s="5">
        <f>COUNTIF(F84:N84,"RD")</f>
        <v>3</v>
      </c>
      <c r="Y84" s="5">
        <f>COUNTIF(F84:M84,"VL")</f>
        <v>0</v>
      </c>
      <c r="Z84" s="5">
        <f>COUNTIF(F84:N84,"LWOP")</f>
        <v>0</v>
      </c>
      <c r="AF84"/>
    </row>
    <row r="85" spans="1:32">
      <c r="A85" s="164" t="s">
        <v>73</v>
      </c>
      <c r="B85" s="156" t="s">
        <v>300</v>
      </c>
      <c r="C85" s="157" t="s">
        <v>266</v>
      </c>
      <c r="D85" s="157" t="s">
        <v>26</v>
      </c>
      <c r="E85" s="158" t="s">
        <v>40</v>
      </c>
      <c r="F85" s="308" t="s">
        <v>12</v>
      </c>
      <c r="G85" s="271" t="s">
        <v>147</v>
      </c>
      <c r="H85" s="271" t="s">
        <v>147</v>
      </c>
      <c r="I85" s="270" t="s">
        <v>148</v>
      </c>
      <c r="J85" s="270" t="s">
        <v>148</v>
      </c>
      <c r="K85" s="272">
        <v>4</v>
      </c>
      <c r="L85" s="272">
        <v>25</v>
      </c>
      <c r="M85" s="270" t="s">
        <v>148</v>
      </c>
      <c r="N85" s="271" t="s">
        <v>147</v>
      </c>
      <c r="O85" s="54">
        <f>SUM(F85:N85)</f>
        <v>29</v>
      </c>
      <c r="P85" s="16">
        <f>O85-Q85</f>
        <v>29</v>
      </c>
      <c r="Q85" s="5">
        <f>SUMIF(F85:N85,"450")</f>
        <v>0</v>
      </c>
      <c r="R85" s="16">
        <f>P85+Q85</f>
        <v>29</v>
      </c>
      <c r="S85">
        <f>V85*450</f>
        <v>1350</v>
      </c>
      <c r="T85">
        <f>S85-R85</f>
        <v>1321</v>
      </c>
      <c r="U85" s="39">
        <f>T85/S85</f>
        <v>0.97851851851851857</v>
      </c>
      <c r="V85">
        <f>W85-(Y85+Z85)</f>
        <v>3</v>
      </c>
      <c r="W85">
        <f>7-X85</f>
        <v>4</v>
      </c>
      <c r="X85" s="5">
        <f>COUNTIF(F85:N85,"RD")</f>
        <v>3</v>
      </c>
      <c r="Y85" s="5">
        <f>COUNTIF(F85:M85,"VL")</f>
        <v>1</v>
      </c>
      <c r="Z85" s="5">
        <f>COUNTIF(F85:N85,"LWOP")</f>
        <v>0</v>
      </c>
      <c r="AF85"/>
    </row>
    <row r="86" spans="1:32">
      <c r="A86" s="164" t="s">
        <v>323</v>
      </c>
      <c r="B86" s="156" t="s">
        <v>265</v>
      </c>
      <c r="C86" s="157" t="s">
        <v>316</v>
      </c>
      <c r="D86" s="157" t="s">
        <v>26</v>
      </c>
      <c r="E86" s="158" t="s">
        <v>40</v>
      </c>
      <c r="F86" s="270" t="s">
        <v>148</v>
      </c>
      <c r="G86" s="270" t="s">
        <v>148</v>
      </c>
      <c r="H86" s="270" t="s">
        <v>148</v>
      </c>
      <c r="I86" s="270" t="s">
        <v>148</v>
      </c>
      <c r="J86" s="270" t="s">
        <v>148</v>
      </c>
      <c r="K86" s="271" t="s">
        <v>147</v>
      </c>
      <c r="L86" s="271" t="s">
        <v>147</v>
      </c>
      <c r="M86" s="270" t="s">
        <v>148</v>
      </c>
      <c r="N86" s="270" t="s">
        <v>148</v>
      </c>
      <c r="O86" s="54">
        <f>SUM(F86:N86)</f>
        <v>0</v>
      </c>
      <c r="P86" s="16">
        <f>O86-Q86</f>
        <v>0</v>
      </c>
      <c r="Q86" s="5">
        <f>SUMIF(F86:N86,"450")</f>
        <v>0</v>
      </c>
      <c r="R86" s="16">
        <f>P86+Q86</f>
        <v>0</v>
      </c>
      <c r="S86">
        <f>V86*450</f>
        <v>2250</v>
      </c>
      <c r="T86">
        <f>S86-R86</f>
        <v>2250</v>
      </c>
      <c r="U86" s="39">
        <f>T86/S86</f>
        <v>1</v>
      </c>
      <c r="V86">
        <f>W86-(Y86+Z86)</f>
        <v>5</v>
      </c>
      <c r="W86">
        <f>7-X86</f>
        <v>5</v>
      </c>
      <c r="X86" s="5">
        <f>COUNTIF(F86:N86,"RD")</f>
        <v>2</v>
      </c>
      <c r="Y86" s="5">
        <f>COUNTIF(F86:M86,"VL")</f>
        <v>0</v>
      </c>
      <c r="Z86" s="5">
        <f>COUNTIF(F86:N86,"LWOP")</f>
        <v>0</v>
      </c>
      <c r="AF86"/>
    </row>
    <row r="87" spans="1:32">
      <c r="A87" s="164" t="s">
        <v>78</v>
      </c>
      <c r="B87" s="156" t="s">
        <v>300</v>
      </c>
      <c r="C87" s="157" t="s">
        <v>266</v>
      </c>
      <c r="D87" s="157" t="s">
        <v>26</v>
      </c>
      <c r="E87" s="158" t="s">
        <v>33</v>
      </c>
      <c r="F87" s="270" t="s">
        <v>148</v>
      </c>
      <c r="G87" s="271" t="s">
        <v>147</v>
      </c>
      <c r="H87" s="271" t="s">
        <v>147</v>
      </c>
      <c r="I87" s="270" t="s">
        <v>148</v>
      </c>
      <c r="J87" s="270" t="s">
        <v>148</v>
      </c>
      <c r="K87" s="270" t="s">
        <v>148</v>
      </c>
      <c r="L87" s="270" t="s">
        <v>148</v>
      </c>
      <c r="M87" s="270" t="s">
        <v>148</v>
      </c>
      <c r="N87" s="271" t="s">
        <v>147</v>
      </c>
      <c r="O87" s="54">
        <f>SUM(F87:N87)</f>
        <v>0</v>
      </c>
      <c r="P87" s="16">
        <f>O87-Q87</f>
        <v>0</v>
      </c>
      <c r="Q87" s="5">
        <f>SUMIF(F87:N87,"450")</f>
        <v>0</v>
      </c>
      <c r="R87" s="16">
        <f>P87+Q87</f>
        <v>0</v>
      </c>
      <c r="S87">
        <f>V87*450</f>
        <v>1800</v>
      </c>
      <c r="T87">
        <f>S87-R87</f>
        <v>1800</v>
      </c>
      <c r="U87" s="39">
        <f>T87/S87</f>
        <v>1</v>
      </c>
      <c r="V87">
        <f>W87-(Y87+Z87)</f>
        <v>4</v>
      </c>
      <c r="W87">
        <f>7-X87</f>
        <v>4</v>
      </c>
      <c r="X87" s="5">
        <f>COUNTIF(F87:N87,"RD")</f>
        <v>3</v>
      </c>
      <c r="Y87" s="5">
        <f>COUNTIF(F87:M87,"VL")</f>
        <v>0</v>
      </c>
      <c r="Z87" s="5">
        <f>COUNTIF(F87:N87,"LWOP")</f>
        <v>0</v>
      </c>
      <c r="AF87"/>
    </row>
    <row r="88" spans="1:32">
      <c r="A88" s="164" t="s">
        <v>80</v>
      </c>
      <c r="B88" s="156" t="s">
        <v>303</v>
      </c>
      <c r="C88" s="157" t="s">
        <v>266</v>
      </c>
      <c r="D88" s="157" t="s">
        <v>26</v>
      </c>
      <c r="E88" s="158" t="s">
        <v>56</v>
      </c>
      <c r="F88" s="270" t="s">
        <v>148</v>
      </c>
      <c r="G88" s="270" t="s">
        <v>148</v>
      </c>
      <c r="H88" s="270" t="s">
        <v>148</v>
      </c>
      <c r="I88" s="270" t="s">
        <v>148</v>
      </c>
      <c r="J88" s="271" t="s">
        <v>147</v>
      </c>
      <c r="K88" s="271" t="s">
        <v>147</v>
      </c>
      <c r="L88" s="270" t="s">
        <v>148</v>
      </c>
      <c r="M88" s="269">
        <v>450</v>
      </c>
      <c r="N88" s="270" t="s">
        <v>148</v>
      </c>
      <c r="O88" s="54">
        <f>SUM(F88:N88)</f>
        <v>450</v>
      </c>
      <c r="P88" s="16">
        <f>O88-Q88</f>
        <v>0</v>
      </c>
      <c r="Q88" s="5">
        <f>SUMIF(F88:N88,"450")</f>
        <v>450</v>
      </c>
      <c r="R88" s="16">
        <f>P88+Q88</f>
        <v>450</v>
      </c>
      <c r="S88">
        <f>V88*450</f>
        <v>2250</v>
      </c>
      <c r="T88">
        <f>S88-R88</f>
        <v>1800</v>
      </c>
      <c r="U88" s="39">
        <f>T88/S88</f>
        <v>0.8</v>
      </c>
      <c r="V88">
        <f>W88-(Y88+Z88)</f>
        <v>5</v>
      </c>
      <c r="W88">
        <f>7-X88</f>
        <v>5</v>
      </c>
      <c r="X88" s="5">
        <f>COUNTIF(F88:N88,"RD")</f>
        <v>2</v>
      </c>
      <c r="Y88" s="5">
        <f>COUNTIF(F88:M88,"VL")</f>
        <v>0</v>
      </c>
      <c r="Z88" s="5">
        <f>COUNTIF(F88:N88,"LWOP")</f>
        <v>0</v>
      </c>
      <c r="AF88"/>
    </row>
    <row r="89" spans="1:32">
      <c r="A89" s="164" t="s">
        <v>324</v>
      </c>
      <c r="B89" s="156" t="s">
        <v>325</v>
      </c>
      <c r="C89" s="157" t="s">
        <v>266</v>
      </c>
      <c r="D89" s="157" t="s">
        <v>26</v>
      </c>
      <c r="E89" s="158" t="s">
        <v>33</v>
      </c>
      <c r="F89" s="270" t="s">
        <v>148</v>
      </c>
      <c r="G89" s="271" t="s">
        <v>147</v>
      </c>
      <c r="H89" s="271" t="s">
        <v>147</v>
      </c>
      <c r="I89" s="270" t="s">
        <v>148</v>
      </c>
      <c r="J89" s="270" t="s">
        <v>148</v>
      </c>
      <c r="K89" s="270" t="s">
        <v>148</v>
      </c>
      <c r="L89" s="270" t="s">
        <v>148</v>
      </c>
      <c r="M89" s="308" t="s">
        <v>12</v>
      </c>
      <c r="N89" s="271" t="s">
        <v>147</v>
      </c>
      <c r="O89" s="54">
        <f>SUM(F89:N89)</f>
        <v>0</v>
      </c>
      <c r="P89" s="16">
        <f>O89-Q89</f>
        <v>0</v>
      </c>
      <c r="Q89" s="5">
        <f>SUMIF(F89:N89,"450")</f>
        <v>0</v>
      </c>
      <c r="R89" s="16">
        <f>P89+Q89</f>
        <v>0</v>
      </c>
      <c r="S89">
        <f>V89*450</f>
        <v>1350</v>
      </c>
      <c r="T89">
        <f>S89-R89</f>
        <v>1350</v>
      </c>
      <c r="U89" s="39">
        <f>T89/S89</f>
        <v>1</v>
      </c>
      <c r="V89">
        <f>W89-(Y89+Z89)</f>
        <v>3</v>
      </c>
      <c r="W89">
        <f>7-X89</f>
        <v>4</v>
      </c>
      <c r="X89" s="5">
        <f>COUNTIF(F89:N89,"RD")</f>
        <v>3</v>
      </c>
      <c r="Y89" s="5">
        <f>COUNTIF(F89:M89,"VL")</f>
        <v>1</v>
      </c>
      <c r="Z89" s="5">
        <f>COUNTIF(F89:N89,"LWOP")</f>
        <v>0</v>
      </c>
      <c r="AF89"/>
    </row>
    <row r="90" spans="1:32">
      <c r="A90" s="164" t="s">
        <v>326</v>
      </c>
      <c r="B90" s="156" t="s">
        <v>300</v>
      </c>
      <c r="C90" s="157" t="s">
        <v>316</v>
      </c>
      <c r="D90" s="157" t="s">
        <v>26</v>
      </c>
      <c r="E90" s="158" t="s">
        <v>40</v>
      </c>
      <c r="F90" s="270" t="s">
        <v>148</v>
      </c>
      <c r="G90" s="270" t="s">
        <v>148</v>
      </c>
      <c r="H90" s="270" t="s">
        <v>148</v>
      </c>
      <c r="I90" s="270" t="s">
        <v>148</v>
      </c>
      <c r="J90" s="272">
        <v>23</v>
      </c>
      <c r="K90" s="271" t="s">
        <v>147</v>
      </c>
      <c r="L90" s="271" t="s">
        <v>147</v>
      </c>
      <c r="M90" s="270" t="s">
        <v>148</v>
      </c>
      <c r="N90" s="270" t="s">
        <v>148</v>
      </c>
      <c r="O90" s="54">
        <f>SUM(F90:N90)</f>
        <v>23</v>
      </c>
      <c r="P90" s="16">
        <f>O90-Q90</f>
        <v>23</v>
      </c>
      <c r="Q90" s="5">
        <f>SUMIF(F90:N90,"450")</f>
        <v>0</v>
      </c>
      <c r="R90" s="16">
        <f>P90+Q90</f>
        <v>23</v>
      </c>
      <c r="S90">
        <f>V90*450</f>
        <v>2250</v>
      </c>
      <c r="T90">
        <f>S90-R90</f>
        <v>2227</v>
      </c>
      <c r="U90" s="39">
        <f>T90/S90</f>
        <v>0.98977777777777776</v>
      </c>
      <c r="V90">
        <f>W90-(Y90+Z90)</f>
        <v>5</v>
      </c>
      <c r="W90">
        <f>7-X90</f>
        <v>5</v>
      </c>
      <c r="X90" s="5">
        <f>COUNTIF(F90:N90,"RD")</f>
        <v>2</v>
      </c>
      <c r="Y90" s="5">
        <f>COUNTIF(F90:M90,"VL")</f>
        <v>0</v>
      </c>
      <c r="Z90" s="5">
        <f>COUNTIF(F90:N90,"LWOP")</f>
        <v>0</v>
      </c>
      <c r="AF90"/>
    </row>
    <row r="91" spans="1:32">
      <c r="A91" s="164" t="s">
        <v>87</v>
      </c>
      <c r="B91" s="156" t="s">
        <v>265</v>
      </c>
      <c r="C91" s="157" t="s">
        <v>266</v>
      </c>
      <c r="D91" s="157" t="s">
        <v>26</v>
      </c>
      <c r="E91" s="158" t="s">
        <v>56</v>
      </c>
      <c r="F91" s="270" t="s">
        <v>148</v>
      </c>
      <c r="G91" s="271" t="s">
        <v>147</v>
      </c>
      <c r="H91" s="271" t="s">
        <v>147</v>
      </c>
      <c r="I91" s="270" t="s">
        <v>148</v>
      </c>
      <c r="J91" s="270" t="s">
        <v>148</v>
      </c>
      <c r="K91" s="272">
        <v>9</v>
      </c>
      <c r="L91" s="270" t="s">
        <v>148</v>
      </c>
      <c r="M91" s="270" t="s">
        <v>148</v>
      </c>
      <c r="N91" s="271" t="s">
        <v>147</v>
      </c>
      <c r="O91" s="54">
        <f>SUM(F91:N91)</f>
        <v>9</v>
      </c>
      <c r="P91" s="16">
        <f>O91-Q91</f>
        <v>9</v>
      </c>
      <c r="Q91" s="5">
        <f>SUMIF(F91:N91,"450")</f>
        <v>0</v>
      </c>
      <c r="R91" s="16">
        <f>P91+Q91</f>
        <v>9</v>
      </c>
      <c r="S91">
        <f>V91*450</f>
        <v>1800</v>
      </c>
      <c r="T91">
        <f>S91-R91</f>
        <v>1791</v>
      </c>
      <c r="U91" s="39">
        <f>T91/S91</f>
        <v>0.995</v>
      </c>
      <c r="V91">
        <f>W91-(Y91+Z91)</f>
        <v>4</v>
      </c>
      <c r="W91">
        <f>7-X91</f>
        <v>4</v>
      </c>
      <c r="X91" s="5">
        <f>COUNTIF(F91:N91,"RD")</f>
        <v>3</v>
      </c>
      <c r="Y91" s="5">
        <f>COUNTIF(F91:M91,"VL")</f>
        <v>0</v>
      </c>
      <c r="Z91" s="5">
        <f>COUNTIF(F91:N91,"LWOP")</f>
        <v>0</v>
      </c>
      <c r="AF91"/>
    </row>
    <row r="92" spans="1:32">
      <c r="A92" s="335" t="s">
        <v>327</v>
      </c>
      <c r="B92" s="156" t="s">
        <v>265</v>
      </c>
      <c r="C92" s="157" t="s">
        <v>307</v>
      </c>
      <c r="D92" s="157" t="s">
        <v>26</v>
      </c>
      <c r="E92" s="158" t="s">
        <v>56</v>
      </c>
      <c r="F92" s="270" t="s">
        <v>148</v>
      </c>
      <c r="G92" s="270" t="s">
        <v>148</v>
      </c>
      <c r="H92" s="270" t="s">
        <v>148</v>
      </c>
      <c r="I92" s="270" t="s">
        <v>148</v>
      </c>
      <c r="J92" s="271" t="s">
        <v>147</v>
      </c>
      <c r="K92" s="271" t="s">
        <v>147</v>
      </c>
      <c r="L92" s="270" t="s">
        <v>148</v>
      </c>
      <c r="M92" s="270" t="s">
        <v>148</v>
      </c>
      <c r="N92" s="270" t="s">
        <v>148</v>
      </c>
      <c r="O92" s="54">
        <f>SUM(F92:N92)</f>
        <v>0</v>
      </c>
      <c r="P92" s="16">
        <f>O92-Q92</f>
        <v>0</v>
      </c>
      <c r="Q92" s="5">
        <f>SUMIF(F92:N92,"450")</f>
        <v>0</v>
      </c>
      <c r="R92" s="16">
        <f>P92+Q92</f>
        <v>0</v>
      </c>
      <c r="S92">
        <f>V92*450</f>
        <v>2250</v>
      </c>
      <c r="T92">
        <f>S92-R92</f>
        <v>2250</v>
      </c>
      <c r="U92" s="39">
        <f>T92/S92</f>
        <v>1</v>
      </c>
      <c r="V92">
        <f>W92-(Y92+Z92)</f>
        <v>5</v>
      </c>
      <c r="W92">
        <f>7-X92</f>
        <v>5</v>
      </c>
      <c r="X92" s="5">
        <f>COUNTIF(F92:N92,"RD")</f>
        <v>2</v>
      </c>
      <c r="Y92" s="5">
        <f>COUNTIF(F92:M92,"VL")</f>
        <v>0</v>
      </c>
      <c r="Z92" s="5">
        <f>COUNTIF(F92:N92,"LWOP")</f>
        <v>0</v>
      </c>
      <c r="AF92"/>
    </row>
    <row r="93" spans="1:32">
      <c r="A93" s="336" t="s">
        <v>93</v>
      </c>
      <c r="B93" s="156" t="s">
        <v>313</v>
      </c>
      <c r="C93" s="157" t="s">
        <v>266</v>
      </c>
      <c r="D93" s="157" t="s">
        <v>26</v>
      </c>
      <c r="E93" s="158" t="s">
        <v>40</v>
      </c>
      <c r="F93" s="270" t="s">
        <v>148</v>
      </c>
      <c r="G93" s="271" t="s">
        <v>147</v>
      </c>
      <c r="H93" s="271" t="s">
        <v>147</v>
      </c>
      <c r="I93" s="270" t="s">
        <v>148</v>
      </c>
      <c r="J93" s="270" t="s">
        <v>148</v>
      </c>
      <c r="K93" s="270" t="s">
        <v>148</v>
      </c>
      <c r="L93" s="270" t="s">
        <v>148</v>
      </c>
      <c r="M93" s="270" t="s">
        <v>148</v>
      </c>
      <c r="N93" s="271" t="s">
        <v>147</v>
      </c>
      <c r="O93" s="54">
        <f>SUM(F93:N93)</f>
        <v>0</v>
      </c>
      <c r="P93" s="16">
        <f>O93-Q93</f>
        <v>0</v>
      </c>
      <c r="Q93" s="5">
        <f>SUMIF(F93:N93,"450")</f>
        <v>0</v>
      </c>
      <c r="R93" s="16">
        <f>P93+Q93</f>
        <v>0</v>
      </c>
      <c r="S93">
        <f>V93*450</f>
        <v>1800</v>
      </c>
      <c r="T93">
        <f>S93-R93</f>
        <v>1800</v>
      </c>
      <c r="U93" s="39">
        <f>T93/S93</f>
        <v>1</v>
      </c>
      <c r="V93">
        <f>W93-(Y93+Z93)</f>
        <v>4</v>
      </c>
      <c r="W93">
        <f>7-X93</f>
        <v>4</v>
      </c>
      <c r="X93" s="5">
        <f>COUNTIF(F93:N93,"RD")</f>
        <v>3</v>
      </c>
      <c r="Y93" s="5">
        <f>COUNTIF(F93:M93,"VL")</f>
        <v>0</v>
      </c>
      <c r="Z93" s="5">
        <f>COUNTIF(F93:N93,"LWOP")</f>
        <v>0</v>
      </c>
      <c r="AF93"/>
    </row>
    <row r="94" spans="1:32">
      <c r="A94" s="339" t="s">
        <v>328</v>
      </c>
      <c r="B94" s="156" t="s">
        <v>303</v>
      </c>
      <c r="C94" s="157" t="s">
        <v>266</v>
      </c>
      <c r="D94" s="157" t="s">
        <v>26</v>
      </c>
      <c r="E94" s="158" t="s">
        <v>30</v>
      </c>
      <c r="F94" s="270" t="s">
        <v>148</v>
      </c>
      <c r="G94" s="271" t="s">
        <v>147</v>
      </c>
      <c r="H94" s="271" t="s">
        <v>147</v>
      </c>
      <c r="I94" s="270" t="s">
        <v>148</v>
      </c>
      <c r="J94" s="269">
        <v>450</v>
      </c>
      <c r="K94" s="269">
        <v>450</v>
      </c>
      <c r="L94" s="269">
        <v>450</v>
      </c>
      <c r="M94" s="269">
        <v>450</v>
      </c>
      <c r="N94" s="271" t="s">
        <v>147</v>
      </c>
      <c r="O94" s="54">
        <f>SUM(F94:N94)</f>
        <v>1800</v>
      </c>
      <c r="P94" s="16">
        <f>O94-Q94</f>
        <v>0</v>
      </c>
      <c r="Q94" s="5">
        <f>SUMIF(F94:N94,"450")</f>
        <v>1800</v>
      </c>
      <c r="R94" s="16">
        <f>P94+Q94</f>
        <v>1800</v>
      </c>
      <c r="S94">
        <f>V94*450</f>
        <v>1800</v>
      </c>
      <c r="T94">
        <f>S94-R94</f>
        <v>0</v>
      </c>
      <c r="U94" s="39">
        <f>T94/S94</f>
        <v>0</v>
      </c>
      <c r="V94">
        <f>W94-(Y94+Z94)</f>
        <v>4</v>
      </c>
      <c r="W94">
        <f>7-X94</f>
        <v>4</v>
      </c>
      <c r="X94" s="5">
        <f>COUNTIF(F94:N94,"RD")</f>
        <v>3</v>
      </c>
      <c r="Y94" s="5">
        <f>COUNTIF(F94:M94,"VL")</f>
        <v>0</v>
      </c>
      <c r="Z94" s="5">
        <f>COUNTIF(F94:N94,"LWOP")</f>
        <v>0</v>
      </c>
      <c r="AF94"/>
    </row>
    <row r="95" spans="1:32">
      <c r="A95" s="336" t="s">
        <v>329</v>
      </c>
      <c r="B95" s="156" t="s">
        <v>303</v>
      </c>
      <c r="C95" s="157" t="s">
        <v>266</v>
      </c>
      <c r="D95" s="157" t="s">
        <v>26</v>
      </c>
      <c r="E95" s="158" t="s">
        <v>30</v>
      </c>
      <c r="F95" s="270" t="s">
        <v>148</v>
      </c>
      <c r="G95" s="271" t="s">
        <v>147</v>
      </c>
      <c r="H95" s="271" t="s">
        <v>147</v>
      </c>
      <c r="I95" s="270" t="s">
        <v>148</v>
      </c>
      <c r="J95" s="270" t="s">
        <v>148</v>
      </c>
      <c r="K95" s="270" t="s">
        <v>148</v>
      </c>
      <c r="L95" s="270" t="s">
        <v>148</v>
      </c>
      <c r="M95" s="270" t="s">
        <v>148</v>
      </c>
      <c r="N95" s="271" t="s">
        <v>147</v>
      </c>
      <c r="O95" s="54">
        <f>SUM(F95:N95)</f>
        <v>0</v>
      </c>
      <c r="P95" s="16">
        <f>O95-Q95</f>
        <v>0</v>
      </c>
      <c r="Q95" s="5">
        <f>SUMIF(F95:N95,"450")</f>
        <v>0</v>
      </c>
      <c r="R95" s="16">
        <f>P95+Q95</f>
        <v>0</v>
      </c>
      <c r="S95">
        <f>V95*450</f>
        <v>1800</v>
      </c>
      <c r="T95">
        <f>S95-R95</f>
        <v>1800</v>
      </c>
      <c r="U95" s="39">
        <f>T95/S95</f>
        <v>1</v>
      </c>
      <c r="V95">
        <f>W95-(Y95+Z95)</f>
        <v>4</v>
      </c>
      <c r="W95">
        <f>7-X95</f>
        <v>4</v>
      </c>
      <c r="X95" s="5">
        <f>COUNTIF(F95:N95,"RD")</f>
        <v>3</v>
      </c>
      <c r="Y95" s="5">
        <f>COUNTIF(F95:M95,"VL")</f>
        <v>0</v>
      </c>
      <c r="Z95" s="5">
        <f>COUNTIF(F95:N95,"LWOP")</f>
        <v>0</v>
      </c>
      <c r="AF95"/>
    </row>
    <row r="96" spans="1:32">
      <c r="A96" s="162" t="s">
        <v>330</v>
      </c>
      <c r="B96" s="156" t="s">
        <v>303</v>
      </c>
      <c r="C96" s="157" t="s">
        <v>266</v>
      </c>
      <c r="D96" s="157" t="s">
        <v>26</v>
      </c>
      <c r="E96" s="158" t="s">
        <v>40</v>
      </c>
      <c r="F96" s="270" t="s">
        <v>148</v>
      </c>
      <c r="G96" s="270" t="s">
        <v>148</v>
      </c>
      <c r="H96" s="270" t="s">
        <v>148</v>
      </c>
      <c r="I96" s="270" t="s">
        <v>148</v>
      </c>
      <c r="J96" s="271" t="s">
        <v>147</v>
      </c>
      <c r="K96" s="271" t="s">
        <v>147</v>
      </c>
      <c r="L96" s="270" t="s">
        <v>148</v>
      </c>
      <c r="M96" s="270" t="s">
        <v>148</v>
      </c>
      <c r="N96" s="270" t="s">
        <v>148</v>
      </c>
      <c r="O96" s="54">
        <f>SUM(F96:N96)</f>
        <v>0</v>
      </c>
      <c r="P96" s="16">
        <f>O96-Q96</f>
        <v>0</v>
      </c>
      <c r="Q96" s="5">
        <f>SUMIF(F96:N96,"450")</f>
        <v>0</v>
      </c>
      <c r="R96" s="16">
        <f>P96+Q96</f>
        <v>0</v>
      </c>
      <c r="S96">
        <f>V96*450</f>
        <v>2250</v>
      </c>
      <c r="T96">
        <f>S96-R96</f>
        <v>2250</v>
      </c>
      <c r="U96" s="39">
        <f>T96/S96</f>
        <v>1</v>
      </c>
      <c r="V96">
        <f>W96-(Y96+Z96)</f>
        <v>5</v>
      </c>
      <c r="W96">
        <f>7-X96</f>
        <v>5</v>
      </c>
      <c r="X96" s="5">
        <f>COUNTIF(F96:N96,"RD")</f>
        <v>2</v>
      </c>
      <c r="Y96" s="5">
        <f>COUNTIF(F96:M96,"VL")</f>
        <v>0</v>
      </c>
      <c r="Z96" s="5">
        <f>COUNTIF(F96:N96,"LWOP")</f>
        <v>0</v>
      </c>
    </row>
    <row r="97" spans="1:26">
      <c r="A97" s="162" t="s">
        <v>331</v>
      </c>
      <c r="B97" s="156" t="s">
        <v>332</v>
      </c>
      <c r="C97" s="157" t="s">
        <v>304</v>
      </c>
      <c r="D97" s="157" t="s">
        <v>26</v>
      </c>
      <c r="E97" s="158" t="s">
        <v>40</v>
      </c>
      <c r="F97" s="270" t="s">
        <v>174</v>
      </c>
      <c r="G97" s="270" t="s">
        <v>148</v>
      </c>
      <c r="H97" s="270" t="s">
        <v>148</v>
      </c>
      <c r="I97" s="271" t="s">
        <v>147</v>
      </c>
      <c r="J97" s="271" t="s">
        <v>147</v>
      </c>
      <c r="K97" s="270" t="s">
        <v>148</v>
      </c>
      <c r="L97" s="270" t="s">
        <v>148</v>
      </c>
      <c r="M97" s="270" t="s">
        <v>148</v>
      </c>
      <c r="N97" s="271" t="s">
        <v>147</v>
      </c>
      <c r="O97" s="54">
        <f>SUM(F97:N97)</f>
        <v>0</v>
      </c>
      <c r="P97" s="16">
        <f>O97-Q97</f>
        <v>0</v>
      </c>
      <c r="Q97" s="5">
        <f>SUMIF(F97:N97,"450")</f>
        <v>0</v>
      </c>
      <c r="R97" s="16">
        <f>P97+Q97</f>
        <v>0</v>
      </c>
      <c r="S97">
        <f>V97*450</f>
        <v>1800</v>
      </c>
      <c r="T97">
        <f>S97-R97</f>
        <v>1800</v>
      </c>
      <c r="U97" s="39">
        <f>T97/S97</f>
        <v>1</v>
      </c>
      <c r="V97">
        <f>W97-(Y97+Z97)</f>
        <v>4</v>
      </c>
      <c r="W97">
        <f>7-X97</f>
        <v>4</v>
      </c>
      <c r="X97" s="5">
        <f>COUNTIF(F97:N97,"RD")</f>
        <v>3</v>
      </c>
      <c r="Y97" s="5">
        <f>COUNTIF(F97:M97,"VL")</f>
        <v>0</v>
      </c>
      <c r="Z97" s="5">
        <f>COUNTIF(F97:N97,"LWOP")</f>
        <v>0</v>
      </c>
    </row>
    <row r="98" spans="1:26">
      <c r="A98" s="162" t="s">
        <v>109</v>
      </c>
      <c r="B98" s="156" t="s">
        <v>300</v>
      </c>
      <c r="C98" s="157" t="s">
        <v>266</v>
      </c>
      <c r="D98" s="157" t="s">
        <v>26</v>
      </c>
      <c r="E98" s="158" t="s">
        <v>25</v>
      </c>
      <c r="F98" s="270" t="s">
        <v>148</v>
      </c>
      <c r="G98" s="271" t="s">
        <v>147</v>
      </c>
      <c r="H98" s="271" t="s">
        <v>147</v>
      </c>
      <c r="I98" s="270" t="s">
        <v>148</v>
      </c>
      <c r="J98" s="270" t="s">
        <v>148</v>
      </c>
      <c r="K98" s="270" t="s">
        <v>148</v>
      </c>
      <c r="L98" s="270" t="s">
        <v>148</v>
      </c>
      <c r="M98" s="270" t="s">
        <v>148</v>
      </c>
      <c r="N98" s="271" t="s">
        <v>147</v>
      </c>
      <c r="O98" s="54">
        <f>SUM(F98:N98)</f>
        <v>0</v>
      </c>
      <c r="P98" s="16">
        <f>O98-Q98</f>
        <v>0</v>
      </c>
      <c r="Q98" s="5">
        <f>SUMIF(F98:N98,"450")</f>
        <v>0</v>
      </c>
      <c r="R98" s="16">
        <f>P98+Q98</f>
        <v>0</v>
      </c>
      <c r="S98">
        <f>V98*450</f>
        <v>1800</v>
      </c>
      <c r="T98">
        <f>S98-R98</f>
        <v>1800</v>
      </c>
      <c r="U98" s="39">
        <f>T98/S98</f>
        <v>1</v>
      </c>
      <c r="V98">
        <f>W98-(Y98+Z98)</f>
        <v>4</v>
      </c>
      <c r="W98">
        <f>7-X98</f>
        <v>4</v>
      </c>
      <c r="X98" s="5">
        <f>COUNTIF(F98:N98,"RD")</f>
        <v>3</v>
      </c>
      <c r="Y98" s="5">
        <f>COUNTIF(F98:M98,"VL")</f>
        <v>0</v>
      </c>
      <c r="Z98" s="5">
        <f>COUNTIF(F98:N98,"LWOP")</f>
        <v>0</v>
      </c>
    </row>
    <row r="99" spans="1:26">
      <c r="A99" s="162" t="s">
        <v>333</v>
      </c>
      <c r="B99" s="156" t="s">
        <v>332</v>
      </c>
      <c r="C99" s="157" t="s">
        <v>266</v>
      </c>
      <c r="D99" s="157" t="s">
        <v>26</v>
      </c>
      <c r="E99" s="158" t="s">
        <v>40</v>
      </c>
      <c r="F99" s="270" t="s">
        <v>148</v>
      </c>
      <c r="G99" s="271" t="s">
        <v>147</v>
      </c>
      <c r="H99" s="271" t="s">
        <v>147</v>
      </c>
      <c r="I99" s="270" t="s">
        <v>148</v>
      </c>
      <c r="J99" s="270" t="s">
        <v>148</v>
      </c>
      <c r="K99" s="270" t="s">
        <v>148</v>
      </c>
      <c r="L99" s="270" t="s">
        <v>148</v>
      </c>
      <c r="M99" s="270" t="s">
        <v>148</v>
      </c>
      <c r="N99" s="271" t="s">
        <v>147</v>
      </c>
      <c r="O99" s="54">
        <f>SUM(F99:N99)</f>
        <v>0</v>
      </c>
      <c r="P99" s="16">
        <f>O99-Q99</f>
        <v>0</v>
      </c>
      <c r="Q99" s="5">
        <f>SUMIF(F99:N99,"450")</f>
        <v>0</v>
      </c>
      <c r="R99" s="16">
        <f>P99+Q99</f>
        <v>0</v>
      </c>
      <c r="S99">
        <f>V99*450</f>
        <v>1800</v>
      </c>
      <c r="T99">
        <f>S99-R99</f>
        <v>1800</v>
      </c>
      <c r="U99" s="39">
        <f>T99/S99</f>
        <v>1</v>
      </c>
      <c r="V99">
        <f>W99-(Y99+Z99)</f>
        <v>4</v>
      </c>
      <c r="W99">
        <f>7-X99</f>
        <v>4</v>
      </c>
      <c r="X99" s="5">
        <f>COUNTIF(F99:N99,"RD")</f>
        <v>3</v>
      </c>
      <c r="Y99" s="5">
        <f>COUNTIF(F99:M99,"VL")</f>
        <v>0</v>
      </c>
      <c r="Z99" s="5">
        <f>COUNTIF(F99:N99,"LWOP")</f>
        <v>0</v>
      </c>
    </row>
    <row r="100" spans="1:26">
      <c r="A100" s="162" t="s">
        <v>334</v>
      </c>
      <c r="B100" s="156" t="s">
        <v>265</v>
      </c>
      <c r="C100" s="157" t="s">
        <v>307</v>
      </c>
      <c r="D100" s="157" t="s">
        <v>26</v>
      </c>
      <c r="E100" s="158" t="s">
        <v>40</v>
      </c>
      <c r="F100" s="270" t="s">
        <v>148</v>
      </c>
      <c r="G100" s="270" t="s">
        <v>148</v>
      </c>
      <c r="H100" s="270" t="s">
        <v>148</v>
      </c>
      <c r="I100" s="270" t="s">
        <v>148</v>
      </c>
      <c r="J100" s="271" t="s">
        <v>147</v>
      </c>
      <c r="K100" s="271" t="s">
        <v>147</v>
      </c>
      <c r="L100" s="270" t="s">
        <v>148</v>
      </c>
      <c r="M100" s="270" t="s">
        <v>148</v>
      </c>
      <c r="N100" s="270" t="s">
        <v>148</v>
      </c>
      <c r="O100" s="54">
        <f>SUM(F100:N100)</f>
        <v>0</v>
      </c>
      <c r="P100" s="16">
        <f>O100-Q100</f>
        <v>0</v>
      </c>
      <c r="Q100" s="5">
        <f>SUMIF(F100:N100,"450")</f>
        <v>0</v>
      </c>
      <c r="R100" s="16">
        <f>P100+Q100</f>
        <v>0</v>
      </c>
      <c r="S100">
        <f>V100*450</f>
        <v>2250</v>
      </c>
      <c r="T100">
        <f>S100-R100</f>
        <v>2250</v>
      </c>
      <c r="U100" s="39">
        <f>T100/S100</f>
        <v>1</v>
      </c>
      <c r="V100">
        <f>W100-(Y100+Z100)</f>
        <v>5</v>
      </c>
      <c r="W100">
        <f>7-X100</f>
        <v>5</v>
      </c>
      <c r="X100" s="5">
        <f>COUNTIF(F100:N100,"RD")</f>
        <v>2</v>
      </c>
      <c r="Y100" s="5">
        <f>COUNTIF(F100:M100,"VL")</f>
        <v>0</v>
      </c>
      <c r="Z100" s="5">
        <f>COUNTIF(F100:N100,"LWOP")</f>
        <v>0</v>
      </c>
    </row>
    <row r="101" spans="1:26">
      <c r="A101" s="162" t="s">
        <v>235</v>
      </c>
      <c r="B101" s="156" t="s">
        <v>303</v>
      </c>
      <c r="C101" s="157" t="s">
        <v>266</v>
      </c>
      <c r="D101" s="157" t="s">
        <v>26</v>
      </c>
      <c r="E101" s="158" t="s">
        <v>30</v>
      </c>
      <c r="F101" s="270" t="s">
        <v>148</v>
      </c>
      <c r="G101" s="271" t="s">
        <v>147</v>
      </c>
      <c r="H101" s="271" t="s">
        <v>147</v>
      </c>
      <c r="I101" s="270" t="s">
        <v>148</v>
      </c>
      <c r="J101" s="270" t="s">
        <v>148</v>
      </c>
      <c r="K101" s="270" t="s">
        <v>148</v>
      </c>
      <c r="L101" s="270" t="s">
        <v>148</v>
      </c>
      <c r="M101" s="270" t="s">
        <v>148</v>
      </c>
      <c r="N101" s="271" t="s">
        <v>147</v>
      </c>
      <c r="O101" s="54">
        <f>SUM(F101:N101)</f>
        <v>0</v>
      </c>
      <c r="P101" s="16">
        <f>O101-Q101</f>
        <v>0</v>
      </c>
      <c r="Q101" s="5">
        <f>SUMIF(F101:N101,"450")</f>
        <v>0</v>
      </c>
      <c r="R101" s="16">
        <f>P101+Q101</f>
        <v>0</v>
      </c>
      <c r="S101">
        <f>V101*450</f>
        <v>1800</v>
      </c>
      <c r="T101">
        <f>S101-R101</f>
        <v>1800</v>
      </c>
      <c r="U101" s="39">
        <f>T101/S101</f>
        <v>1</v>
      </c>
      <c r="V101">
        <f>W101-(Y101+Z101)</f>
        <v>4</v>
      </c>
      <c r="W101">
        <f>7-X101</f>
        <v>4</v>
      </c>
      <c r="X101" s="5">
        <f>COUNTIF(F101:N101,"RD")</f>
        <v>3</v>
      </c>
      <c r="Y101" s="5">
        <f>COUNTIF(F101:M101,"VL")</f>
        <v>0</v>
      </c>
      <c r="Z101" s="5">
        <f>COUNTIF(F101:N101,"LWOP")</f>
        <v>0</v>
      </c>
    </row>
    <row r="102" spans="1:26">
      <c r="A102" s="162" t="s">
        <v>119</v>
      </c>
      <c r="B102" s="156" t="s">
        <v>313</v>
      </c>
      <c r="C102" s="157" t="s">
        <v>316</v>
      </c>
      <c r="D102" s="157" t="s">
        <v>26</v>
      </c>
      <c r="E102" s="158" t="s">
        <v>33</v>
      </c>
      <c r="F102" s="270" t="s">
        <v>148</v>
      </c>
      <c r="G102" s="270" t="s">
        <v>148</v>
      </c>
      <c r="H102" s="270" t="s">
        <v>148</v>
      </c>
      <c r="I102" s="270" t="s">
        <v>148</v>
      </c>
      <c r="J102" s="270" t="s">
        <v>148</v>
      </c>
      <c r="K102" s="271" t="s">
        <v>147</v>
      </c>
      <c r="L102" s="271" t="s">
        <v>147</v>
      </c>
      <c r="M102" s="270" t="s">
        <v>148</v>
      </c>
      <c r="N102" s="270" t="s">
        <v>148</v>
      </c>
      <c r="O102" s="54">
        <f>SUM(F102:N102)</f>
        <v>0</v>
      </c>
      <c r="P102" s="16">
        <f>O102-Q102</f>
        <v>0</v>
      </c>
      <c r="Q102" s="5">
        <f>SUMIF(F102:N102,"450")</f>
        <v>0</v>
      </c>
      <c r="R102" s="16">
        <f>P102+Q102</f>
        <v>0</v>
      </c>
      <c r="S102">
        <f>V102*450</f>
        <v>2250</v>
      </c>
      <c r="T102">
        <f>S102-R102</f>
        <v>2250</v>
      </c>
      <c r="U102" s="39">
        <f>T102/S102</f>
        <v>1</v>
      </c>
      <c r="V102">
        <f>W102-(Y102+Z102)</f>
        <v>5</v>
      </c>
      <c r="W102">
        <f>7-X102</f>
        <v>5</v>
      </c>
      <c r="X102" s="5">
        <f>COUNTIF(F102:N102,"RD")</f>
        <v>2</v>
      </c>
      <c r="Y102" s="5">
        <f>COUNTIF(F102:M102,"VL")</f>
        <v>0</v>
      </c>
      <c r="Z102" s="5">
        <f>COUNTIF(F102:N102,"LWOP")</f>
        <v>0</v>
      </c>
    </row>
    <row r="103" spans="1:26">
      <c r="A103" s="338" t="s">
        <v>123</v>
      </c>
      <c r="B103" s="156" t="s">
        <v>303</v>
      </c>
      <c r="C103" s="157" t="s">
        <v>266</v>
      </c>
      <c r="D103" s="340" t="s">
        <v>26</v>
      </c>
      <c r="E103" s="341" t="s">
        <v>40</v>
      </c>
      <c r="F103" s="270" t="s">
        <v>148</v>
      </c>
      <c r="G103" s="271" t="s">
        <v>147</v>
      </c>
      <c r="H103" s="271" t="s">
        <v>147</v>
      </c>
      <c r="I103" s="270" t="s">
        <v>148</v>
      </c>
      <c r="J103" s="270" t="s">
        <v>148</v>
      </c>
      <c r="K103" s="270" t="s">
        <v>148</v>
      </c>
      <c r="L103" s="270" t="s">
        <v>148</v>
      </c>
      <c r="M103" s="270" t="s">
        <v>148</v>
      </c>
      <c r="N103" s="271" t="s">
        <v>147</v>
      </c>
      <c r="O103" s="54">
        <f>SUM(F103:N103)</f>
        <v>0</v>
      </c>
      <c r="P103" s="16">
        <f>O103-Q103</f>
        <v>0</v>
      </c>
      <c r="Q103" s="5">
        <f>SUMIF(F103:N103,"450")</f>
        <v>0</v>
      </c>
      <c r="R103" s="16">
        <f>P103+Q103</f>
        <v>0</v>
      </c>
      <c r="S103">
        <f>V103*450</f>
        <v>1800</v>
      </c>
      <c r="T103">
        <f>S103-R103</f>
        <v>1800</v>
      </c>
      <c r="U103" s="39">
        <f>T103/S103</f>
        <v>1</v>
      </c>
      <c r="V103">
        <f>W103-(Y103+Z103)</f>
        <v>4</v>
      </c>
      <c r="W103">
        <f>7-X103</f>
        <v>4</v>
      </c>
      <c r="X103" s="5">
        <f>COUNTIF(F103:N103,"RD")</f>
        <v>3</v>
      </c>
      <c r="Y103" s="5">
        <f>COUNTIF(F103:M103,"VL")</f>
        <v>0</v>
      </c>
      <c r="Z103" s="5">
        <f>COUNTIF(F103:N103,"LWOP")</f>
        <v>0</v>
      </c>
    </row>
    <row r="104" spans="1:26">
      <c r="A104" s="342" t="s">
        <v>335</v>
      </c>
      <c r="B104" s="156" t="s">
        <v>313</v>
      </c>
      <c r="C104" s="340" t="s">
        <v>266</v>
      </c>
      <c r="D104" s="166" t="s">
        <v>26</v>
      </c>
      <c r="E104" s="167" t="s">
        <v>40</v>
      </c>
      <c r="F104" s="270" t="s">
        <v>148</v>
      </c>
      <c r="G104" s="271" t="s">
        <v>147</v>
      </c>
      <c r="H104" s="270" t="s">
        <v>148</v>
      </c>
      <c r="I104" s="271" t="s">
        <v>147</v>
      </c>
      <c r="J104" s="271" t="s">
        <v>147</v>
      </c>
      <c r="K104" s="270" t="s">
        <v>148</v>
      </c>
      <c r="L104" s="270" t="s">
        <v>148</v>
      </c>
      <c r="M104" s="270" t="s">
        <v>148</v>
      </c>
      <c r="N104" s="270" t="s">
        <v>148</v>
      </c>
      <c r="O104" s="54">
        <f>SUM(F104:N104)</f>
        <v>0</v>
      </c>
      <c r="P104" s="16">
        <f>O104-Q104</f>
        <v>0</v>
      </c>
      <c r="Q104" s="5">
        <f>SUMIF(F104:N104,"450")</f>
        <v>0</v>
      </c>
      <c r="R104" s="16">
        <f>P104+Q104</f>
        <v>0</v>
      </c>
      <c r="S104">
        <f>V104*450</f>
        <v>1800</v>
      </c>
      <c r="T104">
        <f>S104-R104</f>
        <v>1800</v>
      </c>
      <c r="U104" s="39">
        <f>T104/S104</f>
        <v>1</v>
      </c>
      <c r="V104">
        <f>W104-(Y104+Z104)</f>
        <v>4</v>
      </c>
      <c r="W104">
        <f>7-X104</f>
        <v>4</v>
      </c>
      <c r="X104" s="5">
        <f>COUNTIF(F104:N104,"RD")</f>
        <v>3</v>
      </c>
      <c r="Y104" s="5">
        <f>COUNTIF(F104:M104,"VL")</f>
        <v>0</v>
      </c>
      <c r="Z104" s="5">
        <f>COUNTIF(F104:N104,"LWOP")</f>
        <v>0</v>
      </c>
    </row>
    <row r="105" spans="1:26">
      <c r="A105" s="168" t="s">
        <v>126</v>
      </c>
      <c r="B105" s="156" t="s">
        <v>332</v>
      </c>
      <c r="C105" s="343" t="s">
        <v>336</v>
      </c>
      <c r="D105" s="166" t="s">
        <v>26</v>
      </c>
      <c r="E105" s="167" t="s">
        <v>40</v>
      </c>
      <c r="F105" s="271" t="s">
        <v>147</v>
      </c>
      <c r="G105" s="270" t="s">
        <v>148</v>
      </c>
      <c r="H105" s="270" t="s">
        <v>148</v>
      </c>
      <c r="I105" s="272">
        <v>14</v>
      </c>
      <c r="J105" s="270" t="s">
        <v>148</v>
      </c>
      <c r="K105" s="270" t="s">
        <v>148</v>
      </c>
      <c r="L105" s="271" t="s">
        <v>147</v>
      </c>
      <c r="M105" s="271" t="s">
        <v>147</v>
      </c>
      <c r="N105" s="270" t="s">
        <v>148</v>
      </c>
      <c r="O105" s="54">
        <f>SUM(F105:N105)</f>
        <v>14</v>
      </c>
      <c r="P105" s="16">
        <f>O105-Q105</f>
        <v>14</v>
      </c>
      <c r="Q105" s="5">
        <f>SUMIF(F105:N105,"450")</f>
        <v>0</v>
      </c>
      <c r="R105" s="16">
        <f>P105+Q105</f>
        <v>14</v>
      </c>
      <c r="S105">
        <f>V105*450</f>
        <v>1800</v>
      </c>
      <c r="T105">
        <f>S105-R105</f>
        <v>1786</v>
      </c>
      <c r="U105" s="39">
        <f>T105/S105</f>
        <v>0.99222222222222223</v>
      </c>
      <c r="V105">
        <f>W105-(Y105+Z105)</f>
        <v>4</v>
      </c>
      <c r="W105">
        <f>7-X105</f>
        <v>4</v>
      </c>
      <c r="X105" s="5">
        <f>COUNTIF(F105:N105,"RD")</f>
        <v>3</v>
      </c>
      <c r="Y105" s="5">
        <f>COUNTIF(F105:M105,"VL")</f>
        <v>0</v>
      </c>
      <c r="Z105" s="5">
        <f>COUNTIF(F105:N105,"LWOP")</f>
        <v>0</v>
      </c>
    </row>
    <row r="106" spans="1:26">
      <c r="A106" s="344" t="s">
        <v>131</v>
      </c>
      <c r="B106" s="156" t="s">
        <v>265</v>
      </c>
      <c r="C106" s="170" t="s">
        <v>266</v>
      </c>
      <c r="D106" s="345" t="s">
        <v>26</v>
      </c>
      <c r="E106" s="346" t="s">
        <v>40</v>
      </c>
      <c r="F106" s="270" t="s">
        <v>148</v>
      </c>
      <c r="G106" s="271" t="s">
        <v>147</v>
      </c>
      <c r="H106" s="271" t="s">
        <v>147</v>
      </c>
      <c r="I106" s="270" t="s">
        <v>148</v>
      </c>
      <c r="J106" s="270" t="s">
        <v>148</v>
      </c>
      <c r="K106" s="272">
        <v>3</v>
      </c>
      <c r="L106" s="270" t="s">
        <v>148</v>
      </c>
      <c r="M106" s="270" t="s">
        <v>148</v>
      </c>
      <c r="N106" s="271" t="s">
        <v>147</v>
      </c>
      <c r="O106" s="54">
        <f>SUM(F106:N106)</f>
        <v>3</v>
      </c>
      <c r="P106" s="16">
        <f>O106-Q106</f>
        <v>3</v>
      </c>
      <c r="Q106" s="5">
        <f>SUMIF(F106:N106,"450")</f>
        <v>0</v>
      </c>
      <c r="R106" s="16">
        <f>P106+Q106</f>
        <v>3</v>
      </c>
      <c r="S106">
        <f>V106*450</f>
        <v>1800</v>
      </c>
      <c r="T106">
        <f>S106-R106</f>
        <v>1797</v>
      </c>
      <c r="U106" s="39">
        <f>T106/S106</f>
        <v>0.99833333333333329</v>
      </c>
      <c r="V106">
        <f>W106-(Y106+Z106)</f>
        <v>4</v>
      </c>
      <c r="W106">
        <f>7-X106</f>
        <v>4</v>
      </c>
      <c r="X106" s="5">
        <f>COUNTIF(F106:N106,"RD")</f>
        <v>3</v>
      </c>
      <c r="Y106" s="5">
        <f>COUNTIF(F106:M106,"VL")</f>
        <v>0</v>
      </c>
      <c r="Z106" s="5">
        <f>COUNTIF(F106:N106,"LWOP")</f>
        <v>0</v>
      </c>
    </row>
    <row r="107" spans="1:26">
      <c r="A107" s="347" t="s">
        <v>133</v>
      </c>
      <c r="B107" s="156" t="s">
        <v>300</v>
      </c>
      <c r="C107" s="170" t="s">
        <v>266</v>
      </c>
      <c r="D107" s="343" t="s">
        <v>26</v>
      </c>
      <c r="E107" s="348" t="s">
        <v>40</v>
      </c>
      <c r="F107" s="272">
        <v>11</v>
      </c>
      <c r="G107" s="271" t="s">
        <v>147</v>
      </c>
      <c r="H107" s="271" t="s">
        <v>147</v>
      </c>
      <c r="I107" s="270" t="s">
        <v>174</v>
      </c>
      <c r="J107" s="272">
        <v>10</v>
      </c>
      <c r="K107" s="270" t="s">
        <v>148</v>
      </c>
      <c r="L107" s="270" t="s">
        <v>148</v>
      </c>
      <c r="M107" s="272">
        <v>53</v>
      </c>
      <c r="N107" s="271" t="s">
        <v>147</v>
      </c>
      <c r="O107" s="54">
        <f>SUM(F107:N107)</f>
        <v>74</v>
      </c>
      <c r="P107" s="16">
        <f>O107-Q107</f>
        <v>74</v>
      </c>
      <c r="Q107" s="5">
        <f>SUMIF(F107:N107,"450")</f>
        <v>0</v>
      </c>
      <c r="R107" s="16">
        <f>P107+Q107</f>
        <v>74</v>
      </c>
      <c r="S107">
        <f>V107*450</f>
        <v>1800</v>
      </c>
      <c r="T107">
        <f>S107-R107</f>
        <v>1726</v>
      </c>
      <c r="U107" s="39">
        <f>T107/S107</f>
        <v>0.9588888888888889</v>
      </c>
      <c r="V107">
        <f>W107-(Y107+Z107)</f>
        <v>4</v>
      </c>
      <c r="W107">
        <f>7-X107</f>
        <v>4</v>
      </c>
      <c r="X107" s="5">
        <f>COUNTIF(F107:N107,"RD")</f>
        <v>3</v>
      </c>
      <c r="Y107" s="5">
        <f>COUNTIF(F107:M107,"VL")</f>
        <v>0</v>
      </c>
      <c r="Z107" s="5">
        <f>COUNTIF(F107:N107,"LWOP")</f>
        <v>0</v>
      </c>
    </row>
    <row r="108" spans="1:26">
      <c r="A108" s="339" t="s">
        <v>23</v>
      </c>
      <c r="B108" s="156" t="s">
        <v>265</v>
      </c>
      <c r="C108" s="170" t="s">
        <v>266</v>
      </c>
      <c r="D108" s="349" t="s">
        <v>22</v>
      </c>
      <c r="E108" s="350" t="s">
        <v>25</v>
      </c>
      <c r="F108" s="308" t="s">
        <v>12</v>
      </c>
      <c r="G108" s="271" t="s">
        <v>147</v>
      </c>
      <c r="H108" s="271" t="s">
        <v>147</v>
      </c>
      <c r="I108" s="270" t="s">
        <v>148</v>
      </c>
      <c r="J108" s="270" t="s">
        <v>148</v>
      </c>
      <c r="K108" s="270" t="s">
        <v>148</v>
      </c>
      <c r="L108" s="270" t="s">
        <v>148</v>
      </c>
      <c r="M108" s="270" t="s">
        <v>148</v>
      </c>
      <c r="N108" s="271" t="s">
        <v>147</v>
      </c>
      <c r="O108" s="54">
        <f>SUM(F108:N108)</f>
        <v>0</v>
      </c>
      <c r="P108" s="16">
        <f>O108-Q108</f>
        <v>0</v>
      </c>
      <c r="Q108" s="5">
        <f>SUMIF(F108:N108,"450")</f>
        <v>0</v>
      </c>
      <c r="R108" s="16">
        <f>P108+Q108</f>
        <v>0</v>
      </c>
      <c r="S108">
        <f>V108*450</f>
        <v>1350</v>
      </c>
      <c r="T108">
        <f>S108-R108</f>
        <v>1350</v>
      </c>
      <c r="U108" s="39">
        <f>T108/S108</f>
        <v>1</v>
      </c>
      <c r="V108">
        <f>W108-(Y108+Z108)</f>
        <v>3</v>
      </c>
      <c r="W108">
        <f>7-X108</f>
        <v>4</v>
      </c>
      <c r="X108" s="5">
        <f>COUNTIF(F108:N108,"RD")</f>
        <v>3</v>
      </c>
      <c r="Y108" s="5">
        <f>COUNTIF(F108:M108,"VL")</f>
        <v>1</v>
      </c>
      <c r="Z108" s="5">
        <f>COUNTIF(F108:N108,"LWOP")</f>
        <v>0</v>
      </c>
    </row>
    <row r="109" spans="1:26">
      <c r="A109" s="164" t="s">
        <v>55</v>
      </c>
      <c r="B109" s="156" t="s">
        <v>265</v>
      </c>
      <c r="C109" s="170" t="s">
        <v>266</v>
      </c>
      <c r="D109" s="157" t="s">
        <v>22</v>
      </c>
      <c r="E109" s="158" t="s">
        <v>56</v>
      </c>
      <c r="F109" s="270" t="s">
        <v>148</v>
      </c>
      <c r="G109" s="271" t="s">
        <v>147</v>
      </c>
      <c r="H109" s="270" t="s">
        <v>148</v>
      </c>
      <c r="I109" s="270" t="s">
        <v>148</v>
      </c>
      <c r="J109" s="270" t="s">
        <v>148</v>
      </c>
      <c r="K109" s="270" t="s">
        <v>148</v>
      </c>
      <c r="L109" s="271" t="s">
        <v>147</v>
      </c>
      <c r="M109" s="270" t="s">
        <v>148</v>
      </c>
      <c r="N109" s="270" t="s">
        <v>148</v>
      </c>
      <c r="O109" s="54">
        <f>SUM(F109:N109)</f>
        <v>0</v>
      </c>
      <c r="P109" s="16">
        <f>O109-Q109</f>
        <v>0</v>
      </c>
      <c r="Q109" s="5">
        <f>SUMIF(F109:N109,"450")</f>
        <v>0</v>
      </c>
      <c r="R109" s="16">
        <f>P109+Q109</f>
        <v>0</v>
      </c>
      <c r="S109">
        <f>V109*450</f>
        <v>2250</v>
      </c>
      <c r="T109">
        <f>S109-R109</f>
        <v>2250</v>
      </c>
      <c r="U109" s="39">
        <f>T109/S109</f>
        <v>1</v>
      </c>
      <c r="V109">
        <f>W109-(Y109+Z109)</f>
        <v>5</v>
      </c>
      <c r="W109">
        <f>7-X109</f>
        <v>5</v>
      </c>
      <c r="X109" s="5">
        <f>COUNTIF(F109:N109,"RD")</f>
        <v>2</v>
      </c>
      <c r="Y109" s="5">
        <f>COUNTIF(F109:M109,"VL")</f>
        <v>0</v>
      </c>
      <c r="Z109" s="5">
        <f>COUNTIF(F109:N109,"LWOP")</f>
        <v>0</v>
      </c>
    </row>
    <row r="110" spans="1:26">
      <c r="A110" s="164" t="s">
        <v>61</v>
      </c>
      <c r="B110" s="156" t="s">
        <v>265</v>
      </c>
      <c r="C110" s="170" t="s">
        <v>266</v>
      </c>
      <c r="D110" s="157" t="s">
        <v>22</v>
      </c>
      <c r="E110" s="158" t="s">
        <v>63</v>
      </c>
      <c r="F110" s="270" t="s">
        <v>148</v>
      </c>
      <c r="G110" s="270" t="s">
        <v>148</v>
      </c>
      <c r="H110" s="271" t="s">
        <v>147</v>
      </c>
      <c r="I110" s="270" t="s">
        <v>148</v>
      </c>
      <c r="J110" s="270" t="s">
        <v>148</v>
      </c>
      <c r="K110" s="270" t="s">
        <v>148</v>
      </c>
      <c r="L110" s="270" t="s">
        <v>148</v>
      </c>
      <c r="M110" s="270" t="s">
        <v>148</v>
      </c>
      <c r="N110" s="271" t="s">
        <v>147</v>
      </c>
      <c r="O110" s="54">
        <f>SUM(F110:N110)</f>
        <v>0</v>
      </c>
      <c r="P110" s="16">
        <f>O110-Q110</f>
        <v>0</v>
      </c>
      <c r="Q110" s="5">
        <f>SUMIF(F110:N110,"450")</f>
        <v>0</v>
      </c>
      <c r="R110" s="16">
        <f>P110+Q110</f>
        <v>0</v>
      </c>
      <c r="S110">
        <f>V110*450</f>
        <v>2250</v>
      </c>
      <c r="T110">
        <f>S110-R110</f>
        <v>2250</v>
      </c>
      <c r="U110" s="39">
        <f>T110/S110</f>
        <v>1</v>
      </c>
      <c r="V110">
        <f>W110-(Y110+Z110)</f>
        <v>5</v>
      </c>
      <c r="W110">
        <f>7-X110</f>
        <v>5</v>
      </c>
      <c r="X110" s="5">
        <f>COUNTIF(F110:N110,"RD")</f>
        <v>2</v>
      </c>
      <c r="Y110" s="5">
        <f>COUNTIF(F110:M110,"VL")</f>
        <v>0</v>
      </c>
      <c r="Z110" s="5">
        <f>COUNTIF(F110:N110,"LWOP")</f>
        <v>0</v>
      </c>
    </row>
    <row r="111" spans="1:26">
      <c r="A111" s="164" t="s">
        <v>337</v>
      </c>
      <c r="B111" s="156" t="s">
        <v>265</v>
      </c>
      <c r="C111" s="170" t="s">
        <v>266</v>
      </c>
      <c r="D111" s="157" t="s">
        <v>22</v>
      </c>
      <c r="E111" s="158" t="s">
        <v>33</v>
      </c>
      <c r="F111" s="270" t="s">
        <v>148</v>
      </c>
      <c r="G111" s="271" t="s">
        <v>147</v>
      </c>
      <c r="H111" s="271" t="s">
        <v>147</v>
      </c>
      <c r="I111" s="270" t="s">
        <v>174</v>
      </c>
      <c r="J111" s="270" t="s">
        <v>148</v>
      </c>
      <c r="K111" s="270" t="s">
        <v>148</v>
      </c>
      <c r="L111" s="270" t="s">
        <v>148</v>
      </c>
      <c r="M111" s="270" t="s">
        <v>148</v>
      </c>
      <c r="N111" s="271" t="s">
        <v>147</v>
      </c>
      <c r="O111" s="54">
        <f>SUM(F111:N111)</f>
        <v>0</v>
      </c>
      <c r="P111" s="16">
        <f>O111-Q111</f>
        <v>0</v>
      </c>
      <c r="Q111" s="5">
        <f>SUMIF(F111:N111,"450")</f>
        <v>0</v>
      </c>
      <c r="R111" s="16">
        <f>P111+Q111</f>
        <v>0</v>
      </c>
      <c r="S111">
        <f>V111*450</f>
        <v>1800</v>
      </c>
      <c r="T111">
        <f>S111-R111</f>
        <v>1800</v>
      </c>
      <c r="U111" s="39">
        <f>T111/S111</f>
        <v>1</v>
      </c>
      <c r="V111">
        <f>W111-(Y111+Z111)</f>
        <v>4</v>
      </c>
      <c r="W111">
        <f>7-X111</f>
        <v>4</v>
      </c>
      <c r="X111" s="5">
        <f>COUNTIF(F111:N111,"RD")</f>
        <v>3</v>
      </c>
      <c r="Y111" s="5">
        <f>COUNTIF(F111:M111,"VL")</f>
        <v>0</v>
      </c>
      <c r="Z111" s="5">
        <f>COUNTIF(F111:N111,"LWOP")</f>
        <v>0</v>
      </c>
    </row>
    <row r="112" spans="1:26">
      <c r="A112" s="164" t="s">
        <v>66</v>
      </c>
      <c r="B112" s="156" t="s">
        <v>265</v>
      </c>
      <c r="C112" s="351" t="s">
        <v>266</v>
      </c>
      <c r="D112" s="157" t="s">
        <v>22</v>
      </c>
      <c r="E112" s="158" t="s">
        <v>30</v>
      </c>
      <c r="F112" s="270" t="s">
        <v>148</v>
      </c>
      <c r="G112" s="270" t="s">
        <v>148</v>
      </c>
      <c r="H112" s="271" t="s">
        <v>147</v>
      </c>
      <c r="I112" s="270" t="s">
        <v>148</v>
      </c>
      <c r="J112" s="270" t="s">
        <v>148</v>
      </c>
      <c r="K112" s="270" t="s">
        <v>148</v>
      </c>
      <c r="L112" s="270" t="s">
        <v>148</v>
      </c>
      <c r="M112" s="270" t="s">
        <v>148</v>
      </c>
      <c r="N112" s="271" t="s">
        <v>147</v>
      </c>
      <c r="O112" s="54">
        <f>SUM(F112:N112)</f>
        <v>0</v>
      </c>
      <c r="P112" s="16">
        <f>O112-Q112</f>
        <v>0</v>
      </c>
      <c r="Q112" s="5">
        <f>SUMIF(F112:N112,"450")</f>
        <v>0</v>
      </c>
      <c r="R112" s="16">
        <f>P112+Q112</f>
        <v>0</v>
      </c>
      <c r="S112">
        <f>V112*450</f>
        <v>2250</v>
      </c>
      <c r="T112">
        <f>S112-R112</f>
        <v>2250</v>
      </c>
      <c r="U112" s="39">
        <f>T112/S112</f>
        <v>1</v>
      </c>
      <c r="V112">
        <f>W112-(Y112+Z112)</f>
        <v>5</v>
      </c>
      <c r="W112">
        <f>7-X112</f>
        <v>5</v>
      </c>
      <c r="X112" s="5">
        <f>COUNTIF(F112:N112,"RD")</f>
        <v>2</v>
      </c>
      <c r="Y112" s="5">
        <f>COUNTIF(F112:M112,"VL")</f>
        <v>0</v>
      </c>
      <c r="Z112" s="5">
        <f>COUNTIF(F112:N112,"LWOP")</f>
        <v>0</v>
      </c>
    </row>
    <row r="113" spans="1:26">
      <c r="A113" s="164" t="s">
        <v>34</v>
      </c>
      <c r="B113" s="156" t="s">
        <v>338</v>
      </c>
      <c r="C113" s="343" t="s">
        <v>336</v>
      </c>
      <c r="D113" s="157" t="s">
        <v>26</v>
      </c>
      <c r="E113" s="341" t="s">
        <v>40</v>
      </c>
      <c r="F113" s="271" t="s">
        <v>147</v>
      </c>
      <c r="G113" s="270" t="s">
        <v>148</v>
      </c>
      <c r="H113" s="270" t="s">
        <v>148</v>
      </c>
      <c r="I113" s="270" t="s">
        <v>148</v>
      </c>
      <c r="J113" s="270" t="s">
        <v>148</v>
      </c>
      <c r="K113" s="270" t="s">
        <v>148</v>
      </c>
      <c r="L113" s="271" t="s">
        <v>147</v>
      </c>
      <c r="M113" s="271" t="s">
        <v>147</v>
      </c>
      <c r="N113" s="270" t="s">
        <v>148</v>
      </c>
      <c r="O113" s="54">
        <f>SUM(F113:N113)</f>
        <v>0</v>
      </c>
      <c r="P113" s="16">
        <f>O113-Q113</f>
        <v>0</v>
      </c>
      <c r="Q113" s="5">
        <f>SUMIF(F113:N113,"450")</f>
        <v>0</v>
      </c>
      <c r="R113" s="16">
        <f>P113+Q113</f>
        <v>0</v>
      </c>
      <c r="S113">
        <f>V113*450</f>
        <v>1800</v>
      </c>
      <c r="T113">
        <f>S113-R113</f>
        <v>1800</v>
      </c>
      <c r="U113" s="39">
        <f>T113/S113</f>
        <v>1</v>
      </c>
      <c r="V113">
        <f>W113-(Y113+Z113)</f>
        <v>4</v>
      </c>
      <c r="W113">
        <f>7-X113</f>
        <v>4</v>
      </c>
      <c r="X113" s="5">
        <f>COUNTIF(F113:N113,"RD")</f>
        <v>3</v>
      </c>
      <c r="Y113" s="5">
        <f>COUNTIF(F113:M113,"VL")</f>
        <v>0</v>
      </c>
      <c r="Z113" s="5">
        <f>COUNTIF(F113:N113,"LWOP")</f>
        <v>0</v>
      </c>
    </row>
    <row r="114" spans="1:26">
      <c r="A114" s="335" t="s">
        <v>27</v>
      </c>
      <c r="B114" s="352" t="s">
        <v>265</v>
      </c>
      <c r="C114" s="349" t="s">
        <v>266</v>
      </c>
      <c r="D114" s="340" t="s">
        <v>26</v>
      </c>
      <c r="E114" s="340" t="s">
        <v>40</v>
      </c>
      <c r="F114" s="308" t="s">
        <v>12</v>
      </c>
      <c r="G114" s="271" t="s">
        <v>147</v>
      </c>
      <c r="H114" s="271" t="s">
        <v>147</v>
      </c>
      <c r="I114" s="270" t="s">
        <v>148</v>
      </c>
      <c r="J114" s="270" t="s">
        <v>148</v>
      </c>
      <c r="K114" s="270" t="s">
        <v>148</v>
      </c>
      <c r="L114" s="270" t="s">
        <v>148</v>
      </c>
      <c r="M114" s="270" t="s">
        <v>148</v>
      </c>
      <c r="N114" s="271" t="s">
        <v>147</v>
      </c>
      <c r="O114" s="54">
        <f>SUM(F114:N114)</f>
        <v>0</v>
      </c>
      <c r="P114" s="16">
        <f>O114-Q114</f>
        <v>0</v>
      </c>
      <c r="Q114" s="5">
        <f>SUMIF(F114:N114,"450")</f>
        <v>0</v>
      </c>
      <c r="R114" s="16">
        <f>P114+Q114</f>
        <v>0</v>
      </c>
      <c r="S114">
        <f>V114*450</f>
        <v>1350</v>
      </c>
      <c r="T114">
        <f>S114-R114</f>
        <v>1350</v>
      </c>
      <c r="U114" s="39">
        <f>T114/S114</f>
        <v>1</v>
      </c>
      <c r="V114">
        <f>W114-(Y114+Z114)</f>
        <v>3</v>
      </c>
      <c r="W114">
        <f>7-X114</f>
        <v>4</v>
      </c>
      <c r="X114" s="5">
        <f>COUNTIF(F114:N114,"RD")</f>
        <v>3</v>
      </c>
      <c r="Y114" s="5">
        <f>COUNTIF(F114:M114,"VL")</f>
        <v>1</v>
      </c>
      <c r="Z114" s="5">
        <f>COUNTIF(F114:N114,"LWOP")</f>
        <v>0</v>
      </c>
    </row>
    <row r="115" spans="1:26">
      <c r="A115" s="353"/>
      <c r="B115" s="353"/>
      <c r="C115" s="353"/>
      <c r="D115" s="353"/>
      <c r="E115" s="353"/>
      <c r="F115" s="337" t="s">
        <v>187</v>
      </c>
      <c r="G115" s="269" t="s">
        <v>187</v>
      </c>
      <c r="H115" s="269" t="s">
        <v>187</v>
      </c>
      <c r="I115" s="269" t="s">
        <v>187</v>
      </c>
      <c r="J115" s="269" t="s">
        <v>187</v>
      </c>
      <c r="K115" s="269" t="s">
        <v>187</v>
      </c>
      <c r="L115" s="269" t="s">
        <v>187</v>
      </c>
      <c r="M115" s="269" t="s">
        <v>187</v>
      </c>
      <c r="N115" s="269" t="s">
        <v>187</v>
      </c>
    </row>
    <row r="116" spans="1:26">
      <c r="A116" s="348"/>
      <c r="B116" s="348"/>
      <c r="C116" s="348"/>
      <c r="D116" s="348"/>
      <c r="E116" s="348"/>
      <c r="F116" s="267"/>
      <c r="G116" s="267"/>
      <c r="H116" s="267"/>
      <c r="I116" s="267"/>
      <c r="J116" s="267"/>
      <c r="K116" s="267"/>
      <c r="L116" s="267"/>
      <c r="M116" s="267"/>
      <c r="N116" s="267"/>
    </row>
    <row r="117" spans="1:26">
      <c r="A117" s="348"/>
      <c r="B117" s="348"/>
      <c r="C117" s="348"/>
      <c r="D117" s="348"/>
      <c r="E117" s="348"/>
      <c r="F117" s="267"/>
      <c r="G117" s="267"/>
      <c r="H117" s="267"/>
      <c r="I117" s="267"/>
      <c r="J117" s="267"/>
      <c r="K117" s="267"/>
      <c r="L117" s="267"/>
      <c r="M117" s="267"/>
      <c r="N117" s="267"/>
    </row>
    <row r="118" spans="1:26" ht="15.75">
      <c r="A118" s="354" t="s">
        <v>191</v>
      </c>
      <c r="B118" s="353"/>
      <c r="C118" s="353"/>
      <c r="D118" s="146"/>
      <c r="E118" s="354" t="s">
        <v>191</v>
      </c>
      <c r="F118" s="56">
        <f>SUM(F3:F114)</f>
        <v>2178</v>
      </c>
      <c r="G118" s="56">
        <f>SUM(G3:G114)</f>
        <v>78</v>
      </c>
      <c r="H118" s="56">
        <f>SUM(H3:H114)</f>
        <v>42</v>
      </c>
      <c r="I118" s="56">
        <f>SUM(I3:I114)</f>
        <v>1777</v>
      </c>
      <c r="J118" s="56">
        <f>SUM(J3:J114)</f>
        <v>3091</v>
      </c>
      <c r="K118" s="56">
        <f>SUM(K3:K114)</f>
        <v>2763</v>
      </c>
      <c r="L118" s="56">
        <f>SUM(L3:L114)</f>
        <v>2339</v>
      </c>
      <c r="M118" s="56">
        <f>SUM(M3:M114)</f>
        <v>3415</v>
      </c>
      <c r="N118" s="56">
        <f>SUM(N3:N114)</f>
        <v>98</v>
      </c>
    </row>
    <row r="119" spans="1:26" ht="15.75">
      <c r="A119" s="355" t="s">
        <v>4</v>
      </c>
      <c r="B119" s="356" t="s">
        <v>187</v>
      </c>
      <c r="C119" s="356" t="s">
        <v>187</v>
      </c>
      <c r="D119" s="146"/>
      <c r="E119" s="355" t="s">
        <v>4</v>
      </c>
      <c r="F119" s="57">
        <f>F118-F120</f>
        <v>378</v>
      </c>
      <c r="G119" s="57">
        <f>G118-G120</f>
        <v>78</v>
      </c>
      <c r="H119" s="57">
        <f>H118-H120</f>
        <v>42</v>
      </c>
      <c r="I119" s="57">
        <f>I118-I120</f>
        <v>427</v>
      </c>
      <c r="J119" s="57">
        <f>J118-J120</f>
        <v>391</v>
      </c>
      <c r="K119" s="57">
        <f>K118-K120</f>
        <v>63</v>
      </c>
      <c r="L119" s="57">
        <f>L118-L120</f>
        <v>89</v>
      </c>
      <c r="M119" s="57">
        <f>M118-M120</f>
        <v>265</v>
      </c>
      <c r="N119" s="57">
        <f>N118-N120</f>
        <v>98</v>
      </c>
    </row>
    <row r="120" spans="1:26" ht="15.75">
      <c r="A120" s="357" t="s">
        <v>11</v>
      </c>
      <c r="B120" s="358" t="s">
        <v>187</v>
      </c>
      <c r="C120" s="358" t="s">
        <v>187</v>
      </c>
      <c r="D120" s="146"/>
      <c r="E120" s="357" t="s">
        <v>11</v>
      </c>
      <c r="F120" s="57">
        <f>SUMIF(F3:F114,"450")</f>
        <v>1800</v>
      </c>
      <c r="G120" s="57">
        <f>SUMIF(G3:G114,"450")</f>
        <v>0</v>
      </c>
      <c r="H120" s="57">
        <f>SUMIF(H3:H114,"450")</f>
        <v>0</v>
      </c>
      <c r="I120" s="57">
        <f>SUMIF(I3:I114,"450")</f>
        <v>1350</v>
      </c>
      <c r="J120" s="57">
        <f>SUMIF(J3:J114,"450")</f>
        <v>2700</v>
      </c>
      <c r="K120" s="57">
        <f>SUMIF(K3:K114,"450")</f>
        <v>2700</v>
      </c>
      <c r="L120" s="57">
        <f>SUMIF(L3:L114,"450")</f>
        <v>2250</v>
      </c>
      <c r="M120" s="57">
        <f>SUMIF(M3:M114,"450")</f>
        <v>3150</v>
      </c>
      <c r="N120" s="57">
        <f>SUMIF(N3:N114,"450")</f>
        <v>0</v>
      </c>
    </row>
    <row r="121" spans="1:26" ht="15.75">
      <c r="A121" s="182" t="s">
        <v>192</v>
      </c>
      <c r="B121" s="146"/>
      <c r="C121" s="146"/>
      <c r="D121" s="146"/>
      <c r="E121" s="182" t="s">
        <v>192</v>
      </c>
      <c r="F121" s="57">
        <f>F119+F120</f>
        <v>2178</v>
      </c>
      <c r="G121" s="57">
        <f>G119+G120</f>
        <v>78</v>
      </c>
      <c r="H121" s="57">
        <f>H119+H120</f>
        <v>42</v>
      </c>
      <c r="I121" s="57">
        <f>I119+I120</f>
        <v>1777</v>
      </c>
      <c r="J121" s="57">
        <f>J119+J120</f>
        <v>3091</v>
      </c>
      <c r="K121" s="57">
        <f>K119+K120</f>
        <v>2763</v>
      </c>
      <c r="L121" s="57">
        <f>L119+L120</f>
        <v>2339</v>
      </c>
      <c r="M121" s="57">
        <f>M119+M120</f>
        <v>3415</v>
      </c>
      <c r="N121" s="57">
        <f>N119+N120</f>
        <v>98</v>
      </c>
    </row>
    <row r="122" spans="1:26" ht="15.75">
      <c r="A122" s="182" t="s">
        <v>193</v>
      </c>
      <c r="B122" s="146"/>
      <c r="C122" s="146"/>
      <c r="D122" s="146"/>
      <c r="E122" s="182" t="s">
        <v>193</v>
      </c>
      <c r="F122" s="57">
        <f>COUNTA(F3:F114)</f>
        <v>112</v>
      </c>
      <c r="G122" s="57">
        <f>COUNTA(G3:G114)</f>
        <v>112</v>
      </c>
      <c r="H122" s="57">
        <f>COUNTA(H3:H114)</f>
        <v>112</v>
      </c>
      <c r="I122" s="57">
        <f>COUNTA(I3:I114)</f>
        <v>112</v>
      </c>
      <c r="J122" s="57">
        <f>COUNTA(J3:J114)</f>
        <v>112</v>
      </c>
      <c r="K122" s="57">
        <f>COUNTA(K3:K114)</f>
        <v>112</v>
      </c>
      <c r="L122" s="57">
        <f>COUNTA(L3:L114)</f>
        <v>112</v>
      </c>
      <c r="M122" s="57">
        <f>COUNTA(M3:M114)</f>
        <v>112</v>
      </c>
      <c r="N122" s="57">
        <f>COUNTA(N3:N114)</f>
        <v>112</v>
      </c>
    </row>
    <row r="123" spans="1:26" ht="15.75">
      <c r="A123" s="182" t="s">
        <v>194</v>
      </c>
      <c r="B123" s="146"/>
      <c r="C123" s="146"/>
      <c r="D123" s="146"/>
      <c r="E123" s="182" t="s">
        <v>194</v>
      </c>
      <c r="F123" s="57">
        <f>F122-F128-F129-F130-F131</f>
        <v>99</v>
      </c>
      <c r="G123" s="57">
        <f>G122-G128-G129-G130-G131</f>
        <v>37</v>
      </c>
      <c r="H123" s="57">
        <f>H122-H128-H129-H130-H131</f>
        <v>32</v>
      </c>
      <c r="I123" s="57">
        <f>I122-I128-I129-I130-I131</f>
        <v>95</v>
      </c>
      <c r="J123" s="57">
        <f>J122-J128-J129-J130-J131</f>
        <v>92</v>
      </c>
      <c r="K123" s="57">
        <f>K122-K128-K129-K130-K131</f>
        <v>92</v>
      </c>
      <c r="L123" s="57">
        <f>L122-L128-L129-L130-L131</f>
        <v>95</v>
      </c>
      <c r="M123" s="57">
        <f>M122-M128-M129-M130-M131</f>
        <v>94</v>
      </c>
      <c r="N123" s="57">
        <f>N122-N128-N129-N130-N131</f>
        <v>28</v>
      </c>
    </row>
    <row r="124" spans="1:26" ht="15.75">
      <c r="A124" s="359" t="s">
        <v>195</v>
      </c>
      <c r="B124" s="353"/>
      <c r="C124" s="353"/>
      <c r="D124" s="146"/>
      <c r="E124" s="359" t="s">
        <v>195</v>
      </c>
      <c r="F124" s="57">
        <f>F123+F131</f>
        <v>103</v>
      </c>
      <c r="G124" s="57">
        <f>G123+G131</f>
        <v>37</v>
      </c>
      <c r="H124" s="57">
        <f>H123+H131</f>
        <v>32</v>
      </c>
      <c r="I124" s="57">
        <f>I123+I131</f>
        <v>98</v>
      </c>
      <c r="J124" s="57">
        <f>J123+J131</f>
        <v>98</v>
      </c>
      <c r="K124" s="57">
        <f>K123+K131</f>
        <v>98</v>
      </c>
      <c r="L124" s="57">
        <f>L123+L131</f>
        <v>100</v>
      </c>
      <c r="M124" s="57">
        <f>M123+M131</f>
        <v>101</v>
      </c>
      <c r="N124" s="57">
        <f>N123+N131</f>
        <v>28</v>
      </c>
    </row>
    <row r="125" spans="1:26" ht="15.75">
      <c r="A125" s="359" t="s">
        <v>7</v>
      </c>
      <c r="B125" s="353"/>
      <c r="C125" s="353"/>
      <c r="D125" s="146"/>
      <c r="E125" s="359" t="s">
        <v>7</v>
      </c>
      <c r="F125" s="57">
        <f>F124*450</f>
        <v>46350</v>
      </c>
      <c r="G125" s="57">
        <f>G124*450</f>
        <v>16650</v>
      </c>
      <c r="H125" s="57">
        <f>H124*450</f>
        <v>14400</v>
      </c>
      <c r="I125" s="57">
        <f>I124*450</f>
        <v>44100</v>
      </c>
      <c r="J125" s="57">
        <f>J124*450</f>
        <v>44100</v>
      </c>
      <c r="K125" s="57">
        <f>K124*450</f>
        <v>44100</v>
      </c>
      <c r="L125" s="57">
        <f>L124*450</f>
        <v>45000</v>
      </c>
      <c r="M125" s="57">
        <f>M124*450</f>
        <v>45450</v>
      </c>
      <c r="N125" s="57">
        <f>N124*450</f>
        <v>12600</v>
      </c>
    </row>
    <row r="126" spans="1:26" ht="15.75">
      <c r="A126" s="355" t="s">
        <v>8</v>
      </c>
      <c r="B126" s="356" t="s">
        <v>187</v>
      </c>
      <c r="C126" s="356" t="s">
        <v>187</v>
      </c>
      <c r="D126" s="146"/>
      <c r="E126" s="355" t="s">
        <v>8</v>
      </c>
      <c r="F126" s="57">
        <f>F125-F121</f>
        <v>44172</v>
      </c>
      <c r="G126" s="57">
        <f>G125-G121</f>
        <v>16572</v>
      </c>
      <c r="H126" s="57">
        <f>H125-H121</f>
        <v>14358</v>
      </c>
      <c r="I126" s="57">
        <f>I125-I121</f>
        <v>42323</v>
      </c>
      <c r="J126" s="57">
        <f>J125-J121</f>
        <v>41009</v>
      </c>
      <c r="K126" s="57">
        <f>K125-K121</f>
        <v>41337</v>
      </c>
      <c r="L126" s="57">
        <f>L125-L121</f>
        <v>42661</v>
      </c>
      <c r="M126" s="57">
        <f>M125-M121</f>
        <v>42035</v>
      </c>
      <c r="N126" s="57">
        <f>N125-N121</f>
        <v>12502</v>
      </c>
    </row>
    <row r="127" spans="1:26" ht="15.75">
      <c r="A127" s="360" t="s">
        <v>9</v>
      </c>
      <c r="B127" s="361" t="s">
        <v>187</v>
      </c>
      <c r="C127" s="361" t="s">
        <v>187</v>
      </c>
      <c r="D127" s="146"/>
      <c r="E127" s="360" t="s">
        <v>9</v>
      </c>
      <c r="F127" s="60">
        <f>F126/F125</f>
        <v>0.95300970873786406</v>
      </c>
      <c r="G127" s="60">
        <f>G126/G125</f>
        <v>0.99531531531531536</v>
      </c>
      <c r="H127" s="60">
        <f>H126/H125</f>
        <v>0.99708333333333332</v>
      </c>
      <c r="I127" s="60">
        <f>I126/I125</f>
        <v>0.95970521541950116</v>
      </c>
      <c r="J127" s="60">
        <f>J126/J125</f>
        <v>0.92990929705215419</v>
      </c>
      <c r="K127" s="60">
        <f>K126/K125</f>
        <v>0.93734693877551023</v>
      </c>
      <c r="L127" s="60">
        <f>L126/L125</f>
        <v>0.94802222222222221</v>
      </c>
      <c r="M127" s="60">
        <f>M126/M125</f>
        <v>0.92486248624862488</v>
      </c>
      <c r="N127" s="60">
        <f>N126/N125</f>
        <v>0.99222222222222223</v>
      </c>
    </row>
    <row r="128" spans="1:26" ht="15.75">
      <c r="A128" s="182" t="s">
        <v>147</v>
      </c>
      <c r="B128" s="146"/>
      <c r="C128" s="146"/>
      <c r="D128" s="146"/>
      <c r="E128" s="182" t="s">
        <v>147</v>
      </c>
      <c r="F128" s="57">
        <f>COUNTIF(F3:F114,"RD")</f>
        <v>6</v>
      </c>
      <c r="G128" s="57">
        <f>COUNTIF(G3:G114,"RD")</f>
        <v>75</v>
      </c>
      <c r="H128" s="57">
        <f>COUNTIF(H3:H114,"RD")</f>
        <v>80</v>
      </c>
      <c r="I128" s="57">
        <f>COUNTIF(I3:I114,"RD")</f>
        <v>11</v>
      </c>
      <c r="J128" s="57">
        <f>COUNTIF(J3:J114,"RD")</f>
        <v>12</v>
      </c>
      <c r="K128" s="57">
        <f>COUNTIF(K3:K114,"RD")</f>
        <v>13</v>
      </c>
      <c r="L128" s="57">
        <f>COUNTIF(L3:L114,"RD")</f>
        <v>7</v>
      </c>
      <c r="M128" s="57">
        <f>COUNTIF(M3:M114,"RD")</f>
        <v>6</v>
      </c>
      <c r="N128" s="57">
        <f>COUNTIF(N3:N114,"RD")</f>
        <v>83</v>
      </c>
    </row>
    <row r="129" spans="1:14" ht="15.75">
      <c r="A129" s="182" t="s">
        <v>12</v>
      </c>
      <c r="B129" s="146"/>
      <c r="C129" s="146"/>
      <c r="D129" s="146"/>
      <c r="E129" s="182" t="s">
        <v>12</v>
      </c>
      <c r="F129" s="57">
        <f>COUNTIF(F3:F114,"VL")</f>
        <v>3</v>
      </c>
      <c r="G129" s="57">
        <f>COUNTIF(G3:G114,"VL")</f>
        <v>0</v>
      </c>
      <c r="H129" s="57">
        <f>COUNTIF(H3:H114,"VL")</f>
        <v>0</v>
      </c>
      <c r="I129" s="57">
        <f>COUNTIF(I3:I114,"VL")</f>
        <v>3</v>
      </c>
      <c r="J129" s="57">
        <f>COUNTIF(J3:J114,"VL")</f>
        <v>2</v>
      </c>
      <c r="K129" s="57">
        <f>COUNTIF(K3:K114,"VL")</f>
        <v>1</v>
      </c>
      <c r="L129" s="57">
        <f>COUNTIF(L3:L114,"VL")</f>
        <v>5</v>
      </c>
      <c r="M129" s="57">
        <f>COUNTIF(M3:M114,"VL")</f>
        <v>5</v>
      </c>
      <c r="N129" s="57">
        <f>COUNTIF(N3:N114,"VL")</f>
        <v>1</v>
      </c>
    </row>
    <row r="130" spans="1:14" ht="15.75">
      <c r="A130" s="359" t="s">
        <v>14</v>
      </c>
      <c r="B130" s="353"/>
      <c r="C130" s="353"/>
      <c r="D130" s="146"/>
      <c r="E130" s="359" t="s">
        <v>14</v>
      </c>
      <c r="F130" s="57">
        <f>COUNTIF(F3:F114,"LWOP")</f>
        <v>0</v>
      </c>
      <c r="G130" s="57">
        <f>COUNTIF(G3:G114,"LWOP")</f>
        <v>0</v>
      </c>
      <c r="H130" s="57">
        <f>COUNTIF(H3:H114,"LWOP")</f>
        <v>0</v>
      </c>
      <c r="I130" s="57">
        <f>COUNTIF(I3:I114,"LWOP")</f>
        <v>0</v>
      </c>
      <c r="J130" s="57">
        <f>COUNTIF(J3:J114,"LWOP")</f>
        <v>0</v>
      </c>
      <c r="K130" s="57">
        <f>COUNTIF(K3:K114,"LWOP")</f>
        <v>0</v>
      </c>
      <c r="L130" s="57">
        <f>COUNTIF(L3:L114,"LWOP")</f>
        <v>0</v>
      </c>
      <c r="M130" s="57">
        <f>COUNTIF(M3:M114,"LWOP")</f>
        <v>0</v>
      </c>
      <c r="N130" s="57">
        <f>COUNTIF(N3:N114,"LWOP")</f>
        <v>0</v>
      </c>
    </row>
    <row r="131" spans="1:14" ht="15.75">
      <c r="A131" s="359" t="s">
        <v>11</v>
      </c>
      <c r="B131" s="353"/>
      <c r="C131" s="353"/>
      <c r="D131" s="146"/>
      <c r="E131" s="359" t="s">
        <v>11</v>
      </c>
      <c r="F131" s="57">
        <f>COUNTIF(F3:F114,"450")</f>
        <v>4</v>
      </c>
      <c r="G131" s="57">
        <f>COUNTIF(G3:G114,"450")</f>
        <v>0</v>
      </c>
      <c r="H131" s="57">
        <f>COUNTIF(H3:H114,"450")</f>
        <v>0</v>
      </c>
      <c r="I131" s="57">
        <f>COUNTIF(I3:I114,"450")</f>
        <v>3</v>
      </c>
      <c r="J131" s="57">
        <f>COUNTIF(J3:J114,"450")</f>
        <v>6</v>
      </c>
      <c r="K131" s="57">
        <f>COUNTIF(K3:K114,"450")</f>
        <v>6</v>
      </c>
      <c r="L131" s="57">
        <f>COUNTIF(L3:L114,"450")</f>
        <v>5</v>
      </c>
      <c r="M131" s="57">
        <f>COUNTIF(M3:M114,"450")</f>
        <v>7</v>
      </c>
      <c r="N131" s="57">
        <f>COUNTIF(N3:N114,"450")</f>
        <v>0</v>
      </c>
    </row>
    <row r="132" spans="1:14">
      <c r="A132" s="356" t="s">
        <v>196</v>
      </c>
      <c r="B132" s="356" t="s">
        <v>187</v>
      </c>
      <c r="C132" s="356" t="s">
        <v>187</v>
      </c>
      <c r="D132" s="353"/>
      <c r="E132" s="356" t="s">
        <v>196</v>
      </c>
      <c r="F132" s="194">
        <f>F119/F126</f>
        <v>8.557457212713936E-3</v>
      </c>
      <c r="G132" s="194">
        <f>G119/G126</f>
        <v>4.7067342505430852E-3</v>
      </c>
      <c r="H132" s="194">
        <f>H119/H126</f>
        <v>2.9251984956122023E-3</v>
      </c>
      <c r="I132" s="194">
        <f>I119/I126</f>
        <v>1.0089076861281101E-2</v>
      </c>
      <c r="J132" s="194">
        <f>J119/J126</f>
        <v>9.534492428491307E-3</v>
      </c>
      <c r="K132" s="194">
        <f>K119/K126</f>
        <v>1.5240583496625298E-3</v>
      </c>
      <c r="L132" s="194">
        <f>L119/L126</f>
        <v>2.0862145753732918E-3</v>
      </c>
      <c r="M132" s="194">
        <f>M119/M126</f>
        <v>6.304270250981325E-3</v>
      </c>
      <c r="N132" s="194">
        <f>N119/N126</f>
        <v>7.8387458006718928E-3</v>
      </c>
    </row>
    <row r="133" spans="1:14">
      <c r="A133" s="358" t="s">
        <v>197</v>
      </c>
      <c r="B133" s="358" t="s">
        <v>187</v>
      </c>
      <c r="C133" s="358" t="s">
        <v>187</v>
      </c>
      <c r="D133" s="353"/>
      <c r="E133" s="358" t="s">
        <v>197</v>
      </c>
      <c r="F133" s="194">
        <f>F120/F125</f>
        <v>3.8834951456310676E-2</v>
      </c>
      <c r="G133" s="194">
        <f>G120/G125</f>
        <v>0</v>
      </c>
      <c r="H133" s="194">
        <f>H120/H125</f>
        <v>0</v>
      </c>
      <c r="I133" s="194">
        <f>I120/I125</f>
        <v>3.0612244897959183E-2</v>
      </c>
      <c r="J133" s="194">
        <f>J120/J125</f>
        <v>6.1224489795918366E-2</v>
      </c>
      <c r="K133" s="194">
        <f>K120/K125</f>
        <v>6.1224489795918366E-2</v>
      </c>
      <c r="L133" s="194">
        <f>L120/L125</f>
        <v>0.05</v>
      </c>
      <c r="M133" s="194">
        <f>M120/M125</f>
        <v>6.9306930693069313E-2</v>
      </c>
      <c r="N133" s="194">
        <f>N120/N125</f>
        <v>0</v>
      </c>
    </row>
    <row r="134" spans="1:14">
      <c r="C134" s="58"/>
      <c r="F134" s="15"/>
      <c r="G134" s="15"/>
      <c r="H134" s="15"/>
      <c r="I134" s="15"/>
      <c r="J134" s="15"/>
      <c r="K134" s="15"/>
      <c r="L134" s="15"/>
      <c r="M134" s="15"/>
      <c r="N134" s="15"/>
    </row>
    <row r="135" spans="1:14">
      <c r="C135" s="58"/>
      <c r="F135" s="15"/>
      <c r="G135" s="15"/>
      <c r="H135" s="15"/>
      <c r="I135" s="15"/>
      <c r="J135" s="15"/>
      <c r="K135" s="15"/>
      <c r="L135" s="15"/>
      <c r="M135" s="15"/>
      <c r="N135" s="15"/>
    </row>
    <row r="136" spans="1:14">
      <c r="C136" s="58"/>
      <c r="F136" s="15"/>
      <c r="G136" s="15"/>
      <c r="H136" s="15"/>
      <c r="I136" s="15"/>
      <c r="J136" s="15"/>
      <c r="K136" s="15"/>
      <c r="L136" s="15"/>
      <c r="M136" s="15"/>
      <c r="N136" s="15"/>
    </row>
    <row r="137" spans="1:14">
      <c r="C137" s="58"/>
      <c r="F137" s="15"/>
      <c r="G137" s="15"/>
      <c r="H137" s="15"/>
      <c r="I137" s="15"/>
      <c r="J137" s="15"/>
      <c r="K137" s="15"/>
      <c r="L137" s="15"/>
      <c r="M137" s="15"/>
      <c r="N137" s="15"/>
    </row>
    <row r="138" spans="1:14">
      <c r="C138" s="58"/>
      <c r="F138" s="15"/>
      <c r="G138" s="15"/>
      <c r="H138" s="15"/>
      <c r="I138" s="15"/>
      <c r="J138" s="15"/>
      <c r="K138" s="15"/>
      <c r="L138" s="15"/>
      <c r="M138" s="15"/>
      <c r="N138" s="15"/>
    </row>
    <row r="139" spans="1:14">
      <c r="C139" s="58"/>
      <c r="F139" s="15"/>
      <c r="G139" s="15"/>
      <c r="H139" s="15"/>
      <c r="I139" s="15"/>
      <c r="J139" s="15"/>
      <c r="K139" s="15"/>
      <c r="L139" s="15"/>
      <c r="M139" s="15"/>
      <c r="N139" s="15"/>
    </row>
    <row r="140" spans="1:14">
      <c r="C140" s="58"/>
      <c r="F140" s="15"/>
      <c r="G140" s="15"/>
      <c r="H140" s="15"/>
      <c r="I140" s="15"/>
      <c r="J140" s="15" t="s">
        <v>339</v>
      </c>
      <c r="K140" s="15"/>
      <c r="L140" s="15"/>
      <c r="M140" s="15"/>
      <c r="N140" s="15"/>
    </row>
    <row r="141" spans="1:14">
      <c r="C141" s="58"/>
      <c r="F141" s="15"/>
      <c r="G141" s="15"/>
      <c r="H141" s="15"/>
      <c r="I141" s="15"/>
      <c r="J141" s="15"/>
      <c r="K141" s="15"/>
      <c r="L141" s="15"/>
      <c r="M141" s="15"/>
      <c r="N141" s="15"/>
    </row>
    <row r="142" spans="1:14">
      <c r="C142" s="58"/>
      <c r="F142" s="15"/>
      <c r="G142" s="15"/>
      <c r="H142" s="15"/>
      <c r="I142" s="15"/>
      <c r="J142" s="15"/>
      <c r="K142" s="15"/>
      <c r="L142" s="15"/>
      <c r="M142" s="15"/>
      <c r="N142" s="15"/>
    </row>
    <row r="143" spans="1:14">
      <c r="C143" s="58"/>
      <c r="F143" s="15"/>
      <c r="G143" s="15"/>
      <c r="H143" s="15"/>
      <c r="I143" s="15"/>
      <c r="J143" s="15"/>
      <c r="K143" s="15"/>
      <c r="L143" s="15"/>
      <c r="M143" s="15"/>
      <c r="N143" s="15"/>
    </row>
    <row r="144" spans="1:14">
      <c r="C144" s="58"/>
      <c r="F144" s="15"/>
      <c r="G144" s="15"/>
      <c r="H144" s="15"/>
      <c r="I144" s="15"/>
      <c r="J144" s="15"/>
      <c r="K144" s="15"/>
      <c r="L144" s="15"/>
      <c r="M144" s="15"/>
      <c r="N144" s="15"/>
    </row>
    <row r="145" spans="3:14">
      <c r="C145" s="58"/>
      <c r="F145" s="15"/>
      <c r="G145" s="15"/>
      <c r="H145" s="15"/>
      <c r="I145" s="15"/>
      <c r="J145" s="15"/>
      <c r="K145" s="15"/>
      <c r="L145" s="15"/>
      <c r="M145" s="15"/>
      <c r="N145" s="15"/>
    </row>
    <row r="146" spans="3:14">
      <c r="C146" s="58"/>
      <c r="F146" s="15"/>
      <c r="G146" s="15"/>
      <c r="H146" s="15"/>
      <c r="I146" s="15"/>
      <c r="J146" s="15"/>
      <c r="K146" s="15"/>
      <c r="L146" s="15"/>
      <c r="M146" s="15"/>
      <c r="N146" s="15"/>
    </row>
    <row r="147" spans="3:14">
      <c r="C147" s="58"/>
      <c r="F147" s="15"/>
      <c r="G147" s="15"/>
      <c r="H147" s="15"/>
      <c r="I147" s="15"/>
      <c r="J147" s="15"/>
      <c r="K147" s="15"/>
      <c r="L147" s="15"/>
      <c r="M147" s="15"/>
      <c r="N147" s="15"/>
    </row>
    <row r="148" spans="3:14">
      <c r="C148" s="58"/>
      <c r="F148" s="15"/>
      <c r="G148" s="15"/>
      <c r="H148" s="15"/>
      <c r="I148" s="15"/>
      <c r="J148" s="15"/>
      <c r="K148" s="15"/>
      <c r="L148" s="15"/>
      <c r="M148" s="15"/>
      <c r="N148" s="15"/>
    </row>
    <row r="149" spans="3:14">
      <c r="C149" s="58"/>
      <c r="F149" s="15"/>
      <c r="G149" s="15"/>
      <c r="H149" s="15"/>
      <c r="I149" s="15"/>
      <c r="J149" s="15"/>
      <c r="K149" s="15"/>
      <c r="L149" s="15"/>
      <c r="M149" s="15"/>
      <c r="N149" s="15"/>
    </row>
    <row r="150" spans="3:14">
      <c r="C150" s="58"/>
      <c r="F150" s="15"/>
      <c r="G150" s="15"/>
      <c r="H150" s="15"/>
      <c r="I150" s="15"/>
      <c r="J150" s="15"/>
      <c r="K150" s="15"/>
      <c r="L150" s="15"/>
      <c r="M150" s="15"/>
      <c r="N150" s="15"/>
    </row>
    <row r="151" spans="3:14">
      <c r="C151" s="58"/>
      <c r="F151" s="15"/>
      <c r="G151" s="15"/>
      <c r="H151" s="15"/>
      <c r="I151" s="15"/>
      <c r="J151" s="15"/>
      <c r="K151" s="15"/>
      <c r="L151" s="15"/>
      <c r="M151" s="15"/>
      <c r="N151" s="15"/>
    </row>
    <row r="152" spans="3:14">
      <c r="C152" s="58"/>
      <c r="F152" s="15"/>
      <c r="G152" s="15"/>
      <c r="H152" s="15"/>
      <c r="I152" s="15"/>
      <c r="J152" s="15"/>
      <c r="K152" s="15"/>
      <c r="L152" s="15"/>
      <c r="M152" s="15"/>
      <c r="N152" s="15"/>
    </row>
    <row r="153" spans="3:14">
      <c r="C153" s="58"/>
      <c r="F153" s="15"/>
      <c r="G153" s="15"/>
      <c r="H153" s="15"/>
      <c r="I153" s="15"/>
      <c r="J153" s="15"/>
      <c r="K153" s="15"/>
      <c r="L153" s="15"/>
      <c r="M153" s="15"/>
      <c r="N153" s="15"/>
    </row>
  </sheetData>
  <autoFilter ref="A2:V113" xr:uid="{A40F74A4-25C2-42F3-A6FB-E3A72459A567}"/>
  <conditionalFormatting sqref="F1:N115">
    <cfRule type="cellIs" dxfId="4654" priority="4" operator="equal">
      <formula>450</formula>
    </cfRule>
  </conditionalFormatting>
  <conditionalFormatting sqref="F3:N115">
    <cfRule type="containsText" dxfId="4653" priority="3" operator="containsText" text="VL">
      <formula>NOT(ISERROR(SEARCH("VL",F3)))</formula>
    </cfRule>
  </conditionalFormatting>
  <conditionalFormatting sqref="F3:N115">
    <cfRule type="cellIs" dxfId="4652" priority="2" operator="equal">
      <formula>"LWOP"</formula>
    </cfRule>
  </conditionalFormatting>
  <conditionalFormatting sqref="F1:N115">
    <cfRule type="cellIs" dxfId="4651" priority="1" operator="between">
      <formula>1</formula>
      <formula>449</formula>
    </cfRule>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28F16-23E1-4885-A590-15D508EA297A}">
  <sheetPr filterMode="1"/>
  <dimension ref="A1:AA153"/>
  <sheetViews>
    <sheetView workbookViewId="0">
      <selection activeCell="G159" sqref="G159"/>
    </sheetView>
  </sheetViews>
  <sheetFormatPr defaultRowHeight="15"/>
  <cols>
    <col min="1" max="1" width="19" bestFit="1" customWidth="1"/>
    <col min="13" max="13" width="10.42578125" bestFit="1" customWidth="1"/>
  </cols>
  <sheetData>
    <row r="1" spans="1:27">
      <c r="A1" s="146"/>
      <c r="B1" s="146"/>
      <c r="C1" s="146"/>
      <c r="D1" s="146"/>
      <c r="E1" s="147"/>
      <c r="F1" s="188">
        <v>45938</v>
      </c>
      <c r="G1" s="188">
        <v>45969</v>
      </c>
      <c r="H1" s="188">
        <v>45999</v>
      </c>
      <c r="I1" s="189" t="s">
        <v>243</v>
      </c>
      <c r="J1" s="189" t="s">
        <v>244</v>
      </c>
      <c r="K1" s="189" t="s">
        <v>245</v>
      </c>
      <c r="L1" s="189" t="s">
        <v>246</v>
      </c>
    </row>
    <row r="2" spans="1:27">
      <c r="A2" s="148" t="s">
        <v>2</v>
      </c>
      <c r="B2" s="149" t="s">
        <v>262</v>
      </c>
      <c r="C2" s="150" t="s">
        <v>263</v>
      </c>
      <c r="D2" s="150" t="s">
        <v>0</v>
      </c>
      <c r="E2" s="151" t="s">
        <v>3</v>
      </c>
      <c r="F2" s="191" t="s">
        <v>135</v>
      </c>
      <c r="G2" s="191" t="s">
        <v>136</v>
      </c>
      <c r="H2" s="191" t="s">
        <v>137</v>
      </c>
      <c r="I2" s="191" t="s">
        <v>138</v>
      </c>
      <c r="J2" s="191" t="s">
        <v>139</v>
      </c>
      <c r="K2" s="191" t="s">
        <v>140</v>
      </c>
      <c r="L2" s="191" t="s">
        <v>141</v>
      </c>
      <c r="M2" s="53" t="s">
        <v>4</v>
      </c>
      <c r="N2" s="1" t="s">
        <v>186</v>
      </c>
      <c r="O2" s="1" t="s">
        <v>5</v>
      </c>
      <c r="P2" s="1" t="s">
        <v>6</v>
      </c>
      <c r="Q2" s="1" t="s">
        <v>7</v>
      </c>
      <c r="R2" s="1" t="s">
        <v>8</v>
      </c>
      <c r="S2" s="1" t="s">
        <v>9</v>
      </c>
      <c r="T2" s="1" t="s">
        <v>182</v>
      </c>
      <c r="U2" s="1" t="s">
        <v>183</v>
      </c>
      <c r="V2" s="1" t="s">
        <v>147</v>
      </c>
      <c r="W2" s="2" t="s">
        <v>12</v>
      </c>
      <c r="X2" s="2" t="s">
        <v>14</v>
      </c>
      <c r="Y2" s="3" t="s">
        <v>184</v>
      </c>
      <c r="Z2" s="273" t="s">
        <v>269</v>
      </c>
      <c r="AA2" s="273" t="s">
        <v>278</v>
      </c>
    </row>
    <row r="3" spans="1:27" hidden="1">
      <c r="A3" s="155" t="s">
        <v>101</v>
      </c>
      <c r="B3" s="156" t="s">
        <v>265</v>
      </c>
      <c r="C3" s="157" t="s">
        <v>266</v>
      </c>
      <c r="D3" s="157" t="s">
        <v>111</v>
      </c>
      <c r="E3" s="158" t="s">
        <v>40</v>
      </c>
      <c r="F3" s="99" t="s">
        <v>147</v>
      </c>
      <c r="G3" s="98" t="s">
        <v>148</v>
      </c>
      <c r="H3" s="98" t="s">
        <v>148</v>
      </c>
      <c r="I3" s="98" t="s">
        <v>148</v>
      </c>
      <c r="J3" s="270" t="s">
        <v>148</v>
      </c>
      <c r="K3" s="270" t="s">
        <v>148</v>
      </c>
      <c r="L3" s="99" t="s">
        <v>147</v>
      </c>
      <c r="M3" s="54">
        <f>SUM(F3:L3)</f>
        <v>0</v>
      </c>
      <c r="N3" s="16">
        <f>M3-O3</f>
        <v>0</v>
      </c>
      <c r="O3" s="5">
        <f>SUMIF(F3:L3,"450")</f>
        <v>0</v>
      </c>
      <c r="P3" s="16">
        <f>N3+O3</f>
        <v>0</v>
      </c>
      <c r="Q3">
        <f>T3*450</f>
        <v>2250</v>
      </c>
      <c r="R3">
        <f>Q3-P3</f>
        <v>2250</v>
      </c>
      <c r="S3" s="39">
        <f>R3/Q3</f>
        <v>1</v>
      </c>
      <c r="T3">
        <f>U3-(W3+X3)</f>
        <v>5</v>
      </c>
      <c r="U3">
        <f>7-V3</f>
        <v>5</v>
      </c>
      <c r="V3" s="5">
        <f>COUNTIF(F3:L3,"RD")</f>
        <v>2</v>
      </c>
      <c r="W3" s="5">
        <f>COUNTIF(F3:L3,"VL")</f>
        <v>0</v>
      </c>
      <c r="X3" s="5">
        <f>COUNTIF(F3:L3,"LWOP")</f>
        <v>0</v>
      </c>
      <c r="Y3" s="5">
        <f>COUNTIF(F3:L3,"450")</f>
        <v>0</v>
      </c>
      <c r="Z3" s="5">
        <f>COUNTIF(F3:M3,"EVL")</f>
        <v>0</v>
      </c>
      <c r="AA3" s="5">
        <f>COUNTIF(F3:N3,"EVLS")</f>
        <v>0</v>
      </c>
    </row>
    <row r="4" spans="1:27" hidden="1">
      <c r="A4" s="162" t="s">
        <v>110</v>
      </c>
      <c r="B4" s="156" t="s">
        <v>265</v>
      </c>
      <c r="C4" s="157" t="s">
        <v>266</v>
      </c>
      <c r="D4" s="157" t="s">
        <v>111</v>
      </c>
      <c r="E4" s="158" t="s">
        <v>40</v>
      </c>
      <c r="F4" s="99" t="s">
        <v>147</v>
      </c>
      <c r="G4" s="98" t="s">
        <v>148</v>
      </c>
      <c r="H4" s="98" t="s">
        <v>148</v>
      </c>
      <c r="I4" s="98" t="s">
        <v>148</v>
      </c>
      <c r="J4" s="270" t="s">
        <v>148</v>
      </c>
      <c r="K4" s="270" t="s">
        <v>148</v>
      </c>
      <c r="L4" s="99" t="s">
        <v>147</v>
      </c>
      <c r="M4" s="54">
        <f>SUM(F4:L4)</f>
        <v>0</v>
      </c>
      <c r="N4" s="16">
        <f>M4-O4</f>
        <v>0</v>
      </c>
      <c r="O4" s="5">
        <f>SUMIF(F4:L4,"450")</f>
        <v>0</v>
      </c>
      <c r="P4" s="16">
        <f>N4+O4</f>
        <v>0</v>
      </c>
      <c r="Q4">
        <f>T4*450</f>
        <v>2250</v>
      </c>
      <c r="R4">
        <f>Q4-P4</f>
        <v>2250</v>
      </c>
      <c r="S4" s="39">
        <f>R4/Q4</f>
        <v>1</v>
      </c>
      <c r="T4">
        <f>U4-(W4+X4)</f>
        <v>5</v>
      </c>
      <c r="U4">
        <f>7-V4</f>
        <v>5</v>
      </c>
      <c r="V4" s="5">
        <f>COUNTIF(F4:L4,"RD")</f>
        <v>2</v>
      </c>
      <c r="W4" s="5">
        <f>COUNTIF(F4:L4,"VL")</f>
        <v>0</v>
      </c>
      <c r="X4" s="5">
        <f>COUNTIF(F4:L4,"LWOP")</f>
        <v>0</v>
      </c>
      <c r="Y4" s="5">
        <f>COUNTIF(F4:L4,"450")</f>
        <v>0</v>
      </c>
      <c r="Z4" s="5">
        <f>COUNTIF(F4:M4,"EVL")</f>
        <v>0</v>
      </c>
      <c r="AA4" s="5">
        <f>COUNTIF(F4:N4,"EVLS")</f>
        <v>0</v>
      </c>
    </row>
    <row r="5" spans="1:27" hidden="1">
      <c r="A5" s="162" t="s">
        <v>220</v>
      </c>
      <c r="B5" s="156" t="s">
        <v>265</v>
      </c>
      <c r="C5" s="157" t="s">
        <v>266</v>
      </c>
      <c r="D5" s="157" t="s">
        <v>267</v>
      </c>
      <c r="E5" s="158" t="s">
        <v>40</v>
      </c>
      <c r="F5" s="99" t="s">
        <v>147</v>
      </c>
      <c r="G5" s="98" t="s">
        <v>148</v>
      </c>
      <c r="H5" s="98" t="s">
        <v>148</v>
      </c>
      <c r="I5" s="98" t="s">
        <v>148</v>
      </c>
      <c r="J5" s="270" t="s">
        <v>148</v>
      </c>
      <c r="K5" s="102">
        <v>450</v>
      </c>
      <c r="L5" s="99" t="s">
        <v>147</v>
      </c>
      <c r="M5" s="54">
        <f>SUM(F5:L5)</f>
        <v>450</v>
      </c>
      <c r="N5" s="16">
        <f>M5-O5</f>
        <v>0</v>
      </c>
      <c r="O5" s="5">
        <f>SUMIF(F5:L5,"450")</f>
        <v>450</v>
      </c>
      <c r="P5" s="16">
        <f>N5+O5</f>
        <v>450</v>
      </c>
      <c r="Q5">
        <f>T5*450</f>
        <v>2250</v>
      </c>
      <c r="R5">
        <f>Q5-P5</f>
        <v>1800</v>
      </c>
      <c r="S5" s="39">
        <f>R5/Q5</f>
        <v>0.8</v>
      </c>
      <c r="T5">
        <f>U5-(W5+X5)</f>
        <v>5</v>
      </c>
      <c r="U5">
        <f>7-V5</f>
        <v>5</v>
      </c>
      <c r="V5" s="5">
        <f>COUNTIF(F5:L5,"RD")</f>
        <v>2</v>
      </c>
      <c r="W5" s="5">
        <f>COUNTIF(F5:L5,"VL")</f>
        <v>0</v>
      </c>
      <c r="X5" s="5">
        <f>COUNTIF(F5:L5,"LWOP")</f>
        <v>0</v>
      </c>
      <c r="Y5" s="5">
        <f>COUNTIF(F5:L5,"450")</f>
        <v>1</v>
      </c>
      <c r="Z5" s="5">
        <f>COUNTIF(F5:M5,"EVL")</f>
        <v>0</v>
      </c>
      <c r="AA5" s="5">
        <f>COUNTIF(F5:N5,"EVLS")</f>
        <v>0</v>
      </c>
    </row>
    <row r="6" spans="1:27" hidden="1">
      <c r="A6" s="162" t="s">
        <v>268</v>
      </c>
      <c r="B6" s="156" t="s">
        <v>265</v>
      </c>
      <c r="C6" s="157" t="s">
        <v>266</v>
      </c>
      <c r="D6" s="157" t="s">
        <v>267</v>
      </c>
      <c r="E6" s="158" t="s">
        <v>40</v>
      </c>
      <c r="F6" s="99" t="s">
        <v>147</v>
      </c>
      <c r="G6" s="98" t="s">
        <v>148</v>
      </c>
      <c r="H6" s="98" t="s">
        <v>148</v>
      </c>
      <c r="I6" s="98" t="s">
        <v>148</v>
      </c>
      <c r="J6" s="270" t="s">
        <v>148</v>
      </c>
      <c r="K6" s="270" t="s">
        <v>148</v>
      </c>
      <c r="L6" s="99" t="s">
        <v>147</v>
      </c>
      <c r="M6" s="54">
        <f>SUM(F6:L6)</f>
        <v>0</v>
      </c>
      <c r="N6" s="16">
        <f>M6-O6</f>
        <v>0</v>
      </c>
      <c r="O6" s="5">
        <f>SUMIF(F6:L6,"450")</f>
        <v>0</v>
      </c>
      <c r="P6" s="16">
        <f>N6+O6</f>
        <v>0</v>
      </c>
      <c r="Q6">
        <f>T6*450</f>
        <v>2250</v>
      </c>
      <c r="R6">
        <f>Q6-P6</f>
        <v>2250</v>
      </c>
      <c r="S6" s="39">
        <f>R6/Q6</f>
        <v>1</v>
      </c>
      <c r="T6">
        <f>U6-(W6+X6)</f>
        <v>5</v>
      </c>
      <c r="U6">
        <f>7-V6</f>
        <v>5</v>
      </c>
      <c r="V6" s="5">
        <f>COUNTIF(F6:L6,"RD")</f>
        <v>2</v>
      </c>
      <c r="W6" s="5">
        <f>COUNTIF(F6:L6,"VL")</f>
        <v>0</v>
      </c>
      <c r="X6" s="5">
        <f>COUNTIF(F6:L6,"LWOP")</f>
        <v>0</v>
      </c>
      <c r="Y6" s="5">
        <f>COUNTIF(F6:L6,"450")</f>
        <v>0</v>
      </c>
      <c r="Z6" s="5">
        <f>COUNTIF(F6:M6,"EVL")</f>
        <v>0</v>
      </c>
      <c r="AA6" s="5">
        <f>COUNTIF(F6:N6,"EVLS")</f>
        <v>0</v>
      </c>
    </row>
    <row r="7" spans="1:27" hidden="1">
      <c r="A7" s="163" t="s">
        <v>58</v>
      </c>
      <c r="B7" s="156" t="s">
        <v>265</v>
      </c>
      <c r="C7" s="157" t="s">
        <v>266</v>
      </c>
      <c r="D7" s="157" t="s">
        <v>57</v>
      </c>
      <c r="E7" s="158" t="s">
        <v>40</v>
      </c>
      <c r="F7" s="99" t="s">
        <v>147</v>
      </c>
      <c r="G7" s="98" t="s">
        <v>148</v>
      </c>
      <c r="H7" s="98" t="s">
        <v>148</v>
      </c>
      <c r="I7" s="98" t="s">
        <v>148</v>
      </c>
      <c r="J7" s="270" t="s">
        <v>148</v>
      </c>
      <c r="K7" s="270" t="s">
        <v>148</v>
      </c>
      <c r="L7" s="99" t="s">
        <v>147</v>
      </c>
      <c r="M7" s="54">
        <f>SUM(F7:L7)</f>
        <v>0</v>
      </c>
      <c r="N7" s="16">
        <f>M7-O7</f>
        <v>0</v>
      </c>
      <c r="O7" s="5">
        <f>SUMIF(F7:L7,"450")</f>
        <v>0</v>
      </c>
      <c r="P7" s="16">
        <f>N7+O7</f>
        <v>0</v>
      </c>
      <c r="Q7">
        <f>T7*450</f>
        <v>2250</v>
      </c>
      <c r="R7">
        <f>Q7-P7</f>
        <v>2250</v>
      </c>
      <c r="S7" s="39">
        <f>R7/Q7</f>
        <v>1</v>
      </c>
      <c r="T7">
        <f>U7-(W7+X7)</f>
        <v>5</v>
      </c>
      <c r="U7">
        <f>7-V7</f>
        <v>5</v>
      </c>
      <c r="V7" s="5">
        <f>COUNTIF(F7:L7,"RD")</f>
        <v>2</v>
      </c>
      <c r="W7" s="5">
        <f>COUNTIF(F7:L7,"VL")</f>
        <v>0</v>
      </c>
      <c r="X7" s="5">
        <f>COUNTIF(F7:L7,"LWOP")</f>
        <v>0</v>
      </c>
      <c r="Y7" s="5">
        <f>COUNTIF(F7:L7,"450")</f>
        <v>0</v>
      </c>
      <c r="Z7" s="5">
        <f>COUNTIF(F7:M7,"EVL")</f>
        <v>0</v>
      </c>
      <c r="AA7" s="5">
        <f>COUNTIF(F7:N7,"EVLS")</f>
        <v>0</v>
      </c>
    </row>
    <row r="8" spans="1:27" hidden="1">
      <c r="A8" s="164" t="s">
        <v>94</v>
      </c>
      <c r="B8" s="156" t="s">
        <v>265</v>
      </c>
      <c r="C8" s="157" t="s">
        <v>266</v>
      </c>
      <c r="D8" s="157" t="s">
        <v>57</v>
      </c>
      <c r="E8" s="158" t="s">
        <v>40</v>
      </c>
      <c r="F8" s="99" t="s">
        <v>147</v>
      </c>
      <c r="G8" s="102">
        <v>450</v>
      </c>
      <c r="H8" s="98" t="s">
        <v>148</v>
      </c>
      <c r="I8" s="100">
        <v>1</v>
      </c>
      <c r="J8" s="272">
        <v>30</v>
      </c>
      <c r="K8" s="270" t="s">
        <v>148</v>
      </c>
      <c r="L8" s="99" t="s">
        <v>147</v>
      </c>
      <c r="M8" s="54">
        <f>SUM(F8:L8)</f>
        <v>481</v>
      </c>
      <c r="N8" s="16">
        <f>M8-O8</f>
        <v>31</v>
      </c>
      <c r="O8" s="5">
        <f>SUMIF(F8:L8,"450")</f>
        <v>450</v>
      </c>
      <c r="P8" s="16">
        <f>N8+O8</f>
        <v>481</v>
      </c>
      <c r="Q8">
        <f>T8*450</f>
        <v>2250</v>
      </c>
      <c r="R8">
        <f>Q8-P8</f>
        <v>1769</v>
      </c>
      <c r="S8" s="39">
        <f>R8/Q8</f>
        <v>0.78622222222222227</v>
      </c>
      <c r="T8">
        <f>U8-(W8+X8)</f>
        <v>5</v>
      </c>
      <c r="U8">
        <f>7-V8</f>
        <v>5</v>
      </c>
      <c r="V8" s="5">
        <f>COUNTIF(F8:L8,"RD")</f>
        <v>2</v>
      </c>
      <c r="W8" s="5">
        <f>COUNTIF(F8:L8,"VL")</f>
        <v>0</v>
      </c>
      <c r="X8" s="5">
        <f>COUNTIF(F8:L8,"LWOP")</f>
        <v>0</v>
      </c>
      <c r="Y8" s="5">
        <f>COUNTIF(F8:L8,"450")</f>
        <v>1</v>
      </c>
      <c r="Z8" s="5">
        <f>COUNTIF(F8:M8,"EVL")</f>
        <v>0</v>
      </c>
      <c r="AA8" s="5">
        <f>COUNTIF(F8:N8,"EVLS")</f>
        <v>0</v>
      </c>
    </row>
    <row r="9" spans="1:27" hidden="1">
      <c r="A9" s="155" t="s">
        <v>107</v>
      </c>
      <c r="B9" s="156" t="s">
        <v>265</v>
      </c>
      <c r="C9" s="157" t="s">
        <v>266</v>
      </c>
      <c r="D9" s="157" t="s">
        <v>57</v>
      </c>
      <c r="E9" s="158" t="s">
        <v>40</v>
      </c>
      <c r="F9" s="99" t="s">
        <v>147</v>
      </c>
      <c r="G9" s="102">
        <v>450</v>
      </c>
      <c r="H9" s="98" t="s">
        <v>148</v>
      </c>
      <c r="I9" s="98" t="s">
        <v>148</v>
      </c>
      <c r="J9" s="102">
        <v>450</v>
      </c>
      <c r="K9" s="102">
        <v>450</v>
      </c>
      <c r="L9" s="99" t="s">
        <v>147</v>
      </c>
      <c r="M9" s="54">
        <f>SUM(F9:L9)</f>
        <v>1350</v>
      </c>
      <c r="N9" s="16">
        <f>M9-O9</f>
        <v>0</v>
      </c>
      <c r="O9" s="5">
        <f>SUMIF(F9:L9,"450")</f>
        <v>1350</v>
      </c>
      <c r="P9" s="16">
        <f>N9+O9</f>
        <v>1350</v>
      </c>
      <c r="Q9">
        <f>T9*450</f>
        <v>2250</v>
      </c>
      <c r="R9">
        <f>Q9-P9</f>
        <v>900</v>
      </c>
      <c r="S9" s="39">
        <f>R9/Q9</f>
        <v>0.4</v>
      </c>
      <c r="T9">
        <f>U9-(W9+X9)</f>
        <v>5</v>
      </c>
      <c r="U9">
        <f>7-V9</f>
        <v>5</v>
      </c>
      <c r="V9" s="5">
        <f>COUNTIF(F9:L9,"RD")</f>
        <v>2</v>
      </c>
      <c r="W9" s="5">
        <f>COUNTIF(F9:L9,"VL")</f>
        <v>0</v>
      </c>
      <c r="X9" s="5">
        <f>COUNTIF(F9:L9,"LWOP")</f>
        <v>0</v>
      </c>
      <c r="Y9" s="5">
        <f>COUNTIF(F9:L9,"450")</f>
        <v>3</v>
      </c>
      <c r="Z9" s="5">
        <f>COUNTIF(F9:M9,"EVL")</f>
        <v>0</v>
      </c>
      <c r="AA9" s="5">
        <f>COUNTIF(F9:N9,"EVLS")</f>
        <v>0</v>
      </c>
    </row>
    <row r="10" spans="1:27" hidden="1">
      <c r="A10" s="163" t="s">
        <v>59</v>
      </c>
      <c r="B10" s="156" t="s">
        <v>265</v>
      </c>
      <c r="C10" s="157" t="s">
        <v>266</v>
      </c>
      <c r="D10" s="157" t="s">
        <v>60</v>
      </c>
      <c r="E10" s="158" t="s">
        <v>40</v>
      </c>
      <c r="F10" s="99" t="s">
        <v>147</v>
      </c>
      <c r="G10" s="98" t="s">
        <v>148</v>
      </c>
      <c r="H10" s="98" t="s">
        <v>148</v>
      </c>
      <c r="I10" s="98" t="s">
        <v>148</v>
      </c>
      <c r="J10" s="270" t="s">
        <v>148</v>
      </c>
      <c r="K10" s="270" t="s">
        <v>148</v>
      </c>
      <c r="L10" s="99" t="s">
        <v>147</v>
      </c>
      <c r="M10" s="54">
        <f>SUM(F10:L10)</f>
        <v>0</v>
      </c>
      <c r="N10" s="16">
        <f>M10-O10</f>
        <v>0</v>
      </c>
      <c r="O10" s="5">
        <f>SUMIF(F10:L10,"450")</f>
        <v>0</v>
      </c>
      <c r="P10" s="16">
        <f>N10+O10</f>
        <v>0</v>
      </c>
      <c r="Q10">
        <f>T10*450</f>
        <v>2250</v>
      </c>
      <c r="R10">
        <f>Q10-P10</f>
        <v>2250</v>
      </c>
      <c r="S10" s="39">
        <f>R10/Q10</f>
        <v>1</v>
      </c>
      <c r="T10">
        <f>U10-(W10+X10)</f>
        <v>5</v>
      </c>
      <c r="U10">
        <f>7-V10</f>
        <v>5</v>
      </c>
      <c r="V10" s="5">
        <f>COUNTIF(F10:L10,"RD")</f>
        <v>2</v>
      </c>
      <c r="W10" s="5">
        <f>COUNTIF(F10:L10,"VL")</f>
        <v>0</v>
      </c>
      <c r="X10" s="5">
        <f>COUNTIF(F10:L10,"LWOP")</f>
        <v>0</v>
      </c>
      <c r="Y10" s="5">
        <f>COUNTIF(F10:L10,"450")</f>
        <v>0</v>
      </c>
      <c r="Z10" s="5">
        <f>COUNTIF(F10:M10,"EVL")</f>
        <v>0</v>
      </c>
      <c r="AA10" s="5">
        <f>COUNTIF(F10:N10,"EVLS")</f>
        <v>0</v>
      </c>
    </row>
    <row r="11" spans="1:27" hidden="1">
      <c r="A11" s="164" t="s">
        <v>84</v>
      </c>
      <c r="B11" s="156" t="s">
        <v>265</v>
      </c>
      <c r="C11" s="157" t="s">
        <v>266</v>
      </c>
      <c r="D11" s="157" t="s">
        <v>60</v>
      </c>
      <c r="E11" s="158" t="s">
        <v>40</v>
      </c>
      <c r="F11" s="99" t="s">
        <v>147</v>
      </c>
      <c r="G11" s="98" t="s">
        <v>148</v>
      </c>
      <c r="H11" s="98" t="s">
        <v>148</v>
      </c>
      <c r="I11" s="98" t="s">
        <v>148</v>
      </c>
      <c r="J11" s="270" t="s">
        <v>148</v>
      </c>
      <c r="K11" s="270" t="s">
        <v>148</v>
      </c>
      <c r="L11" s="99" t="s">
        <v>147</v>
      </c>
      <c r="M11" s="54">
        <f>SUM(F11:L11)</f>
        <v>0</v>
      </c>
      <c r="N11" s="16">
        <f>M11-O11</f>
        <v>0</v>
      </c>
      <c r="O11" s="5">
        <f>SUMIF(F11:L11,"450")</f>
        <v>0</v>
      </c>
      <c r="P11" s="16">
        <f>N11+O11</f>
        <v>0</v>
      </c>
      <c r="Q11">
        <f>T11*450</f>
        <v>2250</v>
      </c>
      <c r="R11">
        <f>Q11-P11</f>
        <v>2250</v>
      </c>
      <c r="S11" s="39">
        <f>R11/Q11</f>
        <v>1</v>
      </c>
      <c r="T11">
        <f>U11-(W11+X11)</f>
        <v>5</v>
      </c>
      <c r="U11">
        <f>7-V11</f>
        <v>5</v>
      </c>
      <c r="V11" s="5">
        <f>COUNTIF(F11:L11,"RD")</f>
        <v>2</v>
      </c>
      <c r="W11" s="5">
        <f>COUNTIF(F11:L11,"VL")</f>
        <v>0</v>
      </c>
      <c r="X11" s="5">
        <f>COUNTIF(F11:L11,"LWOP")</f>
        <v>0</v>
      </c>
      <c r="Y11" s="5">
        <f>COUNTIF(F11:L11,"450")</f>
        <v>0</v>
      </c>
      <c r="Z11" s="5">
        <f>COUNTIF(F11:M11,"EVL")</f>
        <v>0</v>
      </c>
      <c r="AA11" s="5">
        <f>COUNTIF(F11:N11,"EVLS")</f>
        <v>0</v>
      </c>
    </row>
    <row r="12" spans="1:27" hidden="1">
      <c r="A12" s="164" t="s">
        <v>230</v>
      </c>
      <c r="B12" s="156" t="s">
        <v>265</v>
      </c>
      <c r="C12" s="157" t="s">
        <v>266</v>
      </c>
      <c r="D12" s="157" t="s">
        <v>60</v>
      </c>
      <c r="E12" s="158" t="s">
        <v>40</v>
      </c>
      <c r="F12" s="99" t="s">
        <v>147</v>
      </c>
      <c r="G12" s="98" t="s">
        <v>148</v>
      </c>
      <c r="H12" s="98" t="s">
        <v>148</v>
      </c>
      <c r="I12" s="98" t="s">
        <v>148</v>
      </c>
      <c r="J12" s="270" t="s">
        <v>148</v>
      </c>
      <c r="K12" s="270" t="s">
        <v>148</v>
      </c>
      <c r="L12" s="99" t="s">
        <v>147</v>
      </c>
      <c r="M12" s="54">
        <f>SUM(F12:L12)</f>
        <v>0</v>
      </c>
      <c r="N12" s="16">
        <f>M12-O12</f>
        <v>0</v>
      </c>
      <c r="O12" s="5">
        <f>SUMIF(F12:L12,"450")</f>
        <v>0</v>
      </c>
      <c r="P12" s="16">
        <f>N12+O12</f>
        <v>0</v>
      </c>
      <c r="Q12">
        <f>T12*450</f>
        <v>2250</v>
      </c>
      <c r="R12">
        <f>Q12-P12</f>
        <v>2250</v>
      </c>
      <c r="S12" s="39">
        <f>R12/Q12</f>
        <v>1</v>
      </c>
      <c r="T12">
        <f>U12-(W12+X12)</f>
        <v>5</v>
      </c>
      <c r="U12">
        <f>7-V12</f>
        <v>5</v>
      </c>
      <c r="V12" s="5">
        <f>COUNTIF(F12:L12,"RD")</f>
        <v>2</v>
      </c>
      <c r="W12" s="5">
        <f>COUNTIF(F12:L12,"VL")</f>
        <v>0</v>
      </c>
      <c r="X12" s="5">
        <f>COUNTIF(F12:L12,"LWOP")</f>
        <v>0</v>
      </c>
      <c r="Y12" s="5">
        <f>COUNTIF(F12:L12,"450")</f>
        <v>0</v>
      </c>
      <c r="Z12" s="5">
        <f>COUNTIF(F12:M12,"EVL")</f>
        <v>0</v>
      </c>
      <c r="AA12" s="5">
        <f>COUNTIF(F12:N12,"EVLS")</f>
        <v>0</v>
      </c>
    </row>
    <row r="13" spans="1:27" hidden="1">
      <c r="A13" s="164" t="s">
        <v>24</v>
      </c>
      <c r="B13" s="156" t="s">
        <v>265</v>
      </c>
      <c r="C13" s="157" t="s">
        <v>266</v>
      </c>
      <c r="D13" s="157" t="s">
        <v>22</v>
      </c>
      <c r="E13" s="158" t="s">
        <v>25</v>
      </c>
      <c r="F13" s="99" t="s">
        <v>147</v>
      </c>
      <c r="G13" s="98" t="s">
        <v>148</v>
      </c>
      <c r="H13" s="102">
        <v>450</v>
      </c>
      <c r="I13" s="102">
        <v>9</v>
      </c>
      <c r="J13" s="102" t="s">
        <v>148</v>
      </c>
      <c r="K13" s="102" t="s">
        <v>148</v>
      </c>
      <c r="L13" s="99" t="s">
        <v>147</v>
      </c>
      <c r="M13" s="54">
        <f>SUM(F13:L13)</f>
        <v>459</v>
      </c>
      <c r="N13" s="16">
        <f>M13-O13</f>
        <v>9</v>
      </c>
      <c r="O13" s="5">
        <f>SUMIF(F13:L13,"450")</f>
        <v>450</v>
      </c>
      <c r="P13" s="16">
        <f>N13+O13</f>
        <v>459</v>
      </c>
      <c r="Q13">
        <f>T13*450</f>
        <v>2250</v>
      </c>
      <c r="R13">
        <f>Q13-P13</f>
        <v>1791</v>
      </c>
      <c r="S13" s="39">
        <f>R13/Q13</f>
        <v>0.79600000000000004</v>
      </c>
      <c r="T13">
        <f>U13-(W13+X13)</f>
        <v>5</v>
      </c>
      <c r="U13">
        <f>7-V13</f>
        <v>5</v>
      </c>
      <c r="V13" s="5">
        <f>COUNTIF(F13:L13,"RD")</f>
        <v>2</v>
      </c>
      <c r="W13" s="5">
        <f>COUNTIF(F13:L13,"VL")</f>
        <v>0</v>
      </c>
      <c r="X13" s="5">
        <f>COUNTIF(F13:L13,"LWOP")</f>
        <v>0</v>
      </c>
      <c r="Y13" s="5">
        <f>COUNTIF(F13:L13,"450")</f>
        <v>1</v>
      </c>
      <c r="Z13" s="5">
        <f>COUNTIF(F13:M13,"EVL")</f>
        <v>0</v>
      </c>
      <c r="AA13" s="5">
        <f>COUNTIF(F13:N13,"EVLS")</f>
        <v>0</v>
      </c>
    </row>
    <row r="14" spans="1:27" hidden="1">
      <c r="A14" s="164" t="s">
        <v>270</v>
      </c>
      <c r="B14" s="156" t="s">
        <v>265</v>
      </c>
      <c r="C14" s="157" t="s">
        <v>266</v>
      </c>
      <c r="D14" s="157" t="s">
        <v>22</v>
      </c>
      <c r="E14" s="158" t="s">
        <v>33</v>
      </c>
      <c r="F14" s="99" t="s">
        <v>147</v>
      </c>
      <c r="G14" s="100">
        <v>1</v>
      </c>
      <c r="H14" s="102">
        <v>29</v>
      </c>
      <c r="I14" s="102" t="s">
        <v>148</v>
      </c>
      <c r="J14" s="102" t="s">
        <v>148</v>
      </c>
      <c r="K14" s="102" t="s">
        <v>148</v>
      </c>
      <c r="L14" s="99" t="s">
        <v>147</v>
      </c>
      <c r="M14" s="54">
        <f>SUM(F14:L14)</f>
        <v>30</v>
      </c>
      <c r="N14" s="16">
        <f>M14-O14</f>
        <v>30</v>
      </c>
      <c r="O14" s="5">
        <f>SUMIF(F14:L14,"450")</f>
        <v>0</v>
      </c>
      <c r="P14" s="16">
        <f>N14+O14</f>
        <v>30</v>
      </c>
      <c r="Q14">
        <f>T14*450</f>
        <v>2250</v>
      </c>
      <c r="R14">
        <f>Q14-P14</f>
        <v>2220</v>
      </c>
      <c r="S14" s="39">
        <f>R14/Q14</f>
        <v>0.98666666666666669</v>
      </c>
      <c r="T14">
        <f>U14-(W14+X14)</f>
        <v>5</v>
      </c>
      <c r="U14">
        <f>7-V14</f>
        <v>5</v>
      </c>
      <c r="V14" s="5">
        <f>COUNTIF(F14:L14,"RD")</f>
        <v>2</v>
      </c>
      <c r="W14" s="5">
        <f>COUNTIF(F14:L14,"VL")</f>
        <v>0</v>
      </c>
      <c r="X14" s="5">
        <f>COUNTIF(F14:L14,"LWOP")</f>
        <v>0</v>
      </c>
      <c r="Y14" s="5">
        <f>COUNTIF(F14:L14,"450")</f>
        <v>0</v>
      </c>
      <c r="Z14" s="5">
        <f>COUNTIF(F14:M14,"EVL")</f>
        <v>0</v>
      </c>
      <c r="AA14" s="5">
        <f>COUNTIF(F14:N14,"EVLS")</f>
        <v>0</v>
      </c>
    </row>
    <row r="15" spans="1:27" hidden="1">
      <c r="A15" s="164" t="s">
        <v>271</v>
      </c>
      <c r="B15" s="156" t="s">
        <v>265</v>
      </c>
      <c r="C15" s="157" t="s">
        <v>266</v>
      </c>
      <c r="D15" s="157" t="s">
        <v>22</v>
      </c>
      <c r="E15" s="158" t="s">
        <v>33</v>
      </c>
      <c r="F15" s="99" t="s">
        <v>147</v>
      </c>
      <c r="G15" s="98" t="s">
        <v>148</v>
      </c>
      <c r="H15" s="98" t="s">
        <v>148</v>
      </c>
      <c r="I15" s="102">
        <v>29</v>
      </c>
      <c r="J15" s="270" t="s">
        <v>148</v>
      </c>
      <c r="K15" s="270" t="s">
        <v>148</v>
      </c>
      <c r="L15" s="99" t="s">
        <v>147</v>
      </c>
      <c r="M15" s="54">
        <f>SUM(F15:L15)</f>
        <v>29</v>
      </c>
      <c r="N15" s="16">
        <f>M15-O15</f>
        <v>29</v>
      </c>
      <c r="O15" s="5">
        <f>SUMIF(F15:L15,"450")</f>
        <v>0</v>
      </c>
      <c r="P15" s="16">
        <f>N15+O15</f>
        <v>29</v>
      </c>
      <c r="Q15">
        <f>T15*450</f>
        <v>2250</v>
      </c>
      <c r="R15">
        <f>Q15-P15</f>
        <v>2221</v>
      </c>
      <c r="S15" s="39">
        <f>R15/Q15</f>
        <v>0.98711111111111116</v>
      </c>
      <c r="T15">
        <f>U15-(W15+X15)</f>
        <v>5</v>
      </c>
      <c r="U15">
        <f>7-V15</f>
        <v>5</v>
      </c>
      <c r="V15" s="5">
        <f>COUNTIF(F15:L15,"RD")</f>
        <v>2</v>
      </c>
      <c r="W15" s="5">
        <f>COUNTIF(F15:L15,"VL")</f>
        <v>0</v>
      </c>
      <c r="X15" s="5">
        <f>COUNTIF(F15:L15,"LWOP")</f>
        <v>0</v>
      </c>
      <c r="Y15" s="5">
        <f>COUNTIF(F15:L15,"450")</f>
        <v>0</v>
      </c>
      <c r="Z15" s="5">
        <f>COUNTIF(F15:M15,"EVL")</f>
        <v>0</v>
      </c>
      <c r="AA15" s="5">
        <f>COUNTIF(F15:N15,"EVLS")</f>
        <v>0</v>
      </c>
    </row>
    <row r="16" spans="1:27" hidden="1">
      <c r="A16" s="164" t="s">
        <v>273</v>
      </c>
      <c r="B16" s="156" t="s">
        <v>265</v>
      </c>
      <c r="C16" s="157" t="s">
        <v>266</v>
      </c>
      <c r="D16" s="157" t="s">
        <v>22</v>
      </c>
      <c r="E16" s="158" t="s">
        <v>25</v>
      </c>
      <c r="F16" s="99" t="s">
        <v>147</v>
      </c>
      <c r="G16" s="98" t="s">
        <v>148</v>
      </c>
      <c r="H16" s="98" t="s">
        <v>148</v>
      </c>
      <c r="I16" s="98" t="s">
        <v>148</v>
      </c>
      <c r="J16" s="270" t="s">
        <v>148</v>
      </c>
      <c r="K16" s="272">
        <v>26</v>
      </c>
      <c r="L16" s="99" t="s">
        <v>147</v>
      </c>
      <c r="M16" s="54">
        <f>SUM(F16:L16)</f>
        <v>26</v>
      </c>
      <c r="N16" s="16">
        <f>M16-O16</f>
        <v>26</v>
      </c>
      <c r="O16" s="5">
        <f>SUMIF(F16:L16,"450")</f>
        <v>0</v>
      </c>
      <c r="P16" s="16">
        <f>N16+O16</f>
        <v>26</v>
      </c>
      <c r="Q16">
        <f>T16*450</f>
        <v>2250</v>
      </c>
      <c r="R16">
        <f>Q16-P16</f>
        <v>2224</v>
      </c>
      <c r="S16" s="39">
        <f>R16/Q16</f>
        <v>0.98844444444444446</v>
      </c>
      <c r="T16">
        <f>U16-(W16+X16)</f>
        <v>5</v>
      </c>
      <c r="U16">
        <f>7-V16</f>
        <v>5</v>
      </c>
      <c r="V16" s="5">
        <f>COUNTIF(F16:L16,"RD")</f>
        <v>2</v>
      </c>
      <c r="W16" s="5">
        <f>COUNTIF(F16:L16,"VL")</f>
        <v>0</v>
      </c>
      <c r="X16" s="5">
        <f>COUNTIF(F16:L16,"LWOP")</f>
        <v>0</v>
      </c>
      <c r="Y16" s="5">
        <f>COUNTIF(F16:L16,"450")</f>
        <v>0</v>
      </c>
      <c r="Z16" s="5">
        <f>COUNTIF(F16:M16,"EVL")</f>
        <v>0</v>
      </c>
      <c r="AA16" s="5">
        <f>COUNTIF(F16:N16,"EVLS")</f>
        <v>0</v>
      </c>
    </row>
    <row r="17" spans="1:27" hidden="1">
      <c r="A17" s="164" t="s">
        <v>43</v>
      </c>
      <c r="B17" s="156" t="s">
        <v>265</v>
      </c>
      <c r="C17" s="157" t="s">
        <v>266</v>
      </c>
      <c r="D17" s="157" t="s">
        <v>22</v>
      </c>
      <c r="E17" s="158" t="s">
        <v>25</v>
      </c>
      <c r="F17" s="99" t="s">
        <v>147</v>
      </c>
      <c r="G17" s="98" t="s">
        <v>148</v>
      </c>
      <c r="H17" s="98" t="s">
        <v>148</v>
      </c>
      <c r="I17" s="102" t="s">
        <v>148</v>
      </c>
      <c r="J17" s="102" t="s">
        <v>148</v>
      </c>
      <c r="K17" s="102" t="s">
        <v>148</v>
      </c>
      <c r="L17" s="99" t="s">
        <v>147</v>
      </c>
      <c r="M17" s="54">
        <f>SUM(F17:L17)</f>
        <v>0</v>
      </c>
      <c r="N17" s="16">
        <f>M17-O17</f>
        <v>0</v>
      </c>
      <c r="O17" s="5">
        <f>SUMIF(F17:L17,"450")</f>
        <v>0</v>
      </c>
      <c r="P17" s="16">
        <f>N17+O17</f>
        <v>0</v>
      </c>
      <c r="Q17">
        <f>T17*450</f>
        <v>2250</v>
      </c>
      <c r="R17">
        <f>Q17-P17</f>
        <v>2250</v>
      </c>
      <c r="S17" s="39">
        <f>R17/Q17</f>
        <v>1</v>
      </c>
      <c r="T17">
        <f>U17-(W17+X17)</f>
        <v>5</v>
      </c>
      <c r="U17">
        <f>7-V17</f>
        <v>5</v>
      </c>
      <c r="V17" s="5">
        <f>COUNTIF(F17:L17,"RD")</f>
        <v>2</v>
      </c>
      <c r="W17" s="5">
        <f>COUNTIF(F17:L17,"VL")</f>
        <v>0</v>
      </c>
      <c r="X17" s="5">
        <f>COUNTIF(F17:L17,"LWOP")</f>
        <v>0</v>
      </c>
      <c r="Y17" s="5">
        <f>COUNTIF(F17:L17,"450")</f>
        <v>0</v>
      </c>
      <c r="Z17" s="5">
        <f>COUNTIF(F17:M17,"EVL")</f>
        <v>0</v>
      </c>
      <c r="AA17" s="5">
        <f>COUNTIF(F17:N17,"EVLS")</f>
        <v>0</v>
      </c>
    </row>
    <row r="18" spans="1:27" hidden="1">
      <c r="A18" s="164" t="s">
        <v>218</v>
      </c>
      <c r="B18" s="156" t="s">
        <v>265</v>
      </c>
      <c r="C18" s="157" t="s">
        <v>266</v>
      </c>
      <c r="D18" s="157" t="s">
        <v>22</v>
      </c>
      <c r="E18" s="158" t="s">
        <v>33</v>
      </c>
      <c r="F18" s="99" t="s">
        <v>147</v>
      </c>
      <c r="G18" s="98" t="s">
        <v>148</v>
      </c>
      <c r="H18" s="98" t="s">
        <v>148</v>
      </c>
      <c r="I18" s="98" t="s">
        <v>148</v>
      </c>
      <c r="J18" s="270" t="s">
        <v>148</v>
      </c>
      <c r="K18" s="270" t="s">
        <v>148</v>
      </c>
      <c r="L18" s="99" t="s">
        <v>147</v>
      </c>
      <c r="M18" s="54">
        <f>SUM(F18:L18)</f>
        <v>0</v>
      </c>
      <c r="N18" s="16">
        <f>M18-O18</f>
        <v>0</v>
      </c>
      <c r="O18" s="5">
        <f>SUMIF(F18:L18,"450")</f>
        <v>0</v>
      </c>
      <c r="P18" s="16">
        <f>N18+O18</f>
        <v>0</v>
      </c>
      <c r="Q18">
        <f>T18*450</f>
        <v>2250</v>
      </c>
      <c r="R18">
        <f>Q18-P18</f>
        <v>2250</v>
      </c>
      <c r="S18" s="39">
        <f>R18/Q18</f>
        <v>1</v>
      </c>
      <c r="T18">
        <f>U18-(W18+X18)</f>
        <v>5</v>
      </c>
      <c r="U18">
        <f>7-V18</f>
        <v>5</v>
      </c>
      <c r="V18" s="5">
        <f>COUNTIF(F18:L18,"RD")</f>
        <v>2</v>
      </c>
      <c r="W18" s="5">
        <f>COUNTIF(F18:L18,"VL")</f>
        <v>0</v>
      </c>
      <c r="X18" s="5">
        <f>COUNTIF(F18:L18,"LWOP")</f>
        <v>0</v>
      </c>
      <c r="Y18" s="5">
        <f>COUNTIF(F18:L18,"450")</f>
        <v>0</v>
      </c>
      <c r="Z18" s="5">
        <f>COUNTIF(F18:M18,"EVL")</f>
        <v>0</v>
      </c>
      <c r="AA18" s="5">
        <f>COUNTIF(F18:N18,"EVLS")</f>
        <v>0</v>
      </c>
    </row>
    <row r="19" spans="1:27" hidden="1">
      <c r="A19" s="164" t="s">
        <v>274</v>
      </c>
      <c r="B19" s="156" t="s">
        <v>265</v>
      </c>
      <c r="C19" s="157" t="s">
        <v>266</v>
      </c>
      <c r="D19" s="157" t="s">
        <v>22</v>
      </c>
      <c r="E19" s="158" t="s">
        <v>63</v>
      </c>
      <c r="F19" s="99" t="s">
        <v>147</v>
      </c>
      <c r="G19" s="98" t="s">
        <v>148</v>
      </c>
      <c r="H19" s="98" t="s">
        <v>148</v>
      </c>
      <c r="I19" s="102" t="s">
        <v>148</v>
      </c>
      <c r="J19" s="102" t="s">
        <v>148</v>
      </c>
      <c r="K19" s="102" t="s">
        <v>148</v>
      </c>
      <c r="L19" s="99" t="s">
        <v>147</v>
      </c>
      <c r="M19" s="54">
        <f>SUM(F19:L19)</f>
        <v>0</v>
      </c>
      <c r="N19" s="16">
        <f>M19-O19</f>
        <v>0</v>
      </c>
      <c r="O19" s="5">
        <f>SUMIF(F19:L19,"450")</f>
        <v>0</v>
      </c>
      <c r="P19" s="16">
        <f>N19+O19</f>
        <v>0</v>
      </c>
      <c r="Q19">
        <f>T19*450</f>
        <v>2250</v>
      </c>
      <c r="R19">
        <f>Q19-P19</f>
        <v>2250</v>
      </c>
      <c r="S19" s="39">
        <f>R19/Q19</f>
        <v>1</v>
      </c>
      <c r="T19">
        <f>U19-(W19+X19)</f>
        <v>5</v>
      </c>
      <c r="U19">
        <f>7-V19</f>
        <v>5</v>
      </c>
      <c r="V19" s="5">
        <f>COUNTIF(F19:L19,"RD")</f>
        <v>2</v>
      </c>
      <c r="W19" s="5">
        <f>COUNTIF(F19:L19,"VL")</f>
        <v>0</v>
      </c>
      <c r="X19" s="5">
        <f>COUNTIF(F19:L19,"LWOP")</f>
        <v>0</v>
      </c>
      <c r="Y19" s="5">
        <f>COUNTIF(F19:L19,"450")</f>
        <v>0</v>
      </c>
      <c r="Z19" s="5">
        <f>COUNTIF(F19:M19,"EVL")</f>
        <v>0</v>
      </c>
      <c r="AA19" s="5">
        <f>COUNTIF(F19:N19,"EVLS")</f>
        <v>0</v>
      </c>
    </row>
    <row r="20" spans="1:27" hidden="1">
      <c r="A20" s="164" t="s">
        <v>275</v>
      </c>
      <c r="B20" s="156" t="s">
        <v>265</v>
      </c>
      <c r="C20" s="157" t="s">
        <v>266</v>
      </c>
      <c r="D20" s="157" t="s">
        <v>22</v>
      </c>
      <c r="E20" s="158" t="s">
        <v>63</v>
      </c>
      <c r="F20" s="99" t="s">
        <v>147</v>
      </c>
      <c r="G20" s="98" t="s">
        <v>148</v>
      </c>
      <c r="H20" s="100">
        <v>1</v>
      </c>
      <c r="I20" s="98" t="s">
        <v>148</v>
      </c>
      <c r="J20" s="270" t="s">
        <v>148</v>
      </c>
      <c r="K20" s="308" t="s">
        <v>12</v>
      </c>
      <c r="L20" s="99" t="s">
        <v>147</v>
      </c>
      <c r="M20" s="54">
        <f>SUM(F20:L20)</f>
        <v>1</v>
      </c>
      <c r="N20" s="16">
        <f>M20-O20</f>
        <v>1</v>
      </c>
      <c r="O20" s="5">
        <f>SUMIF(F20:L20,"450")</f>
        <v>0</v>
      </c>
      <c r="P20" s="16">
        <f>N20+O20</f>
        <v>1</v>
      </c>
      <c r="Q20">
        <f>T20*450</f>
        <v>1800</v>
      </c>
      <c r="R20">
        <f>Q20-P20</f>
        <v>1799</v>
      </c>
      <c r="S20" s="39">
        <f>R20/Q20</f>
        <v>0.99944444444444447</v>
      </c>
      <c r="T20">
        <f>U20-(W20+X20)</f>
        <v>4</v>
      </c>
      <c r="U20">
        <f>7-V20</f>
        <v>5</v>
      </c>
      <c r="V20" s="5">
        <f>COUNTIF(F20:L20,"RD")</f>
        <v>2</v>
      </c>
      <c r="W20" s="5">
        <f>COUNTIF(F20:L20,"VL")</f>
        <v>1</v>
      </c>
      <c r="X20" s="5">
        <f>COUNTIF(F20:L20,"LWOP")</f>
        <v>0</v>
      </c>
      <c r="Y20" s="5">
        <f>COUNTIF(F20:L20,"450")</f>
        <v>0</v>
      </c>
      <c r="Z20" s="5">
        <f>COUNTIF(F20:M20,"EVL")</f>
        <v>0</v>
      </c>
      <c r="AA20" s="5">
        <f>COUNTIF(F20:N20,"EVLS")</f>
        <v>0</v>
      </c>
    </row>
    <row r="21" spans="1:27" hidden="1">
      <c r="A21" s="164" t="s">
        <v>276</v>
      </c>
      <c r="B21" s="156" t="s">
        <v>265</v>
      </c>
      <c r="C21" s="157" t="s">
        <v>266</v>
      </c>
      <c r="D21" s="157" t="s">
        <v>22</v>
      </c>
      <c r="E21" s="158" t="s">
        <v>30</v>
      </c>
      <c r="F21" s="99" t="s">
        <v>147</v>
      </c>
      <c r="G21" s="98" t="s">
        <v>148</v>
      </c>
      <c r="H21" s="98" t="s">
        <v>148</v>
      </c>
      <c r="I21" s="98" t="s">
        <v>148</v>
      </c>
      <c r="J21" s="270" t="s">
        <v>148</v>
      </c>
      <c r="K21" s="270" t="s">
        <v>148</v>
      </c>
      <c r="L21" s="99" t="s">
        <v>147</v>
      </c>
      <c r="M21" s="54">
        <f>SUM(F21:L21)</f>
        <v>0</v>
      </c>
      <c r="N21" s="16">
        <f>M21-O21</f>
        <v>0</v>
      </c>
      <c r="O21" s="5">
        <f>SUMIF(F21:L21,"450")</f>
        <v>0</v>
      </c>
      <c r="P21" s="16">
        <f>N21+O21</f>
        <v>0</v>
      </c>
      <c r="Q21">
        <f>T21*450</f>
        <v>2250</v>
      </c>
      <c r="R21">
        <f>Q21-P21</f>
        <v>2250</v>
      </c>
      <c r="S21" s="39">
        <f>R21/Q21</f>
        <v>1</v>
      </c>
      <c r="T21">
        <f>U21-(W21+X21)</f>
        <v>5</v>
      </c>
      <c r="U21">
        <f>7-V21</f>
        <v>5</v>
      </c>
      <c r="V21" s="5">
        <f>COUNTIF(F21:L21,"RD")</f>
        <v>2</v>
      </c>
      <c r="W21" s="5">
        <f>COUNTIF(F21:L21,"VL")</f>
        <v>0</v>
      </c>
      <c r="X21" s="5">
        <f>COUNTIF(F21:L21,"LWOP")</f>
        <v>0</v>
      </c>
      <c r="Y21" s="5">
        <f>COUNTIF(F21:L21,"450")</f>
        <v>0</v>
      </c>
      <c r="Z21" s="5">
        <f>COUNTIF(F21:M21,"EVL")</f>
        <v>0</v>
      </c>
      <c r="AA21" s="5">
        <f>COUNTIF(F21:N21,"EVLS")</f>
        <v>0</v>
      </c>
    </row>
    <row r="22" spans="1:27" hidden="1">
      <c r="A22" s="164" t="s">
        <v>277</v>
      </c>
      <c r="B22" s="156" t="s">
        <v>265</v>
      </c>
      <c r="C22" s="157" t="s">
        <v>266</v>
      </c>
      <c r="D22" s="157" t="s">
        <v>22</v>
      </c>
      <c r="E22" s="158" t="s">
        <v>30</v>
      </c>
      <c r="F22" s="99" t="s">
        <v>147</v>
      </c>
      <c r="G22" s="98" t="s">
        <v>148</v>
      </c>
      <c r="H22" s="102">
        <v>450</v>
      </c>
      <c r="I22" s="102">
        <v>12</v>
      </c>
      <c r="J22" s="102" t="s">
        <v>278</v>
      </c>
      <c r="K22" s="102" t="s">
        <v>278</v>
      </c>
      <c r="L22" s="99" t="s">
        <v>147</v>
      </c>
      <c r="M22" s="54">
        <f>SUM(F22:L22)</f>
        <v>462</v>
      </c>
      <c r="N22" s="16">
        <f>M22-O22</f>
        <v>12</v>
      </c>
      <c r="O22" s="5">
        <f>SUMIF(F22:L22,"450")</f>
        <v>450</v>
      </c>
      <c r="P22" s="16">
        <f>N22+O22</f>
        <v>462</v>
      </c>
      <c r="Q22">
        <f>T22*450</f>
        <v>2250</v>
      </c>
      <c r="R22">
        <f>Q22-P22</f>
        <v>1788</v>
      </c>
      <c r="S22" s="39">
        <f>R22/Q22</f>
        <v>0.79466666666666663</v>
      </c>
      <c r="T22">
        <f>U22-(W22+X22)</f>
        <v>5</v>
      </c>
      <c r="U22">
        <f>7-V22</f>
        <v>5</v>
      </c>
      <c r="V22" s="5">
        <f>COUNTIF(F22:L22,"RD")</f>
        <v>2</v>
      </c>
      <c r="W22" s="5">
        <f>COUNTIF(F22:L22,"VL")</f>
        <v>0</v>
      </c>
      <c r="X22" s="5">
        <f>COUNTIF(F22:L22,"LWOP")</f>
        <v>0</v>
      </c>
      <c r="Y22" s="5">
        <f>COUNTIF(F22:L22,"450")</f>
        <v>1</v>
      </c>
      <c r="Z22" s="5">
        <f>COUNTIF(F22:M22,"EVL")</f>
        <v>0</v>
      </c>
      <c r="AA22" s="5">
        <f>COUNTIF(F22:N22,"EVLS")</f>
        <v>2</v>
      </c>
    </row>
    <row r="23" spans="1:27" hidden="1">
      <c r="A23" s="164" t="s">
        <v>279</v>
      </c>
      <c r="B23" s="156" t="s">
        <v>265</v>
      </c>
      <c r="C23" s="157" t="s">
        <v>266</v>
      </c>
      <c r="D23" s="157" t="s">
        <v>22</v>
      </c>
      <c r="E23" s="158" t="s">
        <v>30</v>
      </c>
      <c r="F23" s="99" t="s">
        <v>147</v>
      </c>
      <c r="G23" s="270" t="s">
        <v>148</v>
      </c>
      <c r="H23" s="100">
        <v>1</v>
      </c>
      <c r="I23" s="270" t="s">
        <v>148</v>
      </c>
      <c r="J23" s="270" t="s">
        <v>148</v>
      </c>
      <c r="K23" s="272">
        <v>8</v>
      </c>
      <c r="L23" s="99" t="s">
        <v>147</v>
      </c>
      <c r="M23" s="54">
        <f>SUM(F23:L23)</f>
        <v>9</v>
      </c>
      <c r="N23" s="16">
        <f>M23-O23</f>
        <v>9</v>
      </c>
      <c r="O23" s="5">
        <f>SUMIF(F23:L23,"450")</f>
        <v>0</v>
      </c>
      <c r="P23" s="16">
        <f>N23+O23</f>
        <v>9</v>
      </c>
      <c r="Q23">
        <f>T23*450</f>
        <v>2250</v>
      </c>
      <c r="R23">
        <f>Q23-P23</f>
        <v>2241</v>
      </c>
      <c r="S23" s="39">
        <f>R23/Q23</f>
        <v>0.996</v>
      </c>
      <c r="T23">
        <f>U23-(W23+X23)</f>
        <v>5</v>
      </c>
      <c r="U23">
        <f>7-V23</f>
        <v>5</v>
      </c>
      <c r="V23" s="5">
        <f>COUNTIF(F23:L23,"RD")</f>
        <v>2</v>
      </c>
      <c r="W23" s="5">
        <f>COUNTIF(F23:L23,"VL")</f>
        <v>0</v>
      </c>
      <c r="X23" s="5">
        <f>COUNTIF(F23:L23,"LWOP")</f>
        <v>0</v>
      </c>
      <c r="Y23" s="5">
        <f>COUNTIF(F23:L23,"450")</f>
        <v>0</v>
      </c>
      <c r="Z23" s="5">
        <f>COUNTIF(F23:M23,"EVL")</f>
        <v>0</v>
      </c>
      <c r="AA23" s="5">
        <f>COUNTIF(F23:N23,"EVLS")</f>
        <v>0</v>
      </c>
    </row>
    <row r="24" spans="1:27" hidden="1">
      <c r="A24" s="164" t="s">
        <v>225</v>
      </c>
      <c r="B24" s="156" t="s">
        <v>265</v>
      </c>
      <c r="C24" s="157" t="s">
        <v>266</v>
      </c>
      <c r="D24" s="157" t="s">
        <v>22</v>
      </c>
      <c r="E24" s="158" t="s">
        <v>30</v>
      </c>
      <c r="F24" s="99" t="s">
        <v>147</v>
      </c>
      <c r="G24" s="98" t="s">
        <v>148</v>
      </c>
      <c r="H24" s="270" t="s">
        <v>148</v>
      </c>
      <c r="I24" s="98" t="s">
        <v>148</v>
      </c>
      <c r="J24" s="270" t="s">
        <v>148</v>
      </c>
      <c r="K24" s="270" t="s">
        <v>148</v>
      </c>
      <c r="L24" s="99" t="s">
        <v>147</v>
      </c>
      <c r="M24" s="54">
        <f>SUM(F24:L24)</f>
        <v>0</v>
      </c>
      <c r="N24" s="16">
        <f>M24-O24</f>
        <v>0</v>
      </c>
      <c r="O24" s="5">
        <f>SUMIF(F24:L24,"450")</f>
        <v>0</v>
      </c>
      <c r="P24" s="16">
        <f>N24+O24</f>
        <v>0</v>
      </c>
      <c r="Q24">
        <f>T24*450</f>
        <v>2250</v>
      </c>
      <c r="R24">
        <f>Q24-P24</f>
        <v>2250</v>
      </c>
      <c r="S24" s="39">
        <f>R24/Q24</f>
        <v>1</v>
      </c>
      <c r="T24">
        <f>U24-(W24+X24)</f>
        <v>5</v>
      </c>
      <c r="U24">
        <f>7-V24</f>
        <v>5</v>
      </c>
      <c r="V24" s="5">
        <f>COUNTIF(F24:L24,"RD")</f>
        <v>2</v>
      </c>
      <c r="W24" s="5">
        <f>COUNTIF(F24:L24,"VL")</f>
        <v>0</v>
      </c>
      <c r="X24" s="5">
        <f>COUNTIF(F24:L24,"LWOP")</f>
        <v>0</v>
      </c>
      <c r="Y24" s="5">
        <f>COUNTIF(F24:L24,"450")</f>
        <v>0</v>
      </c>
      <c r="Z24" s="5">
        <f>COUNTIF(F24:M24,"EVL")</f>
        <v>0</v>
      </c>
      <c r="AA24" s="5">
        <f>COUNTIF(F24:N24,"EVLS")</f>
        <v>0</v>
      </c>
    </row>
    <row r="25" spans="1:27" hidden="1">
      <c r="A25" s="164" t="s">
        <v>77</v>
      </c>
      <c r="B25" s="156" t="s">
        <v>265</v>
      </c>
      <c r="C25" s="157" t="s">
        <v>266</v>
      </c>
      <c r="D25" s="157" t="s">
        <v>22</v>
      </c>
      <c r="E25" s="158" t="s">
        <v>30</v>
      </c>
      <c r="F25" s="99" t="s">
        <v>147</v>
      </c>
      <c r="G25" s="98" t="s">
        <v>148</v>
      </c>
      <c r="H25" s="98" t="s">
        <v>148</v>
      </c>
      <c r="I25" s="272">
        <v>4</v>
      </c>
      <c r="J25" s="270" t="s">
        <v>148</v>
      </c>
      <c r="K25" s="270" t="s">
        <v>148</v>
      </c>
      <c r="L25" s="99" t="s">
        <v>147</v>
      </c>
      <c r="M25" s="54">
        <f>SUM(F25:L25)</f>
        <v>4</v>
      </c>
      <c r="N25" s="16">
        <f>M25-O25</f>
        <v>4</v>
      </c>
      <c r="O25" s="5">
        <f>SUMIF(F25:L25,"450")</f>
        <v>0</v>
      </c>
      <c r="P25" s="16">
        <f>N25+O25</f>
        <v>4</v>
      </c>
      <c r="Q25">
        <f>T25*450</f>
        <v>2250</v>
      </c>
      <c r="R25">
        <f>Q25-P25</f>
        <v>2246</v>
      </c>
      <c r="S25" s="39">
        <f>R25/Q25</f>
        <v>0.99822222222222223</v>
      </c>
      <c r="T25">
        <f>U25-(W25+X25)</f>
        <v>5</v>
      </c>
      <c r="U25">
        <f>7-V25</f>
        <v>5</v>
      </c>
      <c r="V25" s="5">
        <f>COUNTIF(F25:L25,"RD")</f>
        <v>2</v>
      </c>
      <c r="W25" s="5">
        <f>COUNTIF(F25:L25,"VL")</f>
        <v>0</v>
      </c>
      <c r="X25" s="5">
        <f>COUNTIF(F25:L25,"LWOP")</f>
        <v>0</v>
      </c>
      <c r="Y25" s="5">
        <f>COUNTIF(F25:L25,"450")</f>
        <v>0</v>
      </c>
      <c r="Z25" s="5">
        <f>COUNTIF(F25:M25,"EVL")</f>
        <v>0</v>
      </c>
      <c r="AA25" s="5">
        <f>COUNTIF(F25:N25,"EVLS")</f>
        <v>0</v>
      </c>
    </row>
    <row r="26" spans="1:27" hidden="1">
      <c r="A26" s="164" t="s">
        <v>280</v>
      </c>
      <c r="B26" s="156" t="s">
        <v>265</v>
      </c>
      <c r="C26" s="157" t="s">
        <v>266</v>
      </c>
      <c r="D26" s="157" t="s">
        <v>22</v>
      </c>
      <c r="E26" s="158" t="s">
        <v>63</v>
      </c>
      <c r="F26" s="99" t="s">
        <v>147</v>
      </c>
      <c r="G26" s="272">
        <v>1</v>
      </c>
      <c r="H26" s="272">
        <v>4</v>
      </c>
      <c r="I26" s="269">
        <v>1</v>
      </c>
      <c r="J26" s="270" t="s">
        <v>148</v>
      </c>
      <c r="K26" s="272">
        <v>7</v>
      </c>
      <c r="L26" s="99" t="s">
        <v>147</v>
      </c>
      <c r="M26" s="54">
        <f>SUM(F26:L26)</f>
        <v>13</v>
      </c>
      <c r="N26" s="16">
        <f>M26-O26</f>
        <v>13</v>
      </c>
      <c r="O26" s="5">
        <f>SUMIF(F26:L26,"450")</f>
        <v>0</v>
      </c>
      <c r="P26" s="16">
        <f>N26+O26</f>
        <v>13</v>
      </c>
      <c r="Q26">
        <f>T26*450</f>
        <v>2250</v>
      </c>
      <c r="R26">
        <f>Q26-P26</f>
        <v>2237</v>
      </c>
      <c r="S26" s="39">
        <f>R26/Q26</f>
        <v>0.99422222222222223</v>
      </c>
      <c r="T26">
        <f>U26-(W26+X26)</f>
        <v>5</v>
      </c>
      <c r="U26">
        <f>7-V26</f>
        <v>5</v>
      </c>
      <c r="V26" s="5">
        <f>COUNTIF(F26:L26,"RD")</f>
        <v>2</v>
      </c>
      <c r="W26" s="5">
        <f>COUNTIF(F26:L26,"VL")</f>
        <v>0</v>
      </c>
      <c r="X26" s="5">
        <f>COUNTIF(F26:L26,"LWOP")</f>
        <v>0</v>
      </c>
      <c r="Y26" s="5">
        <f>COUNTIF(F26:L26,"450")</f>
        <v>0</v>
      </c>
      <c r="Z26" s="5">
        <f>COUNTIF(F26:M26,"EVL")</f>
        <v>0</v>
      </c>
      <c r="AA26" s="5">
        <f>COUNTIF(F26:N26,"EVLS")</f>
        <v>0</v>
      </c>
    </row>
    <row r="27" spans="1:27" hidden="1">
      <c r="A27" s="164" t="s">
        <v>227</v>
      </c>
      <c r="B27" s="156" t="s">
        <v>265</v>
      </c>
      <c r="C27" s="157" t="s">
        <v>266</v>
      </c>
      <c r="D27" s="157" t="s">
        <v>22</v>
      </c>
      <c r="E27" s="158" t="s">
        <v>63</v>
      </c>
      <c r="F27" s="99" t="s">
        <v>147</v>
      </c>
      <c r="G27" s="98" t="s">
        <v>148</v>
      </c>
      <c r="H27" s="98" t="s">
        <v>148</v>
      </c>
      <c r="I27" s="98" t="s">
        <v>148</v>
      </c>
      <c r="J27" s="270" t="s">
        <v>148</v>
      </c>
      <c r="K27" s="270" t="s">
        <v>148</v>
      </c>
      <c r="L27" s="99" t="s">
        <v>147</v>
      </c>
      <c r="M27" s="54">
        <f>SUM(F27:L27)</f>
        <v>0</v>
      </c>
      <c r="N27" s="16">
        <f>M27-O27</f>
        <v>0</v>
      </c>
      <c r="O27" s="5">
        <f>SUMIF(F27:L27,"450")</f>
        <v>0</v>
      </c>
      <c r="P27" s="16">
        <f>N27+O27</f>
        <v>0</v>
      </c>
      <c r="Q27">
        <f>T27*450</f>
        <v>2250</v>
      </c>
      <c r="R27">
        <f>Q27-P27</f>
        <v>2250</v>
      </c>
      <c r="S27" s="39">
        <f>R27/Q27</f>
        <v>1</v>
      </c>
      <c r="T27">
        <f>U27-(W27+X27)</f>
        <v>5</v>
      </c>
      <c r="U27">
        <f>7-V27</f>
        <v>5</v>
      </c>
      <c r="V27" s="5">
        <f>COUNTIF(F27:L27,"RD")</f>
        <v>2</v>
      </c>
      <c r="W27" s="5">
        <f>COUNTIF(F27:L27,"VL")</f>
        <v>0</v>
      </c>
      <c r="X27" s="5">
        <f>COUNTIF(F27:L27,"LWOP")</f>
        <v>0</v>
      </c>
      <c r="Y27" s="5">
        <f>COUNTIF(F27:L27,"450")</f>
        <v>0</v>
      </c>
      <c r="Z27" s="5">
        <f>COUNTIF(F27:M27,"EVL")</f>
        <v>0</v>
      </c>
      <c r="AA27" s="5">
        <f>COUNTIF(F27:N27,"EVLS")</f>
        <v>0</v>
      </c>
    </row>
    <row r="28" spans="1:27" hidden="1">
      <c r="A28" s="164" t="s">
        <v>281</v>
      </c>
      <c r="B28" s="156" t="s">
        <v>265</v>
      </c>
      <c r="C28" s="157" t="s">
        <v>266</v>
      </c>
      <c r="D28" s="157" t="s">
        <v>22</v>
      </c>
      <c r="E28" s="158" t="s">
        <v>30</v>
      </c>
      <c r="F28" s="99" t="s">
        <v>147</v>
      </c>
      <c r="G28" s="98" t="s">
        <v>148</v>
      </c>
      <c r="H28" s="98" t="s">
        <v>148</v>
      </c>
      <c r="I28" s="98" t="s">
        <v>148</v>
      </c>
      <c r="J28" s="270" t="s">
        <v>148</v>
      </c>
      <c r="K28" s="270" t="s">
        <v>148</v>
      </c>
      <c r="L28" s="99" t="s">
        <v>147</v>
      </c>
      <c r="M28" s="54">
        <f>SUM(F28:L28)</f>
        <v>0</v>
      </c>
      <c r="N28" s="16">
        <f>M28-O28</f>
        <v>0</v>
      </c>
      <c r="O28" s="5">
        <f>SUMIF(F28:L28,"450")</f>
        <v>0</v>
      </c>
      <c r="P28" s="16">
        <f>N28+O28</f>
        <v>0</v>
      </c>
      <c r="Q28">
        <f>T28*450</f>
        <v>2250</v>
      </c>
      <c r="R28">
        <f>Q28-P28</f>
        <v>2250</v>
      </c>
      <c r="S28" s="39">
        <f>R28/Q28</f>
        <v>1</v>
      </c>
      <c r="T28">
        <f>U28-(W28+X28)</f>
        <v>5</v>
      </c>
      <c r="U28">
        <f>7-V28</f>
        <v>5</v>
      </c>
      <c r="V28" s="5">
        <f>COUNTIF(F28:L28,"RD")</f>
        <v>2</v>
      </c>
      <c r="W28" s="5">
        <f>COUNTIF(F28:L28,"VL")</f>
        <v>0</v>
      </c>
      <c r="X28" s="5">
        <f>COUNTIF(F28:L28,"LWOP")</f>
        <v>0</v>
      </c>
      <c r="Y28" s="5">
        <f>COUNTIF(F28:L28,"450")</f>
        <v>0</v>
      </c>
      <c r="Z28" s="5">
        <f>COUNTIF(F28:M28,"EVL")</f>
        <v>0</v>
      </c>
      <c r="AA28" s="5">
        <f>COUNTIF(F28:N28,"EVLS")</f>
        <v>0</v>
      </c>
    </row>
    <row r="29" spans="1:27" hidden="1">
      <c r="A29" s="164" t="s">
        <v>283</v>
      </c>
      <c r="B29" s="156" t="s">
        <v>265</v>
      </c>
      <c r="C29" s="157" t="s">
        <v>266</v>
      </c>
      <c r="D29" s="157" t="s">
        <v>22</v>
      </c>
      <c r="E29" s="158" t="s">
        <v>33</v>
      </c>
      <c r="F29" s="99" t="s">
        <v>147</v>
      </c>
      <c r="G29" s="98" t="s">
        <v>148</v>
      </c>
      <c r="H29" s="98" t="s">
        <v>148</v>
      </c>
      <c r="I29" s="102" t="s">
        <v>148</v>
      </c>
      <c r="J29" s="102" t="s">
        <v>148</v>
      </c>
      <c r="K29" s="102" t="s">
        <v>148</v>
      </c>
      <c r="L29" s="99" t="s">
        <v>147</v>
      </c>
      <c r="M29" s="54">
        <f>SUM(F29:L29)</f>
        <v>0</v>
      </c>
      <c r="N29" s="16">
        <f>M29-O29</f>
        <v>0</v>
      </c>
      <c r="O29" s="5">
        <f>SUMIF(F29:L29,"450")</f>
        <v>0</v>
      </c>
      <c r="P29" s="16">
        <f>N29+O29</f>
        <v>0</v>
      </c>
      <c r="Q29">
        <f>T29*450</f>
        <v>2250</v>
      </c>
      <c r="R29">
        <f>Q29-P29</f>
        <v>2250</v>
      </c>
      <c r="S29" s="39">
        <f>R29/Q29</f>
        <v>1</v>
      </c>
      <c r="T29">
        <f>U29-(W29+X29)</f>
        <v>5</v>
      </c>
      <c r="U29">
        <f>7-V29</f>
        <v>5</v>
      </c>
      <c r="V29" s="5">
        <f>COUNTIF(F29:L29,"RD")</f>
        <v>2</v>
      </c>
      <c r="W29" s="5">
        <f>COUNTIF(F29:L29,"VL")</f>
        <v>0</v>
      </c>
      <c r="X29" s="5">
        <f>COUNTIF(F29:L29,"LWOP")</f>
        <v>0</v>
      </c>
      <c r="Y29" s="5">
        <f>COUNTIF(F29:L29,"450")</f>
        <v>0</v>
      </c>
      <c r="Z29" s="5">
        <f>COUNTIF(F29:M29,"EVL")</f>
        <v>0</v>
      </c>
      <c r="AA29" s="5">
        <f>COUNTIF(F29:N29,"EVLS")</f>
        <v>0</v>
      </c>
    </row>
    <row r="30" spans="1:27" hidden="1">
      <c r="A30" s="164" t="s">
        <v>284</v>
      </c>
      <c r="B30" s="156" t="s">
        <v>265</v>
      </c>
      <c r="C30" s="157" t="s">
        <v>266</v>
      </c>
      <c r="D30" s="157" t="s">
        <v>22</v>
      </c>
      <c r="E30" s="158" t="s">
        <v>63</v>
      </c>
      <c r="F30" s="99" t="s">
        <v>147</v>
      </c>
      <c r="G30" s="100">
        <v>1</v>
      </c>
      <c r="H30" s="100">
        <v>1</v>
      </c>
      <c r="I30" s="98" t="s">
        <v>148</v>
      </c>
      <c r="J30" s="270" t="s">
        <v>148</v>
      </c>
      <c r="K30" s="272">
        <v>30</v>
      </c>
      <c r="L30" s="99" t="s">
        <v>147</v>
      </c>
      <c r="M30" s="54">
        <f>SUM(F30:L30)</f>
        <v>32</v>
      </c>
      <c r="N30" s="16">
        <f>M30-O30</f>
        <v>32</v>
      </c>
      <c r="O30" s="5">
        <f>SUMIF(F30:L30,"450")</f>
        <v>0</v>
      </c>
      <c r="P30" s="16">
        <f>N30+O30</f>
        <v>32</v>
      </c>
      <c r="Q30">
        <f>T30*450</f>
        <v>2250</v>
      </c>
      <c r="R30">
        <f>Q30-P30</f>
        <v>2218</v>
      </c>
      <c r="S30" s="39">
        <f>R30/Q30</f>
        <v>0.98577777777777775</v>
      </c>
      <c r="T30">
        <f>U30-(W30+X30)</f>
        <v>5</v>
      </c>
      <c r="U30">
        <f>7-V30</f>
        <v>5</v>
      </c>
      <c r="V30" s="5">
        <f>COUNTIF(F30:L30,"RD")</f>
        <v>2</v>
      </c>
      <c r="W30" s="5">
        <f>COUNTIF(F30:L30,"VL")</f>
        <v>0</v>
      </c>
      <c r="X30" s="5">
        <f>COUNTIF(F30:L30,"LWOP")</f>
        <v>0</v>
      </c>
      <c r="Y30" s="5">
        <f>COUNTIF(F30:L30,"450")</f>
        <v>0</v>
      </c>
      <c r="Z30" s="5">
        <f>COUNTIF(F30:M30,"EVL")</f>
        <v>0</v>
      </c>
      <c r="AA30" s="5">
        <f>COUNTIF(F30:N30,"EVLS")</f>
        <v>0</v>
      </c>
    </row>
    <row r="31" spans="1:27" hidden="1">
      <c r="A31" s="164" t="s">
        <v>285</v>
      </c>
      <c r="B31" s="156" t="s">
        <v>265</v>
      </c>
      <c r="C31" s="157" t="s">
        <v>266</v>
      </c>
      <c r="D31" s="157" t="s">
        <v>22</v>
      </c>
      <c r="E31" s="158" t="s">
        <v>25</v>
      </c>
      <c r="F31" s="99" t="s">
        <v>147</v>
      </c>
      <c r="G31" s="98" t="s">
        <v>148</v>
      </c>
      <c r="H31" s="98" t="s">
        <v>148</v>
      </c>
      <c r="I31" s="98" t="s">
        <v>148</v>
      </c>
      <c r="J31" s="270" t="s">
        <v>148</v>
      </c>
      <c r="K31" s="272">
        <v>15</v>
      </c>
      <c r="L31" s="99" t="s">
        <v>147</v>
      </c>
      <c r="M31" s="54">
        <f>SUM(F31:L31)</f>
        <v>15</v>
      </c>
      <c r="N31" s="16">
        <f>M31-O31</f>
        <v>15</v>
      </c>
      <c r="O31" s="5">
        <f>SUMIF(F31:L31,"450")</f>
        <v>0</v>
      </c>
      <c r="P31" s="16">
        <f>N31+O31</f>
        <v>15</v>
      </c>
      <c r="Q31">
        <f>T31*450</f>
        <v>2250</v>
      </c>
      <c r="R31">
        <f>Q31-P31</f>
        <v>2235</v>
      </c>
      <c r="S31" s="39">
        <f>R31/Q31</f>
        <v>0.99333333333333329</v>
      </c>
      <c r="T31">
        <f>U31-(W31+X31)</f>
        <v>5</v>
      </c>
      <c r="U31">
        <f>7-V31</f>
        <v>5</v>
      </c>
      <c r="V31" s="5">
        <f>COUNTIF(F31:L31,"RD")</f>
        <v>2</v>
      </c>
      <c r="W31" s="5">
        <f>COUNTIF(F31:L31,"VL")</f>
        <v>0</v>
      </c>
      <c r="X31" s="5">
        <f>COUNTIF(F31:L31,"LWOP")</f>
        <v>0</v>
      </c>
      <c r="Y31" s="5">
        <f>COUNTIF(F31:L31,"450")</f>
        <v>0</v>
      </c>
      <c r="Z31" s="5">
        <f>COUNTIF(F31:M31,"EVL")</f>
        <v>0</v>
      </c>
      <c r="AA31" s="5">
        <f>COUNTIF(F31:N31,"EVLS")</f>
        <v>0</v>
      </c>
    </row>
    <row r="32" spans="1:27" hidden="1">
      <c r="A32" s="164" t="s">
        <v>91</v>
      </c>
      <c r="B32" s="156" t="s">
        <v>265</v>
      </c>
      <c r="C32" s="157" t="s">
        <v>266</v>
      </c>
      <c r="D32" s="157" t="s">
        <v>22</v>
      </c>
      <c r="E32" s="158" t="s">
        <v>30</v>
      </c>
      <c r="F32" s="99" t="s">
        <v>147</v>
      </c>
      <c r="G32" s="98" t="s">
        <v>148</v>
      </c>
      <c r="H32" s="98" t="s">
        <v>148</v>
      </c>
      <c r="I32" s="98" t="s">
        <v>148</v>
      </c>
      <c r="J32" s="270" t="s">
        <v>148</v>
      </c>
      <c r="K32" s="270" t="s">
        <v>148</v>
      </c>
      <c r="L32" s="99" t="s">
        <v>147</v>
      </c>
      <c r="M32" s="54">
        <f>SUM(F32:L32)</f>
        <v>0</v>
      </c>
      <c r="N32" s="16">
        <f>M32-O32</f>
        <v>0</v>
      </c>
      <c r="O32" s="5">
        <f>SUMIF(F32:L32,"450")</f>
        <v>0</v>
      </c>
      <c r="P32" s="16">
        <f>N32+O32</f>
        <v>0</v>
      </c>
      <c r="Q32">
        <f>T32*450</f>
        <v>2250</v>
      </c>
      <c r="R32">
        <f>Q32-P32</f>
        <v>2250</v>
      </c>
      <c r="S32" s="39">
        <f>R32/Q32</f>
        <v>1</v>
      </c>
      <c r="T32">
        <f>U32-(W32+X32)</f>
        <v>5</v>
      </c>
      <c r="U32">
        <f>7-V32</f>
        <v>5</v>
      </c>
      <c r="V32" s="5">
        <f>COUNTIF(F32:L32,"RD")</f>
        <v>2</v>
      </c>
      <c r="W32" s="5">
        <f>COUNTIF(F32:L32,"VL")</f>
        <v>0</v>
      </c>
      <c r="X32" s="5">
        <f>COUNTIF(F32:L32,"LWOP")</f>
        <v>0</v>
      </c>
      <c r="Y32" s="5">
        <f>COUNTIF(F32:L32,"450")</f>
        <v>0</v>
      </c>
      <c r="Z32" s="5">
        <f>COUNTIF(F32:M32,"EVL")</f>
        <v>0</v>
      </c>
      <c r="AA32" s="5">
        <f>COUNTIF(F32:N32,"EVLS")</f>
        <v>0</v>
      </c>
    </row>
    <row r="33" spans="1:27" hidden="1">
      <c r="A33" s="164" t="s">
        <v>178</v>
      </c>
      <c r="B33" s="156" t="s">
        <v>265</v>
      </c>
      <c r="C33" s="157" t="s">
        <v>266</v>
      </c>
      <c r="D33" s="157" t="s">
        <v>22</v>
      </c>
      <c r="E33" s="158" t="s">
        <v>33</v>
      </c>
      <c r="F33" s="99" t="s">
        <v>147</v>
      </c>
      <c r="G33" s="98" t="s">
        <v>148</v>
      </c>
      <c r="H33" s="98" t="s">
        <v>148</v>
      </c>
      <c r="I33" s="98" t="s">
        <v>148</v>
      </c>
      <c r="J33" s="270" t="s">
        <v>148</v>
      </c>
      <c r="K33" s="270" t="s">
        <v>148</v>
      </c>
      <c r="L33" s="99" t="s">
        <v>147</v>
      </c>
      <c r="M33" s="54">
        <f>SUM(F33:L33)</f>
        <v>0</v>
      </c>
      <c r="N33" s="16">
        <f>M33-O33</f>
        <v>0</v>
      </c>
      <c r="O33" s="5">
        <f>SUMIF(F33:L33,"450")</f>
        <v>0</v>
      </c>
      <c r="P33" s="16">
        <f>N33+O33</f>
        <v>0</v>
      </c>
      <c r="Q33">
        <f>T33*450</f>
        <v>2250</v>
      </c>
      <c r="R33">
        <f>Q33-P33</f>
        <v>2250</v>
      </c>
      <c r="S33" s="39">
        <f>R33/Q33</f>
        <v>1</v>
      </c>
      <c r="T33">
        <f>U33-(W33+X33)</f>
        <v>5</v>
      </c>
      <c r="U33">
        <f>7-V33</f>
        <v>5</v>
      </c>
      <c r="V33" s="5">
        <f>COUNTIF(F33:L33,"RD")</f>
        <v>2</v>
      </c>
      <c r="W33" s="5">
        <f>COUNTIF(F33:L33,"VL")</f>
        <v>0</v>
      </c>
      <c r="X33" s="5">
        <f>COUNTIF(F33:L33,"LWOP")</f>
        <v>0</v>
      </c>
      <c r="Y33" s="5">
        <f>COUNTIF(F33:L33,"450")</f>
        <v>0</v>
      </c>
      <c r="Z33" s="5">
        <f>COUNTIF(F33:M33,"EVL")</f>
        <v>0</v>
      </c>
      <c r="AA33" s="5">
        <f>COUNTIF(F33:N33,"EVLS")</f>
        <v>0</v>
      </c>
    </row>
    <row r="34" spans="1:27" hidden="1">
      <c r="A34" s="164" t="s">
        <v>286</v>
      </c>
      <c r="B34" s="156" t="s">
        <v>265</v>
      </c>
      <c r="C34" s="157" t="s">
        <v>266</v>
      </c>
      <c r="D34" s="157" t="s">
        <v>22</v>
      </c>
      <c r="E34" s="158" t="s">
        <v>63</v>
      </c>
      <c r="F34" s="99" t="s">
        <v>147</v>
      </c>
      <c r="G34" s="98" t="s">
        <v>148</v>
      </c>
      <c r="H34" s="98" t="s">
        <v>148</v>
      </c>
      <c r="I34" s="98" t="s">
        <v>148</v>
      </c>
      <c r="J34" s="270" t="s">
        <v>148</v>
      </c>
      <c r="K34" s="270" t="s">
        <v>148</v>
      </c>
      <c r="L34" s="99" t="s">
        <v>147</v>
      </c>
      <c r="M34" s="54">
        <f>SUM(F34:L34)</f>
        <v>0</v>
      </c>
      <c r="N34" s="16">
        <f>M34-O34</f>
        <v>0</v>
      </c>
      <c r="O34" s="5">
        <f>SUMIF(F34:L34,"450")</f>
        <v>0</v>
      </c>
      <c r="P34" s="16">
        <f>N34+O34</f>
        <v>0</v>
      </c>
      <c r="Q34">
        <f>T34*450</f>
        <v>2250</v>
      </c>
      <c r="R34">
        <f>Q34-P34</f>
        <v>2250</v>
      </c>
      <c r="S34" s="39">
        <f>R34/Q34</f>
        <v>1</v>
      </c>
      <c r="T34">
        <f>U34-(W34+X34)</f>
        <v>5</v>
      </c>
      <c r="U34">
        <f>7-V34</f>
        <v>5</v>
      </c>
      <c r="V34" s="5">
        <f>COUNTIF(F34:L34,"RD")</f>
        <v>2</v>
      </c>
      <c r="W34" s="5">
        <f>COUNTIF(F34:L34,"VL")</f>
        <v>0</v>
      </c>
      <c r="X34" s="5">
        <f>COUNTIF(F34:L34,"LWOP")</f>
        <v>0</v>
      </c>
      <c r="Y34" s="5">
        <f>COUNTIF(F34:L34,"450")</f>
        <v>0</v>
      </c>
      <c r="Z34" s="5">
        <f>COUNTIF(F34:M34,"EVL")</f>
        <v>0</v>
      </c>
      <c r="AA34" s="5">
        <f>COUNTIF(F34:N34,"EVLS")</f>
        <v>0</v>
      </c>
    </row>
    <row r="35" spans="1:27" hidden="1">
      <c r="A35" s="335" t="s">
        <v>287</v>
      </c>
      <c r="B35" s="156" t="s">
        <v>265</v>
      </c>
      <c r="C35" s="157" t="s">
        <v>266</v>
      </c>
      <c r="D35" s="157" t="s">
        <v>22</v>
      </c>
      <c r="E35" s="158" t="s">
        <v>63</v>
      </c>
      <c r="F35" s="99" t="s">
        <v>147</v>
      </c>
      <c r="G35" s="98" t="s">
        <v>148</v>
      </c>
      <c r="H35" s="98" t="s">
        <v>148</v>
      </c>
      <c r="I35" s="98" t="s">
        <v>148</v>
      </c>
      <c r="J35" s="270" t="s">
        <v>148</v>
      </c>
      <c r="K35" s="269" t="s">
        <v>148</v>
      </c>
      <c r="L35" s="99" t="s">
        <v>147</v>
      </c>
      <c r="M35" s="54">
        <f>SUM(F35:L35)</f>
        <v>0</v>
      </c>
      <c r="N35" s="16">
        <f>M35-O35</f>
        <v>0</v>
      </c>
      <c r="O35" s="5">
        <f>SUMIF(F35:L35,"450")</f>
        <v>0</v>
      </c>
      <c r="P35" s="16">
        <f>N35+O35</f>
        <v>0</v>
      </c>
      <c r="Q35">
        <f>T35*450</f>
        <v>2250</v>
      </c>
      <c r="R35">
        <f>Q35-P35</f>
        <v>2250</v>
      </c>
      <c r="S35" s="39">
        <f>R35/Q35</f>
        <v>1</v>
      </c>
      <c r="T35">
        <f>U35-(W35+X35)</f>
        <v>5</v>
      </c>
      <c r="U35">
        <f>7-V35</f>
        <v>5</v>
      </c>
      <c r="V35" s="5">
        <f>COUNTIF(F35:L35,"RD")</f>
        <v>2</v>
      </c>
      <c r="W35" s="5">
        <f>COUNTIF(F35:L35,"VL")</f>
        <v>0</v>
      </c>
      <c r="X35" s="5">
        <f>COUNTIF(F35:L35,"LWOP")</f>
        <v>0</v>
      </c>
      <c r="Y35" s="5">
        <f>COUNTIF(F35:L35,"450")</f>
        <v>0</v>
      </c>
      <c r="Z35" s="5">
        <f>COUNTIF(F35:M35,"EVL")</f>
        <v>0</v>
      </c>
      <c r="AA35" s="5">
        <f>COUNTIF(F35:N35,"EVLS")</f>
        <v>0</v>
      </c>
    </row>
    <row r="36" spans="1:27" hidden="1">
      <c r="A36" s="336" t="s">
        <v>229</v>
      </c>
      <c r="B36" s="156" t="s">
        <v>265</v>
      </c>
      <c r="C36" s="157" t="s">
        <v>266</v>
      </c>
      <c r="D36" s="157" t="s">
        <v>22</v>
      </c>
      <c r="E36" s="158" t="s">
        <v>33</v>
      </c>
      <c r="F36" s="99" t="s">
        <v>147</v>
      </c>
      <c r="G36" s="98" t="s">
        <v>148</v>
      </c>
      <c r="H36" s="98" t="s">
        <v>148</v>
      </c>
      <c r="I36" s="270" t="s">
        <v>148</v>
      </c>
      <c r="J36" s="270" t="s">
        <v>148</v>
      </c>
      <c r="K36" s="270" t="s">
        <v>148</v>
      </c>
      <c r="L36" s="99" t="s">
        <v>147</v>
      </c>
      <c r="M36" s="54">
        <f>SUM(F36:L36)</f>
        <v>0</v>
      </c>
      <c r="N36" s="16">
        <f>M36-O36</f>
        <v>0</v>
      </c>
      <c r="O36" s="5">
        <f>SUMIF(F36:L36,"450")</f>
        <v>0</v>
      </c>
      <c r="P36" s="16">
        <f>N36+O36</f>
        <v>0</v>
      </c>
      <c r="Q36">
        <f>T36*450</f>
        <v>2250</v>
      </c>
      <c r="R36">
        <f>Q36-P36</f>
        <v>2250</v>
      </c>
      <c r="S36" s="39">
        <f>R36/Q36</f>
        <v>1</v>
      </c>
      <c r="T36">
        <f>U36-(W36+X36)</f>
        <v>5</v>
      </c>
      <c r="U36">
        <f>7-V36</f>
        <v>5</v>
      </c>
      <c r="V36" s="5">
        <f>COUNTIF(F36:L36,"RD")</f>
        <v>2</v>
      </c>
      <c r="W36" s="5">
        <f>COUNTIF(F36:L36,"VL")</f>
        <v>0</v>
      </c>
      <c r="X36" s="5">
        <f>COUNTIF(F36:L36,"LWOP")</f>
        <v>0</v>
      </c>
      <c r="Y36" s="5">
        <f>COUNTIF(F36:L36,"450")</f>
        <v>0</v>
      </c>
      <c r="Z36" s="5">
        <f>COUNTIF(F36:M36,"EVL")</f>
        <v>0</v>
      </c>
      <c r="AA36" s="5">
        <f>COUNTIF(F36:N36,"EVLS")</f>
        <v>0</v>
      </c>
    </row>
    <row r="37" spans="1:27" hidden="1">
      <c r="A37" s="162" t="s">
        <v>189</v>
      </c>
      <c r="B37" s="156" t="s">
        <v>265</v>
      </c>
      <c r="C37" s="157" t="s">
        <v>266</v>
      </c>
      <c r="D37" s="157" t="s">
        <v>22</v>
      </c>
      <c r="E37" s="158" t="s">
        <v>63</v>
      </c>
      <c r="F37" s="99" t="s">
        <v>147</v>
      </c>
      <c r="G37" s="98" t="s">
        <v>148</v>
      </c>
      <c r="H37" s="98" t="s">
        <v>148</v>
      </c>
      <c r="I37" s="269" t="s">
        <v>148</v>
      </c>
      <c r="J37" s="269" t="s">
        <v>148</v>
      </c>
      <c r="K37" s="102" t="s">
        <v>148</v>
      </c>
      <c r="L37" s="99" t="s">
        <v>147</v>
      </c>
      <c r="M37" s="54">
        <f>SUM(F37:L37)</f>
        <v>0</v>
      </c>
      <c r="N37" s="16">
        <f>M37-O37</f>
        <v>0</v>
      </c>
      <c r="O37" s="5">
        <f>SUMIF(F37:L37,"450")</f>
        <v>0</v>
      </c>
      <c r="P37" s="16">
        <f>N37+O37</f>
        <v>0</v>
      </c>
      <c r="Q37">
        <f>T37*450</f>
        <v>2250</v>
      </c>
      <c r="R37">
        <f>Q37-P37</f>
        <v>2250</v>
      </c>
      <c r="S37" s="39">
        <f>R37/Q37</f>
        <v>1</v>
      </c>
      <c r="T37">
        <f>U37-(W37+X37)</f>
        <v>5</v>
      </c>
      <c r="U37">
        <f>7-V37</f>
        <v>5</v>
      </c>
      <c r="V37" s="5">
        <f>COUNTIF(F37:L37,"RD")</f>
        <v>2</v>
      </c>
      <c r="W37" s="5">
        <f>COUNTIF(F37:L37,"VL")</f>
        <v>0</v>
      </c>
      <c r="X37" s="5">
        <f>COUNTIF(F37:L37,"LWOP")</f>
        <v>0</v>
      </c>
      <c r="Y37" s="5">
        <f>COUNTIF(F37:L37,"450")</f>
        <v>0</v>
      </c>
      <c r="Z37" s="5">
        <f>COUNTIF(F37:M37,"EVL")</f>
        <v>0</v>
      </c>
      <c r="AA37" s="5">
        <f>COUNTIF(F37:N37,"EVLS")</f>
        <v>0</v>
      </c>
    </row>
    <row r="38" spans="1:27" hidden="1">
      <c r="A38" s="162" t="s">
        <v>100</v>
      </c>
      <c r="B38" s="156" t="s">
        <v>265</v>
      </c>
      <c r="C38" s="157" t="s">
        <v>266</v>
      </c>
      <c r="D38" s="157" t="s">
        <v>22</v>
      </c>
      <c r="E38" s="158" t="s">
        <v>63</v>
      </c>
      <c r="F38" s="99" t="s">
        <v>147</v>
      </c>
      <c r="G38" s="98" t="s">
        <v>148</v>
      </c>
      <c r="H38" s="270" t="s">
        <v>148</v>
      </c>
      <c r="I38" s="98" t="s">
        <v>148</v>
      </c>
      <c r="J38" s="272">
        <v>9</v>
      </c>
      <c r="K38" s="269" t="s">
        <v>148</v>
      </c>
      <c r="L38" s="99" t="s">
        <v>147</v>
      </c>
      <c r="M38" s="54">
        <f>SUM(F38:L38)</f>
        <v>9</v>
      </c>
      <c r="N38" s="16">
        <f>M38-O38</f>
        <v>9</v>
      </c>
      <c r="O38" s="5">
        <f>SUMIF(F38:L38,"450")</f>
        <v>0</v>
      </c>
      <c r="P38" s="16">
        <f>N38+O38</f>
        <v>9</v>
      </c>
      <c r="Q38">
        <f>T38*450</f>
        <v>2250</v>
      </c>
      <c r="R38">
        <f>Q38-P38</f>
        <v>2241</v>
      </c>
      <c r="S38" s="39">
        <f>R38/Q38</f>
        <v>0.996</v>
      </c>
      <c r="T38">
        <f>U38-(W38+X38)</f>
        <v>5</v>
      </c>
      <c r="U38">
        <f>7-V38</f>
        <v>5</v>
      </c>
      <c r="V38" s="5">
        <f>COUNTIF(F38:L38,"RD")</f>
        <v>2</v>
      </c>
      <c r="W38" s="5">
        <f>COUNTIF(F38:L38,"VL")</f>
        <v>0</v>
      </c>
      <c r="X38" s="5">
        <f>COUNTIF(F38:L38,"LWOP")</f>
        <v>0</v>
      </c>
      <c r="Y38" s="5">
        <f>COUNTIF(F38:L38,"450")</f>
        <v>0</v>
      </c>
      <c r="Z38" s="5">
        <f>COUNTIF(F38:M38,"EVL")</f>
        <v>0</v>
      </c>
      <c r="AA38" s="5">
        <f>COUNTIF(F38:N38,"EVLS")</f>
        <v>0</v>
      </c>
    </row>
    <row r="39" spans="1:27" hidden="1">
      <c r="A39" s="162" t="s">
        <v>288</v>
      </c>
      <c r="B39" s="156" t="s">
        <v>265</v>
      </c>
      <c r="C39" s="157" t="s">
        <v>266</v>
      </c>
      <c r="D39" s="157" t="s">
        <v>22</v>
      </c>
      <c r="E39" s="158" t="s">
        <v>33</v>
      </c>
      <c r="F39" s="99" t="s">
        <v>147</v>
      </c>
      <c r="G39" s="270" t="s">
        <v>148</v>
      </c>
      <c r="H39" s="269">
        <v>450</v>
      </c>
      <c r="I39" s="270" t="s">
        <v>148</v>
      </c>
      <c r="J39" s="270" t="s">
        <v>148</v>
      </c>
      <c r="K39" s="270" t="s">
        <v>148</v>
      </c>
      <c r="L39" s="99" t="s">
        <v>147</v>
      </c>
      <c r="M39" s="54">
        <f>SUM(F39:L39)</f>
        <v>450</v>
      </c>
      <c r="N39" s="16">
        <f>M39-O39</f>
        <v>0</v>
      </c>
      <c r="O39" s="5">
        <f>SUMIF(F39:L39,"450")</f>
        <v>450</v>
      </c>
      <c r="P39" s="16">
        <f>N39+O39</f>
        <v>450</v>
      </c>
      <c r="Q39">
        <f>T39*450</f>
        <v>2250</v>
      </c>
      <c r="R39">
        <f>Q39-P39</f>
        <v>1800</v>
      </c>
      <c r="S39" s="39">
        <f>R39/Q39</f>
        <v>0.8</v>
      </c>
      <c r="T39">
        <f>U39-(W39+X39)</f>
        <v>5</v>
      </c>
      <c r="U39">
        <f>7-V39</f>
        <v>5</v>
      </c>
      <c r="V39" s="5">
        <f>COUNTIF(F39:L39,"RD")</f>
        <v>2</v>
      </c>
      <c r="W39" s="5">
        <f>COUNTIF(F39:L39,"VL")</f>
        <v>0</v>
      </c>
      <c r="X39" s="5">
        <f>COUNTIF(F39:L39,"LWOP")</f>
        <v>0</v>
      </c>
      <c r="Y39" s="5">
        <f>COUNTIF(F39:L39,"450")</f>
        <v>1</v>
      </c>
      <c r="Z39" s="5">
        <f>COUNTIF(F39:M39,"EVL")</f>
        <v>0</v>
      </c>
      <c r="AA39" s="5">
        <f>COUNTIF(F39:N39,"EVLS")</f>
        <v>0</v>
      </c>
    </row>
    <row r="40" spans="1:27" hidden="1">
      <c r="A40" s="162" t="s">
        <v>104</v>
      </c>
      <c r="B40" s="156" t="s">
        <v>265</v>
      </c>
      <c r="C40" s="157" t="s">
        <v>266</v>
      </c>
      <c r="D40" s="157" t="s">
        <v>22</v>
      </c>
      <c r="E40" s="158" t="s">
        <v>25</v>
      </c>
      <c r="F40" s="99" t="s">
        <v>147</v>
      </c>
      <c r="G40" s="100">
        <v>18</v>
      </c>
      <c r="H40" s="270" t="s">
        <v>148</v>
      </c>
      <c r="I40" s="272">
        <v>1</v>
      </c>
      <c r="J40" s="269">
        <v>450</v>
      </c>
      <c r="K40" s="102">
        <v>450</v>
      </c>
      <c r="L40" s="99" t="s">
        <v>147</v>
      </c>
      <c r="M40" s="54">
        <f>SUM(F40:L40)</f>
        <v>919</v>
      </c>
      <c r="N40" s="16">
        <f>M40-O40</f>
        <v>19</v>
      </c>
      <c r="O40" s="5">
        <f>SUMIF(F40:L40,"450")</f>
        <v>900</v>
      </c>
      <c r="P40" s="16">
        <f>N40+O40</f>
        <v>919</v>
      </c>
      <c r="Q40">
        <f>T40*450</f>
        <v>2250</v>
      </c>
      <c r="R40">
        <f>Q40-P40</f>
        <v>1331</v>
      </c>
      <c r="S40" s="39">
        <f>R40/Q40</f>
        <v>0.5915555555555555</v>
      </c>
      <c r="T40">
        <f>U40-(W40+X40)</f>
        <v>5</v>
      </c>
      <c r="U40">
        <f>7-V40</f>
        <v>5</v>
      </c>
      <c r="V40" s="5">
        <f>COUNTIF(F40:L40,"RD")</f>
        <v>2</v>
      </c>
      <c r="W40" s="5">
        <f>COUNTIF(F40:L40,"VL")</f>
        <v>0</v>
      </c>
      <c r="X40" s="5">
        <f>COUNTIF(F40:L40,"LWOP")</f>
        <v>0</v>
      </c>
      <c r="Y40" s="5">
        <f>COUNTIF(F40:L40,"450")</f>
        <v>2</v>
      </c>
      <c r="Z40" s="5">
        <f>COUNTIF(F40:M40,"EVL")</f>
        <v>0</v>
      </c>
      <c r="AA40" s="5">
        <f>COUNTIF(F40:N40,"EVLS")</f>
        <v>0</v>
      </c>
    </row>
    <row r="41" spans="1:27" hidden="1">
      <c r="A41" s="162" t="s">
        <v>289</v>
      </c>
      <c r="B41" s="156" t="s">
        <v>265</v>
      </c>
      <c r="C41" s="157" t="s">
        <v>266</v>
      </c>
      <c r="D41" s="157" t="s">
        <v>22</v>
      </c>
      <c r="E41" s="158" t="s">
        <v>56</v>
      </c>
      <c r="F41" s="99" t="s">
        <v>147</v>
      </c>
      <c r="G41" s="272">
        <v>2</v>
      </c>
      <c r="H41" s="272">
        <v>1</v>
      </c>
      <c r="I41" s="98" t="s">
        <v>148</v>
      </c>
      <c r="J41" s="270" t="s">
        <v>148</v>
      </c>
      <c r="K41" s="269">
        <v>450</v>
      </c>
      <c r="L41" s="99" t="s">
        <v>147</v>
      </c>
      <c r="M41" s="54">
        <f>SUM(F41:L41)</f>
        <v>453</v>
      </c>
      <c r="N41" s="16">
        <f>M41-O41</f>
        <v>3</v>
      </c>
      <c r="O41" s="5">
        <f>SUMIF(F41:L41,"450")</f>
        <v>450</v>
      </c>
      <c r="P41" s="16">
        <f>N41+O41</f>
        <v>453</v>
      </c>
      <c r="Q41">
        <f>T41*450</f>
        <v>2250</v>
      </c>
      <c r="R41">
        <f>Q41-P41</f>
        <v>1797</v>
      </c>
      <c r="S41" s="39">
        <f>R41/Q41</f>
        <v>0.79866666666666664</v>
      </c>
      <c r="T41">
        <f>U41-(W41+X41)</f>
        <v>5</v>
      </c>
      <c r="U41">
        <f>7-V41</f>
        <v>5</v>
      </c>
      <c r="V41" s="5">
        <f>COUNTIF(F41:L41,"RD")</f>
        <v>2</v>
      </c>
      <c r="W41" s="5">
        <f>COUNTIF(F41:L41,"VL")</f>
        <v>0</v>
      </c>
      <c r="X41" s="5">
        <f>COUNTIF(F41:L41,"LWOP")</f>
        <v>0</v>
      </c>
      <c r="Y41" s="5">
        <f>COUNTIF(F41:L41,"450")</f>
        <v>1</v>
      </c>
      <c r="Z41" s="5">
        <f>COUNTIF(F41:M41,"EVL")</f>
        <v>0</v>
      </c>
      <c r="AA41" s="5">
        <f>COUNTIF(F41:N41,"EVLS")</f>
        <v>0</v>
      </c>
    </row>
    <row r="42" spans="1:27" hidden="1">
      <c r="A42" s="162" t="s">
        <v>290</v>
      </c>
      <c r="B42" s="156" t="s">
        <v>265</v>
      </c>
      <c r="C42" s="157" t="s">
        <v>266</v>
      </c>
      <c r="D42" s="157" t="s">
        <v>22</v>
      </c>
      <c r="E42" s="158" t="s">
        <v>30</v>
      </c>
      <c r="F42" s="99" t="s">
        <v>147</v>
      </c>
      <c r="G42" s="98" t="s">
        <v>148</v>
      </c>
      <c r="H42" s="98" t="s">
        <v>148</v>
      </c>
      <c r="I42" s="98" t="s">
        <v>148</v>
      </c>
      <c r="J42" s="270" t="s">
        <v>148</v>
      </c>
      <c r="K42" s="270" t="s">
        <v>148</v>
      </c>
      <c r="L42" s="99" t="s">
        <v>147</v>
      </c>
      <c r="M42" s="54">
        <f>SUM(F42:L42)</f>
        <v>0</v>
      </c>
      <c r="N42" s="16">
        <f>M42-O42</f>
        <v>0</v>
      </c>
      <c r="O42" s="5">
        <f>SUMIF(F42:L42,"450")</f>
        <v>0</v>
      </c>
      <c r="P42" s="16">
        <f>N42+O42</f>
        <v>0</v>
      </c>
      <c r="Q42">
        <f>T42*450</f>
        <v>2250</v>
      </c>
      <c r="R42">
        <f>Q42-P42</f>
        <v>2250</v>
      </c>
      <c r="S42" s="39">
        <f>R42/Q42</f>
        <v>1</v>
      </c>
      <c r="T42">
        <f>U42-(W42+X42)</f>
        <v>5</v>
      </c>
      <c r="U42">
        <f>7-V42</f>
        <v>5</v>
      </c>
      <c r="V42" s="5">
        <f>COUNTIF(F42:L42,"RD")</f>
        <v>2</v>
      </c>
      <c r="W42" s="5">
        <f>COUNTIF(F42:L42,"VL")</f>
        <v>0</v>
      </c>
      <c r="X42" s="5">
        <f>COUNTIF(F42:L42,"LWOP")</f>
        <v>0</v>
      </c>
      <c r="Y42" s="5">
        <f>COUNTIF(F42:L42,"450")</f>
        <v>0</v>
      </c>
      <c r="Z42" s="5">
        <f>COUNTIF(F42:M42,"EVL")</f>
        <v>0</v>
      </c>
      <c r="AA42" s="5">
        <f>COUNTIF(F42:N42,"EVLS")</f>
        <v>0</v>
      </c>
    </row>
    <row r="43" spans="1:27" hidden="1">
      <c r="A43" s="162" t="s">
        <v>231</v>
      </c>
      <c r="B43" s="156" t="s">
        <v>265</v>
      </c>
      <c r="C43" s="157" t="s">
        <v>266</v>
      </c>
      <c r="D43" s="157" t="s">
        <v>22</v>
      </c>
      <c r="E43" s="158" t="s">
        <v>30</v>
      </c>
      <c r="F43" s="99" t="s">
        <v>147</v>
      </c>
      <c r="G43" s="270" t="s">
        <v>148</v>
      </c>
      <c r="H43" s="98" t="s">
        <v>148</v>
      </c>
      <c r="I43" s="270" t="s">
        <v>148</v>
      </c>
      <c r="J43" s="270" t="s">
        <v>148</v>
      </c>
      <c r="K43" s="270" t="s">
        <v>148</v>
      </c>
      <c r="L43" s="99" t="s">
        <v>147</v>
      </c>
      <c r="M43" s="54">
        <f>SUM(F43:L43)</f>
        <v>0</v>
      </c>
      <c r="N43" s="16">
        <f>M43-O43</f>
        <v>0</v>
      </c>
      <c r="O43" s="5">
        <f>SUMIF(F43:L43,"450")</f>
        <v>0</v>
      </c>
      <c r="P43" s="16">
        <f>N43+O43</f>
        <v>0</v>
      </c>
      <c r="Q43">
        <f>T43*450</f>
        <v>2250</v>
      </c>
      <c r="R43">
        <f>Q43-P43</f>
        <v>2250</v>
      </c>
      <c r="S43" s="39">
        <f>R43/Q43</f>
        <v>1</v>
      </c>
      <c r="T43">
        <f>U43-(W43+X43)</f>
        <v>5</v>
      </c>
      <c r="U43">
        <f>7-V43</f>
        <v>5</v>
      </c>
      <c r="V43" s="5">
        <f>COUNTIF(F43:L43,"RD")</f>
        <v>2</v>
      </c>
      <c r="W43" s="5">
        <f>COUNTIF(F43:L43,"VL")</f>
        <v>0</v>
      </c>
      <c r="X43" s="5">
        <f>COUNTIF(F43:L43,"LWOP")</f>
        <v>0</v>
      </c>
      <c r="Y43" s="5">
        <f>COUNTIF(F43:L43,"450")</f>
        <v>0</v>
      </c>
      <c r="Z43" s="5">
        <f>COUNTIF(F43:M43,"EVL")</f>
        <v>0</v>
      </c>
      <c r="AA43" s="5">
        <f>COUNTIF(F43:N43,"EVLS")</f>
        <v>0</v>
      </c>
    </row>
    <row r="44" spans="1:27" hidden="1">
      <c r="A44" s="162" t="s">
        <v>291</v>
      </c>
      <c r="B44" s="156" t="s">
        <v>265</v>
      </c>
      <c r="C44" s="157" t="s">
        <v>266</v>
      </c>
      <c r="D44" s="157" t="s">
        <v>22</v>
      </c>
      <c r="E44" s="158" t="s">
        <v>30</v>
      </c>
      <c r="F44" s="99" t="s">
        <v>147</v>
      </c>
      <c r="G44" s="269">
        <v>450</v>
      </c>
      <c r="H44" s="98" t="s">
        <v>148</v>
      </c>
      <c r="I44" s="269">
        <v>450</v>
      </c>
      <c r="J44" s="269">
        <v>450</v>
      </c>
      <c r="K44" s="272">
        <v>10</v>
      </c>
      <c r="L44" s="99" t="s">
        <v>147</v>
      </c>
      <c r="M44" s="54">
        <f>SUM(F44:L44)</f>
        <v>1360</v>
      </c>
      <c r="N44" s="16">
        <f>M44-O44</f>
        <v>10</v>
      </c>
      <c r="O44" s="5">
        <f>SUMIF(F44:L44,"450")</f>
        <v>1350</v>
      </c>
      <c r="P44" s="16">
        <f>N44+O44</f>
        <v>1360</v>
      </c>
      <c r="Q44">
        <f>T44*450</f>
        <v>2250</v>
      </c>
      <c r="R44">
        <f>Q44-P44</f>
        <v>890</v>
      </c>
      <c r="S44" s="39">
        <f>R44/Q44</f>
        <v>0.39555555555555555</v>
      </c>
      <c r="T44">
        <f>U44-(W44+X44)</f>
        <v>5</v>
      </c>
      <c r="U44">
        <f>7-V44</f>
        <v>5</v>
      </c>
      <c r="V44" s="5">
        <f>COUNTIF(F44:L44,"RD")</f>
        <v>2</v>
      </c>
      <c r="W44" s="5">
        <f>COUNTIF(F44:L44,"VL")</f>
        <v>0</v>
      </c>
      <c r="X44" s="5">
        <f>COUNTIF(F44:L44,"LWOP")</f>
        <v>0</v>
      </c>
      <c r="Y44" s="5">
        <f>COUNTIF(F44:L44,"450")</f>
        <v>3</v>
      </c>
      <c r="Z44" s="5">
        <f>COUNTIF(F44:M44,"EVL")</f>
        <v>0</v>
      </c>
      <c r="AA44" s="5">
        <f>COUNTIF(F44:N44,"EVLS")</f>
        <v>0</v>
      </c>
    </row>
    <row r="45" spans="1:27" hidden="1">
      <c r="A45" s="162" t="s">
        <v>293</v>
      </c>
      <c r="B45" s="156" t="s">
        <v>265</v>
      </c>
      <c r="C45" s="157" t="s">
        <v>266</v>
      </c>
      <c r="D45" s="157" t="s">
        <v>22</v>
      </c>
      <c r="E45" s="158" t="s">
        <v>33</v>
      </c>
      <c r="F45" s="99" t="s">
        <v>147</v>
      </c>
      <c r="G45" s="270" t="s">
        <v>148</v>
      </c>
      <c r="H45" s="98" t="s">
        <v>148</v>
      </c>
      <c r="I45" s="98" t="s">
        <v>148</v>
      </c>
      <c r="J45" s="270" t="s">
        <v>148</v>
      </c>
      <c r="K45" s="270" t="s">
        <v>148</v>
      </c>
      <c r="L45" s="99" t="s">
        <v>147</v>
      </c>
      <c r="M45" s="54">
        <f>SUM(F45:L45)</f>
        <v>0</v>
      </c>
      <c r="N45" s="16">
        <f>M45-O45</f>
        <v>0</v>
      </c>
      <c r="O45" s="5">
        <f>SUMIF(F45:L45,"450")</f>
        <v>0</v>
      </c>
      <c r="P45" s="16">
        <f>N45+O45</f>
        <v>0</v>
      </c>
      <c r="Q45">
        <f>T45*450</f>
        <v>2250</v>
      </c>
      <c r="R45">
        <f>Q45-P45</f>
        <v>2250</v>
      </c>
      <c r="S45" s="39">
        <f>R45/Q45</f>
        <v>1</v>
      </c>
      <c r="T45">
        <f>U45-(W45+X45)</f>
        <v>5</v>
      </c>
      <c r="U45">
        <f>7-V45</f>
        <v>5</v>
      </c>
      <c r="V45" s="5">
        <f>COUNTIF(F45:L45,"RD")</f>
        <v>2</v>
      </c>
      <c r="W45" s="5">
        <f>COUNTIF(F45:L45,"VL")</f>
        <v>0</v>
      </c>
      <c r="X45" s="5">
        <f>COUNTIF(F45:L45,"LWOP")</f>
        <v>0</v>
      </c>
      <c r="Y45" s="5">
        <f>COUNTIF(F45:L45,"450")</f>
        <v>0</v>
      </c>
      <c r="Z45" s="5">
        <f>COUNTIF(F45:M45,"EVL")</f>
        <v>0</v>
      </c>
      <c r="AA45" s="5">
        <f>COUNTIF(F45:N45,"EVLS")</f>
        <v>0</v>
      </c>
    </row>
    <row r="46" spans="1:27" hidden="1">
      <c r="A46" s="162" t="s">
        <v>294</v>
      </c>
      <c r="B46" s="156" t="s">
        <v>265</v>
      </c>
      <c r="C46" s="157" t="s">
        <v>266</v>
      </c>
      <c r="D46" s="157" t="s">
        <v>22</v>
      </c>
      <c r="E46" s="158" t="s">
        <v>63</v>
      </c>
      <c r="F46" s="99" t="s">
        <v>147</v>
      </c>
      <c r="G46" s="272">
        <v>1</v>
      </c>
      <c r="H46" s="98" t="s">
        <v>148</v>
      </c>
      <c r="I46" s="98" t="s">
        <v>148</v>
      </c>
      <c r="J46" s="270" t="s">
        <v>148</v>
      </c>
      <c r="K46" s="270" t="s">
        <v>148</v>
      </c>
      <c r="L46" s="99" t="s">
        <v>147</v>
      </c>
      <c r="M46" s="54">
        <f>SUM(F46:L46)</f>
        <v>1</v>
      </c>
      <c r="N46" s="16">
        <f>M46-O46</f>
        <v>1</v>
      </c>
      <c r="O46" s="5">
        <f>SUMIF(F46:L46,"450")</f>
        <v>0</v>
      </c>
      <c r="P46" s="16">
        <f>N46+O46</f>
        <v>1</v>
      </c>
      <c r="Q46">
        <f>T46*450</f>
        <v>2250</v>
      </c>
      <c r="R46">
        <f>Q46-P46</f>
        <v>2249</v>
      </c>
      <c r="S46" s="39">
        <f>R46/Q46</f>
        <v>0.99955555555555553</v>
      </c>
      <c r="T46">
        <f>U46-(W46+X46)</f>
        <v>5</v>
      </c>
      <c r="U46">
        <f>7-V46</f>
        <v>5</v>
      </c>
      <c r="V46" s="5">
        <f>COUNTIF(F46:L46,"RD")</f>
        <v>2</v>
      </c>
      <c r="W46" s="5">
        <f>COUNTIF(F46:L46,"VL")</f>
        <v>0</v>
      </c>
      <c r="X46" s="5">
        <f>COUNTIF(F46:L46,"LWOP")</f>
        <v>0</v>
      </c>
      <c r="Y46" s="5">
        <f>COUNTIF(F46:L46,"450")</f>
        <v>0</v>
      </c>
      <c r="Z46" s="5">
        <f>COUNTIF(F46:M46,"EVL")</f>
        <v>0</v>
      </c>
      <c r="AA46" s="5">
        <f>COUNTIF(F46:N46,"EVLS")</f>
        <v>0</v>
      </c>
    </row>
    <row r="47" spans="1:27" hidden="1">
      <c r="A47" s="162" t="s">
        <v>117</v>
      </c>
      <c r="B47" s="156" t="s">
        <v>265</v>
      </c>
      <c r="C47" s="157" t="s">
        <v>266</v>
      </c>
      <c r="D47" s="157" t="s">
        <v>22</v>
      </c>
      <c r="E47" s="158" t="s">
        <v>30</v>
      </c>
      <c r="F47" s="99" t="s">
        <v>147</v>
      </c>
      <c r="G47" s="270" t="s">
        <v>148</v>
      </c>
      <c r="H47" s="270" t="s">
        <v>148</v>
      </c>
      <c r="I47" s="270" t="s">
        <v>148</v>
      </c>
      <c r="J47" s="270" t="s">
        <v>148</v>
      </c>
      <c r="K47" s="270" t="s">
        <v>148</v>
      </c>
      <c r="L47" s="99" t="s">
        <v>147</v>
      </c>
      <c r="M47" s="54">
        <f>SUM(F47:L47)</f>
        <v>0</v>
      </c>
      <c r="N47" s="16">
        <f>M47-O47</f>
        <v>0</v>
      </c>
      <c r="O47" s="5">
        <f>SUMIF(F47:L47,"450")</f>
        <v>0</v>
      </c>
      <c r="P47" s="16">
        <f>N47+O47</f>
        <v>0</v>
      </c>
      <c r="Q47">
        <f>T47*450</f>
        <v>2250</v>
      </c>
      <c r="R47">
        <f>Q47-P47</f>
        <v>2250</v>
      </c>
      <c r="S47" s="39">
        <f>R47/Q47</f>
        <v>1</v>
      </c>
      <c r="T47">
        <f>U47-(W47+X47)</f>
        <v>5</v>
      </c>
      <c r="U47">
        <f>7-V47</f>
        <v>5</v>
      </c>
      <c r="V47" s="5">
        <f>COUNTIF(F47:L47,"RD")</f>
        <v>2</v>
      </c>
      <c r="W47" s="5">
        <f>COUNTIF(F47:L47,"VL")</f>
        <v>0</v>
      </c>
      <c r="X47" s="5">
        <f>COUNTIF(F47:L47,"LWOP")</f>
        <v>0</v>
      </c>
      <c r="Y47" s="5">
        <f>COUNTIF(F47:L47,"450")</f>
        <v>0</v>
      </c>
      <c r="Z47" s="5">
        <f>COUNTIF(F47:M47,"EVL")</f>
        <v>0</v>
      </c>
      <c r="AA47" s="5">
        <f>COUNTIF(F47:N47,"EVLS")</f>
        <v>0</v>
      </c>
    </row>
    <row r="48" spans="1:27" hidden="1">
      <c r="A48" s="162" t="s">
        <v>295</v>
      </c>
      <c r="B48" s="156" t="s">
        <v>265</v>
      </c>
      <c r="C48" s="157" t="s">
        <v>266</v>
      </c>
      <c r="D48" s="157" t="s">
        <v>22</v>
      </c>
      <c r="E48" s="158" t="s">
        <v>30</v>
      </c>
      <c r="F48" s="99" t="s">
        <v>147</v>
      </c>
      <c r="G48" s="269" t="s">
        <v>187</v>
      </c>
      <c r="H48" s="269" t="s">
        <v>187</v>
      </c>
      <c r="I48" s="102" t="s">
        <v>187</v>
      </c>
      <c r="J48" s="102" t="s">
        <v>187</v>
      </c>
      <c r="K48" s="102" t="s">
        <v>187</v>
      </c>
      <c r="L48" s="99" t="s">
        <v>147</v>
      </c>
      <c r="M48" s="54">
        <f>SUM(F48:L48)</f>
        <v>0</v>
      </c>
      <c r="N48" s="16">
        <f>M48-O48</f>
        <v>0</v>
      </c>
      <c r="O48" s="5">
        <f>SUMIF(F48:L48,"450")</f>
        <v>0</v>
      </c>
      <c r="P48" s="16">
        <f>N48+O48</f>
        <v>0</v>
      </c>
      <c r="Q48">
        <f>T48*450</f>
        <v>2250</v>
      </c>
      <c r="R48">
        <f>Q48-P48</f>
        <v>2250</v>
      </c>
      <c r="S48" s="39">
        <f>R48/Q48</f>
        <v>1</v>
      </c>
      <c r="T48">
        <f>U48-(W48+X48)</f>
        <v>5</v>
      </c>
      <c r="U48">
        <f>7-V48</f>
        <v>5</v>
      </c>
      <c r="V48" s="5">
        <f>COUNTIF(F48:L48,"RD")</f>
        <v>2</v>
      </c>
      <c r="W48" s="5">
        <f>COUNTIF(F48:L48,"VL")</f>
        <v>0</v>
      </c>
      <c r="X48" s="5">
        <f>COUNTIF(F48:L48,"LWOP")</f>
        <v>0</v>
      </c>
      <c r="Y48" s="5">
        <f>COUNTIF(F48:L48,"450")</f>
        <v>0</v>
      </c>
      <c r="Z48" s="5">
        <f>COUNTIF(F48:M48,"EVL")</f>
        <v>0</v>
      </c>
      <c r="AA48" s="5">
        <f>COUNTIF(F48:N48,"EVLS")</f>
        <v>0</v>
      </c>
    </row>
    <row r="49" spans="1:27" hidden="1">
      <c r="A49" s="162" t="s">
        <v>296</v>
      </c>
      <c r="B49" s="156" t="s">
        <v>265</v>
      </c>
      <c r="C49" s="157" t="s">
        <v>266</v>
      </c>
      <c r="D49" s="157" t="s">
        <v>22</v>
      </c>
      <c r="E49" s="158" t="s">
        <v>30</v>
      </c>
      <c r="F49" s="99" t="s">
        <v>147</v>
      </c>
      <c r="G49" s="98" t="s">
        <v>148</v>
      </c>
      <c r="H49" s="98" t="s">
        <v>148</v>
      </c>
      <c r="I49" s="269" t="s">
        <v>148</v>
      </c>
      <c r="J49" s="269" t="s">
        <v>148</v>
      </c>
      <c r="K49" s="269" t="s">
        <v>148</v>
      </c>
      <c r="L49" s="99" t="s">
        <v>147</v>
      </c>
      <c r="M49" s="54">
        <f>SUM(F49:L49)</f>
        <v>0</v>
      </c>
      <c r="N49" s="16">
        <f>M49-O49</f>
        <v>0</v>
      </c>
      <c r="O49" s="5">
        <f>SUMIF(F49:L49,"450")</f>
        <v>0</v>
      </c>
      <c r="P49" s="16">
        <f>N49+O49</f>
        <v>0</v>
      </c>
      <c r="Q49">
        <f>T49*450</f>
        <v>2250</v>
      </c>
      <c r="R49">
        <f>Q49-P49</f>
        <v>2250</v>
      </c>
      <c r="S49" s="39">
        <f>R49/Q49</f>
        <v>1</v>
      </c>
      <c r="T49">
        <f>U49-(W49+X49)</f>
        <v>5</v>
      </c>
      <c r="U49">
        <f>7-V49</f>
        <v>5</v>
      </c>
      <c r="V49" s="5">
        <f>COUNTIF(F49:L49,"RD")</f>
        <v>2</v>
      </c>
      <c r="W49" s="5">
        <f>COUNTIF(F49:L49,"VL")</f>
        <v>0</v>
      </c>
      <c r="X49" s="5">
        <f>COUNTIF(F49:L49,"LWOP")</f>
        <v>0</v>
      </c>
      <c r="Y49" s="5">
        <f>COUNTIF(F49:L49,"450")</f>
        <v>0</v>
      </c>
      <c r="Z49" s="5">
        <f>COUNTIF(F49:M49,"EVL")</f>
        <v>0</v>
      </c>
      <c r="AA49" s="5">
        <f>COUNTIF(F49:N49,"EVLS")</f>
        <v>0</v>
      </c>
    </row>
    <row r="50" spans="1:27" hidden="1">
      <c r="A50" s="162" t="s">
        <v>237</v>
      </c>
      <c r="B50" s="156" t="s">
        <v>265</v>
      </c>
      <c r="C50" s="157" t="s">
        <v>266</v>
      </c>
      <c r="D50" s="157" t="s">
        <v>22</v>
      </c>
      <c r="E50" s="158" t="s">
        <v>30</v>
      </c>
      <c r="F50" s="99" t="s">
        <v>147</v>
      </c>
      <c r="G50" s="98" t="s">
        <v>148</v>
      </c>
      <c r="H50" s="98" t="s">
        <v>148</v>
      </c>
      <c r="I50" s="98" t="s">
        <v>148</v>
      </c>
      <c r="J50" s="270" t="s">
        <v>148</v>
      </c>
      <c r="K50" s="272">
        <v>3</v>
      </c>
      <c r="L50" s="99" t="s">
        <v>147</v>
      </c>
      <c r="M50" s="54">
        <f>SUM(F50:L50)</f>
        <v>3</v>
      </c>
      <c r="N50" s="16">
        <f>M50-O50</f>
        <v>3</v>
      </c>
      <c r="O50" s="5">
        <f>SUMIF(F50:L50,"450")</f>
        <v>0</v>
      </c>
      <c r="P50" s="16">
        <f>N50+O50</f>
        <v>3</v>
      </c>
      <c r="Q50">
        <f>T50*450</f>
        <v>2250</v>
      </c>
      <c r="R50">
        <f>Q50-P50</f>
        <v>2247</v>
      </c>
      <c r="S50" s="39">
        <f>R50/Q50</f>
        <v>0.9986666666666667</v>
      </c>
      <c r="T50">
        <f>U50-(W50+X50)</f>
        <v>5</v>
      </c>
      <c r="U50">
        <f>7-V50</f>
        <v>5</v>
      </c>
      <c r="V50" s="5">
        <f>COUNTIF(F50:L50,"RD")</f>
        <v>2</v>
      </c>
      <c r="W50" s="5">
        <f>COUNTIF(F50:L50,"VL")</f>
        <v>0</v>
      </c>
      <c r="X50" s="5">
        <f>COUNTIF(F50:L50,"LWOP")</f>
        <v>0</v>
      </c>
      <c r="Y50" s="5">
        <f>COUNTIF(F50:L50,"450")</f>
        <v>0</v>
      </c>
      <c r="Z50" s="5">
        <f>COUNTIF(F50:M50,"EVL")</f>
        <v>0</v>
      </c>
      <c r="AA50" s="5">
        <f>COUNTIF(F50:N50,"EVLS")</f>
        <v>0</v>
      </c>
    </row>
    <row r="51" spans="1:27" hidden="1">
      <c r="A51" s="338" t="s">
        <v>125</v>
      </c>
      <c r="B51" s="156" t="s">
        <v>265</v>
      </c>
      <c r="C51" s="157" t="s">
        <v>266</v>
      </c>
      <c r="D51" s="157" t="s">
        <v>22</v>
      </c>
      <c r="E51" s="158" t="s">
        <v>25</v>
      </c>
      <c r="F51" s="99" t="s">
        <v>147</v>
      </c>
      <c r="G51" s="98" t="s">
        <v>148</v>
      </c>
      <c r="H51" s="98" t="s">
        <v>148</v>
      </c>
      <c r="I51" s="98" t="s">
        <v>148</v>
      </c>
      <c r="J51" s="270" t="s">
        <v>148</v>
      </c>
      <c r="K51" s="270" t="s">
        <v>148</v>
      </c>
      <c r="L51" s="99" t="s">
        <v>147</v>
      </c>
      <c r="M51" s="54">
        <f>SUM(F51:L51)</f>
        <v>0</v>
      </c>
      <c r="N51" s="16">
        <f>M51-O51</f>
        <v>0</v>
      </c>
      <c r="O51" s="5">
        <f>SUMIF(F51:L51,"450")</f>
        <v>0</v>
      </c>
      <c r="P51" s="16">
        <f>N51+O51</f>
        <v>0</v>
      </c>
      <c r="Q51">
        <f>T51*450</f>
        <v>2250</v>
      </c>
      <c r="R51">
        <f>Q51-P51</f>
        <v>2250</v>
      </c>
      <c r="S51" s="39">
        <f>R51/Q51</f>
        <v>1</v>
      </c>
      <c r="T51">
        <f>U51-(W51+X51)</f>
        <v>5</v>
      </c>
      <c r="U51">
        <f>7-V51</f>
        <v>5</v>
      </c>
      <c r="V51" s="5">
        <f>COUNTIF(F51:L51,"RD")</f>
        <v>2</v>
      </c>
      <c r="W51" s="5">
        <f>COUNTIF(F51:L51,"VL")</f>
        <v>0</v>
      </c>
      <c r="X51" s="5">
        <f>COUNTIF(F51:L51,"LWOP")</f>
        <v>0</v>
      </c>
      <c r="Y51" s="5">
        <f>COUNTIF(F51:L51,"450")</f>
        <v>0</v>
      </c>
      <c r="Z51" s="5">
        <f>COUNTIF(F51:M51,"EVL")</f>
        <v>0</v>
      </c>
      <c r="AA51" s="5">
        <f>COUNTIF(F51:N51,"EVLS")</f>
        <v>0</v>
      </c>
    </row>
    <row r="52" spans="1:27" hidden="1">
      <c r="A52" s="164" t="s">
        <v>297</v>
      </c>
      <c r="B52" s="156" t="s">
        <v>265</v>
      </c>
      <c r="C52" s="157" t="s">
        <v>266</v>
      </c>
      <c r="D52" s="157" t="s">
        <v>22</v>
      </c>
      <c r="E52" s="158" t="s">
        <v>33</v>
      </c>
      <c r="F52" s="99" t="s">
        <v>147</v>
      </c>
      <c r="G52" s="270" t="s">
        <v>148</v>
      </c>
      <c r="H52" s="98" t="s">
        <v>148</v>
      </c>
      <c r="I52" s="98" t="s">
        <v>148</v>
      </c>
      <c r="J52" s="270" t="s">
        <v>148</v>
      </c>
      <c r="K52" s="270" t="s">
        <v>148</v>
      </c>
      <c r="L52" s="99" t="s">
        <v>147</v>
      </c>
      <c r="M52" s="54">
        <f>SUM(F52:L52)</f>
        <v>0</v>
      </c>
      <c r="N52" s="16">
        <f>M52-O52</f>
        <v>0</v>
      </c>
      <c r="O52" s="5">
        <f>SUMIF(F52:L52,"450")</f>
        <v>0</v>
      </c>
      <c r="P52" s="16">
        <f>N52+O52</f>
        <v>0</v>
      </c>
      <c r="Q52">
        <f>T52*450</f>
        <v>2250</v>
      </c>
      <c r="R52">
        <f>Q52-P52</f>
        <v>2250</v>
      </c>
      <c r="S52" s="39">
        <f>R52/Q52</f>
        <v>1</v>
      </c>
      <c r="T52">
        <f>U52-(W52+X52)</f>
        <v>5</v>
      </c>
      <c r="U52">
        <f>7-V52</f>
        <v>5</v>
      </c>
      <c r="V52" s="5">
        <f>COUNTIF(F52:L52,"RD")</f>
        <v>2</v>
      </c>
      <c r="W52" s="5">
        <f>COUNTIF(F52:L52,"VL")</f>
        <v>0</v>
      </c>
      <c r="X52" s="5">
        <f>COUNTIF(F52:L52,"LWOP")</f>
        <v>0</v>
      </c>
      <c r="Y52" s="5">
        <f>COUNTIF(F52:L52,"450")</f>
        <v>0</v>
      </c>
      <c r="Z52" s="5">
        <f>COUNTIF(F52:M52,"EVL")</f>
        <v>0</v>
      </c>
      <c r="AA52" s="5">
        <f>COUNTIF(F52:N52,"EVLS")</f>
        <v>0</v>
      </c>
    </row>
    <row r="53" spans="1:27" hidden="1">
      <c r="A53" s="164" t="s">
        <v>238</v>
      </c>
      <c r="B53" s="156" t="s">
        <v>265</v>
      </c>
      <c r="C53" s="157" t="s">
        <v>266</v>
      </c>
      <c r="D53" s="157" t="s">
        <v>22</v>
      </c>
      <c r="E53" s="158" t="s">
        <v>30</v>
      </c>
      <c r="F53" s="99" t="s">
        <v>147</v>
      </c>
      <c r="G53" s="272">
        <v>20</v>
      </c>
      <c r="H53" s="270" t="s">
        <v>148</v>
      </c>
      <c r="I53" s="98" t="s">
        <v>148</v>
      </c>
      <c r="J53" s="270" t="s">
        <v>148</v>
      </c>
      <c r="K53" s="270" t="s">
        <v>148</v>
      </c>
      <c r="L53" s="99" t="s">
        <v>147</v>
      </c>
      <c r="M53" s="54">
        <f>SUM(F53:L53)</f>
        <v>20</v>
      </c>
      <c r="N53" s="16">
        <f>M53-O53</f>
        <v>20</v>
      </c>
      <c r="O53" s="5">
        <f>SUMIF(F53:L53,"450")</f>
        <v>0</v>
      </c>
      <c r="P53" s="16">
        <f>N53+O53</f>
        <v>20</v>
      </c>
      <c r="Q53">
        <f>T53*450</f>
        <v>2250</v>
      </c>
      <c r="R53">
        <f>Q53-P53</f>
        <v>2230</v>
      </c>
      <c r="S53" s="39">
        <f>R53/Q53</f>
        <v>0.99111111111111116</v>
      </c>
      <c r="T53">
        <f>U53-(W53+X53)</f>
        <v>5</v>
      </c>
      <c r="U53">
        <f>7-V53</f>
        <v>5</v>
      </c>
      <c r="V53" s="5">
        <f>COUNTIF(F53:L53,"RD")</f>
        <v>2</v>
      </c>
      <c r="W53" s="5">
        <f>COUNTIF(F53:L53,"VL")</f>
        <v>0</v>
      </c>
      <c r="X53" s="5">
        <f>COUNTIF(F53:L53,"LWOP")</f>
        <v>0</v>
      </c>
      <c r="Y53" s="5">
        <f>COUNTIF(F53:L53,"450")</f>
        <v>0</v>
      </c>
      <c r="Z53" s="5">
        <f>COUNTIF(F53:M53,"EVL")</f>
        <v>0</v>
      </c>
      <c r="AA53" s="5">
        <f>COUNTIF(F53:N53,"EVLS")</f>
        <v>0</v>
      </c>
    </row>
    <row r="54" spans="1:27" hidden="1">
      <c r="A54" s="164" t="s">
        <v>298</v>
      </c>
      <c r="B54" s="156" t="s">
        <v>265</v>
      </c>
      <c r="C54" s="157" t="s">
        <v>266</v>
      </c>
      <c r="D54" s="157" t="s">
        <v>22</v>
      </c>
      <c r="E54" s="158" t="s">
        <v>30</v>
      </c>
      <c r="F54" s="99" t="s">
        <v>147</v>
      </c>
      <c r="G54" s="269">
        <v>450</v>
      </c>
      <c r="H54" s="269">
        <v>450</v>
      </c>
      <c r="I54" s="98" t="s">
        <v>148</v>
      </c>
      <c r="J54" s="270" t="s">
        <v>148</v>
      </c>
      <c r="K54" s="270" t="s">
        <v>148</v>
      </c>
      <c r="L54" s="99" t="s">
        <v>147</v>
      </c>
      <c r="M54" s="54">
        <f>SUM(F54:L54)</f>
        <v>900</v>
      </c>
      <c r="N54" s="16">
        <f>M54-O54</f>
        <v>0</v>
      </c>
      <c r="O54" s="5">
        <f>SUMIF(F54:L54,"450")</f>
        <v>900</v>
      </c>
      <c r="P54" s="16">
        <f>N54+O54</f>
        <v>900</v>
      </c>
      <c r="Q54">
        <f>T54*450</f>
        <v>2250</v>
      </c>
      <c r="R54">
        <f>Q54-P54</f>
        <v>1350</v>
      </c>
      <c r="S54" s="39">
        <f>R54/Q54</f>
        <v>0.6</v>
      </c>
      <c r="T54">
        <f>U54-(W54+X54)</f>
        <v>5</v>
      </c>
      <c r="U54">
        <f>7-V54</f>
        <v>5</v>
      </c>
      <c r="V54" s="5">
        <f>COUNTIF(F54:L54,"RD")</f>
        <v>2</v>
      </c>
      <c r="W54" s="5">
        <f>COUNTIF(F54:L54,"VL")</f>
        <v>0</v>
      </c>
      <c r="X54" s="5">
        <f>COUNTIF(F54:L54,"LWOP")</f>
        <v>0</v>
      </c>
      <c r="Y54" s="5">
        <f>COUNTIF(F54:L54,"450")</f>
        <v>2</v>
      </c>
      <c r="Z54" s="5">
        <f>COUNTIF(F54:M54,"EVL")</f>
        <v>0</v>
      </c>
      <c r="AA54" s="5">
        <f>COUNTIF(F54:N54,"EVLS")</f>
        <v>0</v>
      </c>
    </row>
    <row r="55" spans="1:27" hidden="1">
      <c r="A55" s="164" t="s">
        <v>129</v>
      </c>
      <c r="B55" s="156" t="s">
        <v>265</v>
      </c>
      <c r="C55" s="157" t="s">
        <v>266</v>
      </c>
      <c r="D55" s="157" t="s">
        <v>22</v>
      </c>
      <c r="E55" s="158" t="s">
        <v>56</v>
      </c>
      <c r="F55" s="99" t="s">
        <v>147</v>
      </c>
      <c r="G55" s="270" t="s">
        <v>148</v>
      </c>
      <c r="H55" s="272">
        <v>1</v>
      </c>
      <c r="I55" s="270" t="s">
        <v>148</v>
      </c>
      <c r="J55" s="272">
        <v>4</v>
      </c>
      <c r="K55" s="272">
        <v>11</v>
      </c>
      <c r="L55" s="99" t="s">
        <v>147</v>
      </c>
      <c r="M55" s="54">
        <f>SUM(F55:L55)</f>
        <v>16</v>
      </c>
      <c r="N55" s="16">
        <f>M55-O55</f>
        <v>16</v>
      </c>
      <c r="O55" s="5">
        <f>SUMIF(F55:L55,"450")</f>
        <v>0</v>
      </c>
      <c r="P55" s="16">
        <f>N55+O55</f>
        <v>16</v>
      </c>
      <c r="Q55">
        <f>T55*450</f>
        <v>2250</v>
      </c>
      <c r="R55">
        <f>Q55-P55</f>
        <v>2234</v>
      </c>
      <c r="S55" s="39">
        <f>R55/Q55</f>
        <v>0.99288888888888893</v>
      </c>
      <c r="T55">
        <f>U55-(W55+X55)</f>
        <v>5</v>
      </c>
      <c r="U55">
        <f>7-V55</f>
        <v>5</v>
      </c>
      <c r="V55" s="5">
        <f>COUNTIF(F55:L55,"RD")</f>
        <v>2</v>
      </c>
      <c r="W55" s="5">
        <f>COUNTIF(F55:L55,"VL")</f>
        <v>0</v>
      </c>
      <c r="X55" s="5">
        <f>COUNTIF(F55:L55,"LWOP")</f>
        <v>0</v>
      </c>
      <c r="Y55" s="5">
        <f>COUNTIF(F55:L55,"450")</f>
        <v>0</v>
      </c>
      <c r="Z55" s="5">
        <f>COUNTIF(F55:M55,"EVL")</f>
        <v>0</v>
      </c>
      <c r="AA55" s="5">
        <f>COUNTIF(F55:N55,"EVLS")</f>
        <v>0</v>
      </c>
    </row>
    <row r="56" spans="1:27" hidden="1">
      <c r="A56" s="164" t="s">
        <v>299</v>
      </c>
      <c r="B56" s="156" t="s">
        <v>265</v>
      </c>
      <c r="C56" s="157" t="s">
        <v>266</v>
      </c>
      <c r="D56" s="157" t="s">
        <v>22</v>
      </c>
      <c r="E56" s="158" t="s">
        <v>56</v>
      </c>
      <c r="F56" s="271" t="s">
        <v>147</v>
      </c>
      <c r="G56" s="272">
        <v>17</v>
      </c>
      <c r="H56" s="98" t="s">
        <v>148</v>
      </c>
      <c r="I56" s="272">
        <v>17</v>
      </c>
      <c r="J56" s="270" t="s">
        <v>148</v>
      </c>
      <c r="K56" s="270" t="s">
        <v>148</v>
      </c>
      <c r="L56" s="99" t="s">
        <v>147</v>
      </c>
      <c r="M56" s="54">
        <f>SUM(F56:L56)</f>
        <v>34</v>
      </c>
      <c r="N56" s="16">
        <f>M56-O56</f>
        <v>34</v>
      </c>
      <c r="O56" s="5">
        <f>SUMIF(F56:L56,"450")</f>
        <v>0</v>
      </c>
      <c r="P56" s="16">
        <f>N56+O56</f>
        <v>34</v>
      </c>
      <c r="Q56">
        <f>T56*450</f>
        <v>2250</v>
      </c>
      <c r="R56">
        <f>Q56-P56</f>
        <v>2216</v>
      </c>
      <c r="S56" s="39">
        <f>R56/Q56</f>
        <v>0.98488888888888892</v>
      </c>
      <c r="T56">
        <f>U56-(W56+X56)</f>
        <v>5</v>
      </c>
      <c r="U56">
        <f>7-V56</f>
        <v>5</v>
      </c>
      <c r="V56" s="5">
        <f>COUNTIF(F56:L56,"RD")</f>
        <v>2</v>
      </c>
      <c r="W56" s="5">
        <f>COUNTIF(F56:L56,"VL")</f>
        <v>0</v>
      </c>
      <c r="X56" s="5">
        <f>COUNTIF(F56:L56,"LWOP")</f>
        <v>0</v>
      </c>
      <c r="Y56" s="5">
        <f>COUNTIF(F56:L56,"450")</f>
        <v>0</v>
      </c>
      <c r="Z56" s="5">
        <f>COUNTIF(F56:M56,"EVL")</f>
        <v>0</v>
      </c>
      <c r="AA56" s="5">
        <f>COUNTIF(F56:N56,"EVLS")</f>
        <v>0</v>
      </c>
    </row>
    <row r="57" spans="1:27" hidden="1">
      <c r="A57" s="164" t="s">
        <v>39</v>
      </c>
      <c r="B57" s="156" t="s">
        <v>300</v>
      </c>
      <c r="C57" s="157" t="s">
        <v>301</v>
      </c>
      <c r="D57" s="157" t="s">
        <v>37</v>
      </c>
      <c r="E57" s="158" t="s">
        <v>40</v>
      </c>
      <c r="F57" s="98" t="s">
        <v>148</v>
      </c>
      <c r="G57" s="270" t="s">
        <v>148</v>
      </c>
      <c r="H57" s="270" t="s">
        <v>148</v>
      </c>
      <c r="I57" s="102" t="s">
        <v>148</v>
      </c>
      <c r="J57" s="102" t="s">
        <v>302</v>
      </c>
      <c r="K57" s="271" t="s">
        <v>147</v>
      </c>
      <c r="L57" s="99" t="s">
        <v>147</v>
      </c>
      <c r="M57" s="54">
        <f>SUM(F57:L57)</f>
        <v>0</v>
      </c>
      <c r="N57" s="16">
        <f>M57-O57</f>
        <v>0</v>
      </c>
      <c r="O57" s="5">
        <f>SUMIF(F57:L57,"450")</f>
        <v>0</v>
      </c>
      <c r="P57" s="16">
        <f>N57+O57</f>
        <v>0</v>
      </c>
      <c r="Q57">
        <f>T57*450</f>
        <v>2250</v>
      </c>
      <c r="R57">
        <f>Q57-P57</f>
        <v>2250</v>
      </c>
      <c r="S57" s="39">
        <f>R57/Q57</f>
        <v>1</v>
      </c>
      <c r="T57">
        <f>U57-(W57+X57)</f>
        <v>5</v>
      </c>
      <c r="U57">
        <f>7-V57</f>
        <v>5</v>
      </c>
      <c r="V57" s="5">
        <f>COUNTIF(F57:L57,"RD")</f>
        <v>2</v>
      </c>
      <c r="W57" s="5">
        <f>COUNTIF(F57:L57,"VL")</f>
        <v>0</v>
      </c>
      <c r="X57" s="5">
        <f>COUNTIF(F57:L57,"LWOP")</f>
        <v>0</v>
      </c>
      <c r="Y57" s="5">
        <f>COUNTIF(F57:L57,"450")</f>
        <v>0</v>
      </c>
      <c r="Z57" s="5">
        <f>COUNTIF(F57:M57,"EVL")</f>
        <v>0</v>
      </c>
      <c r="AA57" s="5">
        <f>COUNTIF(F57:N57,"EVLS")</f>
        <v>0</v>
      </c>
    </row>
    <row r="58" spans="1:27" hidden="1">
      <c r="A58" s="164" t="s">
        <v>215</v>
      </c>
      <c r="B58" s="156" t="s">
        <v>303</v>
      </c>
      <c r="C58" s="157" t="s">
        <v>304</v>
      </c>
      <c r="D58" s="157" t="s">
        <v>37</v>
      </c>
      <c r="E58" s="158" t="s">
        <v>40</v>
      </c>
      <c r="F58" s="98" t="s">
        <v>148</v>
      </c>
      <c r="G58" s="271" t="s">
        <v>147</v>
      </c>
      <c r="H58" s="271" t="s">
        <v>147</v>
      </c>
      <c r="I58" s="269" t="s">
        <v>174</v>
      </c>
      <c r="J58" s="269" t="s">
        <v>174</v>
      </c>
      <c r="K58" s="270" t="s">
        <v>148</v>
      </c>
      <c r="L58" s="270" t="s">
        <v>148</v>
      </c>
      <c r="M58" s="54">
        <f>SUM(F58:L58)</f>
        <v>0</v>
      </c>
      <c r="N58" s="16">
        <f>M58-O58</f>
        <v>0</v>
      </c>
      <c r="O58" s="5">
        <f>SUMIF(F58:L58,"450")</f>
        <v>0</v>
      </c>
      <c r="P58" s="16">
        <f>N58+O58</f>
        <v>0</v>
      </c>
      <c r="Q58">
        <f>T58*450</f>
        <v>2250</v>
      </c>
      <c r="R58">
        <f>Q58-P58</f>
        <v>2250</v>
      </c>
      <c r="S58" s="39">
        <f>R58/Q58</f>
        <v>1</v>
      </c>
      <c r="T58">
        <f>U58-(W58+X58)</f>
        <v>5</v>
      </c>
      <c r="U58">
        <f>7-V58</f>
        <v>5</v>
      </c>
      <c r="V58" s="5">
        <f>COUNTIF(F58:L58,"RD")</f>
        <v>2</v>
      </c>
      <c r="W58" s="5">
        <f>COUNTIF(F58:L58,"VL")</f>
        <v>0</v>
      </c>
      <c r="X58" s="5">
        <f>COUNTIF(F58:L58,"LWOP")</f>
        <v>0</v>
      </c>
      <c r="Y58" s="5">
        <f>COUNTIF(F58:L58,"450")</f>
        <v>0</v>
      </c>
      <c r="Z58" s="5">
        <f>COUNTIF(F58:M58,"EVL")</f>
        <v>0</v>
      </c>
      <c r="AA58" s="5">
        <f>COUNTIF(F58:N58,"EVLS")</f>
        <v>0</v>
      </c>
    </row>
    <row r="59" spans="1:27" hidden="1">
      <c r="A59" s="164" t="s">
        <v>44</v>
      </c>
      <c r="B59" s="156" t="s">
        <v>305</v>
      </c>
      <c r="C59" s="157" t="s">
        <v>301</v>
      </c>
      <c r="D59" s="157" t="s">
        <v>37</v>
      </c>
      <c r="E59" s="158" t="s">
        <v>40</v>
      </c>
      <c r="F59" s="271" t="s">
        <v>147</v>
      </c>
      <c r="G59" s="98" t="s">
        <v>148</v>
      </c>
      <c r="H59" s="98">
        <v>10</v>
      </c>
      <c r="I59" s="98" t="s">
        <v>148</v>
      </c>
      <c r="J59" s="98" t="s">
        <v>148</v>
      </c>
      <c r="K59" s="98" t="s">
        <v>148</v>
      </c>
      <c r="L59" s="99" t="s">
        <v>147</v>
      </c>
      <c r="M59" s="54">
        <f>SUM(F59:L59)</f>
        <v>10</v>
      </c>
      <c r="N59" s="16">
        <f>M59-O59</f>
        <v>10</v>
      </c>
      <c r="O59" s="5">
        <f>SUMIF(F59:L59,"450")</f>
        <v>0</v>
      </c>
      <c r="P59" s="16">
        <f>N59+O59</f>
        <v>10</v>
      </c>
      <c r="Q59">
        <f>T59*450</f>
        <v>2250</v>
      </c>
      <c r="R59">
        <f>Q59-P59</f>
        <v>2240</v>
      </c>
      <c r="S59" s="39">
        <f>R59/Q59</f>
        <v>0.99555555555555553</v>
      </c>
      <c r="T59">
        <f>U59-(W59+X59)</f>
        <v>5</v>
      </c>
      <c r="U59">
        <f>7-V59</f>
        <v>5</v>
      </c>
      <c r="V59" s="5">
        <f>COUNTIF(F59:L59,"RD")</f>
        <v>2</v>
      </c>
      <c r="W59" s="5">
        <f>COUNTIF(F59:L59,"VL")</f>
        <v>0</v>
      </c>
      <c r="X59" s="5">
        <f>COUNTIF(F59:L59,"LWOP")</f>
        <v>0</v>
      </c>
      <c r="Y59" s="5">
        <f>COUNTIF(F59:L59,"450")</f>
        <v>0</v>
      </c>
      <c r="Z59" s="5">
        <f>COUNTIF(F59:M59,"EVL")</f>
        <v>0</v>
      </c>
      <c r="AA59" s="5">
        <f>COUNTIF(F59:N59,"EVLS")</f>
        <v>0</v>
      </c>
    </row>
    <row r="60" spans="1:27" hidden="1">
      <c r="A60" s="164" t="s">
        <v>52</v>
      </c>
      <c r="B60" s="156" t="s">
        <v>305</v>
      </c>
      <c r="C60" s="157" t="s">
        <v>266</v>
      </c>
      <c r="D60" s="157" t="s">
        <v>37</v>
      </c>
      <c r="E60" s="158" t="s">
        <v>40</v>
      </c>
      <c r="F60" s="99" t="s">
        <v>147</v>
      </c>
      <c r="G60" s="270" t="s">
        <v>148</v>
      </c>
      <c r="H60" s="98" t="s">
        <v>148</v>
      </c>
      <c r="I60" s="270" t="s">
        <v>148</v>
      </c>
      <c r="J60" s="270" t="s">
        <v>148</v>
      </c>
      <c r="K60" s="270" t="s">
        <v>148</v>
      </c>
      <c r="L60" s="99" t="s">
        <v>147</v>
      </c>
      <c r="M60" s="54">
        <f>SUM(F60:L60)</f>
        <v>0</v>
      </c>
      <c r="N60" s="16">
        <f>M60-O60</f>
        <v>0</v>
      </c>
      <c r="O60" s="5">
        <f>SUMIF(F60:L60,"450")</f>
        <v>0</v>
      </c>
      <c r="P60" s="16">
        <f>N60+O60</f>
        <v>0</v>
      </c>
      <c r="Q60">
        <f>T60*450</f>
        <v>2250</v>
      </c>
      <c r="R60">
        <f>Q60-P60</f>
        <v>2250</v>
      </c>
      <c r="S60" s="39">
        <f>R60/Q60</f>
        <v>1</v>
      </c>
      <c r="T60">
        <f>U60-(W60+X60)</f>
        <v>5</v>
      </c>
      <c r="U60">
        <f>7-V60</f>
        <v>5</v>
      </c>
      <c r="V60" s="5">
        <f>COUNTIF(F60:L60,"RD")</f>
        <v>2</v>
      </c>
      <c r="W60" s="5">
        <f>COUNTIF(F60:L60,"VL")</f>
        <v>0</v>
      </c>
      <c r="X60" s="5">
        <f>COUNTIF(F60:L60,"LWOP")</f>
        <v>0</v>
      </c>
      <c r="Y60" s="5">
        <f>COUNTIF(F60:L60,"450")</f>
        <v>0</v>
      </c>
      <c r="Z60" s="5">
        <f>COUNTIF(F60:M60,"EVL")</f>
        <v>0</v>
      </c>
      <c r="AA60" s="5">
        <f>COUNTIF(F60:N60,"EVLS")</f>
        <v>0</v>
      </c>
    </row>
    <row r="61" spans="1:27" hidden="1">
      <c r="A61" s="164" t="s">
        <v>74</v>
      </c>
      <c r="B61" s="156" t="s">
        <v>305</v>
      </c>
      <c r="C61" s="157" t="s">
        <v>266</v>
      </c>
      <c r="D61" s="157" t="s">
        <v>37</v>
      </c>
      <c r="E61" s="158" t="s">
        <v>40</v>
      </c>
      <c r="F61" s="271" t="s">
        <v>147</v>
      </c>
      <c r="G61" s="269">
        <v>450</v>
      </c>
      <c r="H61" s="270" t="s">
        <v>148</v>
      </c>
      <c r="I61" s="272">
        <v>1</v>
      </c>
      <c r="J61" s="270" t="s">
        <v>148</v>
      </c>
      <c r="K61" s="272">
        <v>3</v>
      </c>
      <c r="L61" s="271" t="s">
        <v>147</v>
      </c>
      <c r="M61" s="54">
        <f>SUM(F61:L61)</f>
        <v>454</v>
      </c>
      <c r="N61" s="16">
        <f>M61-O61</f>
        <v>4</v>
      </c>
      <c r="O61" s="5">
        <f>SUMIF(F61:L61,"450")</f>
        <v>450</v>
      </c>
      <c r="P61" s="16">
        <f>N61+O61</f>
        <v>454</v>
      </c>
      <c r="Q61">
        <f>T61*450</f>
        <v>2250</v>
      </c>
      <c r="R61">
        <f>Q61-P61</f>
        <v>1796</v>
      </c>
      <c r="S61" s="39">
        <f>R61/Q61</f>
        <v>0.79822222222222228</v>
      </c>
      <c r="T61">
        <f>U61-(W61+X61)</f>
        <v>5</v>
      </c>
      <c r="U61">
        <f>7-V61</f>
        <v>5</v>
      </c>
      <c r="V61" s="5">
        <f>COUNTIF(F61:L61,"RD")</f>
        <v>2</v>
      </c>
      <c r="W61" s="5">
        <f>COUNTIF(F61:L61,"VL")</f>
        <v>0</v>
      </c>
      <c r="X61" s="5">
        <f>COUNTIF(F61:L61,"LWOP")</f>
        <v>0</v>
      </c>
      <c r="Y61" s="5">
        <f>COUNTIF(F61:L61,"450")</f>
        <v>1</v>
      </c>
      <c r="Z61" s="5">
        <f>COUNTIF(F61:M61,"EVL")</f>
        <v>0</v>
      </c>
      <c r="AA61" s="5">
        <f>COUNTIF(F61:N61,"EVLS")</f>
        <v>0</v>
      </c>
    </row>
    <row r="62" spans="1:27" hidden="1">
      <c r="A62" s="164" t="s">
        <v>224</v>
      </c>
      <c r="B62" s="156" t="s">
        <v>305</v>
      </c>
      <c r="C62" s="157" t="s">
        <v>307</v>
      </c>
      <c r="D62" s="157" t="s">
        <v>37</v>
      </c>
      <c r="E62" s="158" t="s">
        <v>40</v>
      </c>
      <c r="F62" s="98" t="s">
        <v>148</v>
      </c>
      <c r="G62" s="98" t="s">
        <v>148</v>
      </c>
      <c r="H62" s="271" t="s">
        <v>147</v>
      </c>
      <c r="I62" s="271" t="s">
        <v>147</v>
      </c>
      <c r="J62" s="270" t="s">
        <v>148</v>
      </c>
      <c r="K62" s="270" t="s">
        <v>148</v>
      </c>
      <c r="L62" s="270" t="s">
        <v>148</v>
      </c>
      <c r="M62" s="54">
        <f>SUM(F62:L62)</f>
        <v>0</v>
      </c>
      <c r="N62" s="16">
        <f>M62-O62</f>
        <v>0</v>
      </c>
      <c r="O62" s="5">
        <f>SUMIF(F62:L62,"450")</f>
        <v>0</v>
      </c>
      <c r="P62" s="16">
        <f>N62+O62</f>
        <v>0</v>
      </c>
      <c r="Q62">
        <f>T62*450</f>
        <v>2250</v>
      </c>
      <c r="R62">
        <f>Q62-P62</f>
        <v>2250</v>
      </c>
      <c r="S62" s="39">
        <f>R62/Q62</f>
        <v>1</v>
      </c>
      <c r="T62">
        <f>U62-(W62+X62)</f>
        <v>5</v>
      </c>
      <c r="U62">
        <f>7-V62</f>
        <v>5</v>
      </c>
      <c r="V62" s="5">
        <f>COUNTIF(F62:L62,"RD")</f>
        <v>2</v>
      </c>
      <c r="W62" s="5">
        <f>COUNTIF(F62:L62,"VL")</f>
        <v>0</v>
      </c>
      <c r="X62" s="5">
        <f>COUNTIF(F62:L62,"LWOP")</f>
        <v>0</v>
      </c>
      <c r="Y62" s="5">
        <f>COUNTIF(F62:L62,"450")</f>
        <v>0</v>
      </c>
      <c r="Z62" s="5">
        <f>COUNTIF(F62:M62,"EVL")</f>
        <v>0</v>
      </c>
      <c r="AA62" s="5">
        <f>COUNTIF(F62:N62,"EVLS")</f>
        <v>0</v>
      </c>
    </row>
    <row r="63" spans="1:27" hidden="1">
      <c r="A63" s="164" t="s">
        <v>76</v>
      </c>
      <c r="B63" s="156" t="s">
        <v>303</v>
      </c>
      <c r="C63" s="157" t="s">
        <v>301</v>
      </c>
      <c r="D63" s="157" t="s">
        <v>37</v>
      </c>
      <c r="E63" s="158" t="s">
        <v>40</v>
      </c>
      <c r="F63" s="270" t="s">
        <v>148</v>
      </c>
      <c r="G63" s="270" t="s">
        <v>148</v>
      </c>
      <c r="H63" s="98" t="s">
        <v>148</v>
      </c>
      <c r="I63" s="98" t="s">
        <v>148</v>
      </c>
      <c r="J63" s="270" t="s">
        <v>148</v>
      </c>
      <c r="K63" s="271" t="s">
        <v>147</v>
      </c>
      <c r="L63" s="271" t="s">
        <v>147</v>
      </c>
      <c r="M63" s="54">
        <f>SUM(F63:L63)</f>
        <v>0</v>
      </c>
      <c r="N63" s="16">
        <f>M63-O63</f>
        <v>0</v>
      </c>
      <c r="O63" s="5">
        <f>SUMIF(F63:L63,"450")</f>
        <v>0</v>
      </c>
      <c r="P63" s="16">
        <f>N63+O63</f>
        <v>0</v>
      </c>
      <c r="Q63">
        <f>T63*450</f>
        <v>2250</v>
      </c>
      <c r="R63">
        <f>Q63-P63</f>
        <v>2250</v>
      </c>
      <c r="S63" s="39">
        <f>R63/Q63</f>
        <v>1</v>
      </c>
      <c r="T63">
        <f>U63-(W63+X63)</f>
        <v>5</v>
      </c>
      <c r="U63">
        <f>7-V63</f>
        <v>5</v>
      </c>
      <c r="V63" s="5">
        <f>COUNTIF(F63:L63,"RD")</f>
        <v>2</v>
      </c>
      <c r="W63" s="5">
        <f>COUNTIF(F63:L63,"VL")</f>
        <v>0</v>
      </c>
      <c r="X63" s="5">
        <f>COUNTIF(F63:L63,"LWOP")</f>
        <v>0</v>
      </c>
      <c r="Y63" s="5">
        <f>COUNTIF(F63:L63,"450")</f>
        <v>0</v>
      </c>
      <c r="Z63" s="5">
        <f>COUNTIF(F63:M63,"EVL")</f>
        <v>0</v>
      </c>
      <c r="AA63" s="5">
        <f>COUNTIF(F63:N63,"EVLS")</f>
        <v>0</v>
      </c>
    </row>
    <row r="64" spans="1:27" hidden="1">
      <c r="A64" s="164" t="s">
        <v>90</v>
      </c>
      <c r="B64" s="156" t="s">
        <v>305</v>
      </c>
      <c r="C64" s="157" t="s">
        <v>308</v>
      </c>
      <c r="D64" s="157" t="s">
        <v>37</v>
      </c>
      <c r="E64" s="158" t="s">
        <v>40</v>
      </c>
      <c r="F64" s="99" t="s">
        <v>147</v>
      </c>
      <c r="G64" s="99" t="s">
        <v>147</v>
      </c>
      <c r="H64" s="270" t="s">
        <v>269</v>
      </c>
      <c r="I64" s="270" t="s">
        <v>269</v>
      </c>
      <c r="J64" s="269" t="s">
        <v>148</v>
      </c>
      <c r="K64" s="269" t="s">
        <v>148</v>
      </c>
      <c r="L64" s="269" t="s">
        <v>148</v>
      </c>
      <c r="M64" s="54">
        <f>SUM(F64:L64)</f>
        <v>0</v>
      </c>
      <c r="N64" s="16">
        <f>M64-O64</f>
        <v>0</v>
      </c>
      <c r="O64" s="5">
        <f>SUMIF(F64:L64,"450")</f>
        <v>0</v>
      </c>
      <c r="P64" s="16">
        <f>N64+O64</f>
        <v>0</v>
      </c>
      <c r="Q64">
        <f>T64*450</f>
        <v>2250</v>
      </c>
      <c r="R64">
        <f>Q64-P64</f>
        <v>2250</v>
      </c>
      <c r="S64" s="39">
        <f>R64/Q64</f>
        <v>1</v>
      </c>
      <c r="T64">
        <f>U64-(W64+X64)</f>
        <v>5</v>
      </c>
      <c r="U64">
        <f>7-V64</f>
        <v>5</v>
      </c>
      <c r="V64" s="5">
        <f>COUNTIF(F64:L64,"RD")</f>
        <v>2</v>
      </c>
      <c r="W64" s="5">
        <f>COUNTIF(F64:L64,"VL")</f>
        <v>0</v>
      </c>
      <c r="X64" s="5">
        <f>COUNTIF(F64:L64,"LWOP")</f>
        <v>0</v>
      </c>
      <c r="Y64" s="5">
        <f>COUNTIF(F64:L64,"450")</f>
        <v>0</v>
      </c>
      <c r="Z64" s="5">
        <f>COUNTIF(F64:M64,"EVL")</f>
        <v>2</v>
      </c>
      <c r="AA64" s="5">
        <f>COUNTIF(F64:N64,"EVLS")</f>
        <v>0</v>
      </c>
    </row>
    <row r="65" spans="1:27" hidden="1">
      <c r="A65" s="164" t="s">
        <v>96</v>
      </c>
      <c r="B65" s="156" t="s">
        <v>303</v>
      </c>
      <c r="C65" s="157" t="s">
        <v>308</v>
      </c>
      <c r="D65" s="157" t="s">
        <v>37</v>
      </c>
      <c r="E65" s="158" t="s">
        <v>40</v>
      </c>
      <c r="F65" s="99" t="s">
        <v>147</v>
      </c>
      <c r="G65" s="271" t="s">
        <v>147</v>
      </c>
      <c r="H65" s="269" t="s">
        <v>14</v>
      </c>
      <c r="I65" s="102" t="s">
        <v>14</v>
      </c>
      <c r="J65" s="270" t="s">
        <v>148</v>
      </c>
      <c r="K65" s="270" t="s">
        <v>148</v>
      </c>
      <c r="L65" s="270" t="s">
        <v>148</v>
      </c>
      <c r="M65" s="54">
        <f>SUM(F65:L65)</f>
        <v>0</v>
      </c>
      <c r="N65" s="16">
        <f>M65-O65</f>
        <v>0</v>
      </c>
      <c r="O65" s="5">
        <f>SUMIF(F65:L65,"450")</f>
        <v>0</v>
      </c>
      <c r="P65" s="16">
        <f>N65+O65</f>
        <v>0</v>
      </c>
      <c r="Q65">
        <f>T65*450</f>
        <v>1350</v>
      </c>
      <c r="R65">
        <f>Q65-P65</f>
        <v>1350</v>
      </c>
      <c r="S65" s="39">
        <f>R65/Q65</f>
        <v>1</v>
      </c>
      <c r="T65">
        <f>U65-(W65+X65)</f>
        <v>3</v>
      </c>
      <c r="U65">
        <f>7-V65</f>
        <v>5</v>
      </c>
      <c r="V65" s="5">
        <f>COUNTIF(F65:L65,"RD")</f>
        <v>2</v>
      </c>
      <c r="W65" s="5">
        <f>COUNTIF(F65:L65,"VL")</f>
        <v>0</v>
      </c>
      <c r="X65" s="5">
        <f>COUNTIF(F65:L65,"LWOP")</f>
        <v>2</v>
      </c>
      <c r="Y65" s="5">
        <f>COUNTIF(F65:L65,"450")</f>
        <v>0</v>
      </c>
      <c r="Z65" s="5">
        <f>COUNTIF(F65:M65,"EVL")</f>
        <v>0</v>
      </c>
      <c r="AA65" s="5">
        <f>COUNTIF(F65:N65,"EVLS")</f>
        <v>0</v>
      </c>
    </row>
    <row r="66" spans="1:27" hidden="1">
      <c r="A66" s="335" t="s">
        <v>38</v>
      </c>
      <c r="B66" s="156" t="s">
        <v>309</v>
      </c>
      <c r="C66" s="157" t="s">
        <v>266</v>
      </c>
      <c r="D66" s="157" t="s">
        <v>37</v>
      </c>
      <c r="E66" s="158" t="s">
        <v>40</v>
      </c>
      <c r="F66" s="271" t="s">
        <v>147</v>
      </c>
      <c r="G66" s="98" t="s">
        <v>148</v>
      </c>
      <c r="H66" s="98" t="s">
        <v>148</v>
      </c>
      <c r="I66" s="102" t="s">
        <v>148</v>
      </c>
      <c r="J66" s="102" t="s">
        <v>148</v>
      </c>
      <c r="K66" s="269" t="s">
        <v>148</v>
      </c>
      <c r="L66" s="271" t="s">
        <v>147</v>
      </c>
      <c r="M66" s="54">
        <f>SUM(F66:L66)</f>
        <v>0</v>
      </c>
      <c r="N66" s="16">
        <f>M66-O66</f>
        <v>0</v>
      </c>
      <c r="O66" s="5">
        <f>SUMIF(F66:L66,"450")</f>
        <v>0</v>
      </c>
      <c r="P66" s="16">
        <f>N66+O66</f>
        <v>0</v>
      </c>
      <c r="Q66">
        <f>T66*450</f>
        <v>2250</v>
      </c>
      <c r="R66">
        <f>Q66-P66</f>
        <v>2250</v>
      </c>
      <c r="S66" s="39">
        <f>R66/Q66</f>
        <v>1</v>
      </c>
      <c r="T66">
        <f>U66-(W66+X66)</f>
        <v>5</v>
      </c>
      <c r="U66">
        <f>7-V66</f>
        <v>5</v>
      </c>
      <c r="V66" s="5">
        <f>COUNTIF(F66:L66,"RD")</f>
        <v>2</v>
      </c>
      <c r="W66" s="5">
        <f>COUNTIF(F66:L66,"VL")</f>
        <v>0</v>
      </c>
      <c r="X66" s="5">
        <f>COUNTIF(F66:L66,"LWOP")</f>
        <v>0</v>
      </c>
      <c r="Y66" s="5">
        <f>COUNTIF(F66:L66,"450")</f>
        <v>0</v>
      </c>
      <c r="Z66" s="5">
        <f>COUNTIF(F66:M66,"EVL")</f>
        <v>0</v>
      </c>
      <c r="AA66" s="5">
        <f>COUNTIF(F66:N66,"EVLS")</f>
        <v>0</v>
      </c>
    </row>
    <row r="67" spans="1:27" hidden="1">
      <c r="A67" s="336" t="s">
        <v>236</v>
      </c>
      <c r="B67" s="156" t="s">
        <v>300</v>
      </c>
      <c r="C67" s="157" t="s">
        <v>301</v>
      </c>
      <c r="D67" s="157" t="s">
        <v>37</v>
      </c>
      <c r="E67" s="158" t="s">
        <v>40</v>
      </c>
      <c r="F67" s="270" t="s">
        <v>148</v>
      </c>
      <c r="G67" s="98" t="s">
        <v>148</v>
      </c>
      <c r="H67" s="98" t="s">
        <v>148</v>
      </c>
      <c r="I67" s="102" t="s">
        <v>148</v>
      </c>
      <c r="J67" s="102" t="s">
        <v>148</v>
      </c>
      <c r="K67" s="271" t="s">
        <v>147</v>
      </c>
      <c r="L67" s="271" t="s">
        <v>147</v>
      </c>
      <c r="M67" s="54">
        <f>SUM(F67:L67)</f>
        <v>0</v>
      </c>
      <c r="N67" s="16">
        <f>M67-O67</f>
        <v>0</v>
      </c>
      <c r="O67" s="5">
        <f>SUMIF(F67:L67,"450")</f>
        <v>0</v>
      </c>
      <c r="P67" s="16">
        <f>N67+O67</f>
        <v>0</v>
      </c>
      <c r="Q67">
        <f>T67*450</f>
        <v>2250</v>
      </c>
      <c r="R67">
        <f>Q67-P67</f>
        <v>2250</v>
      </c>
      <c r="S67" s="39">
        <f>R67/Q67</f>
        <v>1</v>
      </c>
      <c r="T67">
        <f>U67-(W67+X67)</f>
        <v>5</v>
      </c>
      <c r="U67">
        <f>7-V67</f>
        <v>5</v>
      </c>
      <c r="V67" s="5">
        <f>COUNTIF(F67:L67,"RD")</f>
        <v>2</v>
      </c>
      <c r="W67" s="5">
        <f>COUNTIF(F67:L67,"VL")</f>
        <v>0</v>
      </c>
      <c r="X67" s="5">
        <f>COUNTIF(F67:L67,"LWOP")</f>
        <v>0</v>
      </c>
      <c r="Y67" s="5">
        <f>COUNTIF(F67:L67,"450")</f>
        <v>0</v>
      </c>
      <c r="Z67" s="5">
        <f>COUNTIF(F67:M67,"EVL")</f>
        <v>0</v>
      </c>
      <c r="AA67" s="5">
        <f>COUNTIF(F67:N67,"EVLS")</f>
        <v>0</v>
      </c>
    </row>
    <row r="68" spans="1:27" hidden="1">
      <c r="A68" s="162" t="s">
        <v>310</v>
      </c>
      <c r="B68" s="156" t="s">
        <v>303</v>
      </c>
      <c r="C68" s="157" t="s">
        <v>266</v>
      </c>
      <c r="D68" s="157" t="s">
        <v>37</v>
      </c>
      <c r="E68" s="158" t="s">
        <v>40</v>
      </c>
      <c r="F68" s="99" t="s">
        <v>147</v>
      </c>
      <c r="G68" s="270" t="s">
        <v>148</v>
      </c>
      <c r="H68" s="98" t="s">
        <v>148</v>
      </c>
      <c r="I68" s="102" t="s">
        <v>148</v>
      </c>
      <c r="J68" s="102" t="s">
        <v>148</v>
      </c>
      <c r="K68" s="102" t="s">
        <v>148</v>
      </c>
      <c r="L68" s="271" t="s">
        <v>147</v>
      </c>
      <c r="M68" s="54">
        <f>SUM(F68:L68)</f>
        <v>0</v>
      </c>
      <c r="N68" s="16">
        <f>M68-O68</f>
        <v>0</v>
      </c>
      <c r="O68" s="5">
        <f>SUMIF(F68:L68,"450")</f>
        <v>0</v>
      </c>
      <c r="P68" s="16">
        <f>N68+O68</f>
        <v>0</v>
      </c>
      <c r="Q68">
        <f>T68*450</f>
        <v>2250</v>
      </c>
      <c r="R68">
        <f>Q68-P68</f>
        <v>2250</v>
      </c>
      <c r="S68" s="39">
        <f>R68/Q68</f>
        <v>1</v>
      </c>
      <c r="T68">
        <f>U68-(W68+X68)</f>
        <v>5</v>
      </c>
      <c r="U68">
        <f>7-V68</f>
        <v>5</v>
      </c>
      <c r="V68" s="5">
        <f>COUNTIF(F68:L68,"RD")</f>
        <v>2</v>
      </c>
      <c r="W68" s="5">
        <f>COUNTIF(F68:L68,"VL")</f>
        <v>0</v>
      </c>
      <c r="X68" s="5">
        <f>COUNTIF(F68:L68,"LWOP")</f>
        <v>0</v>
      </c>
      <c r="Y68" s="5">
        <f>COUNTIF(F68:L68,"450")</f>
        <v>0</v>
      </c>
      <c r="Z68" s="5">
        <f>COUNTIF(F68:M68,"EVL")</f>
        <v>0</v>
      </c>
      <c r="AA68" s="5">
        <f>COUNTIF(F68:N68,"EVLS")</f>
        <v>0</v>
      </c>
    </row>
    <row r="69" spans="1:27" hidden="1">
      <c r="A69" s="162" t="s">
        <v>240</v>
      </c>
      <c r="B69" s="156" t="s">
        <v>300</v>
      </c>
      <c r="C69" s="157" t="s">
        <v>308</v>
      </c>
      <c r="D69" s="157" t="s">
        <v>37</v>
      </c>
      <c r="E69" s="158" t="s">
        <v>40</v>
      </c>
      <c r="F69" s="271" t="s">
        <v>147</v>
      </c>
      <c r="G69" s="271" t="s">
        <v>147</v>
      </c>
      <c r="H69" s="270" t="s">
        <v>148</v>
      </c>
      <c r="I69" s="269" t="s">
        <v>148</v>
      </c>
      <c r="J69" s="102" t="s">
        <v>148</v>
      </c>
      <c r="K69" s="269" t="s">
        <v>148</v>
      </c>
      <c r="L69" s="270" t="s">
        <v>148</v>
      </c>
      <c r="M69" s="54">
        <f>SUM(F69:L69)</f>
        <v>0</v>
      </c>
      <c r="N69" s="16">
        <f>M69-O69</f>
        <v>0</v>
      </c>
      <c r="O69" s="5">
        <f>SUMIF(F69:L69,"450")</f>
        <v>0</v>
      </c>
      <c r="P69" s="16">
        <f>N69+O69</f>
        <v>0</v>
      </c>
      <c r="Q69">
        <f>T69*450</f>
        <v>2250</v>
      </c>
      <c r="R69">
        <f>Q69-P69</f>
        <v>2250</v>
      </c>
      <c r="S69" s="39">
        <f>R69/Q69</f>
        <v>1</v>
      </c>
      <c r="T69">
        <f>U69-(W69+X69)</f>
        <v>5</v>
      </c>
      <c r="U69">
        <f>7-V69</f>
        <v>5</v>
      </c>
      <c r="V69" s="5">
        <f>COUNTIF(F69:L69,"RD")</f>
        <v>2</v>
      </c>
      <c r="W69" s="5">
        <f>COUNTIF(F69:L69,"VL")</f>
        <v>0</v>
      </c>
      <c r="X69" s="5">
        <f>COUNTIF(F69:L69,"LWOP")</f>
        <v>0</v>
      </c>
      <c r="Y69" s="5">
        <f>COUNTIF(F69:L69,"450")</f>
        <v>0</v>
      </c>
      <c r="Z69" s="5">
        <f>COUNTIF(F69:M69,"EVL")</f>
        <v>0</v>
      </c>
      <c r="AA69" s="5">
        <f>COUNTIF(F69:N69,"EVLS")</f>
        <v>0</v>
      </c>
    </row>
    <row r="70" spans="1:27" hidden="1">
      <c r="A70" s="338" t="s">
        <v>239</v>
      </c>
      <c r="B70" s="156" t="s">
        <v>300</v>
      </c>
      <c r="C70" s="157" t="s">
        <v>307</v>
      </c>
      <c r="D70" s="157" t="s">
        <v>37</v>
      </c>
      <c r="E70" s="158" t="s">
        <v>40</v>
      </c>
      <c r="F70" s="270" t="s">
        <v>148</v>
      </c>
      <c r="G70" s="270" t="s">
        <v>148</v>
      </c>
      <c r="H70" s="99" t="s">
        <v>147</v>
      </c>
      <c r="I70" s="99" t="s">
        <v>147</v>
      </c>
      <c r="J70" s="102" t="s">
        <v>148</v>
      </c>
      <c r="K70" s="272">
        <v>2</v>
      </c>
      <c r="L70" s="270" t="s">
        <v>148</v>
      </c>
      <c r="M70" s="54">
        <f>SUM(F70:L70)</f>
        <v>2</v>
      </c>
      <c r="N70" s="16">
        <f>M70-O70</f>
        <v>2</v>
      </c>
      <c r="O70" s="5">
        <f>SUMIF(F70:L70,"450")</f>
        <v>0</v>
      </c>
      <c r="P70" s="16">
        <f>N70+O70</f>
        <v>2</v>
      </c>
      <c r="Q70">
        <f>T70*450</f>
        <v>2250</v>
      </c>
      <c r="R70">
        <f>Q70-P70</f>
        <v>2248</v>
      </c>
      <c r="S70" s="39">
        <f>R70/Q70</f>
        <v>0.99911111111111106</v>
      </c>
      <c r="T70">
        <f>U70-(W70+X70)</f>
        <v>5</v>
      </c>
      <c r="U70">
        <f>7-V70</f>
        <v>5</v>
      </c>
      <c r="V70" s="5">
        <f>COUNTIF(F70:L70,"RD")</f>
        <v>2</v>
      </c>
      <c r="W70" s="5">
        <f>COUNTIF(F70:L70,"VL")</f>
        <v>0</v>
      </c>
      <c r="X70" s="5">
        <f>COUNTIF(F70:L70,"LWOP")</f>
        <v>0</v>
      </c>
      <c r="Y70" s="5">
        <f>COUNTIF(F70:L70,"450")</f>
        <v>0</v>
      </c>
      <c r="Z70" s="5">
        <f>COUNTIF(F70:M70,"EVL")</f>
        <v>0</v>
      </c>
      <c r="AA70" s="5">
        <f>COUNTIF(F70:N70,"EVLS")</f>
        <v>0</v>
      </c>
    </row>
    <row r="71" spans="1:27" hidden="1">
      <c r="A71" s="339" t="s">
        <v>311</v>
      </c>
      <c r="B71" s="156" t="s">
        <v>300</v>
      </c>
      <c r="C71" s="157" t="s">
        <v>307</v>
      </c>
      <c r="D71" s="157" t="s">
        <v>26</v>
      </c>
      <c r="E71" s="158" t="s">
        <v>25</v>
      </c>
      <c r="F71" s="99" t="s">
        <v>147</v>
      </c>
      <c r="G71" s="100">
        <v>2</v>
      </c>
      <c r="H71" s="271">
        <v>1</v>
      </c>
      <c r="I71" s="271">
        <v>16</v>
      </c>
      <c r="J71" s="269">
        <v>10</v>
      </c>
      <c r="K71" s="272">
        <v>44</v>
      </c>
      <c r="L71" s="271" t="s">
        <v>147</v>
      </c>
      <c r="M71" s="54">
        <f>SUM(F71:L71)</f>
        <v>73</v>
      </c>
      <c r="N71" s="16">
        <f>M71-O71</f>
        <v>73</v>
      </c>
      <c r="O71" s="5">
        <f>SUMIF(F71:L71,"450")</f>
        <v>0</v>
      </c>
      <c r="P71" s="16">
        <f>N71+O71</f>
        <v>73</v>
      </c>
      <c r="Q71">
        <f>T71*450</f>
        <v>2250</v>
      </c>
      <c r="R71">
        <f>Q71-P71</f>
        <v>2177</v>
      </c>
      <c r="S71" s="39">
        <f>R71/Q71</f>
        <v>0.9675555555555555</v>
      </c>
      <c r="T71">
        <f>U71-(W71+X71)</f>
        <v>5</v>
      </c>
      <c r="U71">
        <f>7-V71</f>
        <v>5</v>
      </c>
      <c r="V71" s="5">
        <f>COUNTIF(F71:L71,"RD")</f>
        <v>2</v>
      </c>
      <c r="W71" s="5">
        <f>COUNTIF(F71:L71,"VL")</f>
        <v>0</v>
      </c>
      <c r="X71" s="5">
        <f>COUNTIF(F71:L71,"LWOP")</f>
        <v>0</v>
      </c>
      <c r="Y71" s="5">
        <f>COUNTIF(F71:L71,"450")</f>
        <v>0</v>
      </c>
      <c r="Z71" s="5">
        <f>COUNTIF(F71:M71,"EVL")</f>
        <v>0</v>
      </c>
      <c r="AA71" s="5">
        <f>COUNTIF(F71:N71,"EVLS")</f>
        <v>0</v>
      </c>
    </row>
    <row r="72" spans="1:27" hidden="1">
      <c r="A72" s="164" t="s">
        <v>312</v>
      </c>
      <c r="B72" s="156" t="s">
        <v>265</v>
      </c>
      <c r="C72" s="157" t="s">
        <v>266</v>
      </c>
      <c r="D72" s="157" t="s">
        <v>26</v>
      </c>
      <c r="E72" s="158" t="s">
        <v>30</v>
      </c>
      <c r="F72" s="271" t="s">
        <v>147</v>
      </c>
      <c r="G72" s="272">
        <v>2</v>
      </c>
      <c r="H72" s="272">
        <v>1</v>
      </c>
      <c r="I72" s="272">
        <v>1</v>
      </c>
      <c r="J72" s="272">
        <v>10</v>
      </c>
      <c r="K72" s="272">
        <v>44</v>
      </c>
      <c r="L72" s="271" t="s">
        <v>147</v>
      </c>
      <c r="M72" s="54">
        <f>SUM(F72:L72)</f>
        <v>58</v>
      </c>
      <c r="N72" s="16">
        <f>M72-O72</f>
        <v>58</v>
      </c>
      <c r="O72" s="5">
        <f>SUMIF(F72:L72,"450")</f>
        <v>0</v>
      </c>
      <c r="P72" s="16">
        <f>N72+O72</f>
        <v>58</v>
      </c>
      <c r="Q72">
        <f>T72*450</f>
        <v>2250</v>
      </c>
      <c r="R72">
        <f>Q72-P72</f>
        <v>2192</v>
      </c>
      <c r="S72" s="39">
        <f>R72/Q72</f>
        <v>0.97422222222222221</v>
      </c>
      <c r="T72">
        <f>U72-(W72+X72)</f>
        <v>5</v>
      </c>
      <c r="U72">
        <f>7-V72</f>
        <v>5</v>
      </c>
      <c r="V72" s="5">
        <f>COUNTIF(F72:L72,"RD")</f>
        <v>2</v>
      </c>
      <c r="W72" s="5">
        <f>COUNTIF(F72:L72,"VL")</f>
        <v>0</v>
      </c>
      <c r="X72" s="5">
        <f>COUNTIF(F72:L72,"LWOP")</f>
        <v>0</v>
      </c>
      <c r="Y72" s="5">
        <f>COUNTIF(F72:L72,"450")</f>
        <v>0</v>
      </c>
      <c r="Z72" s="5">
        <f>COUNTIF(F72:M72,"EVL")</f>
        <v>0</v>
      </c>
      <c r="AA72" s="5">
        <f>COUNTIF(F72:N72,"EVLS")</f>
        <v>0</v>
      </c>
    </row>
    <row r="73" spans="1:27" hidden="1">
      <c r="A73" s="164" t="s">
        <v>35</v>
      </c>
      <c r="B73" s="156" t="s">
        <v>313</v>
      </c>
      <c r="C73" s="157" t="s">
        <v>266</v>
      </c>
      <c r="D73" s="157" t="s">
        <v>26</v>
      </c>
      <c r="E73" s="158" t="s">
        <v>40</v>
      </c>
      <c r="F73" s="270" t="s">
        <v>12</v>
      </c>
      <c r="G73" s="271">
        <v>450</v>
      </c>
      <c r="H73" s="271" t="s">
        <v>148</v>
      </c>
      <c r="I73" s="271" t="s">
        <v>147</v>
      </c>
      <c r="J73" s="271" t="s">
        <v>147</v>
      </c>
      <c r="K73" s="271" t="s">
        <v>148</v>
      </c>
      <c r="L73" s="271" t="s">
        <v>148</v>
      </c>
      <c r="M73" s="54">
        <f>SUM(F73:L73)</f>
        <v>450</v>
      </c>
      <c r="N73" s="16">
        <f>M73-O73</f>
        <v>0</v>
      </c>
      <c r="O73" s="5">
        <f>SUMIF(F73:L73,"450")</f>
        <v>450</v>
      </c>
      <c r="P73" s="16">
        <f>N73+O73</f>
        <v>450</v>
      </c>
      <c r="Q73">
        <f>T73*450</f>
        <v>1800</v>
      </c>
      <c r="R73">
        <f>Q73-P73</f>
        <v>1350</v>
      </c>
      <c r="S73" s="39">
        <f>R73/Q73</f>
        <v>0.75</v>
      </c>
      <c r="T73">
        <f>U73-(W73+X73)</f>
        <v>4</v>
      </c>
      <c r="U73">
        <f>7-V73</f>
        <v>5</v>
      </c>
      <c r="V73" s="5">
        <f>COUNTIF(F73:L73,"RD")</f>
        <v>2</v>
      </c>
      <c r="W73" s="5">
        <f>COUNTIF(F73:L73,"VL")</f>
        <v>1</v>
      </c>
      <c r="X73" s="5">
        <f>COUNTIF(F73:L73,"LWOP")</f>
        <v>0</v>
      </c>
      <c r="Y73" s="5">
        <f>COUNTIF(F73:L73,"450")</f>
        <v>1</v>
      </c>
      <c r="Z73" s="5">
        <f>COUNTIF(F73:M73,"EVL")</f>
        <v>0</v>
      </c>
      <c r="AA73" s="5">
        <f>COUNTIF(F73:N73,"EVLS")</f>
        <v>0</v>
      </c>
    </row>
    <row r="74" spans="1:27" hidden="1">
      <c r="A74" s="164" t="s">
        <v>315</v>
      </c>
      <c r="B74" s="156" t="s">
        <v>300</v>
      </c>
      <c r="C74" s="157" t="s">
        <v>316</v>
      </c>
      <c r="D74" s="157" t="s">
        <v>26</v>
      </c>
      <c r="E74" s="158" t="s">
        <v>30</v>
      </c>
      <c r="F74" s="308" t="s">
        <v>12</v>
      </c>
      <c r="G74" s="269">
        <v>450</v>
      </c>
      <c r="H74" s="269" t="s">
        <v>148</v>
      </c>
      <c r="I74" s="99" t="s">
        <v>147</v>
      </c>
      <c r="J74" s="271" t="s">
        <v>147</v>
      </c>
      <c r="K74" s="272">
        <v>117</v>
      </c>
      <c r="L74" s="102" t="s">
        <v>148</v>
      </c>
      <c r="M74" s="54">
        <f>SUM(F74:L74)</f>
        <v>567</v>
      </c>
      <c r="N74" s="16">
        <f>M74-O74</f>
        <v>117</v>
      </c>
      <c r="O74" s="5">
        <f>SUMIF(F74:L74,"450")</f>
        <v>450</v>
      </c>
      <c r="P74" s="16">
        <f>N74+O74</f>
        <v>567</v>
      </c>
      <c r="Q74">
        <f>T74*450</f>
        <v>1800</v>
      </c>
      <c r="R74">
        <f>Q74-P74</f>
        <v>1233</v>
      </c>
      <c r="S74" s="39">
        <f>R74/Q74</f>
        <v>0.68500000000000005</v>
      </c>
      <c r="T74">
        <f>U74-(W74+X74)</f>
        <v>4</v>
      </c>
      <c r="U74">
        <f>7-V74</f>
        <v>5</v>
      </c>
      <c r="V74" s="5">
        <f>COUNTIF(F74:L74,"RD")</f>
        <v>2</v>
      </c>
      <c r="W74" s="5">
        <f>COUNTIF(F74:L74,"VL")</f>
        <v>1</v>
      </c>
      <c r="X74" s="5">
        <f>COUNTIF(F74:L74,"LWOP")</f>
        <v>0</v>
      </c>
      <c r="Y74" s="5">
        <f>COUNTIF(F74:L74,"450")</f>
        <v>1</v>
      </c>
      <c r="Z74" s="5">
        <f>COUNTIF(F74:M74,"EVL")</f>
        <v>0</v>
      </c>
      <c r="AA74" s="5">
        <f>COUNTIF(F74:N74,"EVLS")</f>
        <v>0</v>
      </c>
    </row>
    <row r="75" spans="1:27" hidden="1">
      <c r="A75" s="164" t="s">
        <v>47</v>
      </c>
      <c r="B75" s="156" t="s">
        <v>265</v>
      </c>
      <c r="C75" s="157" t="s">
        <v>307</v>
      </c>
      <c r="D75" s="157" t="s">
        <v>26</v>
      </c>
      <c r="E75" s="158" t="s">
        <v>33</v>
      </c>
      <c r="F75" s="99" t="s">
        <v>147</v>
      </c>
      <c r="G75" s="270">
        <v>450</v>
      </c>
      <c r="H75" s="271" t="s">
        <v>148</v>
      </c>
      <c r="I75" s="271" t="s">
        <v>148</v>
      </c>
      <c r="J75" s="270">
        <v>8</v>
      </c>
      <c r="K75" s="269" t="s">
        <v>148</v>
      </c>
      <c r="L75" s="271" t="s">
        <v>147</v>
      </c>
      <c r="M75" s="54">
        <f>SUM(F75:L75)</f>
        <v>458</v>
      </c>
      <c r="N75" s="16">
        <f>M75-O75</f>
        <v>8</v>
      </c>
      <c r="O75" s="5">
        <f>SUMIF(F75:L75,"450")</f>
        <v>450</v>
      </c>
      <c r="P75" s="16">
        <f>N75+O75</f>
        <v>458</v>
      </c>
      <c r="Q75">
        <f>T75*450</f>
        <v>2250</v>
      </c>
      <c r="R75">
        <f>Q75-P75</f>
        <v>1792</v>
      </c>
      <c r="S75" s="39">
        <f>R75/Q75</f>
        <v>0.7964444444444444</v>
      </c>
      <c r="T75">
        <f>U75-(W75+X75)</f>
        <v>5</v>
      </c>
      <c r="U75">
        <f>7-V75</f>
        <v>5</v>
      </c>
      <c r="V75" s="5">
        <f>COUNTIF(F75:L75,"RD")</f>
        <v>2</v>
      </c>
      <c r="W75" s="5">
        <f>COUNTIF(F75:L75,"VL")</f>
        <v>0</v>
      </c>
      <c r="X75" s="5">
        <f>COUNTIF(F75:L75,"LWOP")</f>
        <v>0</v>
      </c>
      <c r="Y75" s="5">
        <f>COUNTIF(F75:L75,"450")</f>
        <v>1</v>
      </c>
      <c r="Z75" s="5">
        <f>COUNTIF(F75:M75,"EVL")</f>
        <v>0</v>
      </c>
      <c r="AA75" s="5">
        <f>COUNTIF(F75:N75,"EVLS")</f>
        <v>0</v>
      </c>
    </row>
    <row r="76" spans="1:27" hidden="1">
      <c r="A76" s="164" t="s">
        <v>317</v>
      </c>
      <c r="B76" s="156" t="s">
        <v>265</v>
      </c>
      <c r="C76" s="157" t="s">
        <v>307</v>
      </c>
      <c r="D76" s="157" t="s">
        <v>26</v>
      </c>
      <c r="E76" s="158" t="s">
        <v>25</v>
      </c>
      <c r="F76" s="98" t="s">
        <v>148</v>
      </c>
      <c r="G76" s="98" t="s">
        <v>148</v>
      </c>
      <c r="H76" s="99" t="s">
        <v>147</v>
      </c>
      <c r="I76" s="99" t="s">
        <v>147</v>
      </c>
      <c r="J76" s="102" t="s">
        <v>148</v>
      </c>
      <c r="K76" s="272">
        <v>90</v>
      </c>
      <c r="L76" s="102" t="s">
        <v>148</v>
      </c>
      <c r="M76" s="54">
        <f>SUM(F76:L76)</f>
        <v>90</v>
      </c>
      <c r="N76" s="16">
        <f>M76-O76</f>
        <v>90</v>
      </c>
      <c r="O76" s="5">
        <f>SUMIF(F76:L76,"450")</f>
        <v>0</v>
      </c>
      <c r="P76" s="16">
        <f>N76+O76</f>
        <v>90</v>
      </c>
      <c r="Q76">
        <f>T76*450</f>
        <v>2250</v>
      </c>
      <c r="R76">
        <f>Q76-P76</f>
        <v>2160</v>
      </c>
      <c r="S76" s="39">
        <f>R76/Q76</f>
        <v>0.96</v>
      </c>
      <c r="T76">
        <f>U76-(W76+X76)</f>
        <v>5</v>
      </c>
      <c r="U76">
        <f>7-V76</f>
        <v>5</v>
      </c>
      <c r="V76" s="5">
        <f>COUNTIF(F76:L76,"RD")</f>
        <v>2</v>
      </c>
      <c r="W76" s="5">
        <f>COUNTIF(F76:L76,"VL")</f>
        <v>0</v>
      </c>
      <c r="X76" s="5">
        <f>COUNTIF(F76:L76,"LWOP")</f>
        <v>0</v>
      </c>
      <c r="Y76" s="5">
        <f>COUNTIF(F76:L76,"450")</f>
        <v>0</v>
      </c>
      <c r="Z76" s="5">
        <f>COUNTIF(F76:M76,"EVL")</f>
        <v>0</v>
      </c>
      <c r="AA76" s="5">
        <f>COUNTIF(F76:N76,"EVLS")</f>
        <v>0</v>
      </c>
    </row>
    <row r="77" spans="1:27" hidden="1">
      <c r="A77" s="164" t="s">
        <v>49</v>
      </c>
      <c r="B77" s="156" t="s">
        <v>265</v>
      </c>
      <c r="C77" s="157" t="s">
        <v>266</v>
      </c>
      <c r="D77" s="157" t="s">
        <v>26</v>
      </c>
      <c r="E77" s="158" t="s">
        <v>40</v>
      </c>
      <c r="F77" s="99" t="s">
        <v>147</v>
      </c>
      <c r="G77" s="269">
        <v>450</v>
      </c>
      <c r="H77" s="98" t="s">
        <v>148</v>
      </c>
      <c r="I77" s="269" t="s">
        <v>148</v>
      </c>
      <c r="J77" s="272">
        <v>8</v>
      </c>
      <c r="K77" s="269" t="s">
        <v>148</v>
      </c>
      <c r="L77" s="271" t="s">
        <v>147</v>
      </c>
      <c r="M77" s="54">
        <f>SUM(F77:L77)</f>
        <v>458</v>
      </c>
      <c r="N77" s="16">
        <f>M77-O77</f>
        <v>8</v>
      </c>
      <c r="O77" s="5">
        <f>SUMIF(F77:L77,"450")</f>
        <v>450</v>
      </c>
      <c r="P77" s="16">
        <f>N77+O77</f>
        <v>458</v>
      </c>
      <c r="Q77">
        <f>T77*450</f>
        <v>2250</v>
      </c>
      <c r="R77">
        <f>Q77-P77</f>
        <v>1792</v>
      </c>
      <c r="S77" s="39">
        <f>R77/Q77</f>
        <v>0.7964444444444444</v>
      </c>
      <c r="T77">
        <f>U77-(W77+X77)</f>
        <v>5</v>
      </c>
      <c r="U77">
        <f>7-V77</f>
        <v>5</v>
      </c>
      <c r="V77" s="5">
        <f>COUNTIF(F77:L77,"RD")</f>
        <v>2</v>
      </c>
      <c r="W77" s="5">
        <f>COUNTIF(F77:L77,"VL")</f>
        <v>0</v>
      </c>
      <c r="X77" s="5">
        <f>COUNTIF(F77:L77,"LWOP")</f>
        <v>0</v>
      </c>
      <c r="Y77" s="5">
        <f>COUNTIF(F77:L77,"450")</f>
        <v>1</v>
      </c>
      <c r="Z77" s="5">
        <f>COUNTIF(F77:M77,"EVL")</f>
        <v>0</v>
      </c>
      <c r="AA77" s="5">
        <f>COUNTIF(F77:N77,"EVLS")</f>
        <v>0</v>
      </c>
    </row>
    <row r="78" spans="1:27" hidden="1">
      <c r="A78" s="164" t="s">
        <v>318</v>
      </c>
      <c r="B78" s="156" t="s">
        <v>265</v>
      </c>
      <c r="C78" s="157" t="s">
        <v>266</v>
      </c>
      <c r="D78" s="157" t="s">
        <v>26</v>
      </c>
      <c r="E78" s="158" t="s">
        <v>40</v>
      </c>
      <c r="F78" s="99" t="s">
        <v>147</v>
      </c>
      <c r="G78" s="98" t="s">
        <v>148</v>
      </c>
      <c r="H78" s="98" t="s">
        <v>148</v>
      </c>
      <c r="I78" s="270" t="s">
        <v>148</v>
      </c>
      <c r="J78" s="270" t="s">
        <v>148</v>
      </c>
      <c r="K78" s="270">
        <v>7</v>
      </c>
      <c r="L78" s="269" t="s">
        <v>148</v>
      </c>
      <c r="M78" s="54">
        <f>SUM(F78:L78)</f>
        <v>7</v>
      </c>
      <c r="N78" s="16">
        <f>M78-O78</f>
        <v>7</v>
      </c>
      <c r="O78" s="5">
        <f>SUMIF(F78:L78,"450")</f>
        <v>0</v>
      </c>
      <c r="P78" s="16">
        <f>N78+O78</f>
        <v>7</v>
      </c>
      <c r="Q78">
        <f>T78*450</f>
        <v>2700</v>
      </c>
      <c r="R78">
        <f>Q78-P78</f>
        <v>2693</v>
      </c>
      <c r="S78" s="39">
        <f>R78/Q78</f>
        <v>0.99740740740740741</v>
      </c>
      <c r="T78">
        <f>U78-(W78+X78)</f>
        <v>6</v>
      </c>
      <c r="U78">
        <f>7-V78</f>
        <v>6</v>
      </c>
      <c r="V78" s="5">
        <f>COUNTIF(F78:L78,"RD")</f>
        <v>1</v>
      </c>
      <c r="W78" s="5">
        <f>COUNTIF(F78:L78,"VL")</f>
        <v>0</v>
      </c>
      <c r="X78" s="5">
        <f>COUNTIF(F78:L78,"LWOP")</f>
        <v>0</v>
      </c>
      <c r="Y78" s="5">
        <f>COUNTIF(F78:L78,"450")</f>
        <v>0</v>
      </c>
      <c r="Z78" s="5">
        <f>COUNTIF(F78:M78,"EVL")</f>
        <v>0</v>
      </c>
      <c r="AA78" s="5">
        <f>COUNTIF(F78:N78,"EVLS")</f>
        <v>0</v>
      </c>
    </row>
    <row r="79" spans="1:27" hidden="1">
      <c r="A79" s="164" t="s">
        <v>217</v>
      </c>
      <c r="B79" s="156" t="s">
        <v>303</v>
      </c>
      <c r="C79" s="157" t="s">
        <v>266</v>
      </c>
      <c r="D79" s="157" t="s">
        <v>26</v>
      </c>
      <c r="E79" s="158" t="s">
        <v>56</v>
      </c>
      <c r="F79" s="99" t="s">
        <v>147</v>
      </c>
      <c r="G79" s="98" t="s">
        <v>148</v>
      </c>
      <c r="H79" s="98" t="s">
        <v>148</v>
      </c>
      <c r="I79" s="102" t="s">
        <v>148</v>
      </c>
      <c r="J79" s="269" t="s">
        <v>148</v>
      </c>
      <c r="K79" s="269" t="s">
        <v>148</v>
      </c>
      <c r="L79" s="271" t="s">
        <v>147</v>
      </c>
      <c r="M79" s="54">
        <f>SUM(F79:L79)</f>
        <v>0</v>
      </c>
      <c r="N79" s="16">
        <f>M79-O79</f>
        <v>0</v>
      </c>
      <c r="O79" s="5">
        <f>SUMIF(F79:L79,"450")</f>
        <v>0</v>
      </c>
      <c r="P79" s="16">
        <f>N79+O79</f>
        <v>0</v>
      </c>
      <c r="Q79">
        <f>T79*450</f>
        <v>2250</v>
      </c>
      <c r="R79">
        <f>Q79-P79</f>
        <v>2250</v>
      </c>
      <c r="S79" s="39">
        <f>R79/Q79</f>
        <v>1</v>
      </c>
      <c r="T79">
        <f>U79-(W79+X79)</f>
        <v>5</v>
      </c>
      <c r="U79">
        <f>7-V79</f>
        <v>5</v>
      </c>
      <c r="V79" s="5">
        <f>COUNTIF(F79:L79,"RD")</f>
        <v>2</v>
      </c>
      <c r="W79" s="5">
        <f>COUNTIF(F79:L79,"VL")</f>
        <v>0</v>
      </c>
      <c r="X79" s="5">
        <f>COUNTIF(F79:L79,"LWOP")</f>
        <v>0</v>
      </c>
      <c r="Y79" s="5">
        <f>COUNTIF(F79:L79,"450")</f>
        <v>0</v>
      </c>
      <c r="Z79" s="5">
        <f>COUNTIF(F79:M79,"EVL")</f>
        <v>0</v>
      </c>
      <c r="AA79" s="5">
        <f>COUNTIF(F79:N79,"EVLS")</f>
        <v>0</v>
      </c>
    </row>
    <row r="80" spans="1:27" hidden="1">
      <c r="A80" s="164" t="s">
        <v>319</v>
      </c>
      <c r="B80" s="156" t="s">
        <v>265</v>
      </c>
      <c r="C80" s="157" t="s">
        <v>266</v>
      </c>
      <c r="D80" s="157" t="s">
        <v>26</v>
      </c>
      <c r="E80" s="158" t="s">
        <v>40</v>
      </c>
      <c r="F80" s="99" t="s">
        <v>147</v>
      </c>
      <c r="G80" s="98" t="s">
        <v>148</v>
      </c>
      <c r="H80" s="98" t="s">
        <v>148</v>
      </c>
      <c r="I80" s="102" t="s">
        <v>148</v>
      </c>
      <c r="J80" s="270" t="s">
        <v>148</v>
      </c>
      <c r="K80" s="270" t="s">
        <v>148</v>
      </c>
      <c r="L80" s="271" t="s">
        <v>147</v>
      </c>
      <c r="M80" s="54">
        <f>SUM(F80:L80)</f>
        <v>0</v>
      </c>
      <c r="N80" s="16">
        <f>M80-O80</f>
        <v>0</v>
      </c>
      <c r="O80" s="5">
        <f>SUMIF(F80:L80,"450")</f>
        <v>0</v>
      </c>
      <c r="P80" s="16">
        <f>N80+O80</f>
        <v>0</v>
      </c>
      <c r="Q80">
        <f>T80*450</f>
        <v>2250</v>
      </c>
      <c r="R80">
        <f>Q80-P80</f>
        <v>2250</v>
      </c>
      <c r="S80" s="39">
        <f>R80/Q80</f>
        <v>1</v>
      </c>
      <c r="T80">
        <f>U80-(W80+X80)</f>
        <v>5</v>
      </c>
      <c r="U80">
        <f>7-V80</f>
        <v>5</v>
      </c>
      <c r="V80" s="5">
        <f>COUNTIF(F80:L80,"RD")</f>
        <v>2</v>
      </c>
      <c r="W80" s="5">
        <f>COUNTIF(F80:L80,"VL")</f>
        <v>0</v>
      </c>
      <c r="X80" s="5">
        <f>COUNTIF(F80:L80,"LWOP")</f>
        <v>0</v>
      </c>
      <c r="Y80" s="5">
        <f>COUNTIF(F80:L80,"450")</f>
        <v>0</v>
      </c>
      <c r="Z80" s="5">
        <f>COUNTIF(F80:M80,"EVL")</f>
        <v>0</v>
      </c>
      <c r="AA80" s="5">
        <f>COUNTIF(F80:N80,"EVLS")</f>
        <v>0</v>
      </c>
    </row>
    <row r="81" spans="1:27" hidden="1">
      <c r="A81" s="164" t="s">
        <v>320</v>
      </c>
      <c r="B81" s="156" t="s">
        <v>313</v>
      </c>
      <c r="C81" s="157" t="s">
        <v>266</v>
      </c>
      <c r="D81" s="157" t="s">
        <v>26</v>
      </c>
      <c r="E81" s="158" t="s">
        <v>25</v>
      </c>
      <c r="F81" s="99" t="s">
        <v>147</v>
      </c>
      <c r="G81" s="98" t="s">
        <v>148</v>
      </c>
      <c r="H81" s="98" t="s">
        <v>148</v>
      </c>
      <c r="I81" s="102" t="s">
        <v>148</v>
      </c>
      <c r="J81" s="102" t="s">
        <v>148</v>
      </c>
      <c r="K81" s="102" t="s">
        <v>148</v>
      </c>
      <c r="L81" s="269" t="s">
        <v>148</v>
      </c>
      <c r="M81" s="54">
        <f>SUM(F81:L81)</f>
        <v>0</v>
      </c>
      <c r="N81" s="16">
        <f>M81-O81</f>
        <v>0</v>
      </c>
      <c r="O81" s="5">
        <f>SUMIF(F81:L81,"450")</f>
        <v>0</v>
      </c>
      <c r="P81" s="16">
        <f>N81+O81</f>
        <v>0</v>
      </c>
      <c r="Q81">
        <f>T81*450</f>
        <v>2700</v>
      </c>
      <c r="R81">
        <f>Q81-P81</f>
        <v>2700</v>
      </c>
      <c r="S81" s="39">
        <f>R81/Q81</f>
        <v>1</v>
      </c>
      <c r="T81">
        <f>U81-(W81+X81)</f>
        <v>6</v>
      </c>
      <c r="U81">
        <f>7-V81</f>
        <v>6</v>
      </c>
      <c r="V81" s="5">
        <f>COUNTIF(F81:L81,"RD")</f>
        <v>1</v>
      </c>
      <c r="W81" s="5">
        <f>COUNTIF(F81:L81,"VL")</f>
        <v>0</v>
      </c>
      <c r="X81" s="5">
        <f>COUNTIF(F81:L81,"LWOP")</f>
        <v>0</v>
      </c>
      <c r="Y81" s="5">
        <f>COUNTIF(F81:L81,"450")</f>
        <v>0</v>
      </c>
      <c r="Z81" s="5">
        <f>COUNTIF(F81:M81,"EVL")</f>
        <v>0</v>
      </c>
      <c r="AA81" s="5">
        <f>COUNTIF(F81:N81,"EVLS")</f>
        <v>0</v>
      </c>
    </row>
    <row r="82" spans="1:27" hidden="1">
      <c r="A82" s="164" t="s">
        <v>321</v>
      </c>
      <c r="B82" s="156" t="s">
        <v>265</v>
      </c>
      <c r="C82" s="157" t="s">
        <v>266</v>
      </c>
      <c r="D82" s="157" t="s">
        <v>26</v>
      </c>
      <c r="E82" s="158" t="s">
        <v>25</v>
      </c>
      <c r="F82" s="99" t="s">
        <v>147</v>
      </c>
      <c r="G82" s="98" t="s">
        <v>148</v>
      </c>
      <c r="H82" s="98" t="s">
        <v>148</v>
      </c>
      <c r="I82" s="269" t="s">
        <v>148</v>
      </c>
      <c r="J82" s="269" t="s">
        <v>148</v>
      </c>
      <c r="K82" s="269" t="s">
        <v>148</v>
      </c>
      <c r="L82" s="271" t="s">
        <v>147</v>
      </c>
      <c r="M82" s="54">
        <f>SUM(F82:L82)</f>
        <v>0</v>
      </c>
      <c r="N82" s="16">
        <f>M82-O82</f>
        <v>0</v>
      </c>
      <c r="O82" s="5">
        <f>SUMIF(F82:L82,"450")</f>
        <v>0</v>
      </c>
      <c r="P82" s="16">
        <f>N82+O82</f>
        <v>0</v>
      </c>
      <c r="Q82">
        <f>T82*450</f>
        <v>2250</v>
      </c>
      <c r="R82">
        <f>Q82-P82</f>
        <v>2250</v>
      </c>
      <c r="S82" s="39">
        <f>R82/Q82</f>
        <v>1</v>
      </c>
      <c r="T82">
        <f>U82-(W82+X82)</f>
        <v>5</v>
      </c>
      <c r="U82">
        <f>7-V82</f>
        <v>5</v>
      </c>
      <c r="V82" s="5">
        <f>COUNTIF(F82:L82,"RD")</f>
        <v>2</v>
      </c>
      <c r="W82" s="5">
        <f>COUNTIF(F82:L82,"VL")</f>
        <v>0</v>
      </c>
      <c r="X82" s="5">
        <f>COUNTIF(F82:L82,"LWOP")</f>
        <v>0</v>
      </c>
      <c r="Y82" s="5">
        <f>COUNTIF(F82:L82,"450")</f>
        <v>0</v>
      </c>
      <c r="Z82" s="5">
        <f>COUNTIF(F82:M82,"EVL")</f>
        <v>0</v>
      </c>
      <c r="AA82" s="5">
        <f>COUNTIF(F82:N82,"EVLS")</f>
        <v>0</v>
      </c>
    </row>
    <row r="83" spans="1:27" hidden="1">
      <c r="A83" s="164" t="s">
        <v>68</v>
      </c>
      <c r="B83" s="156" t="s">
        <v>322</v>
      </c>
      <c r="C83" s="157" t="s">
        <v>316</v>
      </c>
      <c r="D83" s="157" t="s">
        <v>26</v>
      </c>
      <c r="E83" s="158" t="s">
        <v>25</v>
      </c>
      <c r="F83" s="99" t="s">
        <v>147</v>
      </c>
      <c r="G83" s="98" t="s">
        <v>148</v>
      </c>
      <c r="H83" s="98" t="s">
        <v>148</v>
      </c>
      <c r="I83" s="98" t="s">
        <v>148</v>
      </c>
      <c r="J83" s="270" t="s">
        <v>148</v>
      </c>
      <c r="K83" s="270" t="s">
        <v>148</v>
      </c>
      <c r="L83" s="271" t="s">
        <v>147</v>
      </c>
      <c r="M83" s="54">
        <f>SUM(F83:L83)</f>
        <v>0</v>
      </c>
      <c r="N83" s="16">
        <f>M83-O83</f>
        <v>0</v>
      </c>
      <c r="O83" s="5">
        <f>SUMIF(F83:L83,"450")</f>
        <v>0</v>
      </c>
      <c r="P83" s="16">
        <f>N83+O83</f>
        <v>0</v>
      </c>
      <c r="Q83">
        <f>T83*450</f>
        <v>2250</v>
      </c>
      <c r="R83">
        <f>Q83-P83</f>
        <v>2250</v>
      </c>
      <c r="S83" s="39">
        <f>R83/Q83</f>
        <v>1</v>
      </c>
      <c r="T83">
        <f>U83-(W83+X83)</f>
        <v>5</v>
      </c>
      <c r="U83">
        <f>7-V83</f>
        <v>5</v>
      </c>
      <c r="V83" s="5">
        <f>COUNTIF(F83:L83,"RD")</f>
        <v>2</v>
      </c>
      <c r="W83" s="5">
        <f>COUNTIF(F83:L83,"VL")</f>
        <v>0</v>
      </c>
      <c r="X83" s="5">
        <f>COUNTIF(F83:L83,"LWOP")</f>
        <v>0</v>
      </c>
      <c r="Y83" s="5">
        <f>COUNTIF(F83:L83,"450")</f>
        <v>0</v>
      </c>
      <c r="Z83" s="5">
        <f>COUNTIF(F83:M83,"EVL")</f>
        <v>0</v>
      </c>
      <c r="AA83" s="5">
        <f>COUNTIF(F83:N83,"EVLS")</f>
        <v>0</v>
      </c>
    </row>
    <row r="84" spans="1:27" hidden="1">
      <c r="A84" s="164" t="s">
        <v>71</v>
      </c>
      <c r="B84" s="156" t="s">
        <v>300</v>
      </c>
      <c r="C84" s="157" t="s">
        <v>266</v>
      </c>
      <c r="D84" s="157" t="s">
        <v>26</v>
      </c>
      <c r="E84" s="158" t="s">
        <v>40</v>
      </c>
      <c r="F84" s="99" t="s">
        <v>147</v>
      </c>
      <c r="G84" s="98" t="s">
        <v>148</v>
      </c>
      <c r="H84" s="98" t="s">
        <v>148</v>
      </c>
      <c r="I84" s="98" t="s">
        <v>148</v>
      </c>
      <c r="J84" s="270" t="s">
        <v>148</v>
      </c>
      <c r="K84" s="270" t="s">
        <v>148</v>
      </c>
      <c r="L84" s="271" t="s">
        <v>147</v>
      </c>
      <c r="M84" s="54">
        <f>SUM(F84:L84)</f>
        <v>0</v>
      </c>
      <c r="N84" s="16">
        <f>M84-O84</f>
        <v>0</v>
      </c>
      <c r="O84" s="5">
        <f>SUMIF(F84:L84,"450")</f>
        <v>0</v>
      </c>
      <c r="P84" s="16">
        <f>N84+O84</f>
        <v>0</v>
      </c>
      <c r="Q84">
        <f>T84*450</f>
        <v>2250</v>
      </c>
      <c r="R84">
        <f>Q84-P84</f>
        <v>2250</v>
      </c>
      <c r="S84" s="39">
        <f>R84/Q84</f>
        <v>1</v>
      </c>
      <c r="T84">
        <f>U84-(W84+X84)</f>
        <v>5</v>
      </c>
      <c r="U84">
        <f>7-V84</f>
        <v>5</v>
      </c>
      <c r="V84" s="5">
        <f>COUNTIF(F84:L84,"RD")</f>
        <v>2</v>
      </c>
      <c r="W84" s="5">
        <f>COUNTIF(F84:L84,"VL")</f>
        <v>0</v>
      </c>
      <c r="X84" s="5">
        <f>COUNTIF(F84:L84,"LWOP")</f>
        <v>0</v>
      </c>
      <c r="Y84" s="5">
        <f>COUNTIF(F84:L84,"450")</f>
        <v>0</v>
      </c>
      <c r="Z84" s="5">
        <f>COUNTIF(F84:M84,"EVL")</f>
        <v>0</v>
      </c>
      <c r="AA84" s="5">
        <f>COUNTIF(F84:N84,"EVLS")</f>
        <v>0</v>
      </c>
    </row>
    <row r="85" spans="1:27" hidden="1">
      <c r="A85" s="164" t="s">
        <v>73</v>
      </c>
      <c r="B85" s="156" t="s">
        <v>300</v>
      </c>
      <c r="C85" s="157" t="s">
        <v>266</v>
      </c>
      <c r="D85" s="157" t="s">
        <v>26</v>
      </c>
      <c r="E85" s="158" t="s">
        <v>40</v>
      </c>
      <c r="F85" s="271" t="s">
        <v>147</v>
      </c>
      <c r="G85" s="98" t="s">
        <v>148</v>
      </c>
      <c r="H85" s="98" t="s">
        <v>148</v>
      </c>
      <c r="I85" s="270" t="s">
        <v>148</v>
      </c>
      <c r="J85" s="270" t="s">
        <v>148</v>
      </c>
      <c r="K85" s="270" t="s">
        <v>148</v>
      </c>
      <c r="L85" s="271" t="s">
        <v>147</v>
      </c>
      <c r="M85" s="54">
        <f>SUM(F85:L85)</f>
        <v>0</v>
      </c>
      <c r="N85" s="16">
        <f>M85-O85</f>
        <v>0</v>
      </c>
      <c r="O85" s="5">
        <f>SUMIF(F85:L85,"450")</f>
        <v>0</v>
      </c>
      <c r="P85" s="16">
        <f>N85+O85</f>
        <v>0</v>
      </c>
      <c r="Q85">
        <f>T85*450</f>
        <v>2250</v>
      </c>
      <c r="R85">
        <f>Q85-P85</f>
        <v>2250</v>
      </c>
      <c r="S85" s="39">
        <f>R85/Q85</f>
        <v>1</v>
      </c>
      <c r="T85">
        <f>U85-(W85+X85)</f>
        <v>5</v>
      </c>
      <c r="U85">
        <f>7-V85</f>
        <v>5</v>
      </c>
      <c r="V85" s="5">
        <f>COUNTIF(F85:L85,"RD")</f>
        <v>2</v>
      </c>
      <c r="W85" s="5">
        <f>COUNTIF(F85:L85,"VL")</f>
        <v>0</v>
      </c>
      <c r="X85" s="5">
        <f>COUNTIF(F85:L85,"LWOP")</f>
        <v>0</v>
      </c>
      <c r="Y85" s="5">
        <f>COUNTIF(F85:L85,"450")</f>
        <v>0</v>
      </c>
      <c r="Z85" s="5">
        <f>COUNTIF(F85:M85,"EVL")</f>
        <v>0</v>
      </c>
      <c r="AA85" s="5">
        <f>COUNTIF(F85:N85,"EVLS")</f>
        <v>0</v>
      </c>
    </row>
    <row r="86" spans="1:27" hidden="1">
      <c r="A86" s="164" t="s">
        <v>323</v>
      </c>
      <c r="B86" s="156" t="s">
        <v>265</v>
      </c>
      <c r="C86" s="157" t="s">
        <v>316</v>
      </c>
      <c r="D86" s="157" t="s">
        <v>26</v>
      </c>
      <c r="E86" s="158" t="s">
        <v>40</v>
      </c>
      <c r="F86" s="270" t="s">
        <v>148</v>
      </c>
      <c r="G86" s="98" t="s">
        <v>148</v>
      </c>
      <c r="H86" s="98" t="s">
        <v>148</v>
      </c>
      <c r="I86" s="271" t="s">
        <v>147</v>
      </c>
      <c r="J86" s="271" t="s">
        <v>147</v>
      </c>
      <c r="K86" s="270" t="s">
        <v>148</v>
      </c>
      <c r="L86" s="270" t="s">
        <v>148</v>
      </c>
      <c r="M86" s="54">
        <f>SUM(F86:L86)</f>
        <v>0</v>
      </c>
      <c r="N86" s="16">
        <f>M86-O86</f>
        <v>0</v>
      </c>
      <c r="O86" s="5">
        <f>SUMIF(F86:L86,"450")</f>
        <v>0</v>
      </c>
      <c r="P86" s="16">
        <f>N86+O86</f>
        <v>0</v>
      </c>
      <c r="Q86">
        <f>T86*450</f>
        <v>2250</v>
      </c>
      <c r="R86">
        <f>Q86-P86</f>
        <v>2250</v>
      </c>
      <c r="S86" s="39">
        <f>R86/Q86</f>
        <v>1</v>
      </c>
      <c r="T86">
        <f>U86-(W86+X86)</f>
        <v>5</v>
      </c>
      <c r="U86">
        <f>7-V86</f>
        <v>5</v>
      </c>
      <c r="V86" s="5">
        <f>COUNTIF(F86:L86,"RD")</f>
        <v>2</v>
      </c>
      <c r="W86" s="5">
        <f>COUNTIF(F86:L86,"VL")</f>
        <v>0</v>
      </c>
      <c r="X86" s="5">
        <f>COUNTIF(F86:L86,"LWOP")</f>
        <v>0</v>
      </c>
      <c r="Y86" s="5">
        <f>COUNTIF(F86:L86,"450")</f>
        <v>0</v>
      </c>
      <c r="Z86" s="5">
        <f>COUNTIF(F86:M86,"EVL")</f>
        <v>0</v>
      </c>
      <c r="AA86" s="5">
        <f>COUNTIF(F86:N86,"EVLS")</f>
        <v>0</v>
      </c>
    </row>
    <row r="87" spans="1:27">
      <c r="A87" s="164" t="s">
        <v>78</v>
      </c>
      <c r="B87" s="156" t="s">
        <v>300</v>
      </c>
      <c r="C87" s="157" t="s">
        <v>266</v>
      </c>
      <c r="D87" s="157" t="s">
        <v>26</v>
      </c>
      <c r="E87" s="158" t="s">
        <v>33</v>
      </c>
      <c r="F87" s="99" t="s">
        <v>147</v>
      </c>
      <c r="G87" s="98" t="s">
        <v>148</v>
      </c>
      <c r="H87" s="98" t="s">
        <v>148</v>
      </c>
      <c r="I87" s="98" t="s">
        <v>148</v>
      </c>
      <c r="J87" s="270" t="s">
        <v>148</v>
      </c>
      <c r="K87" s="270" t="s">
        <v>148</v>
      </c>
      <c r="L87" s="271" t="s">
        <v>147</v>
      </c>
      <c r="M87" s="54">
        <f>SUM(F87:L87)</f>
        <v>0</v>
      </c>
      <c r="N87" s="16">
        <f>M87-O87</f>
        <v>0</v>
      </c>
      <c r="O87" s="5">
        <f>SUMIF(F87:L87,"450")</f>
        <v>0</v>
      </c>
      <c r="P87" s="16">
        <f>N87+O87</f>
        <v>0</v>
      </c>
      <c r="Q87">
        <f>T87*450</f>
        <v>2250</v>
      </c>
      <c r="R87">
        <f>Q87-P87</f>
        <v>2250</v>
      </c>
      <c r="S87" s="39">
        <f>R87/Q87</f>
        <v>1</v>
      </c>
      <c r="T87">
        <f>U87-(W87+X87)</f>
        <v>5</v>
      </c>
      <c r="U87">
        <f>7-V87</f>
        <v>5</v>
      </c>
      <c r="V87" s="5">
        <f>COUNTIF(F87:L87,"RD")</f>
        <v>2</v>
      </c>
      <c r="W87" s="5">
        <f>COUNTIF(F87:L87,"VL")</f>
        <v>0</v>
      </c>
      <c r="X87" s="5">
        <f>COUNTIF(F87:L87,"LWOP")</f>
        <v>0</v>
      </c>
      <c r="Y87" s="5">
        <f>COUNTIF(F87:L87,"450")</f>
        <v>0</v>
      </c>
      <c r="Z87" s="5">
        <f>COUNTIF(F87:M87,"EVL")</f>
        <v>0</v>
      </c>
      <c r="AA87" s="5">
        <f>COUNTIF(F87:N87,"EVLS")</f>
        <v>0</v>
      </c>
    </row>
    <row r="88" spans="1:27" hidden="1">
      <c r="A88" s="164" t="s">
        <v>80</v>
      </c>
      <c r="B88" s="156" t="s">
        <v>303</v>
      </c>
      <c r="C88" s="157" t="s">
        <v>266</v>
      </c>
      <c r="D88" s="157" t="s">
        <v>26</v>
      </c>
      <c r="E88" s="158" t="s">
        <v>56</v>
      </c>
      <c r="F88" s="270" t="s">
        <v>148</v>
      </c>
      <c r="G88" s="270" t="s">
        <v>148</v>
      </c>
      <c r="H88" s="98" t="s">
        <v>148</v>
      </c>
      <c r="I88" s="98" t="s">
        <v>148</v>
      </c>
      <c r="J88" s="270" t="s">
        <v>148</v>
      </c>
      <c r="K88" s="270" t="s">
        <v>148</v>
      </c>
      <c r="L88" s="271" t="s">
        <v>147</v>
      </c>
      <c r="M88" s="54">
        <f>SUM(F88:L88)</f>
        <v>0</v>
      </c>
      <c r="N88" s="16">
        <f>M88-O88</f>
        <v>0</v>
      </c>
      <c r="O88" s="5">
        <f>SUMIF(F88:L88,"450")</f>
        <v>0</v>
      </c>
      <c r="P88" s="16">
        <f>N88+O88</f>
        <v>0</v>
      </c>
      <c r="Q88">
        <f>T88*450</f>
        <v>2700</v>
      </c>
      <c r="R88">
        <f>Q88-P88</f>
        <v>2700</v>
      </c>
      <c r="S88" s="39">
        <f>R88/Q88</f>
        <v>1</v>
      </c>
      <c r="T88">
        <f>U88-(W88+X88)</f>
        <v>6</v>
      </c>
      <c r="U88">
        <f>7-V88</f>
        <v>6</v>
      </c>
      <c r="V88" s="5">
        <f>COUNTIF(F88:L88,"RD")</f>
        <v>1</v>
      </c>
      <c r="W88" s="5">
        <f>COUNTIF(F88:L88,"VL")</f>
        <v>0</v>
      </c>
      <c r="X88" s="5">
        <f>COUNTIF(F88:L88,"LWOP")</f>
        <v>0</v>
      </c>
      <c r="Y88" s="5">
        <f>COUNTIF(F88:L88,"450")</f>
        <v>0</v>
      </c>
      <c r="Z88" s="5">
        <f>COUNTIF(F88:M88,"EVL")</f>
        <v>0</v>
      </c>
      <c r="AA88" s="5">
        <f>COUNTIF(F88:N88,"EVLS")</f>
        <v>0</v>
      </c>
    </row>
    <row r="89" spans="1:27" hidden="1">
      <c r="A89" s="164" t="s">
        <v>324</v>
      </c>
      <c r="B89" s="156" t="s">
        <v>325</v>
      </c>
      <c r="C89" s="157" t="s">
        <v>266</v>
      </c>
      <c r="D89" s="157" t="s">
        <v>26</v>
      </c>
      <c r="E89" s="158" t="s">
        <v>33</v>
      </c>
      <c r="F89" s="271" t="s">
        <v>147</v>
      </c>
      <c r="G89" s="308" t="s">
        <v>12</v>
      </c>
      <c r="H89" s="98" t="s">
        <v>148</v>
      </c>
      <c r="I89" s="270" t="s">
        <v>148</v>
      </c>
      <c r="J89" s="270" t="s">
        <v>148</v>
      </c>
      <c r="K89" s="270" t="s">
        <v>148</v>
      </c>
      <c r="L89" s="271" t="s">
        <v>147</v>
      </c>
      <c r="M89" s="54">
        <f>SUM(F89:L89)</f>
        <v>0</v>
      </c>
      <c r="N89" s="16">
        <f>M89-O89</f>
        <v>0</v>
      </c>
      <c r="O89" s="5">
        <f>SUMIF(F89:L89,"450")</f>
        <v>0</v>
      </c>
      <c r="P89" s="16">
        <f>N89+O89</f>
        <v>0</v>
      </c>
      <c r="Q89">
        <f>T89*450</f>
        <v>1800</v>
      </c>
      <c r="R89">
        <f>Q89-P89</f>
        <v>1800</v>
      </c>
      <c r="S89" s="39">
        <f>R89/Q89</f>
        <v>1</v>
      </c>
      <c r="T89">
        <f>U89-(W89+X89)</f>
        <v>4</v>
      </c>
      <c r="U89">
        <f>7-V89</f>
        <v>5</v>
      </c>
      <c r="V89" s="5">
        <f>COUNTIF(F89:L89,"RD")</f>
        <v>2</v>
      </c>
      <c r="W89" s="5">
        <f>COUNTIF(F89:L89,"VL")</f>
        <v>1</v>
      </c>
      <c r="X89" s="5">
        <f>COUNTIF(F89:L89,"LWOP")</f>
        <v>0</v>
      </c>
      <c r="Y89" s="5">
        <f>COUNTIF(F89:L89,"450")</f>
        <v>0</v>
      </c>
      <c r="Z89" s="5">
        <f>COUNTIF(F89:M89,"EVL")</f>
        <v>0</v>
      </c>
      <c r="AA89" s="5">
        <f>COUNTIF(F89:N89,"EVLS")</f>
        <v>0</v>
      </c>
    </row>
    <row r="90" spans="1:27" hidden="1">
      <c r="A90" s="164" t="s">
        <v>326</v>
      </c>
      <c r="B90" s="156" t="s">
        <v>300</v>
      </c>
      <c r="C90" s="157" t="s">
        <v>316</v>
      </c>
      <c r="D90" s="157" t="s">
        <v>26</v>
      </c>
      <c r="E90" s="158" t="s">
        <v>40</v>
      </c>
      <c r="F90" s="270" t="s">
        <v>148</v>
      </c>
      <c r="G90" s="98" t="s">
        <v>148</v>
      </c>
      <c r="H90" s="98" t="s">
        <v>148</v>
      </c>
      <c r="I90" s="271" t="s">
        <v>147</v>
      </c>
      <c r="J90" s="271" t="s">
        <v>147</v>
      </c>
      <c r="K90" s="270" t="s">
        <v>148</v>
      </c>
      <c r="L90" s="270" t="s">
        <v>148</v>
      </c>
      <c r="M90" s="54">
        <f>SUM(F90:L90)</f>
        <v>0</v>
      </c>
      <c r="N90" s="16">
        <f>M90-O90</f>
        <v>0</v>
      </c>
      <c r="O90" s="5">
        <f>SUMIF(F90:L90,"450")</f>
        <v>0</v>
      </c>
      <c r="P90" s="16">
        <f>N90+O90</f>
        <v>0</v>
      </c>
      <c r="Q90">
        <f>T90*450</f>
        <v>2250</v>
      </c>
      <c r="R90">
        <f>Q90-P90</f>
        <v>2250</v>
      </c>
      <c r="S90" s="39">
        <f>R90/Q90</f>
        <v>1</v>
      </c>
      <c r="T90">
        <f>U90-(W90+X90)</f>
        <v>5</v>
      </c>
      <c r="U90">
        <f>7-V90</f>
        <v>5</v>
      </c>
      <c r="V90" s="5">
        <f>COUNTIF(F90:L90,"RD")</f>
        <v>2</v>
      </c>
      <c r="W90" s="5">
        <f>COUNTIF(F90:L90,"VL")</f>
        <v>0</v>
      </c>
      <c r="X90" s="5">
        <f>COUNTIF(F90:L90,"LWOP")</f>
        <v>0</v>
      </c>
      <c r="Y90" s="5">
        <f>COUNTIF(F90:L90,"450")</f>
        <v>0</v>
      </c>
      <c r="Z90" s="5">
        <f>COUNTIF(F90:M90,"EVL")</f>
        <v>0</v>
      </c>
      <c r="AA90" s="5">
        <f>COUNTIF(F90:N90,"EVLS")</f>
        <v>0</v>
      </c>
    </row>
    <row r="91" spans="1:27" hidden="1">
      <c r="A91" s="164" t="s">
        <v>87</v>
      </c>
      <c r="B91" s="156" t="s">
        <v>265</v>
      </c>
      <c r="C91" s="157" t="s">
        <v>266</v>
      </c>
      <c r="D91" s="157" t="s">
        <v>26</v>
      </c>
      <c r="E91" s="158" t="s">
        <v>56</v>
      </c>
      <c r="F91" s="271" t="s">
        <v>147</v>
      </c>
      <c r="G91" s="98" t="s">
        <v>148</v>
      </c>
      <c r="H91" s="270" t="s">
        <v>148</v>
      </c>
      <c r="I91" s="270" t="s">
        <v>148</v>
      </c>
      <c r="J91" s="270" t="s">
        <v>148</v>
      </c>
      <c r="K91" s="270" t="s">
        <v>148</v>
      </c>
      <c r="L91" s="271" t="s">
        <v>147</v>
      </c>
      <c r="M91" s="54">
        <f>SUM(F91:L91)</f>
        <v>0</v>
      </c>
      <c r="N91" s="16">
        <f>M91-O91</f>
        <v>0</v>
      </c>
      <c r="O91" s="5">
        <f>SUMIF(F91:L91,"450")</f>
        <v>0</v>
      </c>
      <c r="P91" s="16">
        <f>N91+O91</f>
        <v>0</v>
      </c>
      <c r="Q91">
        <f>T91*450</f>
        <v>2250</v>
      </c>
      <c r="R91">
        <f>Q91-P91</f>
        <v>2250</v>
      </c>
      <c r="S91" s="39">
        <f>R91/Q91</f>
        <v>1</v>
      </c>
      <c r="T91">
        <f>U91-(W91+X91)</f>
        <v>5</v>
      </c>
      <c r="U91">
        <f>7-V91</f>
        <v>5</v>
      </c>
      <c r="V91" s="5">
        <f>COUNTIF(F91:L91,"RD")</f>
        <v>2</v>
      </c>
      <c r="W91" s="5">
        <f>COUNTIF(F91:L91,"VL")</f>
        <v>0</v>
      </c>
      <c r="X91" s="5">
        <f>COUNTIF(F91:L91,"LWOP")</f>
        <v>0</v>
      </c>
      <c r="Y91" s="5">
        <f>COUNTIF(F91:L91,"450")</f>
        <v>0</v>
      </c>
      <c r="Z91" s="5">
        <f>COUNTIF(F91:M91,"EVL")</f>
        <v>0</v>
      </c>
      <c r="AA91" s="5">
        <f>COUNTIF(F91:N91,"EVLS")</f>
        <v>0</v>
      </c>
    </row>
    <row r="92" spans="1:27" hidden="1">
      <c r="A92" s="335" t="s">
        <v>327</v>
      </c>
      <c r="B92" s="156" t="s">
        <v>265</v>
      </c>
      <c r="C92" s="157" t="s">
        <v>307</v>
      </c>
      <c r="D92" s="157" t="s">
        <v>26</v>
      </c>
      <c r="E92" s="158" t="s">
        <v>56</v>
      </c>
      <c r="F92" s="270" t="s">
        <v>148</v>
      </c>
      <c r="G92" s="98" t="s">
        <v>148</v>
      </c>
      <c r="H92" s="271" t="s">
        <v>147</v>
      </c>
      <c r="I92" s="271" t="s">
        <v>147</v>
      </c>
      <c r="J92" s="270" t="s">
        <v>148</v>
      </c>
      <c r="K92" s="270" t="s">
        <v>148</v>
      </c>
      <c r="L92" s="270" t="s">
        <v>148</v>
      </c>
      <c r="M92" s="54">
        <f>SUM(F92:L92)</f>
        <v>0</v>
      </c>
      <c r="N92" s="16">
        <f>M92-O92</f>
        <v>0</v>
      </c>
      <c r="O92" s="5">
        <f>SUMIF(F92:L92,"450")</f>
        <v>0</v>
      </c>
      <c r="P92" s="16">
        <f>N92+O92</f>
        <v>0</v>
      </c>
      <c r="Q92">
        <f>T92*450</f>
        <v>2250</v>
      </c>
      <c r="R92">
        <f>Q92-P92</f>
        <v>2250</v>
      </c>
      <c r="S92" s="39">
        <f>R92/Q92</f>
        <v>1</v>
      </c>
      <c r="T92">
        <f>U92-(W92+X92)</f>
        <v>5</v>
      </c>
      <c r="U92">
        <f>7-V92</f>
        <v>5</v>
      </c>
      <c r="V92" s="5">
        <f>COUNTIF(F92:L92,"RD")</f>
        <v>2</v>
      </c>
      <c r="W92" s="5">
        <f>COUNTIF(F92:L92,"VL")</f>
        <v>0</v>
      </c>
      <c r="X92" s="5">
        <f>COUNTIF(F92:L92,"LWOP")</f>
        <v>0</v>
      </c>
      <c r="Y92" s="5">
        <f>COUNTIF(F92:L92,"450")</f>
        <v>0</v>
      </c>
      <c r="Z92" s="5">
        <f>COUNTIF(F92:M92,"EVL")</f>
        <v>0</v>
      </c>
      <c r="AA92" s="5">
        <f>COUNTIF(F92:N92,"EVLS")</f>
        <v>0</v>
      </c>
    </row>
    <row r="93" spans="1:27" hidden="1">
      <c r="A93" s="336" t="s">
        <v>93</v>
      </c>
      <c r="B93" s="156" t="s">
        <v>313</v>
      </c>
      <c r="C93" s="157" t="s">
        <v>266</v>
      </c>
      <c r="D93" s="157" t="s">
        <v>26</v>
      </c>
      <c r="E93" s="158" t="s">
        <v>40</v>
      </c>
      <c r="F93" s="99" t="s">
        <v>147</v>
      </c>
      <c r="G93" s="98" t="s">
        <v>148</v>
      </c>
      <c r="H93" s="98" t="s">
        <v>148</v>
      </c>
      <c r="I93" s="98" t="s">
        <v>148</v>
      </c>
      <c r="J93" s="270" t="s">
        <v>148</v>
      </c>
      <c r="K93" s="269" t="s">
        <v>148</v>
      </c>
      <c r="L93" s="271" t="s">
        <v>147</v>
      </c>
      <c r="M93" s="54">
        <f>SUM(F93:L93)</f>
        <v>0</v>
      </c>
      <c r="N93" s="16">
        <f>M93-O93</f>
        <v>0</v>
      </c>
      <c r="O93" s="5">
        <f>SUMIF(F93:L93,"450")</f>
        <v>0</v>
      </c>
      <c r="P93" s="16">
        <f>N93+O93</f>
        <v>0</v>
      </c>
      <c r="Q93">
        <f>T93*450</f>
        <v>2250</v>
      </c>
      <c r="R93">
        <f>Q93-P93</f>
        <v>2250</v>
      </c>
      <c r="S93" s="39">
        <f>R93/Q93</f>
        <v>1</v>
      </c>
      <c r="T93">
        <f>U93-(W93+X93)</f>
        <v>5</v>
      </c>
      <c r="U93">
        <f>7-V93</f>
        <v>5</v>
      </c>
      <c r="V93" s="5">
        <f>COUNTIF(F93:L93,"RD")</f>
        <v>2</v>
      </c>
      <c r="W93" s="5">
        <f>COUNTIF(F93:L93,"VL")</f>
        <v>0</v>
      </c>
      <c r="X93" s="5">
        <f>COUNTIF(F93:L93,"LWOP")</f>
        <v>0</v>
      </c>
      <c r="Y93" s="5">
        <f>COUNTIF(F93:L93,"450")</f>
        <v>0</v>
      </c>
      <c r="Z93" s="5">
        <f>COUNTIF(F93:M93,"EVL")</f>
        <v>0</v>
      </c>
      <c r="AA93" s="5">
        <f>COUNTIF(F93:N93,"EVLS")</f>
        <v>0</v>
      </c>
    </row>
    <row r="94" spans="1:27" hidden="1">
      <c r="A94" s="339" t="s">
        <v>328</v>
      </c>
      <c r="B94" s="156" t="s">
        <v>303</v>
      </c>
      <c r="C94" s="157" t="s">
        <v>266</v>
      </c>
      <c r="D94" s="157" t="s">
        <v>26</v>
      </c>
      <c r="E94" s="158" t="s">
        <v>30</v>
      </c>
      <c r="F94" s="99" t="s">
        <v>147</v>
      </c>
      <c r="G94" s="98" t="s">
        <v>148</v>
      </c>
      <c r="H94" s="98" t="s">
        <v>148</v>
      </c>
      <c r="I94" s="98" t="s">
        <v>148</v>
      </c>
      <c r="J94" s="270" t="s">
        <v>148</v>
      </c>
      <c r="K94" s="270" t="s">
        <v>148</v>
      </c>
      <c r="L94" s="271" t="s">
        <v>147</v>
      </c>
      <c r="M94" s="54">
        <f>SUM(F94:L94)</f>
        <v>0</v>
      </c>
      <c r="N94" s="16">
        <f>M94-O94</f>
        <v>0</v>
      </c>
      <c r="O94" s="5">
        <f>SUMIF(F94:L94,"450")</f>
        <v>0</v>
      </c>
      <c r="P94" s="16">
        <f>N94+O94</f>
        <v>0</v>
      </c>
      <c r="Q94">
        <f>T94*450</f>
        <v>2250</v>
      </c>
      <c r="R94">
        <f>Q94-P94</f>
        <v>2250</v>
      </c>
      <c r="S94" s="39">
        <f>R94/Q94</f>
        <v>1</v>
      </c>
      <c r="T94">
        <f>U94-(W94+X94)</f>
        <v>5</v>
      </c>
      <c r="U94">
        <f>7-V94</f>
        <v>5</v>
      </c>
      <c r="V94" s="5">
        <f>COUNTIF(F94:L94,"RD")</f>
        <v>2</v>
      </c>
      <c r="W94" s="5">
        <f>COUNTIF(F94:L94,"VL")</f>
        <v>0</v>
      </c>
      <c r="X94" s="5">
        <f>COUNTIF(F94:L94,"LWOP")</f>
        <v>0</v>
      </c>
      <c r="Y94" s="5">
        <f>COUNTIF(F94:L94,"450")</f>
        <v>0</v>
      </c>
      <c r="Z94" s="5">
        <f>COUNTIF(F94:M94,"EVL")</f>
        <v>0</v>
      </c>
      <c r="AA94" s="5">
        <f>COUNTIF(F94:N94,"EVLS")</f>
        <v>0</v>
      </c>
    </row>
    <row r="95" spans="1:27" hidden="1">
      <c r="A95" s="336" t="s">
        <v>329</v>
      </c>
      <c r="B95" s="156" t="s">
        <v>303</v>
      </c>
      <c r="C95" s="157" t="s">
        <v>266</v>
      </c>
      <c r="D95" s="157" t="s">
        <v>26</v>
      </c>
      <c r="E95" s="158" t="s">
        <v>30</v>
      </c>
      <c r="F95" s="99" t="s">
        <v>147</v>
      </c>
      <c r="G95" s="98" t="s">
        <v>148</v>
      </c>
      <c r="H95" s="98" t="s">
        <v>148</v>
      </c>
      <c r="I95" s="270" t="s">
        <v>148</v>
      </c>
      <c r="J95" s="270" t="s">
        <v>148</v>
      </c>
      <c r="K95" s="270" t="s">
        <v>148</v>
      </c>
      <c r="L95" s="271" t="s">
        <v>147</v>
      </c>
      <c r="M95" s="54">
        <f>SUM(F95:L95)</f>
        <v>0</v>
      </c>
      <c r="N95" s="16">
        <f>M95-O95</f>
        <v>0</v>
      </c>
      <c r="O95" s="5">
        <f>SUMIF(F95:L95,"450")</f>
        <v>0</v>
      </c>
      <c r="P95" s="16">
        <f>N95+O95</f>
        <v>0</v>
      </c>
      <c r="Q95">
        <f>T95*450</f>
        <v>2250</v>
      </c>
      <c r="R95">
        <f>Q95-P95</f>
        <v>2250</v>
      </c>
      <c r="S95" s="39">
        <f>R95/Q95</f>
        <v>1</v>
      </c>
      <c r="T95">
        <f>U95-(W95+X95)</f>
        <v>5</v>
      </c>
      <c r="U95">
        <f>7-V95</f>
        <v>5</v>
      </c>
      <c r="V95" s="5">
        <f>COUNTIF(F95:L95,"RD")</f>
        <v>2</v>
      </c>
      <c r="W95" s="5">
        <f>COUNTIF(F95:L95,"VL")</f>
        <v>0</v>
      </c>
      <c r="X95" s="5">
        <f>COUNTIF(F95:L95,"LWOP")</f>
        <v>0</v>
      </c>
      <c r="Y95" s="5">
        <f>COUNTIF(F95:L95,"450")</f>
        <v>0</v>
      </c>
      <c r="Z95" s="5">
        <f>COUNTIF(F95:M95,"EVL")</f>
        <v>0</v>
      </c>
      <c r="AA95" s="5">
        <f>COUNTIF(F95:N95,"EVLS")</f>
        <v>0</v>
      </c>
    </row>
    <row r="96" spans="1:27" hidden="1">
      <c r="A96" s="162" t="s">
        <v>330</v>
      </c>
      <c r="B96" s="156" t="s">
        <v>303</v>
      </c>
      <c r="C96" s="157" t="s">
        <v>266</v>
      </c>
      <c r="D96" s="157" t="s">
        <v>26</v>
      </c>
      <c r="E96" s="158" t="s">
        <v>40</v>
      </c>
      <c r="F96" s="98" t="s">
        <v>148</v>
      </c>
      <c r="G96" s="270" t="s">
        <v>148</v>
      </c>
      <c r="H96" s="270" t="s">
        <v>148</v>
      </c>
      <c r="I96" s="271" t="s">
        <v>147</v>
      </c>
      <c r="J96" s="269">
        <v>450</v>
      </c>
      <c r="K96" s="270" t="s">
        <v>148</v>
      </c>
      <c r="L96" s="271" t="s">
        <v>147</v>
      </c>
      <c r="M96" s="54">
        <f>SUM(F96:L96)</f>
        <v>450</v>
      </c>
      <c r="N96" s="16">
        <f>M96-O96</f>
        <v>0</v>
      </c>
      <c r="O96" s="5">
        <f>SUMIF(F96:L96,"450")</f>
        <v>450</v>
      </c>
      <c r="P96" s="16">
        <f>N96+O96</f>
        <v>450</v>
      </c>
      <c r="Q96">
        <f>T96*450</f>
        <v>2250</v>
      </c>
      <c r="R96">
        <f>Q96-P96</f>
        <v>1800</v>
      </c>
      <c r="S96" s="39">
        <f>R96/Q96</f>
        <v>0.8</v>
      </c>
      <c r="T96">
        <f>U96-(W96+X96)</f>
        <v>5</v>
      </c>
      <c r="U96">
        <f>7-V96</f>
        <v>5</v>
      </c>
      <c r="V96" s="5">
        <f>COUNTIF(F96:L96,"RD")</f>
        <v>2</v>
      </c>
      <c r="W96" s="5">
        <f>COUNTIF(F96:L96,"VL")</f>
        <v>0</v>
      </c>
      <c r="X96" s="5">
        <f>COUNTIF(F96:L96,"LWOP")</f>
        <v>0</v>
      </c>
      <c r="Y96" s="5">
        <f>COUNTIF(F96:L96,"450")</f>
        <v>1</v>
      </c>
      <c r="Z96" s="5">
        <f>COUNTIF(F96:M96,"EVL")</f>
        <v>0</v>
      </c>
      <c r="AA96" s="5">
        <f>COUNTIF(F96:N96,"EVLS")</f>
        <v>0</v>
      </c>
    </row>
    <row r="97" spans="1:27" hidden="1">
      <c r="A97" s="162" t="s">
        <v>331</v>
      </c>
      <c r="B97" s="156" t="s">
        <v>332</v>
      </c>
      <c r="C97" s="157" t="s">
        <v>304</v>
      </c>
      <c r="D97" s="157" t="s">
        <v>26</v>
      </c>
      <c r="E97" s="158" t="s">
        <v>40</v>
      </c>
      <c r="F97" s="270" t="s">
        <v>148</v>
      </c>
      <c r="G97" s="271" t="s">
        <v>147</v>
      </c>
      <c r="H97" s="271" t="s">
        <v>147</v>
      </c>
      <c r="I97" s="98" t="s">
        <v>148</v>
      </c>
      <c r="J97" s="270" t="s">
        <v>148</v>
      </c>
      <c r="K97" s="270" t="s">
        <v>148</v>
      </c>
      <c r="L97" s="270" t="s">
        <v>148</v>
      </c>
      <c r="M97" s="54">
        <f>SUM(F97:L97)</f>
        <v>0</v>
      </c>
      <c r="N97" s="16">
        <f>M97-O97</f>
        <v>0</v>
      </c>
      <c r="O97" s="5">
        <f>SUMIF(F97:L97,"450")</f>
        <v>0</v>
      </c>
      <c r="P97" s="16">
        <f>N97+O97</f>
        <v>0</v>
      </c>
      <c r="Q97">
        <f>T97*450</f>
        <v>2250</v>
      </c>
      <c r="R97">
        <f>Q97-P97</f>
        <v>2250</v>
      </c>
      <c r="S97" s="39">
        <f>R97/Q97</f>
        <v>1</v>
      </c>
      <c r="T97">
        <f>U97-(W97+X97)</f>
        <v>5</v>
      </c>
      <c r="U97">
        <f>7-V97</f>
        <v>5</v>
      </c>
      <c r="V97" s="5">
        <f>COUNTIF(F97:L97,"RD")</f>
        <v>2</v>
      </c>
      <c r="W97" s="5">
        <f>COUNTIF(F97:L97,"VL")</f>
        <v>0</v>
      </c>
      <c r="X97" s="5">
        <f>COUNTIF(F97:L97,"LWOP")</f>
        <v>0</v>
      </c>
      <c r="Y97" s="5">
        <f>COUNTIF(F97:L97,"450")</f>
        <v>0</v>
      </c>
      <c r="Z97" s="5">
        <f>COUNTIF(F97:M97,"EVL")</f>
        <v>0</v>
      </c>
      <c r="AA97" s="5">
        <f>COUNTIF(F97:N97,"EVLS")</f>
        <v>0</v>
      </c>
    </row>
    <row r="98" spans="1:27" hidden="1">
      <c r="A98" s="162" t="s">
        <v>109</v>
      </c>
      <c r="B98" s="156" t="s">
        <v>300</v>
      </c>
      <c r="C98" s="157" t="s">
        <v>266</v>
      </c>
      <c r="D98" s="157" t="s">
        <v>26</v>
      </c>
      <c r="E98" s="158" t="s">
        <v>25</v>
      </c>
      <c r="F98" s="271" t="s">
        <v>147</v>
      </c>
      <c r="G98" s="98" t="s">
        <v>148</v>
      </c>
      <c r="H98" s="270" t="s">
        <v>148</v>
      </c>
      <c r="I98" s="270" t="s">
        <v>148</v>
      </c>
      <c r="J98" s="270" t="s">
        <v>148</v>
      </c>
      <c r="K98" s="270" t="s">
        <v>148</v>
      </c>
      <c r="L98" s="271" t="s">
        <v>147</v>
      </c>
      <c r="M98" s="54">
        <f>SUM(F98:L98)</f>
        <v>0</v>
      </c>
      <c r="N98" s="16">
        <f>M98-O98</f>
        <v>0</v>
      </c>
      <c r="O98" s="5">
        <f>SUMIF(F98:L98,"450")</f>
        <v>0</v>
      </c>
      <c r="P98" s="16">
        <f>N98+O98</f>
        <v>0</v>
      </c>
      <c r="Q98">
        <f>T98*450</f>
        <v>2250</v>
      </c>
      <c r="R98">
        <f>Q98-P98</f>
        <v>2250</v>
      </c>
      <c r="S98" s="39">
        <f>R98/Q98</f>
        <v>1</v>
      </c>
      <c r="T98">
        <f>U98-(W98+X98)</f>
        <v>5</v>
      </c>
      <c r="U98">
        <f>7-V98</f>
        <v>5</v>
      </c>
      <c r="V98" s="5">
        <f>COUNTIF(F98:L98,"RD")</f>
        <v>2</v>
      </c>
      <c r="W98" s="5">
        <f>COUNTIF(F98:L98,"VL")</f>
        <v>0</v>
      </c>
      <c r="X98" s="5">
        <f>COUNTIF(F98:L98,"LWOP")</f>
        <v>0</v>
      </c>
      <c r="Y98" s="5">
        <f>COUNTIF(F98:L98,"450")</f>
        <v>0</v>
      </c>
      <c r="Z98" s="5">
        <f>COUNTIF(F98:M98,"EVL")</f>
        <v>0</v>
      </c>
      <c r="AA98" s="5">
        <f>COUNTIF(F98:N98,"EVLS")</f>
        <v>0</v>
      </c>
    </row>
    <row r="99" spans="1:27" hidden="1">
      <c r="A99" s="162" t="s">
        <v>333</v>
      </c>
      <c r="B99" s="156" t="s">
        <v>332</v>
      </c>
      <c r="C99" s="157" t="s">
        <v>266</v>
      </c>
      <c r="D99" s="157" t="s">
        <v>26</v>
      </c>
      <c r="E99" s="158" t="s">
        <v>40</v>
      </c>
      <c r="F99" s="99" t="s">
        <v>147</v>
      </c>
      <c r="G99" s="98" t="s">
        <v>148</v>
      </c>
      <c r="H99" s="98" t="s">
        <v>148</v>
      </c>
      <c r="I99" s="98" t="s">
        <v>148</v>
      </c>
      <c r="J99" s="270" t="s">
        <v>148</v>
      </c>
      <c r="K99" s="270" t="s">
        <v>148</v>
      </c>
      <c r="L99" s="271" t="s">
        <v>147</v>
      </c>
      <c r="M99" s="54">
        <f>SUM(F99:L99)</f>
        <v>0</v>
      </c>
      <c r="N99" s="16">
        <f>M99-O99</f>
        <v>0</v>
      </c>
      <c r="O99" s="5">
        <f>SUMIF(F99:L99,"450")</f>
        <v>0</v>
      </c>
      <c r="P99" s="16">
        <f>N99+O99</f>
        <v>0</v>
      </c>
      <c r="Q99">
        <f>T99*450</f>
        <v>2250</v>
      </c>
      <c r="R99">
        <f>Q99-P99</f>
        <v>2250</v>
      </c>
      <c r="S99" s="39">
        <f>R99/Q99</f>
        <v>1</v>
      </c>
      <c r="T99">
        <f>U99-(W99+X99)</f>
        <v>5</v>
      </c>
      <c r="U99">
        <f>7-V99</f>
        <v>5</v>
      </c>
      <c r="V99" s="5">
        <f>COUNTIF(F99:L99,"RD")</f>
        <v>2</v>
      </c>
      <c r="W99" s="5">
        <f>COUNTIF(F99:L99,"VL")</f>
        <v>0</v>
      </c>
      <c r="X99" s="5">
        <f>COUNTIF(F99:L99,"LWOP")</f>
        <v>0</v>
      </c>
      <c r="Y99" s="5">
        <f>COUNTIF(F99:L99,"450")</f>
        <v>0</v>
      </c>
      <c r="Z99" s="5">
        <f>COUNTIF(F99:M99,"EVL")</f>
        <v>0</v>
      </c>
      <c r="AA99" s="5">
        <f>COUNTIF(F99:N99,"EVLS")</f>
        <v>0</v>
      </c>
    </row>
    <row r="100" spans="1:27" hidden="1">
      <c r="A100" s="162" t="s">
        <v>334</v>
      </c>
      <c r="B100" s="156" t="s">
        <v>265</v>
      </c>
      <c r="C100" s="157" t="s">
        <v>307</v>
      </c>
      <c r="D100" s="157" t="s">
        <v>26</v>
      </c>
      <c r="E100" s="158" t="s">
        <v>40</v>
      </c>
      <c r="F100" s="270" t="s">
        <v>148</v>
      </c>
      <c r="G100" s="98" t="s">
        <v>148</v>
      </c>
      <c r="H100" s="271" t="s">
        <v>147</v>
      </c>
      <c r="I100" s="271" t="s">
        <v>147</v>
      </c>
      <c r="J100" s="270" t="s">
        <v>148</v>
      </c>
      <c r="K100" s="270" t="s">
        <v>148</v>
      </c>
      <c r="L100" s="270" t="s">
        <v>148</v>
      </c>
      <c r="M100" s="54">
        <f>SUM(F100:L100)</f>
        <v>0</v>
      </c>
      <c r="N100" s="16">
        <f>M100-O100</f>
        <v>0</v>
      </c>
      <c r="O100" s="5">
        <f>SUMIF(F100:L100,"450")</f>
        <v>0</v>
      </c>
      <c r="P100" s="16">
        <f>N100+O100</f>
        <v>0</v>
      </c>
      <c r="Q100">
        <f>T100*450</f>
        <v>2250</v>
      </c>
      <c r="R100">
        <f>Q100-P100</f>
        <v>2250</v>
      </c>
      <c r="S100" s="39">
        <f>R100/Q100</f>
        <v>1</v>
      </c>
      <c r="T100">
        <f>U100-(W100+X100)</f>
        <v>5</v>
      </c>
      <c r="U100">
        <f>7-V100</f>
        <v>5</v>
      </c>
      <c r="V100" s="5">
        <f>COUNTIF(F100:L100,"RD")</f>
        <v>2</v>
      </c>
      <c r="W100" s="5">
        <f>COUNTIF(F100:L100,"VL")</f>
        <v>0</v>
      </c>
      <c r="X100" s="5">
        <f>COUNTIF(F100:L100,"LWOP")</f>
        <v>0</v>
      </c>
      <c r="Y100" s="5">
        <f>COUNTIF(F100:L100,"450")</f>
        <v>0</v>
      </c>
      <c r="Z100" s="5">
        <f>COUNTIF(F100:M100,"EVL")</f>
        <v>0</v>
      </c>
      <c r="AA100" s="5">
        <f>COUNTIF(F100:N100,"EVLS")</f>
        <v>0</v>
      </c>
    </row>
    <row r="101" spans="1:27" hidden="1">
      <c r="A101" s="162" t="s">
        <v>235</v>
      </c>
      <c r="B101" s="156" t="s">
        <v>303</v>
      </c>
      <c r="C101" s="157" t="s">
        <v>266</v>
      </c>
      <c r="D101" s="157" t="s">
        <v>26</v>
      </c>
      <c r="E101" s="158" t="s">
        <v>30</v>
      </c>
      <c r="F101" s="271" t="s">
        <v>147</v>
      </c>
      <c r="G101" s="98" t="s">
        <v>148</v>
      </c>
      <c r="H101" s="270" t="s">
        <v>148</v>
      </c>
      <c r="I101" s="270" t="s">
        <v>148</v>
      </c>
      <c r="J101" s="270" t="s">
        <v>148</v>
      </c>
      <c r="K101" s="270" t="s">
        <v>148</v>
      </c>
      <c r="L101" s="271" t="s">
        <v>147</v>
      </c>
      <c r="M101" s="54">
        <f>SUM(F101:L101)</f>
        <v>0</v>
      </c>
      <c r="N101" s="16">
        <f>M101-O101</f>
        <v>0</v>
      </c>
      <c r="O101" s="5">
        <f>SUMIF(F101:L101,"450")</f>
        <v>0</v>
      </c>
      <c r="P101" s="16">
        <f>N101+O101</f>
        <v>0</v>
      </c>
      <c r="Q101">
        <f>T101*450</f>
        <v>2250</v>
      </c>
      <c r="R101">
        <f>Q101-P101</f>
        <v>2250</v>
      </c>
      <c r="S101" s="39">
        <f>R101/Q101</f>
        <v>1</v>
      </c>
      <c r="T101">
        <f>U101-(W101+X101)</f>
        <v>5</v>
      </c>
      <c r="U101">
        <f>7-V101</f>
        <v>5</v>
      </c>
      <c r="V101" s="5">
        <f>COUNTIF(F101:L101,"RD")</f>
        <v>2</v>
      </c>
      <c r="W101" s="5">
        <f>COUNTIF(F101:L101,"VL")</f>
        <v>0</v>
      </c>
      <c r="X101" s="5">
        <f>COUNTIF(F101:L101,"LWOP")</f>
        <v>0</v>
      </c>
      <c r="Y101" s="5">
        <f>COUNTIF(F101:L101,"450")</f>
        <v>0</v>
      </c>
      <c r="Z101" s="5">
        <f>COUNTIF(F101:M101,"EVL")</f>
        <v>0</v>
      </c>
      <c r="AA101" s="5">
        <f>COUNTIF(F101:N101,"EVLS")</f>
        <v>0</v>
      </c>
    </row>
    <row r="102" spans="1:27" hidden="1">
      <c r="A102" s="162" t="s">
        <v>119</v>
      </c>
      <c r="B102" s="156" t="s">
        <v>313</v>
      </c>
      <c r="C102" s="157" t="s">
        <v>316</v>
      </c>
      <c r="D102" s="157" t="s">
        <v>26</v>
      </c>
      <c r="E102" s="158" t="s">
        <v>33</v>
      </c>
      <c r="F102" s="271" t="s">
        <v>147</v>
      </c>
      <c r="G102" s="98" t="s">
        <v>148</v>
      </c>
      <c r="H102" s="270" t="s">
        <v>148</v>
      </c>
      <c r="I102" s="270" t="s">
        <v>148</v>
      </c>
      <c r="J102" s="270" t="s">
        <v>148</v>
      </c>
      <c r="K102" s="270" t="s">
        <v>148</v>
      </c>
      <c r="L102" s="271" t="s">
        <v>147</v>
      </c>
      <c r="M102" s="54">
        <f>SUM(F102:L102)</f>
        <v>0</v>
      </c>
      <c r="N102" s="16">
        <f>M102-O102</f>
        <v>0</v>
      </c>
      <c r="O102" s="5">
        <f>SUMIF(F102:L102,"450")</f>
        <v>0</v>
      </c>
      <c r="P102" s="16">
        <f>N102+O102</f>
        <v>0</v>
      </c>
      <c r="Q102">
        <f>T102*450</f>
        <v>2250</v>
      </c>
      <c r="R102">
        <f>Q102-P102</f>
        <v>2250</v>
      </c>
      <c r="S102" s="39">
        <f>R102/Q102</f>
        <v>1</v>
      </c>
      <c r="T102">
        <f>U102-(W102+X102)</f>
        <v>5</v>
      </c>
      <c r="U102">
        <f>7-V102</f>
        <v>5</v>
      </c>
      <c r="V102" s="5">
        <f>COUNTIF(F102:L102,"RD")</f>
        <v>2</v>
      </c>
      <c r="W102" s="5">
        <f>COUNTIF(F102:L102,"VL")</f>
        <v>0</v>
      </c>
      <c r="X102" s="5">
        <f>COUNTIF(F102:L102,"LWOP")</f>
        <v>0</v>
      </c>
      <c r="Y102" s="5">
        <f>COUNTIF(F102:L102,"450")</f>
        <v>0</v>
      </c>
      <c r="Z102" s="5">
        <f>COUNTIF(F102:M102,"EVL")</f>
        <v>0</v>
      </c>
      <c r="AA102" s="5">
        <f>COUNTIF(F102:N102,"EVLS")</f>
        <v>0</v>
      </c>
    </row>
    <row r="103" spans="1:27" hidden="1">
      <c r="A103" s="338" t="s">
        <v>123</v>
      </c>
      <c r="B103" s="156" t="s">
        <v>303</v>
      </c>
      <c r="C103" s="157" t="s">
        <v>266</v>
      </c>
      <c r="D103" s="340" t="s">
        <v>26</v>
      </c>
      <c r="E103" s="341" t="s">
        <v>40</v>
      </c>
      <c r="F103" s="271" t="s">
        <v>147</v>
      </c>
      <c r="G103" s="270" t="s">
        <v>148</v>
      </c>
      <c r="H103" s="270" t="s">
        <v>148</v>
      </c>
      <c r="I103" s="98" t="s">
        <v>148</v>
      </c>
      <c r="J103" s="270" t="s">
        <v>148</v>
      </c>
      <c r="K103" s="270" t="s">
        <v>148</v>
      </c>
      <c r="L103" s="271" t="s">
        <v>147</v>
      </c>
      <c r="M103" s="54">
        <f>SUM(F103:L103)</f>
        <v>0</v>
      </c>
      <c r="N103" s="16">
        <f>M103-O103</f>
        <v>0</v>
      </c>
      <c r="O103" s="5">
        <f>SUMIF(F103:L103,"450")</f>
        <v>0</v>
      </c>
      <c r="P103" s="16">
        <f>N103+O103</f>
        <v>0</v>
      </c>
      <c r="Q103">
        <f>T103*450</f>
        <v>2250</v>
      </c>
      <c r="R103">
        <f>Q103-P103</f>
        <v>2250</v>
      </c>
      <c r="S103" s="39">
        <f>R103/Q103</f>
        <v>1</v>
      </c>
      <c r="T103">
        <f>U103-(W103+X103)</f>
        <v>5</v>
      </c>
      <c r="U103">
        <f>7-V103</f>
        <v>5</v>
      </c>
      <c r="V103" s="5">
        <f>COUNTIF(F103:L103,"RD")</f>
        <v>2</v>
      </c>
      <c r="W103" s="5">
        <f>COUNTIF(F103:L103,"VL")</f>
        <v>0</v>
      </c>
      <c r="X103" s="5">
        <f>COUNTIF(F103:L103,"LWOP")</f>
        <v>0</v>
      </c>
      <c r="Y103" s="5">
        <f>COUNTIF(F103:L103,"450")</f>
        <v>0</v>
      </c>
      <c r="Z103" s="5">
        <f>COUNTIF(F103:M103,"EVL")</f>
        <v>0</v>
      </c>
      <c r="AA103" s="5">
        <f>COUNTIF(F103:N103,"EVLS")</f>
        <v>0</v>
      </c>
    </row>
    <row r="104" spans="1:27" hidden="1">
      <c r="A104" s="342" t="s">
        <v>335</v>
      </c>
      <c r="B104" s="156" t="s">
        <v>313</v>
      </c>
      <c r="C104" s="340" t="s">
        <v>266</v>
      </c>
      <c r="D104" s="166" t="s">
        <v>26</v>
      </c>
      <c r="E104" s="167" t="s">
        <v>40</v>
      </c>
      <c r="F104" s="98" t="s">
        <v>148</v>
      </c>
      <c r="G104" s="271" t="s">
        <v>147</v>
      </c>
      <c r="H104" s="271" t="s">
        <v>147</v>
      </c>
      <c r="I104" s="98" t="s">
        <v>148</v>
      </c>
      <c r="J104" s="270" t="s">
        <v>148</v>
      </c>
      <c r="K104" s="269" t="s">
        <v>148</v>
      </c>
      <c r="L104" s="269" t="s">
        <v>148</v>
      </c>
      <c r="M104" s="54">
        <f>SUM(F104:L104)</f>
        <v>0</v>
      </c>
      <c r="N104" s="16">
        <f>M104-O104</f>
        <v>0</v>
      </c>
      <c r="O104" s="5">
        <f>SUMIF(F104:L104,"450")</f>
        <v>0</v>
      </c>
      <c r="P104" s="16">
        <f>N104+O104</f>
        <v>0</v>
      </c>
      <c r="Q104">
        <f>T104*450</f>
        <v>2250</v>
      </c>
      <c r="R104">
        <f>Q104-P104</f>
        <v>2250</v>
      </c>
      <c r="S104" s="39">
        <f>R104/Q104</f>
        <v>1</v>
      </c>
      <c r="T104">
        <f>U104-(W104+X104)</f>
        <v>5</v>
      </c>
      <c r="U104">
        <f>7-V104</f>
        <v>5</v>
      </c>
      <c r="V104" s="5">
        <f>COUNTIF(F104:L104,"RD")</f>
        <v>2</v>
      </c>
      <c r="W104" s="5">
        <f>COUNTIF(F104:L104,"VL")</f>
        <v>0</v>
      </c>
      <c r="X104" s="5">
        <f>COUNTIF(F104:L104,"LWOP")</f>
        <v>0</v>
      </c>
      <c r="Y104" s="5">
        <f>COUNTIF(F104:L104,"450")</f>
        <v>0</v>
      </c>
      <c r="Z104" s="5">
        <f>COUNTIF(F104:M104,"EVL")</f>
        <v>0</v>
      </c>
      <c r="AA104" s="5">
        <f>COUNTIF(F104:N104,"EVLS")</f>
        <v>0</v>
      </c>
    </row>
    <row r="105" spans="1:27" hidden="1">
      <c r="A105" s="168" t="s">
        <v>126</v>
      </c>
      <c r="B105" s="156" t="s">
        <v>332</v>
      </c>
      <c r="C105" s="343" t="s">
        <v>336</v>
      </c>
      <c r="D105" s="166" t="s">
        <v>26</v>
      </c>
      <c r="E105" s="167" t="s">
        <v>40</v>
      </c>
      <c r="F105" s="270" t="s">
        <v>148</v>
      </c>
      <c r="G105" s="98" t="s">
        <v>148</v>
      </c>
      <c r="H105" s="98" t="s">
        <v>148</v>
      </c>
      <c r="I105" s="270" t="s">
        <v>148</v>
      </c>
      <c r="J105" s="271" t="s">
        <v>147</v>
      </c>
      <c r="K105" s="271" t="s">
        <v>147</v>
      </c>
      <c r="L105" s="269" t="s">
        <v>148</v>
      </c>
      <c r="M105" s="54">
        <f>SUM(F105:L105)</f>
        <v>0</v>
      </c>
      <c r="N105" s="16">
        <f>M105-O105</f>
        <v>0</v>
      </c>
      <c r="O105" s="5">
        <f>SUMIF(F105:L105,"450")</f>
        <v>0</v>
      </c>
      <c r="P105" s="16">
        <f>N105+O105</f>
        <v>0</v>
      </c>
      <c r="Q105">
        <f>T105*450</f>
        <v>2250</v>
      </c>
      <c r="R105">
        <f>Q105-P105</f>
        <v>2250</v>
      </c>
      <c r="S105" s="39">
        <f>R105/Q105</f>
        <v>1</v>
      </c>
      <c r="T105">
        <f>U105-(W105+X105)</f>
        <v>5</v>
      </c>
      <c r="U105">
        <f>7-V105</f>
        <v>5</v>
      </c>
      <c r="V105" s="5">
        <f>COUNTIF(F105:L105,"RD")</f>
        <v>2</v>
      </c>
      <c r="W105" s="5">
        <f>COUNTIF(F105:L105,"VL")</f>
        <v>0</v>
      </c>
      <c r="X105" s="5">
        <f>COUNTIF(F105:L105,"LWOP")</f>
        <v>0</v>
      </c>
      <c r="Y105" s="5">
        <f>COUNTIF(F105:L105,"450")</f>
        <v>0</v>
      </c>
      <c r="Z105" s="5">
        <f>COUNTIF(F105:M105,"EVL")</f>
        <v>0</v>
      </c>
      <c r="AA105" s="5">
        <f>COUNTIF(F105:N105,"EVLS")</f>
        <v>0</v>
      </c>
    </row>
    <row r="106" spans="1:27" hidden="1">
      <c r="A106" s="344" t="s">
        <v>131</v>
      </c>
      <c r="B106" s="156" t="s">
        <v>265</v>
      </c>
      <c r="C106" s="170" t="s">
        <v>266</v>
      </c>
      <c r="D106" s="345" t="s">
        <v>26</v>
      </c>
      <c r="E106" s="346" t="s">
        <v>40</v>
      </c>
      <c r="F106" s="99" t="s">
        <v>147</v>
      </c>
      <c r="G106" s="98" t="s">
        <v>148</v>
      </c>
      <c r="H106" s="98" t="s">
        <v>148</v>
      </c>
      <c r="I106" s="269">
        <v>450</v>
      </c>
      <c r="J106" s="269">
        <v>450</v>
      </c>
      <c r="K106" s="272">
        <v>105</v>
      </c>
      <c r="L106" s="271" t="s">
        <v>147</v>
      </c>
      <c r="M106" s="54">
        <f>SUM(F106:L106)</f>
        <v>1005</v>
      </c>
      <c r="N106" s="16">
        <f>M106-O106</f>
        <v>105</v>
      </c>
      <c r="O106" s="5">
        <f>SUMIF(F106:L106,"450")</f>
        <v>900</v>
      </c>
      <c r="P106" s="16">
        <f>N106+O106</f>
        <v>1005</v>
      </c>
      <c r="Q106">
        <f>T106*450</f>
        <v>2250</v>
      </c>
      <c r="R106">
        <f>Q106-P106</f>
        <v>1245</v>
      </c>
      <c r="S106" s="39">
        <f>R106/Q106</f>
        <v>0.55333333333333334</v>
      </c>
      <c r="T106">
        <f>U106-(W106+X106)</f>
        <v>5</v>
      </c>
      <c r="U106">
        <f>7-V106</f>
        <v>5</v>
      </c>
      <c r="V106" s="5">
        <f>COUNTIF(F106:L106,"RD")</f>
        <v>2</v>
      </c>
      <c r="W106" s="5">
        <f>COUNTIF(F106:L106,"VL")</f>
        <v>0</v>
      </c>
      <c r="X106" s="5">
        <f>COUNTIF(F106:L106,"LWOP")</f>
        <v>0</v>
      </c>
      <c r="Y106" s="5">
        <f>COUNTIF(F106:L106,"450")</f>
        <v>2</v>
      </c>
      <c r="Z106" s="5">
        <f>COUNTIF(F106:M106,"EVL")</f>
        <v>0</v>
      </c>
      <c r="AA106" s="5">
        <f>COUNTIF(F106:N106,"EVLS")</f>
        <v>0</v>
      </c>
    </row>
    <row r="107" spans="1:27" hidden="1">
      <c r="A107" s="347" t="s">
        <v>133</v>
      </c>
      <c r="B107" s="156" t="s">
        <v>300</v>
      </c>
      <c r="C107" s="170" t="s">
        <v>266</v>
      </c>
      <c r="D107" s="343" t="s">
        <v>26</v>
      </c>
      <c r="E107" s="348" t="s">
        <v>40</v>
      </c>
      <c r="F107" s="99" t="s">
        <v>147</v>
      </c>
      <c r="G107" s="98" t="s">
        <v>148</v>
      </c>
      <c r="H107" s="98" t="s">
        <v>148</v>
      </c>
      <c r="I107" s="98" t="s">
        <v>148</v>
      </c>
      <c r="J107" s="270" t="s">
        <v>148</v>
      </c>
      <c r="K107" s="269">
        <v>450</v>
      </c>
      <c r="L107" s="269" t="s">
        <v>148</v>
      </c>
      <c r="M107" s="54">
        <f>SUM(F107:L107)</f>
        <v>450</v>
      </c>
      <c r="N107" s="16">
        <f>M107-O107</f>
        <v>0</v>
      </c>
      <c r="O107" s="5">
        <f>SUMIF(F107:L107,"450")</f>
        <v>450</v>
      </c>
      <c r="P107" s="16">
        <f>N107+O107</f>
        <v>450</v>
      </c>
      <c r="Q107">
        <f>T107*450</f>
        <v>2700</v>
      </c>
      <c r="R107">
        <f>Q107-P107</f>
        <v>2250</v>
      </c>
      <c r="S107" s="39">
        <f>R107/Q107</f>
        <v>0.83333333333333337</v>
      </c>
      <c r="T107">
        <f>U107-(W107+X107)</f>
        <v>6</v>
      </c>
      <c r="U107">
        <f>7-V107</f>
        <v>6</v>
      </c>
      <c r="V107" s="5">
        <f>COUNTIF(F107:L107,"RD")</f>
        <v>1</v>
      </c>
      <c r="W107" s="5">
        <f>COUNTIF(F107:L107,"VL")</f>
        <v>0</v>
      </c>
      <c r="X107" s="5">
        <f>COUNTIF(F107:L107,"LWOP")</f>
        <v>0</v>
      </c>
      <c r="Y107" s="5">
        <f>COUNTIF(F107:L107,"450")</f>
        <v>1</v>
      </c>
      <c r="Z107" s="5">
        <f>COUNTIF(F107:M107,"EVL")</f>
        <v>0</v>
      </c>
      <c r="AA107" s="5">
        <f>COUNTIF(F107:N107,"EVLS")</f>
        <v>0</v>
      </c>
    </row>
    <row r="108" spans="1:27" hidden="1">
      <c r="A108" s="339" t="s">
        <v>23</v>
      </c>
      <c r="B108" s="156" t="s">
        <v>265</v>
      </c>
      <c r="C108" s="170" t="s">
        <v>266</v>
      </c>
      <c r="D108" s="349" t="s">
        <v>22</v>
      </c>
      <c r="E108" s="350" t="s">
        <v>25</v>
      </c>
      <c r="F108" s="99" t="s">
        <v>147</v>
      </c>
      <c r="G108" s="270" t="s">
        <v>148</v>
      </c>
      <c r="H108" s="98" t="s">
        <v>148</v>
      </c>
      <c r="I108" s="98" t="s">
        <v>148</v>
      </c>
      <c r="J108" s="270" t="s">
        <v>148</v>
      </c>
      <c r="K108" s="270" t="s">
        <v>148</v>
      </c>
      <c r="L108" s="271" t="s">
        <v>147</v>
      </c>
      <c r="M108" s="54">
        <f>SUM(F108:L108)</f>
        <v>0</v>
      </c>
      <c r="N108" s="16">
        <f>M108-O108</f>
        <v>0</v>
      </c>
      <c r="O108" s="5">
        <f>SUMIF(F108:L108,"450")</f>
        <v>0</v>
      </c>
      <c r="P108" s="16">
        <f>N108+O108</f>
        <v>0</v>
      </c>
      <c r="Q108">
        <f>T108*450</f>
        <v>2250</v>
      </c>
      <c r="R108">
        <f>Q108-P108</f>
        <v>2250</v>
      </c>
      <c r="S108" s="39">
        <f>R108/Q108</f>
        <v>1</v>
      </c>
      <c r="T108">
        <f>U108-(W108+X108)</f>
        <v>5</v>
      </c>
      <c r="U108">
        <f>7-V108</f>
        <v>5</v>
      </c>
      <c r="V108" s="5">
        <f>COUNTIF(F108:L108,"RD")</f>
        <v>2</v>
      </c>
      <c r="W108" s="5">
        <f>COUNTIF(F108:L108,"VL")</f>
        <v>0</v>
      </c>
      <c r="X108" s="5">
        <f>COUNTIF(F108:L108,"LWOP")</f>
        <v>0</v>
      </c>
      <c r="Y108" s="5">
        <f>COUNTIF(F108:L108,"450")</f>
        <v>0</v>
      </c>
      <c r="Z108" s="5">
        <f>COUNTIF(F108:M108,"EVL")</f>
        <v>0</v>
      </c>
      <c r="AA108" s="5">
        <f>COUNTIF(F108:N108,"EVLS")</f>
        <v>0</v>
      </c>
    </row>
    <row r="109" spans="1:27" hidden="1">
      <c r="A109" s="164" t="s">
        <v>55</v>
      </c>
      <c r="B109" s="156" t="s">
        <v>265</v>
      </c>
      <c r="C109" s="170" t="s">
        <v>266</v>
      </c>
      <c r="D109" s="157" t="s">
        <v>22</v>
      </c>
      <c r="E109" s="158" t="s">
        <v>56</v>
      </c>
      <c r="F109" s="99" t="s">
        <v>147</v>
      </c>
      <c r="G109" s="308" t="s">
        <v>12</v>
      </c>
      <c r="H109" s="98" t="s">
        <v>148</v>
      </c>
      <c r="I109" s="98" t="s">
        <v>148</v>
      </c>
      <c r="J109" s="270" t="s">
        <v>148</v>
      </c>
      <c r="K109" s="270" t="s">
        <v>148</v>
      </c>
      <c r="L109" s="271" t="s">
        <v>147</v>
      </c>
      <c r="M109" s="54">
        <f>SUM(F109:L109)</f>
        <v>0</v>
      </c>
      <c r="N109" s="16">
        <f>M109-O109</f>
        <v>0</v>
      </c>
      <c r="O109" s="5">
        <f>SUMIF(F109:L109,"450")</f>
        <v>0</v>
      </c>
      <c r="P109" s="16">
        <f>N109+O109</f>
        <v>0</v>
      </c>
      <c r="Q109">
        <f>T109*450</f>
        <v>1800</v>
      </c>
      <c r="R109">
        <f>Q109-P109</f>
        <v>1800</v>
      </c>
      <c r="S109" s="39">
        <f>R109/Q109</f>
        <v>1</v>
      </c>
      <c r="T109">
        <f>U109-(W109+X109)</f>
        <v>4</v>
      </c>
      <c r="U109">
        <f>7-V109</f>
        <v>5</v>
      </c>
      <c r="V109" s="5">
        <f>COUNTIF(F109:L109,"RD")</f>
        <v>2</v>
      </c>
      <c r="W109" s="5">
        <f>COUNTIF(F109:L109,"VL")</f>
        <v>1</v>
      </c>
      <c r="X109" s="5">
        <f>COUNTIF(F109:L109,"LWOP")</f>
        <v>0</v>
      </c>
      <c r="Y109" s="5">
        <f>COUNTIF(F109:L109,"450")</f>
        <v>0</v>
      </c>
      <c r="Z109" s="5">
        <f>COUNTIF(F109:M109,"EVL")</f>
        <v>0</v>
      </c>
      <c r="AA109" s="5">
        <f>COUNTIF(F109:N109,"EVLS")</f>
        <v>0</v>
      </c>
    </row>
    <row r="110" spans="1:27" hidden="1">
      <c r="A110" s="164" t="s">
        <v>61</v>
      </c>
      <c r="B110" s="156" t="s">
        <v>265</v>
      </c>
      <c r="C110" s="170" t="s">
        <v>266</v>
      </c>
      <c r="D110" s="157" t="s">
        <v>22</v>
      </c>
      <c r="E110" s="158" t="s">
        <v>63</v>
      </c>
      <c r="F110" s="99" t="s">
        <v>147</v>
      </c>
      <c r="G110" s="98" t="s">
        <v>148</v>
      </c>
      <c r="H110" s="98" t="s">
        <v>148</v>
      </c>
      <c r="I110" s="98" t="s">
        <v>148</v>
      </c>
      <c r="J110" s="270" t="s">
        <v>148</v>
      </c>
      <c r="K110" s="270" t="s">
        <v>148</v>
      </c>
      <c r="L110" s="271" t="s">
        <v>147</v>
      </c>
      <c r="M110" s="54">
        <f>SUM(F110:L110)</f>
        <v>0</v>
      </c>
      <c r="N110" s="16">
        <f>M110-O110</f>
        <v>0</v>
      </c>
      <c r="O110" s="5">
        <f>SUMIF(F110:L110,"450")</f>
        <v>0</v>
      </c>
      <c r="P110" s="16">
        <f>N110+O110</f>
        <v>0</v>
      </c>
      <c r="Q110">
        <f>T110*450</f>
        <v>2250</v>
      </c>
      <c r="R110">
        <f>Q110-P110</f>
        <v>2250</v>
      </c>
      <c r="S110" s="39">
        <f>R110/Q110</f>
        <v>1</v>
      </c>
      <c r="T110">
        <f>U110-(W110+X110)</f>
        <v>5</v>
      </c>
      <c r="U110">
        <f>7-V110</f>
        <v>5</v>
      </c>
      <c r="V110" s="5">
        <f>COUNTIF(F110:L110,"RD")</f>
        <v>2</v>
      </c>
      <c r="W110" s="5">
        <f>COUNTIF(F110:L110,"VL")</f>
        <v>0</v>
      </c>
      <c r="X110" s="5">
        <f>COUNTIF(F110:L110,"LWOP")</f>
        <v>0</v>
      </c>
      <c r="Y110" s="5">
        <f>COUNTIF(F110:L110,"450")</f>
        <v>0</v>
      </c>
      <c r="Z110" s="5">
        <f>COUNTIF(F110:M110,"EVL")</f>
        <v>0</v>
      </c>
      <c r="AA110" s="5">
        <f>COUNTIF(F110:N110,"EVLS")</f>
        <v>0</v>
      </c>
    </row>
    <row r="111" spans="1:27" hidden="1">
      <c r="A111" s="164" t="s">
        <v>337</v>
      </c>
      <c r="B111" s="156" t="s">
        <v>265</v>
      </c>
      <c r="C111" s="170" t="s">
        <v>266</v>
      </c>
      <c r="D111" s="157" t="s">
        <v>22</v>
      </c>
      <c r="E111" s="158" t="s">
        <v>33</v>
      </c>
      <c r="F111" s="99" t="s">
        <v>147</v>
      </c>
      <c r="G111" s="98" t="s">
        <v>148</v>
      </c>
      <c r="H111" s="98" t="s">
        <v>148</v>
      </c>
      <c r="I111" s="98" t="s">
        <v>148</v>
      </c>
      <c r="J111" s="270" t="s">
        <v>148</v>
      </c>
      <c r="K111" s="270" t="s">
        <v>148</v>
      </c>
      <c r="L111" s="271" t="s">
        <v>147</v>
      </c>
      <c r="M111" s="54">
        <f>SUM(F111:L111)</f>
        <v>0</v>
      </c>
      <c r="N111" s="16">
        <f>M111-O111</f>
        <v>0</v>
      </c>
      <c r="O111" s="5">
        <f>SUMIF(F111:L111,"450")</f>
        <v>0</v>
      </c>
      <c r="P111" s="16">
        <f>N111+O111</f>
        <v>0</v>
      </c>
      <c r="Q111">
        <f>T111*450</f>
        <v>2250</v>
      </c>
      <c r="R111">
        <f>Q111-P111</f>
        <v>2250</v>
      </c>
      <c r="S111" s="39">
        <f>R111/Q111</f>
        <v>1</v>
      </c>
      <c r="T111">
        <f>U111-(W111+X111)</f>
        <v>5</v>
      </c>
      <c r="U111">
        <f>7-V111</f>
        <v>5</v>
      </c>
      <c r="V111" s="5">
        <f>COUNTIF(F111:L111,"RD")</f>
        <v>2</v>
      </c>
      <c r="W111" s="5">
        <f>COUNTIF(F111:L111,"VL")</f>
        <v>0</v>
      </c>
      <c r="X111" s="5">
        <f>COUNTIF(F111:L111,"LWOP")</f>
        <v>0</v>
      </c>
      <c r="Y111" s="5">
        <f>COUNTIF(F111:L111,"450")</f>
        <v>0</v>
      </c>
      <c r="Z111" s="5">
        <f>COUNTIF(F111:M111,"EVL")</f>
        <v>0</v>
      </c>
      <c r="AA111" s="5">
        <f>COUNTIF(F111:N111,"EVLS")</f>
        <v>0</v>
      </c>
    </row>
    <row r="112" spans="1:27" hidden="1">
      <c r="A112" s="164" t="s">
        <v>66</v>
      </c>
      <c r="B112" s="156" t="s">
        <v>265</v>
      </c>
      <c r="C112" s="351" t="s">
        <v>266</v>
      </c>
      <c r="D112" s="157" t="s">
        <v>22</v>
      </c>
      <c r="E112" s="158" t="s">
        <v>30</v>
      </c>
      <c r="F112" s="271" t="s">
        <v>147</v>
      </c>
      <c r="G112" s="98" t="s">
        <v>148</v>
      </c>
      <c r="H112" s="98" t="s">
        <v>148</v>
      </c>
      <c r="I112" s="98" t="s">
        <v>148</v>
      </c>
      <c r="J112" s="270" t="s">
        <v>148</v>
      </c>
      <c r="K112" s="270" t="s">
        <v>148</v>
      </c>
      <c r="L112" s="271" t="s">
        <v>147</v>
      </c>
      <c r="M112" s="54">
        <f>SUM(F112:L112)</f>
        <v>0</v>
      </c>
      <c r="N112" s="16">
        <f>M112-O112</f>
        <v>0</v>
      </c>
      <c r="O112" s="5">
        <f>SUMIF(F112:L112,"450")</f>
        <v>0</v>
      </c>
      <c r="P112" s="16">
        <f>N112+O112</f>
        <v>0</v>
      </c>
      <c r="Q112">
        <f>T112*450</f>
        <v>2250</v>
      </c>
      <c r="R112">
        <f>Q112-P112</f>
        <v>2250</v>
      </c>
      <c r="S112" s="39">
        <f>R112/Q112</f>
        <v>1</v>
      </c>
      <c r="T112">
        <f>U112-(W112+X112)</f>
        <v>5</v>
      </c>
      <c r="U112">
        <f>7-V112</f>
        <v>5</v>
      </c>
      <c r="V112" s="5">
        <f>COUNTIF(F112:L112,"RD")</f>
        <v>2</v>
      </c>
      <c r="W112" s="5">
        <f>COUNTIF(F112:L112,"VL")</f>
        <v>0</v>
      </c>
      <c r="X112" s="5">
        <f>COUNTIF(F112:L112,"LWOP")</f>
        <v>0</v>
      </c>
      <c r="Y112" s="5">
        <f>COUNTIF(F112:L112,"450")</f>
        <v>0</v>
      </c>
      <c r="Z112" s="5">
        <f>COUNTIF(F112:M112,"EVL")</f>
        <v>0</v>
      </c>
      <c r="AA112" s="5">
        <f>COUNTIF(F112:N112,"EVLS")</f>
        <v>0</v>
      </c>
    </row>
    <row r="113" spans="1:27" hidden="1">
      <c r="A113" s="164" t="s">
        <v>34</v>
      </c>
      <c r="B113" s="156" t="s">
        <v>338</v>
      </c>
      <c r="C113" s="343" t="s">
        <v>336</v>
      </c>
      <c r="D113" s="157" t="s">
        <v>26</v>
      </c>
      <c r="E113" s="341" t="s">
        <v>40</v>
      </c>
      <c r="F113" s="270" t="s">
        <v>148</v>
      </c>
      <c r="G113" s="98" t="s">
        <v>148</v>
      </c>
      <c r="H113" s="98" t="s">
        <v>148</v>
      </c>
      <c r="I113" s="98" t="s">
        <v>148</v>
      </c>
      <c r="J113" s="271" t="s">
        <v>147</v>
      </c>
      <c r="K113" s="271" t="s">
        <v>147</v>
      </c>
      <c r="L113" s="269" t="s">
        <v>148</v>
      </c>
      <c r="M113" s="54">
        <f>SUM(F113:L113)</f>
        <v>0</v>
      </c>
      <c r="N113" s="16">
        <f>M113-O113</f>
        <v>0</v>
      </c>
      <c r="O113" s="5">
        <f>SUMIF(F113:L113,"450")</f>
        <v>0</v>
      </c>
      <c r="P113" s="16">
        <f>N113+O113</f>
        <v>0</v>
      </c>
      <c r="Q113">
        <f>T113*450</f>
        <v>2250</v>
      </c>
      <c r="R113">
        <f>Q113-P113</f>
        <v>2250</v>
      </c>
      <c r="S113" s="39">
        <f>R113/Q113</f>
        <v>1</v>
      </c>
      <c r="T113">
        <f>U113-(W113+X113)</f>
        <v>5</v>
      </c>
      <c r="U113">
        <f>7-V113</f>
        <v>5</v>
      </c>
      <c r="V113" s="5">
        <f>COUNTIF(F113:L113,"RD")</f>
        <v>2</v>
      </c>
      <c r="W113" s="5">
        <f>COUNTIF(F113:L113,"VL")</f>
        <v>0</v>
      </c>
      <c r="X113" s="5">
        <f>COUNTIF(F113:L113,"LWOP")</f>
        <v>0</v>
      </c>
      <c r="Y113" s="5">
        <f>COUNTIF(F113:L113,"450")</f>
        <v>0</v>
      </c>
      <c r="Z113" s="5">
        <f>COUNTIF(F113:M113,"EVL")</f>
        <v>0</v>
      </c>
      <c r="AA113" s="5">
        <f>COUNTIF(F113:N113,"EVLS")</f>
        <v>0</v>
      </c>
    </row>
    <row r="114" spans="1:27" hidden="1">
      <c r="A114" s="335" t="s">
        <v>27</v>
      </c>
      <c r="B114" s="352" t="s">
        <v>265</v>
      </c>
      <c r="C114" s="349" t="s">
        <v>266</v>
      </c>
      <c r="D114" s="340" t="s">
        <v>26</v>
      </c>
      <c r="E114" s="340" t="s">
        <v>40</v>
      </c>
      <c r="F114" s="271" t="s">
        <v>147</v>
      </c>
      <c r="G114" s="270" t="s">
        <v>148</v>
      </c>
      <c r="H114" s="270" t="s">
        <v>148</v>
      </c>
      <c r="I114" s="270" t="s">
        <v>148</v>
      </c>
      <c r="J114" s="268" t="s">
        <v>269</v>
      </c>
      <c r="K114" s="270" t="s">
        <v>148</v>
      </c>
      <c r="L114" s="271" t="s">
        <v>147</v>
      </c>
      <c r="M114" s="54">
        <f>SUM(F114:L114)</f>
        <v>0</v>
      </c>
      <c r="N114" s="16">
        <f>M114-O114</f>
        <v>0</v>
      </c>
      <c r="O114" s="5">
        <f>SUMIF(F114:L114,"450")</f>
        <v>0</v>
      </c>
      <c r="P114" s="16">
        <f>N114+O114</f>
        <v>0</v>
      </c>
      <c r="Q114">
        <f>T114*450</f>
        <v>2250</v>
      </c>
      <c r="R114">
        <f>Q114-P114</f>
        <v>2250</v>
      </c>
      <c r="S114" s="39">
        <f>R114/Q114</f>
        <v>1</v>
      </c>
      <c r="T114">
        <f>U114-(W114+X114)</f>
        <v>5</v>
      </c>
      <c r="U114">
        <f>7-V114</f>
        <v>5</v>
      </c>
      <c r="V114" s="5">
        <f>COUNTIF(F114:L114,"RD")</f>
        <v>2</v>
      </c>
      <c r="W114" s="5">
        <f>COUNTIF(F114:L114,"VL")</f>
        <v>0</v>
      </c>
      <c r="X114" s="5">
        <f>COUNTIF(F114:L114,"LWOP")</f>
        <v>0</v>
      </c>
      <c r="Y114" s="5">
        <f>COUNTIF(F114:L114,"450")</f>
        <v>0</v>
      </c>
      <c r="Z114" s="5">
        <f>COUNTIF(F114:M114,"EVL")</f>
        <v>1</v>
      </c>
      <c r="AA114" s="5">
        <f>COUNTIF(F114:N114,"EVLS")</f>
        <v>0</v>
      </c>
    </row>
    <row r="115" spans="1:27">
      <c r="A115" s="353"/>
      <c r="B115" s="353"/>
      <c r="C115" s="353"/>
      <c r="D115" s="353"/>
      <c r="E115" s="353"/>
      <c r="F115" s="269" t="s">
        <v>187</v>
      </c>
      <c r="G115" s="269" t="s">
        <v>187</v>
      </c>
      <c r="H115" s="268" t="s">
        <v>187</v>
      </c>
      <c r="I115" s="268" t="s">
        <v>187</v>
      </c>
      <c r="J115" s="268" t="s">
        <v>187</v>
      </c>
      <c r="K115" s="268" t="s">
        <v>187</v>
      </c>
      <c r="L115" s="268" t="s">
        <v>187</v>
      </c>
      <c r="M115">
        <f>SUM(M3:M113)</f>
        <v>12058</v>
      </c>
      <c r="N115">
        <f>SUM(N3:N113)</f>
        <v>808</v>
      </c>
      <c r="O115">
        <f>SUM(O3:O113)</f>
        <v>11250</v>
      </c>
      <c r="P115">
        <f>SUM(P3:P113)</f>
        <v>12058</v>
      </c>
      <c r="Q115">
        <f>SUM(Q3:Q113)</f>
        <v>248400</v>
      </c>
      <c r="R115">
        <f>SUM(R3:R113)</f>
        <v>236342</v>
      </c>
      <c r="S115" s="39">
        <f>AVERAGE(S3:S113)</f>
        <v>0.95100567233900546</v>
      </c>
      <c r="T115">
        <f>SUM(T3:T113)</f>
        <v>552</v>
      </c>
      <c r="U115">
        <f>SUM(U3:U113)</f>
        <v>559</v>
      </c>
    </row>
    <row r="116" spans="1:27">
      <c r="A116" s="172"/>
      <c r="B116" s="172"/>
      <c r="C116" s="172"/>
      <c r="D116" s="172"/>
      <c r="E116" s="172"/>
      <c r="F116" s="193"/>
      <c r="G116" s="193"/>
      <c r="H116" s="193"/>
      <c r="I116" s="193"/>
      <c r="J116" s="267"/>
      <c r="K116" s="193"/>
      <c r="L116" s="193"/>
      <c r="N116" s="39">
        <f>780/234120</f>
        <v>3.3316248077908763E-3</v>
      </c>
      <c r="O116" s="39">
        <f>10350/234120</f>
        <v>4.4208098411071248E-2</v>
      </c>
    </row>
    <row r="117" spans="1:27">
      <c r="A117" s="348"/>
      <c r="B117" s="348"/>
      <c r="C117" s="348"/>
      <c r="D117" s="348"/>
      <c r="E117" s="348"/>
      <c r="F117" s="267"/>
      <c r="G117" s="267"/>
      <c r="H117" s="267"/>
      <c r="I117" s="267"/>
      <c r="J117" s="267"/>
      <c r="K117" s="267"/>
      <c r="L117" s="267"/>
      <c r="Q117" s="39"/>
    </row>
    <row r="118" spans="1:27" ht="15.75">
      <c r="A118" s="354" t="s">
        <v>191</v>
      </c>
      <c r="B118" s="353"/>
      <c r="C118" s="353"/>
      <c r="D118" s="146"/>
      <c r="E118" s="354" t="s">
        <v>191</v>
      </c>
      <c r="F118" s="56">
        <f>SUM(F3:F114)</f>
        <v>0</v>
      </c>
      <c r="G118" s="56">
        <f>SUM(G3:G114)</f>
        <v>4115</v>
      </c>
      <c r="H118" s="56">
        <f>SUM(H3:H114)</f>
        <v>1850</v>
      </c>
      <c r="I118" s="56">
        <f>SUM(I3:I114)</f>
        <v>992</v>
      </c>
      <c r="J118" s="56">
        <f>SUM(J3:J114)</f>
        <v>2329</v>
      </c>
      <c r="K118" s="56">
        <f>SUM(K3:K114)</f>
        <v>2772</v>
      </c>
      <c r="L118" s="56">
        <f>SUM(L3:L114)</f>
        <v>0</v>
      </c>
    </row>
    <row r="119" spans="1:27" ht="15.75">
      <c r="A119" s="355" t="s">
        <v>4</v>
      </c>
      <c r="B119" s="356" t="s">
        <v>187</v>
      </c>
      <c r="C119" s="356" t="s">
        <v>187</v>
      </c>
      <c r="D119" s="146"/>
      <c r="E119" s="355" t="s">
        <v>4</v>
      </c>
      <c r="F119" s="57">
        <f>F118-F120</f>
        <v>0</v>
      </c>
      <c r="G119" s="57">
        <f>G118-G120</f>
        <v>65</v>
      </c>
      <c r="H119" s="57">
        <f>H118-H120</f>
        <v>50</v>
      </c>
      <c r="I119" s="57">
        <f>I118-I120</f>
        <v>92</v>
      </c>
      <c r="J119" s="57">
        <f>J118-J120</f>
        <v>79</v>
      </c>
      <c r="K119" s="57">
        <f>K118-K120</f>
        <v>522</v>
      </c>
      <c r="L119" s="57">
        <f>L118-L120</f>
        <v>0</v>
      </c>
    </row>
    <row r="120" spans="1:27" ht="15.75">
      <c r="A120" s="357" t="s">
        <v>11</v>
      </c>
      <c r="B120" s="358" t="s">
        <v>187</v>
      </c>
      <c r="C120" s="358" t="s">
        <v>187</v>
      </c>
      <c r="D120" s="146"/>
      <c r="E120" s="357" t="s">
        <v>11</v>
      </c>
      <c r="F120" s="57">
        <f>SUMIF(F3:F114,"450")</f>
        <v>0</v>
      </c>
      <c r="G120" s="57">
        <f>SUMIF(G3:G114,"450")</f>
        <v>4050</v>
      </c>
      <c r="H120" s="57">
        <f>SUMIF(H3:H114,"450")</f>
        <v>1800</v>
      </c>
      <c r="I120" s="57">
        <f>SUMIF(I3:I114,"450")</f>
        <v>900</v>
      </c>
      <c r="J120" s="57">
        <f>SUMIF(J3:J114,"450")</f>
        <v>2250</v>
      </c>
      <c r="K120" s="57">
        <f>SUMIF(K3:K114,"450")</f>
        <v>2250</v>
      </c>
      <c r="L120" s="57">
        <f>SUMIF(L3:L114,"450")</f>
        <v>0</v>
      </c>
    </row>
    <row r="121" spans="1:27" ht="15.75">
      <c r="A121" s="182" t="s">
        <v>192</v>
      </c>
      <c r="B121" s="146"/>
      <c r="C121" s="146"/>
      <c r="D121" s="146"/>
      <c r="E121" s="182" t="s">
        <v>192</v>
      </c>
      <c r="F121" s="57">
        <f>F119+F120</f>
        <v>0</v>
      </c>
      <c r="G121" s="57">
        <f>G119+G120</f>
        <v>4115</v>
      </c>
      <c r="H121" s="57">
        <f>H119+H120</f>
        <v>1850</v>
      </c>
      <c r="I121" s="57">
        <f>I119+I120</f>
        <v>992</v>
      </c>
      <c r="J121" s="57">
        <f>J119+J120</f>
        <v>2329</v>
      </c>
      <c r="K121" s="57">
        <f>K119+K120</f>
        <v>2772</v>
      </c>
      <c r="L121" s="57">
        <f>L119+L120</f>
        <v>0</v>
      </c>
    </row>
    <row r="122" spans="1:27" ht="15.75">
      <c r="A122" s="182" t="s">
        <v>193</v>
      </c>
      <c r="B122" s="146"/>
      <c r="C122" s="146"/>
      <c r="D122" s="146"/>
      <c r="E122" s="182" t="s">
        <v>193</v>
      </c>
      <c r="F122" s="57">
        <f>COUNTA(F3:F114)</f>
        <v>112</v>
      </c>
      <c r="G122" s="57">
        <f>COUNTA(G3:G114)</f>
        <v>112</v>
      </c>
      <c r="H122" s="57">
        <f>COUNTA(H3:H114)</f>
        <v>112</v>
      </c>
      <c r="I122" s="57">
        <f>COUNTA(I3:I114)</f>
        <v>112</v>
      </c>
      <c r="J122" s="57">
        <f>COUNTA(J3:J114)</f>
        <v>112</v>
      </c>
      <c r="K122" s="57">
        <f>COUNTA(K3:K114)</f>
        <v>112</v>
      </c>
      <c r="L122" s="57">
        <f>COUNTA(L3:L114)</f>
        <v>112</v>
      </c>
    </row>
    <row r="123" spans="1:27" ht="15.75">
      <c r="A123" s="182" t="s">
        <v>194</v>
      </c>
      <c r="B123" s="146"/>
      <c r="C123" s="146"/>
      <c r="D123" s="146"/>
      <c r="E123" s="182" t="s">
        <v>194</v>
      </c>
      <c r="F123" s="57">
        <f>F122-F128-F129-F130-F131</f>
        <v>17</v>
      </c>
      <c r="G123" s="57">
        <f>G122-G128-G129-G130-G131</f>
        <v>95</v>
      </c>
      <c r="H123" s="57">
        <f>H122-H128-H129-H130-H131</f>
        <v>99</v>
      </c>
      <c r="I123" s="57">
        <f>I122-I128-I129-I130-I131</f>
        <v>99</v>
      </c>
      <c r="J123" s="57">
        <f>J122-J128-J129-J130-J131</f>
        <v>101</v>
      </c>
      <c r="K123" s="57">
        <f>K122-K128-K129-K130-K131</f>
        <v>101</v>
      </c>
      <c r="L123" s="57">
        <f>L122-L128-L129-L130-L131</f>
        <v>20</v>
      </c>
    </row>
    <row r="124" spans="1:27" ht="15.75">
      <c r="A124" s="182" t="s">
        <v>195</v>
      </c>
      <c r="B124" s="146"/>
      <c r="C124" s="146"/>
      <c r="D124" s="146"/>
      <c r="E124" s="182" t="s">
        <v>195</v>
      </c>
      <c r="F124" s="57">
        <f>F123+F131</f>
        <v>17</v>
      </c>
      <c r="G124" s="57">
        <f>G123+G131</f>
        <v>104</v>
      </c>
      <c r="H124" s="57">
        <f>H123+H131</f>
        <v>103</v>
      </c>
      <c r="I124" s="57">
        <f>I123+I131</f>
        <v>101</v>
      </c>
      <c r="J124" s="57">
        <f>J123+J131</f>
        <v>106</v>
      </c>
      <c r="K124" s="57">
        <f>K123+K131</f>
        <v>106</v>
      </c>
      <c r="L124" s="57">
        <f>L123+L131</f>
        <v>20</v>
      </c>
    </row>
    <row r="125" spans="1:27" ht="15.75">
      <c r="A125" s="359" t="s">
        <v>7</v>
      </c>
      <c r="B125" s="353"/>
      <c r="C125" s="353"/>
      <c r="D125" s="146"/>
      <c r="E125" s="359" t="s">
        <v>7</v>
      </c>
      <c r="F125" s="57">
        <f>F124*450</f>
        <v>7650</v>
      </c>
      <c r="G125" s="57">
        <f>G124*450</f>
        <v>46800</v>
      </c>
      <c r="H125" s="57">
        <f>H124*450</f>
        <v>46350</v>
      </c>
      <c r="I125" s="57">
        <f>I124*450</f>
        <v>45450</v>
      </c>
      <c r="J125" s="57">
        <f>J124*450</f>
        <v>47700</v>
      </c>
      <c r="K125" s="57">
        <f>K124*450</f>
        <v>47700</v>
      </c>
      <c r="L125" s="57">
        <f>L124*450</f>
        <v>9000</v>
      </c>
    </row>
    <row r="126" spans="1:27" ht="15.75">
      <c r="A126" s="355" t="s">
        <v>8</v>
      </c>
      <c r="B126" s="356" t="s">
        <v>187</v>
      </c>
      <c r="C126" s="356" t="s">
        <v>187</v>
      </c>
      <c r="D126" s="146"/>
      <c r="E126" s="355" t="s">
        <v>8</v>
      </c>
      <c r="F126" s="57">
        <f>F125-F121</f>
        <v>7650</v>
      </c>
      <c r="G126" s="57">
        <f>G125-G121</f>
        <v>42685</v>
      </c>
      <c r="H126" s="57">
        <f>H125-H121</f>
        <v>44500</v>
      </c>
      <c r="I126" s="57">
        <f>I125-I121</f>
        <v>44458</v>
      </c>
      <c r="J126" s="57">
        <f>J125-J121</f>
        <v>45371</v>
      </c>
      <c r="K126" s="57">
        <f>K125-K121</f>
        <v>44928</v>
      </c>
      <c r="L126" s="57">
        <f>L125-L121</f>
        <v>9000</v>
      </c>
    </row>
    <row r="127" spans="1:27" ht="15.75">
      <c r="A127" s="360" t="s">
        <v>9</v>
      </c>
      <c r="B127" s="361" t="s">
        <v>187</v>
      </c>
      <c r="C127" s="361" t="s">
        <v>187</v>
      </c>
      <c r="D127" s="146"/>
      <c r="E127" s="360" t="s">
        <v>9</v>
      </c>
      <c r="F127" s="60">
        <f>F126/F125</f>
        <v>1</v>
      </c>
      <c r="G127" s="60">
        <f>G126/G125</f>
        <v>0.91207264957264955</v>
      </c>
      <c r="H127" s="60">
        <f>H126/H125</f>
        <v>0.96008629989212513</v>
      </c>
      <c r="I127" s="60">
        <f>I126/I125</f>
        <v>0.97817381738173814</v>
      </c>
      <c r="J127" s="60">
        <f>J126/J125</f>
        <v>0.95117400419287212</v>
      </c>
      <c r="K127" s="60">
        <f>K126/K125</f>
        <v>0.94188679245283013</v>
      </c>
      <c r="L127" s="60">
        <f>L126/L125</f>
        <v>1</v>
      </c>
    </row>
    <row r="128" spans="1:27" ht="15.75">
      <c r="A128" s="182" t="s">
        <v>147</v>
      </c>
      <c r="B128" s="146"/>
      <c r="C128" s="146"/>
      <c r="D128" s="146"/>
      <c r="E128" s="182" t="s">
        <v>147</v>
      </c>
      <c r="F128" s="57">
        <f>COUNTIF(F3:F114,"RD")</f>
        <v>93</v>
      </c>
      <c r="G128" s="57">
        <f>COUNTIF(G3:G114,"RD")</f>
        <v>6</v>
      </c>
      <c r="H128" s="57">
        <f>COUNTIF(H3:H114,"RD")</f>
        <v>8</v>
      </c>
      <c r="I128" s="57">
        <f>COUNTIF(I3:I114,"RD")</f>
        <v>10</v>
      </c>
      <c r="J128" s="57">
        <f>COUNTIF(J3:J114,"RD")</f>
        <v>6</v>
      </c>
      <c r="K128" s="57">
        <f>COUNTIF(K3:K114,"RD")</f>
        <v>5</v>
      </c>
      <c r="L128" s="57">
        <f>COUNTIF(L3:L114,"RD")</f>
        <v>92</v>
      </c>
    </row>
    <row r="129" spans="1:12" ht="15.75">
      <c r="A129" s="182" t="s">
        <v>12</v>
      </c>
      <c r="B129" s="146"/>
      <c r="C129" s="146"/>
      <c r="D129" s="146"/>
      <c r="E129" s="182" t="s">
        <v>12</v>
      </c>
      <c r="F129" s="57">
        <f>COUNTIF(F3:F114,"VL")</f>
        <v>2</v>
      </c>
      <c r="G129" s="57">
        <f>COUNTIF(G3:G114,"VL")</f>
        <v>2</v>
      </c>
      <c r="H129" s="57">
        <f>COUNTIF(H3:H114,"VL")</f>
        <v>0</v>
      </c>
      <c r="I129" s="57">
        <f>COUNTIF(I3:I114,"VL")</f>
        <v>0</v>
      </c>
      <c r="J129" s="57">
        <f>COUNTIF(J3:J114,"VL")</f>
        <v>0</v>
      </c>
      <c r="K129" s="57">
        <f>COUNTIF(K3:K114,"VL")</f>
        <v>1</v>
      </c>
      <c r="L129" s="57">
        <f>COUNTIF(L3:L114,"VL")</f>
        <v>0</v>
      </c>
    </row>
    <row r="130" spans="1:12" ht="15.75">
      <c r="A130" s="182" t="s">
        <v>14</v>
      </c>
      <c r="B130" s="146"/>
      <c r="C130" s="146"/>
      <c r="D130" s="146"/>
      <c r="E130" s="182" t="s">
        <v>14</v>
      </c>
      <c r="F130" s="57">
        <f>COUNTIF(F3:F114,"LWOP")</f>
        <v>0</v>
      </c>
      <c r="G130" s="57">
        <f>COUNTIF(G3:G114,"LWOP")</f>
        <v>0</v>
      </c>
      <c r="H130" s="57">
        <f>COUNTIF(H3:H114,"LWOP")</f>
        <v>1</v>
      </c>
      <c r="I130" s="57">
        <f>COUNTIF(I3:I114,"LWOP")</f>
        <v>1</v>
      </c>
      <c r="J130" s="57">
        <f>COUNTIF(J3:J114,"LWOP")</f>
        <v>0</v>
      </c>
      <c r="K130" s="57">
        <f>COUNTIF(K3:K114,"LWOP")</f>
        <v>0</v>
      </c>
      <c r="L130" s="57">
        <f>COUNTIF(L3:L114,"LWOP")</f>
        <v>0</v>
      </c>
    </row>
    <row r="131" spans="1:12" ht="15.75">
      <c r="A131" s="359" t="s">
        <v>11</v>
      </c>
      <c r="B131" s="353"/>
      <c r="C131" s="353"/>
      <c r="D131" s="146"/>
      <c r="E131" s="359" t="s">
        <v>11</v>
      </c>
      <c r="F131" s="57">
        <f>COUNTIF(F3:F114,"450")</f>
        <v>0</v>
      </c>
      <c r="G131" s="57">
        <f>COUNTIF(G3:G114,"450")</f>
        <v>9</v>
      </c>
      <c r="H131" s="57">
        <f>COUNTIF(H3:H114,"450")</f>
        <v>4</v>
      </c>
      <c r="I131" s="57">
        <f>COUNTIF(I3:I114,"450")</f>
        <v>2</v>
      </c>
      <c r="J131" s="57">
        <f>COUNTIF(J3:J114,"450")</f>
        <v>5</v>
      </c>
      <c r="K131" s="57">
        <f>COUNTIF(K3:K114,"450")</f>
        <v>5</v>
      </c>
      <c r="L131" s="57">
        <f>COUNTIF(L3:L114,"450")</f>
        <v>0</v>
      </c>
    </row>
    <row r="132" spans="1:12">
      <c r="A132" s="356" t="s">
        <v>196</v>
      </c>
      <c r="B132" s="356" t="s">
        <v>187</v>
      </c>
      <c r="C132" s="356" t="s">
        <v>187</v>
      </c>
      <c r="D132" s="146"/>
      <c r="E132" s="356" t="s">
        <v>196</v>
      </c>
      <c r="F132" s="194">
        <f>F119/F126</f>
        <v>0</v>
      </c>
      <c r="G132" s="194">
        <f>G119/G126</f>
        <v>1.5227831791027294E-3</v>
      </c>
      <c r="H132" s="194">
        <f>H119/H126</f>
        <v>1.1235955056179776E-3</v>
      </c>
      <c r="I132" s="194">
        <f>I119/I126</f>
        <v>2.0693688425030368E-3</v>
      </c>
      <c r="J132" s="194">
        <f>J119/J126</f>
        <v>1.7412003261995548E-3</v>
      </c>
      <c r="K132" s="194">
        <f>K119/K126</f>
        <v>1.1618589743589744E-2</v>
      </c>
      <c r="L132" s="194">
        <f>L119/L126</f>
        <v>0</v>
      </c>
    </row>
    <row r="133" spans="1:12">
      <c r="A133" s="358" t="s">
        <v>197</v>
      </c>
      <c r="B133" s="358" t="s">
        <v>187</v>
      </c>
      <c r="C133" s="358" t="s">
        <v>187</v>
      </c>
      <c r="D133" s="353"/>
      <c r="E133" s="358" t="s">
        <v>197</v>
      </c>
      <c r="F133" s="194">
        <f>F120/F125</f>
        <v>0</v>
      </c>
      <c r="G133" s="194">
        <f>G120/G125</f>
        <v>8.6538461538461536E-2</v>
      </c>
      <c r="H133" s="194">
        <f>H120/H125</f>
        <v>3.8834951456310676E-2</v>
      </c>
      <c r="I133" s="194">
        <f>I120/I125</f>
        <v>1.9801980198019802E-2</v>
      </c>
      <c r="J133" s="194">
        <f>J120/J125</f>
        <v>4.716981132075472E-2</v>
      </c>
      <c r="K133" s="194">
        <f>K120/K125</f>
        <v>4.716981132075472E-2</v>
      </c>
      <c r="L133" s="194">
        <f>L120/L125</f>
        <v>0</v>
      </c>
    </row>
    <row r="134" spans="1:12">
      <c r="C134" s="58"/>
      <c r="F134" s="15"/>
      <c r="G134" s="15"/>
      <c r="H134" s="15"/>
      <c r="I134" s="15"/>
      <c r="J134" s="15"/>
      <c r="K134" s="15"/>
      <c r="L134" s="15"/>
    </row>
    <row r="135" spans="1:12">
      <c r="C135" s="58"/>
      <c r="F135" s="15"/>
      <c r="G135" s="15"/>
      <c r="H135" s="15"/>
      <c r="I135" s="15"/>
      <c r="J135" s="15"/>
      <c r="K135" s="15"/>
      <c r="L135" s="15"/>
    </row>
    <row r="136" spans="1:12">
      <c r="C136" s="58"/>
      <c r="F136" s="15"/>
      <c r="G136" s="15"/>
      <c r="H136" s="15"/>
      <c r="I136" s="15"/>
      <c r="J136" s="15"/>
      <c r="K136" s="15"/>
      <c r="L136" s="15"/>
    </row>
    <row r="137" spans="1:12">
      <c r="C137" s="58"/>
      <c r="F137" s="15"/>
      <c r="G137" s="15"/>
      <c r="H137" s="15"/>
      <c r="I137" s="15"/>
      <c r="J137" s="15"/>
      <c r="K137" s="15"/>
      <c r="L137" s="15"/>
    </row>
    <row r="138" spans="1:12">
      <c r="C138" s="58"/>
      <c r="F138" s="15"/>
      <c r="G138" s="15"/>
      <c r="H138" s="15"/>
      <c r="I138" s="15"/>
      <c r="J138" s="15"/>
      <c r="K138" s="15"/>
      <c r="L138" s="15"/>
    </row>
    <row r="139" spans="1:12">
      <c r="C139" s="58"/>
      <c r="F139" s="15"/>
      <c r="G139" s="15"/>
      <c r="H139" s="15"/>
      <c r="I139" s="15"/>
      <c r="J139" s="15"/>
      <c r="K139" s="15"/>
      <c r="L139" s="15"/>
    </row>
    <row r="140" spans="1:12">
      <c r="C140" s="58"/>
      <c r="F140" s="15"/>
      <c r="G140" s="15"/>
      <c r="H140" s="15"/>
      <c r="I140" s="15"/>
      <c r="J140" s="15"/>
      <c r="K140" s="15"/>
      <c r="L140" s="15"/>
    </row>
    <row r="141" spans="1:12">
      <c r="C141" s="58"/>
      <c r="F141" s="15"/>
      <c r="G141" s="15"/>
      <c r="H141" s="15"/>
      <c r="I141" s="15"/>
      <c r="J141" s="15"/>
      <c r="K141" s="15"/>
      <c r="L141" s="15"/>
    </row>
    <row r="142" spans="1:12">
      <c r="C142" s="58"/>
      <c r="F142" s="15"/>
      <c r="G142" s="15"/>
      <c r="H142" s="15"/>
      <c r="I142" s="15"/>
      <c r="J142" s="15"/>
      <c r="K142" s="15"/>
      <c r="L142" s="15"/>
    </row>
    <row r="143" spans="1:12">
      <c r="C143" s="58"/>
      <c r="F143" s="15"/>
      <c r="G143" s="15"/>
      <c r="H143" s="15"/>
      <c r="I143" s="15"/>
      <c r="J143" s="15"/>
      <c r="K143" s="15"/>
      <c r="L143" s="15"/>
    </row>
    <row r="144" spans="1:12">
      <c r="C144" s="58"/>
      <c r="F144" s="15"/>
      <c r="G144" s="15"/>
      <c r="H144" s="15"/>
      <c r="I144" s="15"/>
      <c r="J144" s="15"/>
      <c r="K144" s="15"/>
      <c r="L144" s="15"/>
    </row>
    <row r="145" spans="3:12">
      <c r="C145" s="58"/>
      <c r="F145" s="15"/>
      <c r="G145" s="15"/>
      <c r="H145" s="15"/>
      <c r="I145" s="15"/>
      <c r="J145" s="15"/>
      <c r="K145" s="15"/>
      <c r="L145" s="15"/>
    </row>
    <row r="146" spans="3:12">
      <c r="C146" s="58"/>
      <c r="F146" s="15"/>
      <c r="G146" s="15"/>
      <c r="H146" s="15"/>
      <c r="I146" s="15"/>
      <c r="J146" s="15"/>
      <c r="K146" s="15"/>
      <c r="L146" s="15"/>
    </row>
    <row r="147" spans="3:12">
      <c r="C147" s="58"/>
      <c r="F147" s="15"/>
      <c r="G147" s="15"/>
      <c r="H147" s="15"/>
      <c r="I147" s="15"/>
      <c r="J147" s="15"/>
      <c r="K147" s="15"/>
      <c r="L147" s="15"/>
    </row>
    <row r="148" spans="3:12">
      <c r="C148" s="58"/>
      <c r="F148" s="15"/>
      <c r="G148" s="15"/>
      <c r="H148" s="15"/>
      <c r="I148" s="15"/>
      <c r="J148" s="15"/>
      <c r="K148" s="15"/>
      <c r="L148" s="15"/>
    </row>
    <row r="149" spans="3:12">
      <c r="C149" s="58"/>
      <c r="F149" s="15"/>
      <c r="G149" s="15"/>
      <c r="H149" s="15"/>
      <c r="I149" s="15"/>
      <c r="J149" s="15"/>
      <c r="K149" s="15"/>
      <c r="L149" s="15"/>
    </row>
    <row r="150" spans="3:12">
      <c r="C150" s="58"/>
      <c r="F150" s="15"/>
      <c r="G150" s="15"/>
      <c r="H150" s="15"/>
      <c r="I150" s="15"/>
      <c r="J150" s="15"/>
      <c r="K150" s="15"/>
      <c r="L150" s="15"/>
    </row>
    <row r="151" spans="3:12">
      <c r="C151" s="58"/>
      <c r="F151" s="15"/>
      <c r="G151" s="15"/>
      <c r="H151" s="15"/>
      <c r="I151" s="15"/>
      <c r="J151" s="15"/>
      <c r="K151" s="15"/>
      <c r="L151" s="15"/>
    </row>
    <row r="152" spans="3:12">
      <c r="C152" s="58"/>
      <c r="F152" s="15"/>
      <c r="G152" s="15"/>
      <c r="H152" s="15"/>
      <c r="I152" s="15"/>
      <c r="J152" s="15"/>
      <c r="K152" s="15"/>
      <c r="L152" s="15"/>
    </row>
    <row r="153" spans="3:12">
      <c r="C153" s="58"/>
      <c r="F153" s="15"/>
      <c r="G153" s="15"/>
      <c r="H153" s="15"/>
      <c r="I153" s="15"/>
      <c r="J153" s="15"/>
      <c r="K153" s="15"/>
      <c r="L153" s="15"/>
    </row>
  </sheetData>
  <autoFilter ref="A2:X114" xr:uid="{C3F28F16-23E1-4885-A590-15D508EA297A}">
    <filterColumn colId="0">
      <filters>
        <filter val="Jeannie Bajaro"/>
      </filters>
    </filterColumn>
  </autoFilter>
  <conditionalFormatting sqref="F34:K34">
    <cfRule type="cellIs" dxfId="4650" priority="385" operator="equal">
      <formula>450</formula>
    </cfRule>
  </conditionalFormatting>
  <conditionalFormatting sqref="F34:K34">
    <cfRule type="containsText" dxfId="4649" priority="384" operator="containsText" text="VL">
      <formula>NOT(ISERROR(SEARCH("VL",F34)))</formula>
    </cfRule>
  </conditionalFormatting>
  <conditionalFormatting sqref="F34:K34">
    <cfRule type="cellIs" dxfId="4648" priority="383" operator="equal">
      <formula>"LWOP"</formula>
    </cfRule>
  </conditionalFormatting>
  <conditionalFormatting sqref="F34:K34">
    <cfRule type="cellIs" dxfId="4647" priority="382" operator="between">
      <formula>1</formula>
      <formula>449</formula>
    </cfRule>
  </conditionalFormatting>
  <conditionalFormatting sqref="I64:I70 I86:I87 I100 I102 I106 I108:I110 I114 I53:I62 I73 I89:I92 I96:J96 I112:K112 H52:K52 H88:K88 I3:I33 I75:I82 I35:I51">
    <cfRule type="containsText" dxfId="4646" priority="381" operator="containsText" text="P">
      <formula>NOT(ISERROR(SEARCH("P",H3)))</formula>
    </cfRule>
  </conditionalFormatting>
  <conditionalFormatting sqref="I64:I70 I86:I87 I100 I102 I106 I108:I110 I114 I53:I62 I73 I89:I92 I96:J96 I112:K112 H52:K52 H88:K88 I3:I33 I75:I82 I35:I51">
    <cfRule type="containsText" dxfId="4645" priority="380" operator="containsText" text="VL">
      <formula>NOT(ISERROR(SEARCH("VL",H3)))</formula>
    </cfRule>
  </conditionalFormatting>
  <conditionalFormatting sqref="I64:I70 I86:I87 I100 I102 I106 I108:I110 I114 I53:I62 I73 I89:I92 I96:J96 I112:K112 H52:K52 H88:K88 I3:I33 I75:I82 I35:I51">
    <cfRule type="cellIs" dxfId="4644" priority="379" operator="between">
      <formula>1</formula>
      <formula>449</formula>
    </cfRule>
  </conditionalFormatting>
  <conditionalFormatting sqref="H92">
    <cfRule type="containsText" dxfId="4643" priority="378" operator="containsText" text="P">
      <formula>NOT(ISERROR(SEARCH("P",H92)))</formula>
    </cfRule>
  </conditionalFormatting>
  <conditionalFormatting sqref="H92">
    <cfRule type="containsText" dxfId="4642" priority="377" operator="containsText" text="VL">
      <formula>NOT(ISERROR(SEARCH("VL",H92)))</formula>
    </cfRule>
  </conditionalFormatting>
  <conditionalFormatting sqref="H92">
    <cfRule type="cellIs" dxfId="4641" priority="376" operator="between">
      <formula>1</formula>
      <formula>449</formula>
    </cfRule>
  </conditionalFormatting>
  <conditionalFormatting sqref="H65">
    <cfRule type="containsText" dxfId="4640" priority="375" operator="containsText" text="P">
      <formula>NOT(ISERROR(SEARCH("P",H65)))</formula>
    </cfRule>
  </conditionalFormatting>
  <conditionalFormatting sqref="H65">
    <cfRule type="containsText" dxfId="4639" priority="374" operator="containsText" text="VL">
      <formula>NOT(ISERROR(SEARCH("VL",H65)))</formula>
    </cfRule>
  </conditionalFormatting>
  <conditionalFormatting sqref="H65">
    <cfRule type="cellIs" dxfId="4638" priority="373" operator="between">
      <formula>1</formula>
      <formula>449</formula>
    </cfRule>
  </conditionalFormatting>
  <conditionalFormatting sqref="H74">
    <cfRule type="containsText" dxfId="4637" priority="372" operator="containsText" text="P">
      <formula>NOT(ISERROR(SEARCH("P",H74)))</formula>
    </cfRule>
  </conditionalFormatting>
  <conditionalFormatting sqref="H74">
    <cfRule type="containsText" dxfId="4636" priority="371" operator="containsText" text="VL">
      <formula>NOT(ISERROR(SEARCH("VL",H74)))</formula>
    </cfRule>
  </conditionalFormatting>
  <conditionalFormatting sqref="H74">
    <cfRule type="cellIs" dxfId="4635" priority="370" operator="between">
      <formula>1</formula>
      <formula>449</formula>
    </cfRule>
  </conditionalFormatting>
  <conditionalFormatting sqref="H75">
    <cfRule type="containsText" dxfId="4634" priority="369" operator="containsText" text="P">
      <formula>NOT(ISERROR(SEARCH("P",H75)))</formula>
    </cfRule>
  </conditionalFormatting>
  <conditionalFormatting sqref="H75">
    <cfRule type="containsText" dxfId="4633" priority="368" operator="containsText" text="VL">
      <formula>NOT(ISERROR(SEARCH("VL",H75)))</formula>
    </cfRule>
  </conditionalFormatting>
  <conditionalFormatting sqref="H75">
    <cfRule type="cellIs" dxfId="4632" priority="367" operator="between">
      <formula>1</formula>
      <formula>449</formula>
    </cfRule>
  </conditionalFormatting>
  <conditionalFormatting sqref="H89:H90">
    <cfRule type="containsText" dxfId="4631" priority="366" operator="containsText" text="P">
      <formula>NOT(ISERROR(SEARCH("P",H89)))</formula>
    </cfRule>
  </conditionalFormatting>
  <conditionalFormatting sqref="H89:H90">
    <cfRule type="containsText" dxfId="4630" priority="365" operator="containsText" text="VL">
      <formula>NOT(ISERROR(SEARCH("VL",H89)))</formula>
    </cfRule>
  </conditionalFormatting>
  <conditionalFormatting sqref="H89:H90">
    <cfRule type="cellIs" dxfId="4629" priority="364" operator="between">
      <formula>1</formula>
      <formula>449</formula>
    </cfRule>
  </conditionalFormatting>
  <conditionalFormatting sqref="H14">
    <cfRule type="containsText" dxfId="4628" priority="363" operator="containsText" text="P">
      <formula>NOT(ISERROR(SEARCH("P",H14)))</formula>
    </cfRule>
  </conditionalFormatting>
  <conditionalFormatting sqref="H14">
    <cfRule type="containsText" dxfId="4627" priority="362" operator="containsText" text="VL">
      <formula>NOT(ISERROR(SEARCH("VL",H14)))</formula>
    </cfRule>
  </conditionalFormatting>
  <conditionalFormatting sqref="H14">
    <cfRule type="cellIs" dxfId="4626" priority="361" operator="between">
      <formula>1</formula>
      <formula>449</formula>
    </cfRule>
  </conditionalFormatting>
  <conditionalFormatting sqref="F1:L33 F35:L115 L34">
    <cfRule type="cellIs" dxfId="4625" priority="360" operator="equal">
      <formula>450</formula>
    </cfRule>
  </conditionalFormatting>
  <conditionalFormatting sqref="F3:L33 F35:L115 L34">
    <cfRule type="containsText" dxfId="4624" priority="359" operator="containsText" text="VL">
      <formula>NOT(ISERROR(SEARCH("VL",F3)))</formula>
    </cfRule>
  </conditionalFormatting>
  <conditionalFormatting sqref="F3:L33 F35:L115 L34">
    <cfRule type="cellIs" dxfId="4623" priority="358" operator="equal">
      <formula>"LWOP"</formula>
    </cfRule>
  </conditionalFormatting>
  <conditionalFormatting sqref="J3:J4">
    <cfRule type="containsText" dxfId="4622" priority="357" operator="containsText" text="P">
      <formula>NOT(ISERROR(SEARCH("P",J3)))</formula>
    </cfRule>
  </conditionalFormatting>
  <conditionalFormatting sqref="J3:J4">
    <cfRule type="containsText" dxfId="4621" priority="356" operator="containsText" text="VL">
      <formula>NOT(ISERROR(SEARCH("VL",J3)))</formula>
    </cfRule>
  </conditionalFormatting>
  <conditionalFormatting sqref="J3:J4">
    <cfRule type="cellIs" dxfId="4620" priority="355" operator="between">
      <formula>1</formula>
      <formula>449</formula>
    </cfRule>
  </conditionalFormatting>
  <conditionalFormatting sqref="J13:J14">
    <cfRule type="containsText" dxfId="4619" priority="354" operator="containsText" text="P">
      <formula>NOT(ISERROR(SEARCH("P",J13)))</formula>
    </cfRule>
  </conditionalFormatting>
  <conditionalFormatting sqref="J13:J14">
    <cfRule type="containsText" dxfId="4618" priority="353" operator="containsText" text="VL">
      <formula>NOT(ISERROR(SEARCH("VL",J13)))</formula>
    </cfRule>
  </conditionalFormatting>
  <conditionalFormatting sqref="J13:J14">
    <cfRule type="cellIs" dxfId="4617" priority="352" operator="between">
      <formula>1</formula>
      <formula>449</formula>
    </cfRule>
  </conditionalFormatting>
  <conditionalFormatting sqref="J17:K17">
    <cfRule type="containsText" dxfId="4616" priority="351" operator="containsText" text="P">
      <formula>NOT(ISERROR(SEARCH("P",J17)))</formula>
    </cfRule>
  </conditionalFormatting>
  <conditionalFormatting sqref="J17:K17">
    <cfRule type="containsText" dxfId="4615" priority="350" operator="containsText" text="VL">
      <formula>NOT(ISERROR(SEARCH("VL",J17)))</formula>
    </cfRule>
  </conditionalFormatting>
  <conditionalFormatting sqref="J17:K17">
    <cfRule type="cellIs" dxfId="4614" priority="349" operator="between">
      <formula>1</formula>
      <formula>449</formula>
    </cfRule>
  </conditionalFormatting>
  <conditionalFormatting sqref="J18:K18">
    <cfRule type="containsText" dxfId="4613" priority="348" operator="containsText" text="P">
      <formula>NOT(ISERROR(SEARCH("P",J18)))</formula>
    </cfRule>
  </conditionalFormatting>
  <conditionalFormatting sqref="J18:K18">
    <cfRule type="containsText" dxfId="4612" priority="347" operator="containsText" text="VL">
      <formula>NOT(ISERROR(SEARCH("VL",J18)))</formula>
    </cfRule>
  </conditionalFormatting>
  <conditionalFormatting sqref="J18:K18">
    <cfRule type="cellIs" dxfId="4611" priority="346" operator="between">
      <formula>1</formula>
      <formula>449</formula>
    </cfRule>
  </conditionalFormatting>
  <conditionalFormatting sqref="J41">
    <cfRule type="containsText" dxfId="4610" priority="345" operator="containsText" text="P">
      <formula>NOT(ISERROR(SEARCH("P",J41)))</formula>
    </cfRule>
  </conditionalFormatting>
  <conditionalFormatting sqref="J41">
    <cfRule type="containsText" dxfId="4609" priority="344" operator="containsText" text="VL">
      <formula>NOT(ISERROR(SEARCH("VL",J41)))</formula>
    </cfRule>
  </conditionalFormatting>
  <conditionalFormatting sqref="J41">
    <cfRule type="cellIs" dxfId="4608" priority="343" operator="between">
      <formula>1</formula>
      <formula>449</formula>
    </cfRule>
  </conditionalFormatting>
  <conditionalFormatting sqref="J45:K45">
    <cfRule type="containsText" dxfId="4607" priority="342" operator="containsText" text="P">
      <formula>NOT(ISERROR(SEARCH("P",J45)))</formula>
    </cfRule>
  </conditionalFormatting>
  <conditionalFormatting sqref="J45:K45">
    <cfRule type="containsText" dxfId="4606" priority="341" operator="containsText" text="VL">
      <formula>NOT(ISERROR(SEARCH("VL",J45)))</formula>
    </cfRule>
  </conditionalFormatting>
  <conditionalFormatting sqref="J45:K45">
    <cfRule type="cellIs" dxfId="4605" priority="340" operator="between">
      <formula>1</formula>
      <formula>449</formula>
    </cfRule>
  </conditionalFormatting>
  <conditionalFormatting sqref="J108:K108">
    <cfRule type="containsText" dxfId="4604" priority="339" operator="containsText" text="P">
      <formula>NOT(ISERROR(SEARCH("P",J108)))</formula>
    </cfRule>
  </conditionalFormatting>
  <conditionalFormatting sqref="J108:K108">
    <cfRule type="containsText" dxfId="4603" priority="338" operator="containsText" text="VL">
      <formula>NOT(ISERROR(SEARCH("VL",J108)))</formula>
    </cfRule>
  </conditionalFormatting>
  <conditionalFormatting sqref="J108:K108">
    <cfRule type="cellIs" dxfId="4602" priority="337" operator="between">
      <formula>1</formula>
      <formula>449</formula>
    </cfRule>
  </conditionalFormatting>
  <conditionalFormatting sqref="J20">
    <cfRule type="containsText" dxfId="4601" priority="336" operator="containsText" text="P">
      <formula>NOT(ISERROR(SEARCH("P",J20)))</formula>
    </cfRule>
  </conditionalFormatting>
  <conditionalFormatting sqref="J20">
    <cfRule type="containsText" dxfId="4600" priority="335" operator="containsText" text="VL">
      <formula>NOT(ISERROR(SEARCH("VL",J20)))</formula>
    </cfRule>
  </conditionalFormatting>
  <conditionalFormatting sqref="J20">
    <cfRule type="cellIs" dxfId="4599" priority="334" operator="between">
      <formula>1</formula>
      <formula>449</formula>
    </cfRule>
  </conditionalFormatting>
  <conditionalFormatting sqref="J23">
    <cfRule type="containsText" dxfId="4598" priority="333" operator="containsText" text="P">
      <formula>NOT(ISERROR(SEARCH("P",J23)))</formula>
    </cfRule>
  </conditionalFormatting>
  <conditionalFormatting sqref="J23">
    <cfRule type="containsText" dxfId="4597" priority="332" operator="containsText" text="VL">
      <formula>NOT(ISERROR(SEARCH("VL",J23)))</formula>
    </cfRule>
  </conditionalFormatting>
  <conditionalFormatting sqref="J23">
    <cfRule type="cellIs" dxfId="4596" priority="331" operator="between">
      <formula>1</formula>
      <formula>449</formula>
    </cfRule>
  </conditionalFormatting>
  <conditionalFormatting sqref="J25:K26">
    <cfRule type="containsText" dxfId="4595" priority="330" operator="containsText" text="P">
      <formula>NOT(ISERROR(SEARCH("P",J25)))</formula>
    </cfRule>
  </conditionalFormatting>
  <conditionalFormatting sqref="J25:K26">
    <cfRule type="containsText" dxfId="4594" priority="329" operator="containsText" text="VL">
      <formula>NOT(ISERROR(SEARCH("VL",J25)))</formula>
    </cfRule>
  </conditionalFormatting>
  <conditionalFormatting sqref="J25:K26">
    <cfRule type="cellIs" dxfId="4593" priority="328" operator="between">
      <formula>1</formula>
      <formula>449</formula>
    </cfRule>
  </conditionalFormatting>
  <conditionalFormatting sqref="J27:K27">
    <cfRule type="containsText" dxfId="4592" priority="327" operator="containsText" text="P">
      <formula>NOT(ISERROR(SEARCH("P",J27)))</formula>
    </cfRule>
  </conditionalFormatting>
  <conditionalFormatting sqref="J27:K27">
    <cfRule type="containsText" dxfId="4591" priority="326" operator="containsText" text="VL">
      <formula>NOT(ISERROR(SEARCH("VL",J27)))</formula>
    </cfRule>
  </conditionalFormatting>
  <conditionalFormatting sqref="J27:K27">
    <cfRule type="cellIs" dxfId="4590" priority="325" operator="between">
      <formula>1</formula>
      <formula>449</formula>
    </cfRule>
  </conditionalFormatting>
  <conditionalFormatting sqref="J28:K28">
    <cfRule type="containsText" dxfId="4589" priority="324" operator="containsText" text="P">
      <formula>NOT(ISERROR(SEARCH("P",J28)))</formula>
    </cfRule>
  </conditionalFormatting>
  <conditionalFormatting sqref="J28:K28">
    <cfRule type="containsText" dxfId="4588" priority="323" operator="containsText" text="VL">
      <formula>NOT(ISERROR(SEARCH("VL",J28)))</formula>
    </cfRule>
  </conditionalFormatting>
  <conditionalFormatting sqref="J28:K28">
    <cfRule type="cellIs" dxfId="4587" priority="322" operator="between">
      <formula>1</formula>
      <formula>449</formula>
    </cfRule>
  </conditionalFormatting>
  <conditionalFormatting sqref="J30">
    <cfRule type="containsText" dxfId="4586" priority="321" operator="containsText" text="P">
      <formula>NOT(ISERROR(SEARCH("P",J30)))</formula>
    </cfRule>
  </conditionalFormatting>
  <conditionalFormatting sqref="J30">
    <cfRule type="containsText" dxfId="4585" priority="320" operator="containsText" text="VL">
      <formula>NOT(ISERROR(SEARCH("VL",J30)))</formula>
    </cfRule>
  </conditionalFormatting>
  <conditionalFormatting sqref="J30">
    <cfRule type="cellIs" dxfId="4584" priority="319" operator="between">
      <formula>1</formula>
      <formula>449</formula>
    </cfRule>
  </conditionalFormatting>
  <conditionalFormatting sqref="J31">
    <cfRule type="containsText" dxfId="4583" priority="318" operator="containsText" text="P">
      <formula>NOT(ISERROR(SEARCH("P",J31)))</formula>
    </cfRule>
  </conditionalFormatting>
  <conditionalFormatting sqref="J31">
    <cfRule type="containsText" dxfId="4582" priority="317" operator="containsText" text="VL">
      <formula>NOT(ISERROR(SEARCH("VL",J31)))</formula>
    </cfRule>
  </conditionalFormatting>
  <conditionalFormatting sqref="J31">
    <cfRule type="cellIs" dxfId="4581" priority="316" operator="between">
      <formula>1</formula>
      <formula>449</formula>
    </cfRule>
  </conditionalFormatting>
  <conditionalFormatting sqref="J35">
    <cfRule type="containsText" dxfId="4580" priority="315" operator="containsText" text="P">
      <formula>NOT(ISERROR(SEARCH("P",J35)))</formula>
    </cfRule>
  </conditionalFormatting>
  <conditionalFormatting sqref="J35">
    <cfRule type="containsText" dxfId="4579" priority="314" operator="containsText" text="VL">
      <formula>NOT(ISERROR(SEARCH("VL",J35)))</formula>
    </cfRule>
  </conditionalFormatting>
  <conditionalFormatting sqref="J35">
    <cfRule type="cellIs" dxfId="4578" priority="313" operator="between">
      <formula>1</formula>
      <formula>449</formula>
    </cfRule>
  </conditionalFormatting>
  <conditionalFormatting sqref="J36:K36">
    <cfRule type="containsText" dxfId="4577" priority="312" operator="containsText" text="P">
      <formula>NOT(ISERROR(SEARCH("P",J36)))</formula>
    </cfRule>
  </conditionalFormatting>
  <conditionalFormatting sqref="J36:K36">
    <cfRule type="containsText" dxfId="4576" priority="311" operator="containsText" text="VL">
      <formula>NOT(ISERROR(SEARCH("VL",J36)))</formula>
    </cfRule>
  </conditionalFormatting>
  <conditionalFormatting sqref="J36:K36">
    <cfRule type="cellIs" dxfId="4575" priority="310" operator="between">
      <formula>1</formula>
      <formula>449</formula>
    </cfRule>
  </conditionalFormatting>
  <conditionalFormatting sqref="J39:K39">
    <cfRule type="containsText" dxfId="4574" priority="309" operator="containsText" text="P">
      <formula>NOT(ISERROR(SEARCH("P",J39)))</formula>
    </cfRule>
  </conditionalFormatting>
  <conditionalFormatting sqref="J39:K39">
    <cfRule type="containsText" dxfId="4573" priority="308" operator="containsText" text="VL">
      <formula>NOT(ISERROR(SEARCH("VL",J39)))</formula>
    </cfRule>
  </conditionalFormatting>
  <conditionalFormatting sqref="J39:K39">
    <cfRule type="cellIs" dxfId="4572" priority="307" operator="between">
      <formula>1</formula>
      <formula>449</formula>
    </cfRule>
  </conditionalFormatting>
  <conditionalFormatting sqref="J47:K47">
    <cfRule type="containsText" dxfId="4571" priority="306" operator="containsText" text="P">
      <formula>NOT(ISERROR(SEARCH("P",J47)))</formula>
    </cfRule>
  </conditionalFormatting>
  <conditionalFormatting sqref="J47:K47">
    <cfRule type="containsText" dxfId="4570" priority="305" operator="containsText" text="VL">
      <formula>NOT(ISERROR(SEARCH("VL",J47)))</formula>
    </cfRule>
  </conditionalFormatting>
  <conditionalFormatting sqref="J47:K47">
    <cfRule type="cellIs" dxfId="4569" priority="304" operator="between">
      <formula>1</formula>
      <formula>449</formula>
    </cfRule>
  </conditionalFormatting>
  <conditionalFormatting sqref="J110:J111">
    <cfRule type="containsText" dxfId="4568" priority="303" operator="containsText" text="P">
      <formula>NOT(ISERROR(SEARCH("P",J110)))</formula>
    </cfRule>
  </conditionalFormatting>
  <conditionalFormatting sqref="J110:J111">
    <cfRule type="containsText" dxfId="4567" priority="302" operator="containsText" text="VL">
      <formula>NOT(ISERROR(SEARCH("VL",J110)))</formula>
    </cfRule>
  </conditionalFormatting>
  <conditionalFormatting sqref="J110:J111">
    <cfRule type="cellIs" dxfId="4566" priority="301" operator="between">
      <formula>1</formula>
      <formula>449</formula>
    </cfRule>
  </conditionalFormatting>
  <conditionalFormatting sqref="J15:J16">
    <cfRule type="containsText" dxfId="4565" priority="300" operator="containsText" text="P">
      <formula>NOT(ISERROR(SEARCH("P",J15)))</formula>
    </cfRule>
  </conditionalFormatting>
  <conditionalFormatting sqref="J15:J16">
    <cfRule type="containsText" dxfId="4564" priority="299" operator="containsText" text="VL">
      <formula>NOT(ISERROR(SEARCH("VL",J15)))</formula>
    </cfRule>
  </conditionalFormatting>
  <conditionalFormatting sqref="J15:J16">
    <cfRule type="cellIs" dxfId="4563" priority="298" operator="between">
      <formula>1</formula>
      <formula>449</formula>
    </cfRule>
  </conditionalFormatting>
  <conditionalFormatting sqref="J33:K33">
    <cfRule type="containsText" dxfId="4562" priority="297" operator="containsText" text="P">
      <formula>NOT(ISERROR(SEARCH("P",J33)))</formula>
    </cfRule>
  </conditionalFormatting>
  <conditionalFormatting sqref="J33:K33">
    <cfRule type="containsText" dxfId="4561" priority="296" operator="containsText" text="VL">
      <formula>NOT(ISERROR(SEARCH("VL",J33)))</formula>
    </cfRule>
  </conditionalFormatting>
  <conditionalFormatting sqref="J33:K33">
    <cfRule type="cellIs" dxfId="4560" priority="295" operator="between">
      <formula>1</formula>
      <formula>449</formula>
    </cfRule>
  </conditionalFormatting>
  <conditionalFormatting sqref="J46:K46">
    <cfRule type="containsText" dxfId="4559" priority="294" operator="containsText" text="P">
      <formula>NOT(ISERROR(SEARCH("P",J46)))</formula>
    </cfRule>
  </conditionalFormatting>
  <conditionalFormatting sqref="J46:K46">
    <cfRule type="containsText" dxfId="4558" priority="293" operator="containsText" text="VL">
      <formula>NOT(ISERROR(SEARCH("VL",J46)))</formula>
    </cfRule>
  </conditionalFormatting>
  <conditionalFormatting sqref="J46:K46">
    <cfRule type="cellIs" dxfId="4557" priority="292" operator="between">
      <formula>1</formula>
      <formula>449</formula>
    </cfRule>
  </conditionalFormatting>
  <conditionalFormatting sqref="J53:K53">
    <cfRule type="containsText" dxfId="4556" priority="291" operator="containsText" text="P">
      <formula>NOT(ISERROR(SEARCH("P",J53)))</formula>
    </cfRule>
  </conditionalFormatting>
  <conditionalFormatting sqref="J53:K53">
    <cfRule type="containsText" dxfId="4555" priority="290" operator="containsText" text="VL">
      <formula>NOT(ISERROR(SEARCH("VL",J53)))</formula>
    </cfRule>
  </conditionalFormatting>
  <conditionalFormatting sqref="J53:K53">
    <cfRule type="cellIs" dxfId="4554" priority="289" operator="between">
      <formula>1</formula>
      <formula>449</formula>
    </cfRule>
  </conditionalFormatting>
  <conditionalFormatting sqref="J21:K21">
    <cfRule type="containsText" dxfId="4553" priority="288" operator="containsText" text="P">
      <formula>NOT(ISERROR(SEARCH("P",J21)))</formula>
    </cfRule>
  </conditionalFormatting>
  <conditionalFormatting sqref="J21:K21">
    <cfRule type="containsText" dxfId="4552" priority="287" operator="containsText" text="VL">
      <formula>NOT(ISERROR(SEARCH("VL",J21)))</formula>
    </cfRule>
  </conditionalFormatting>
  <conditionalFormatting sqref="J21:K21">
    <cfRule type="cellIs" dxfId="4551" priority="286" operator="between">
      <formula>1</formula>
      <formula>449</formula>
    </cfRule>
  </conditionalFormatting>
  <conditionalFormatting sqref="J26">
    <cfRule type="containsText" dxfId="4550" priority="285" operator="containsText" text="P">
      <formula>NOT(ISERROR(SEARCH("P",J26)))</formula>
    </cfRule>
  </conditionalFormatting>
  <conditionalFormatting sqref="J26">
    <cfRule type="containsText" dxfId="4549" priority="284" operator="containsText" text="VL">
      <formula>NOT(ISERROR(SEARCH("VL",J26)))</formula>
    </cfRule>
  </conditionalFormatting>
  <conditionalFormatting sqref="J26">
    <cfRule type="cellIs" dxfId="4548" priority="283" operator="between">
      <formula>1</formula>
      <formula>449</formula>
    </cfRule>
  </conditionalFormatting>
  <conditionalFormatting sqref="J24:K24">
    <cfRule type="containsText" dxfId="4547" priority="282" operator="containsText" text="P">
      <formula>NOT(ISERROR(SEARCH("P",J24)))</formula>
    </cfRule>
  </conditionalFormatting>
  <conditionalFormatting sqref="J24:K24">
    <cfRule type="containsText" dxfId="4546" priority="281" operator="containsText" text="VL">
      <formula>NOT(ISERROR(SEARCH("VL",J24)))</formula>
    </cfRule>
  </conditionalFormatting>
  <conditionalFormatting sqref="J24:K24">
    <cfRule type="cellIs" dxfId="4545" priority="280" operator="between">
      <formula>1</formula>
      <formula>449</formula>
    </cfRule>
  </conditionalFormatting>
  <conditionalFormatting sqref="J32:K32">
    <cfRule type="containsText" dxfId="4544" priority="279" operator="containsText" text="P">
      <formula>NOT(ISERROR(SEARCH("P",J32)))</formula>
    </cfRule>
  </conditionalFormatting>
  <conditionalFormatting sqref="J32:K32">
    <cfRule type="containsText" dxfId="4543" priority="278" operator="containsText" text="VL">
      <formula>NOT(ISERROR(SEARCH("VL",J32)))</formula>
    </cfRule>
  </conditionalFormatting>
  <conditionalFormatting sqref="J32:K32">
    <cfRule type="cellIs" dxfId="4542" priority="277" operator="between">
      <formula>1</formula>
      <formula>449</formula>
    </cfRule>
  </conditionalFormatting>
  <conditionalFormatting sqref="J43:K43">
    <cfRule type="containsText" dxfId="4541" priority="276" operator="containsText" text="P">
      <formula>NOT(ISERROR(SEARCH("P",J43)))</formula>
    </cfRule>
  </conditionalFormatting>
  <conditionalFormatting sqref="J43:K43">
    <cfRule type="containsText" dxfId="4540" priority="275" operator="containsText" text="VL">
      <formula>NOT(ISERROR(SEARCH("VL",J43)))</formula>
    </cfRule>
  </conditionalFormatting>
  <conditionalFormatting sqref="J43:K43">
    <cfRule type="cellIs" dxfId="4539" priority="274" operator="between">
      <formula>1</formula>
      <formula>449</formula>
    </cfRule>
  </conditionalFormatting>
  <conditionalFormatting sqref="J49:K49">
    <cfRule type="containsText" dxfId="4538" priority="273" operator="containsText" text="P">
      <formula>NOT(ISERROR(SEARCH("P",J49)))</formula>
    </cfRule>
  </conditionalFormatting>
  <conditionalFormatting sqref="J49:K49">
    <cfRule type="containsText" dxfId="4537" priority="272" operator="containsText" text="VL">
      <formula>NOT(ISERROR(SEARCH("VL",J49)))</formula>
    </cfRule>
  </conditionalFormatting>
  <conditionalFormatting sqref="J49:K49">
    <cfRule type="cellIs" dxfId="4536" priority="271" operator="between">
      <formula>1</formula>
      <formula>449</formula>
    </cfRule>
  </conditionalFormatting>
  <conditionalFormatting sqref="J50">
    <cfRule type="containsText" dxfId="4535" priority="270" operator="containsText" text="P">
      <formula>NOT(ISERROR(SEARCH("P",J50)))</formula>
    </cfRule>
  </conditionalFormatting>
  <conditionalFormatting sqref="J50">
    <cfRule type="containsText" dxfId="4534" priority="269" operator="containsText" text="VL">
      <formula>NOT(ISERROR(SEARCH("VL",J50)))</formula>
    </cfRule>
  </conditionalFormatting>
  <conditionalFormatting sqref="J50">
    <cfRule type="cellIs" dxfId="4533" priority="268" operator="between">
      <formula>1</formula>
      <formula>449</formula>
    </cfRule>
  </conditionalFormatting>
  <conditionalFormatting sqref="J54:K54">
    <cfRule type="containsText" dxfId="4532" priority="267" operator="containsText" text="P">
      <formula>NOT(ISERROR(SEARCH("P",J54)))</formula>
    </cfRule>
  </conditionalFormatting>
  <conditionalFormatting sqref="J54:K54">
    <cfRule type="containsText" dxfId="4531" priority="266" operator="containsText" text="VL">
      <formula>NOT(ISERROR(SEARCH("VL",J54)))</formula>
    </cfRule>
  </conditionalFormatting>
  <conditionalFormatting sqref="J54:K54">
    <cfRule type="cellIs" dxfId="4530" priority="265" operator="between">
      <formula>1</formula>
      <formula>449</formula>
    </cfRule>
  </conditionalFormatting>
  <conditionalFormatting sqref="J42:K42">
    <cfRule type="containsText" dxfId="4529" priority="264" operator="containsText" text="P">
      <formula>NOT(ISERROR(SEARCH("P",J42)))</formula>
    </cfRule>
  </conditionalFormatting>
  <conditionalFormatting sqref="J42:K42">
    <cfRule type="containsText" dxfId="4528" priority="263" operator="containsText" text="VL">
      <formula>NOT(ISERROR(SEARCH("VL",J42)))</formula>
    </cfRule>
  </conditionalFormatting>
  <conditionalFormatting sqref="J42:K42">
    <cfRule type="cellIs" dxfId="4527" priority="262" operator="between">
      <formula>1</formula>
      <formula>449</formula>
    </cfRule>
  </conditionalFormatting>
  <conditionalFormatting sqref="J56:K56">
    <cfRule type="containsText" dxfId="4526" priority="261" operator="containsText" text="P">
      <formula>NOT(ISERROR(SEARCH("P",J56)))</formula>
    </cfRule>
  </conditionalFormatting>
  <conditionalFormatting sqref="J56:K56">
    <cfRule type="containsText" dxfId="4525" priority="260" operator="containsText" text="VL">
      <formula>NOT(ISERROR(SEARCH("VL",J56)))</formula>
    </cfRule>
  </conditionalFormatting>
  <conditionalFormatting sqref="J56:K56">
    <cfRule type="cellIs" dxfId="4524" priority="259" operator="between">
      <formula>1</formula>
      <formula>449</formula>
    </cfRule>
  </conditionalFormatting>
  <conditionalFormatting sqref="J5">
    <cfRule type="containsText" dxfId="4523" priority="258" operator="containsText" text="P">
      <formula>NOT(ISERROR(SEARCH("P",J5)))</formula>
    </cfRule>
  </conditionalFormatting>
  <conditionalFormatting sqref="J5">
    <cfRule type="containsText" dxfId="4522" priority="257" operator="containsText" text="VL">
      <formula>NOT(ISERROR(SEARCH("VL",J5)))</formula>
    </cfRule>
  </conditionalFormatting>
  <conditionalFormatting sqref="J5">
    <cfRule type="cellIs" dxfId="4521" priority="256" operator="between">
      <formula>1</formula>
      <formula>449</formula>
    </cfRule>
  </conditionalFormatting>
  <conditionalFormatting sqref="J6:K6">
    <cfRule type="containsText" dxfId="4520" priority="255" operator="containsText" text="P">
      <formula>NOT(ISERROR(SEARCH("P",J6)))</formula>
    </cfRule>
  </conditionalFormatting>
  <conditionalFormatting sqref="J6:K6">
    <cfRule type="containsText" dxfId="4519" priority="254" operator="containsText" text="VL">
      <formula>NOT(ISERROR(SEARCH("VL",J6)))</formula>
    </cfRule>
  </conditionalFormatting>
  <conditionalFormatting sqref="J6:K6">
    <cfRule type="cellIs" dxfId="4518" priority="253" operator="between">
      <formula>1</formula>
      <formula>449</formula>
    </cfRule>
  </conditionalFormatting>
  <conditionalFormatting sqref="J60:J62">
    <cfRule type="containsText" dxfId="4517" priority="252" operator="containsText" text="P">
      <formula>NOT(ISERROR(SEARCH("P",J60)))</formula>
    </cfRule>
  </conditionalFormatting>
  <conditionalFormatting sqref="J60:J62">
    <cfRule type="containsText" dxfId="4516" priority="251" operator="containsText" text="VL">
      <formula>NOT(ISERROR(SEARCH("VL",J60)))</formula>
    </cfRule>
  </conditionalFormatting>
  <conditionalFormatting sqref="J60:J62">
    <cfRule type="cellIs" dxfId="4515" priority="250" operator="between">
      <formula>1</formula>
      <formula>449</formula>
    </cfRule>
  </conditionalFormatting>
  <conditionalFormatting sqref="J64:J65">
    <cfRule type="containsText" dxfId="4514" priority="249" operator="containsText" text="P">
      <formula>NOT(ISERROR(SEARCH("P",J64)))</formula>
    </cfRule>
  </conditionalFormatting>
  <conditionalFormatting sqref="J64:J65">
    <cfRule type="containsText" dxfId="4513" priority="248" operator="containsText" text="VL">
      <formula>NOT(ISERROR(SEARCH("VL",J64)))</formula>
    </cfRule>
  </conditionalFormatting>
  <conditionalFormatting sqref="J64:J65">
    <cfRule type="cellIs" dxfId="4512" priority="247" operator="between">
      <formula>1</formula>
      <formula>449</formula>
    </cfRule>
  </conditionalFormatting>
  <conditionalFormatting sqref="J7:K7">
    <cfRule type="containsText" dxfId="4511" priority="246" operator="containsText" text="P">
      <formula>NOT(ISERROR(SEARCH("P",J7)))</formula>
    </cfRule>
  </conditionalFormatting>
  <conditionalFormatting sqref="J7:K7">
    <cfRule type="containsText" dxfId="4510" priority="245" operator="containsText" text="VL">
      <formula>NOT(ISERROR(SEARCH("VL",J7)))</formula>
    </cfRule>
  </conditionalFormatting>
  <conditionalFormatting sqref="J7:K7">
    <cfRule type="cellIs" dxfId="4509" priority="244" operator="between">
      <formula>1</formula>
      <formula>449</formula>
    </cfRule>
  </conditionalFormatting>
  <conditionalFormatting sqref="J10:K10">
    <cfRule type="containsText" dxfId="4508" priority="243" operator="containsText" text="P">
      <formula>NOT(ISERROR(SEARCH("P",J10)))</formula>
    </cfRule>
  </conditionalFormatting>
  <conditionalFormatting sqref="J10:K10">
    <cfRule type="containsText" dxfId="4507" priority="242" operator="containsText" text="VL">
      <formula>NOT(ISERROR(SEARCH("VL",J10)))</formula>
    </cfRule>
  </conditionalFormatting>
  <conditionalFormatting sqref="J10:K10">
    <cfRule type="cellIs" dxfId="4506" priority="241" operator="between">
      <formula>1</formula>
      <formula>449</formula>
    </cfRule>
  </conditionalFormatting>
  <conditionalFormatting sqref="J11:K11">
    <cfRule type="containsText" dxfId="4505" priority="240" operator="containsText" text="P">
      <formula>NOT(ISERROR(SEARCH("P",J11)))</formula>
    </cfRule>
  </conditionalFormatting>
  <conditionalFormatting sqref="J11:K11">
    <cfRule type="containsText" dxfId="4504" priority="239" operator="containsText" text="VL">
      <formula>NOT(ISERROR(SEARCH("VL",J11)))</formula>
    </cfRule>
  </conditionalFormatting>
  <conditionalFormatting sqref="J11:K11">
    <cfRule type="cellIs" dxfId="4503" priority="238" operator="between">
      <formula>1</formula>
      <formula>449</formula>
    </cfRule>
  </conditionalFormatting>
  <conditionalFormatting sqref="J12:K12">
    <cfRule type="containsText" dxfId="4502" priority="237" operator="containsText" text="P">
      <formula>NOT(ISERROR(SEARCH("P",J12)))</formula>
    </cfRule>
  </conditionalFormatting>
  <conditionalFormatting sqref="J12:K12">
    <cfRule type="containsText" dxfId="4501" priority="236" operator="containsText" text="VL">
      <formula>NOT(ISERROR(SEARCH("VL",J12)))</formula>
    </cfRule>
  </conditionalFormatting>
  <conditionalFormatting sqref="J12:K12">
    <cfRule type="cellIs" dxfId="4500" priority="235" operator="between">
      <formula>1</formula>
      <formula>449</formula>
    </cfRule>
  </conditionalFormatting>
  <conditionalFormatting sqref="J76:J77">
    <cfRule type="containsText" dxfId="4499" priority="234" operator="containsText" text="P">
      <formula>NOT(ISERROR(SEARCH("P",J76)))</formula>
    </cfRule>
  </conditionalFormatting>
  <conditionalFormatting sqref="J76:J77">
    <cfRule type="containsText" dxfId="4498" priority="233" operator="containsText" text="VL">
      <formula>NOT(ISERROR(SEARCH("VL",J76)))</formula>
    </cfRule>
  </conditionalFormatting>
  <conditionalFormatting sqref="J76:J77">
    <cfRule type="cellIs" dxfId="4497" priority="232" operator="between">
      <formula>1</formula>
      <formula>449</formula>
    </cfRule>
  </conditionalFormatting>
  <conditionalFormatting sqref="J81:K81">
    <cfRule type="containsText" dxfId="4496" priority="231" operator="containsText" text="P">
      <formula>NOT(ISERROR(SEARCH("P",J81)))</formula>
    </cfRule>
  </conditionalFormatting>
  <conditionalFormatting sqref="J81:K81">
    <cfRule type="containsText" dxfId="4495" priority="230" operator="containsText" text="VL">
      <formula>NOT(ISERROR(SEARCH("VL",J81)))</formula>
    </cfRule>
  </conditionalFormatting>
  <conditionalFormatting sqref="J81:K81">
    <cfRule type="cellIs" dxfId="4494" priority="229" operator="between">
      <formula>1</formula>
      <formula>449</formula>
    </cfRule>
  </conditionalFormatting>
  <conditionalFormatting sqref="J82">
    <cfRule type="containsText" dxfId="4493" priority="228" operator="containsText" text="P">
      <formula>NOT(ISERROR(SEARCH("P",J82)))</formula>
    </cfRule>
  </conditionalFormatting>
  <conditionalFormatting sqref="J82">
    <cfRule type="containsText" dxfId="4492" priority="227" operator="containsText" text="VL">
      <formula>NOT(ISERROR(SEARCH("VL",J82)))</formula>
    </cfRule>
  </conditionalFormatting>
  <conditionalFormatting sqref="J82">
    <cfRule type="cellIs" dxfId="4491" priority="226" operator="between">
      <formula>1</formula>
      <formula>449</formula>
    </cfRule>
  </conditionalFormatting>
  <conditionalFormatting sqref="J78:K78">
    <cfRule type="containsText" dxfId="4490" priority="225" operator="containsText" text="P">
      <formula>NOT(ISERROR(SEARCH("P",J78)))</formula>
    </cfRule>
  </conditionalFormatting>
  <conditionalFormatting sqref="J78:K78">
    <cfRule type="containsText" dxfId="4489" priority="224" operator="containsText" text="VL">
      <formula>NOT(ISERROR(SEARCH("VL",J78)))</formula>
    </cfRule>
  </conditionalFormatting>
  <conditionalFormatting sqref="J78:K78">
    <cfRule type="cellIs" dxfId="4488" priority="223" operator="between">
      <formula>1</formula>
      <formula>449</formula>
    </cfRule>
  </conditionalFormatting>
  <conditionalFormatting sqref="J86">
    <cfRule type="containsText" dxfId="4487" priority="222" operator="containsText" text="P">
      <formula>NOT(ISERROR(SEARCH("P",J86)))</formula>
    </cfRule>
  </conditionalFormatting>
  <conditionalFormatting sqref="J86">
    <cfRule type="containsText" dxfId="4486" priority="221" operator="containsText" text="VL">
      <formula>NOT(ISERROR(SEARCH("VL",J86)))</formula>
    </cfRule>
  </conditionalFormatting>
  <conditionalFormatting sqref="J86">
    <cfRule type="cellIs" dxfId="4485" priority="220" operator="between">
      <formula>1</formula>
      <formula>449</formula>
    </cfRule>
  </conditionalFormatting>
  <conditionalFormatting sqref="J75">
    <cfRule type="containsText" dxfId="4484" priority="219" operator="containsText" text="P">
      <formula>NOT(ISERROR(SEARCH("P",J75)))</formula>
    </cfRule>
  </conditionalFormatting>
  <conditionalFormatting sqref="J75">
    <cfRule type="containsText" dxfId="4483" priority="218" operator="containsText" text="VL">
      <formula>NOT(ISERROR(SEARCH("VL",J75)))</formula>
    </cfRule>
  </conditionalFormatting>
  <conditionalFormatting sqref="J75">
    <cfRule type="cellIs" dxfId="4482" priority="217" operator="between">
      <formula>1</formula>
      <formula>449</formula>
    </cfRule>
  </conditionalFormatting>
  <conditionalFormatting sqref="J87:K87">
    <cfRule type="containsText" dxfId="4481" priority="216" operator="containsText" text="P">
      <formula>NOT(ISERROR(SEARCH("P",J87)))</formula>
    </cfRule>
  </conditionalFormatting>
  <conditionalFormatting sqref="J87:K87">
    <cfRule type="containsText" dxfId="4480" priority="215" operator="containsText" text="VL">
      <formula>NOT(ISERROR(SEARCH("VL",J87)))</formula>
    </cfRule>
  </conditionalFormatting>
  <conditionalFormatting sqref="J87:K87">
    <cfRule type="cellIs" dxfId="4479" priority="214" operator="between">
      <formula>1</formula>
      <formula>449</formula>
    </cfRule>
  </conditionalFormatting>
  <conditionalFormatting sqref="J89:K89">
    <cfRule type="containsText" dxfId="4478" priority="213" operator="containsText" text="P">
      <formula>NOT(ISERROR(SEARCH("P",J89)))</formula>
    </cfRule>
  </conditionalFormatting>
  <conditionalFormatting sqref="J89:K89">
    <cfRule type="containsText" dxfId="4477" priority="212" operator="containsText" text="VL">
      <formula>NOT(ISERROR(SEARCH("VL",J89)))</formula>
    </cfRule>
  </conditionalFormatting>
  <conditionalFormatting sqref="J89:K89">
    <cfRule type="cellIs" dxfId="4476" priority="211" operator="between">
      <formula>1</formula>
      <formula>449</formula>
    </cfRule>
  </conditionalFormatting>
  <conditionalFormatting sqref="J91:J93">
    <cfRule type="containsText" dxfId="4475" priority="210" operator="containsText" text="P">
      <formula>NOT(ISERROR(SEARCH("P",J91)))</formula>
    </cfRule>
  </conditionalFormatting>
  <conditionalFormatting sqref="J91:J93">
    <cfRule type="containsText" dxfId="4474" priority="209" operator="containsText" text="VL">
      <formula>NOT(ISERROR(SEARCH("VL",J91)))</formula>
    </cfRule>
  </conditionalFormatting>
  <conditionalFormatting sqref="J91:J93">
    <cfRule type="cellIs" dxfId="4473" priority="208" operator="between">
      <formula>1</formula>
      <formula>449</formula>
    </cfRule>
  </conditionalFormatting>
  <conditionalFormatting sqref="J19:K19">
    <cfRule type="containsText" dxfId="4472" priority="207" operator="containsText" text="P">
      <formula>NOT(ISERROR(SEARCH("P",J19)))</formula>
    </cfRule>
  </conditionalFormatting>
  <conditionalFormatting sqref="J19:K19">
    <cfRule type="containsText" dxfId="4471" priority="206" operator="containsText" text="VL">
      <formula>NOT(ISERROR(SEARCH("VL",J19)))</formula>
    </cfRule>
  </conditionalFormatting>
  <conditionalFormatting sqref="J19:K19">
    <cfRule type="cellIs" dxfId="4470" priority="205" operator="between">
      <formula>1</formula>
      <formula>449</formula>
    </cfRule>
  </conditionalFormatting>
  <conditionalFormatting sqref="J29:K29">
    <cfRule type="containsText" dxfId="4469" priority="204" operator="containsText" text="P">
      <formula>NOT(ISERROR(SEARCH("P",J29)))</formula>
    </cfRule>
  </conditionalFormatting>
  <conditionalFormatting sqref="J29:K29">
    <cfRule type="containsText" dxfId="4468" priority="203" operator="containsText" text="VL">
      <formula>NOT(ISERROR(SEARCH("VL",J29)))</formula>
    </cfRule>
  </conditionalFormatting>
  <conditionalFormatting sqref="J29:K29">
    <cfRule type="cellIs" dxfId="4467" priority="202" operator="between">
      <formula>1</formula>
      <formula>449</formula>
    </cfRule>
  </conditionalFormatting>
  <conditionalFormatting sqref="J37:K37">
    <cfRule type="containsText" dxfId="4466" priority="201" operator="containsText" text="P">
      <formula>NOT(ISERROR(SEARCH("P",J37)))</formula>
    </cfRule>
  </conditionalFormatting>
  <conditionalFormatting sqref="J37:K37">
    <cfRule type="containsText" dxfId="4465" priority="200" operator="containsText" text="VL">
      <formula>NOT(ISERROR(SEARCH("VL",J37)))</formula>
    </cfRule>
  </conditionalFormatting>
  <conditionalFormatting sqref="J37:K37">
    <cfRule type="cellIs" dxfId="4464" priority="199" operator="between">
      <formula>1</formula>
      <formula>449</formula>
    </cfRule>
  </conditionalFormatting>
  <conditionalFormatting sqref="J51:K51">
    <cfRule type="containsText" dxfId="4463" priority="198" operator="containsText" text="P">
      <formula>NOT(ISERROR(SEARCH("P",J51)))</formula>
    </cfRule>
  </conditionalFormatting>
  <conditionalFormatting sqref="J51:K51">
    <cfRule type="containsText" dxfId="4462" priority="197" operator="containsText" text="VL">
      <formula>NOT(ISERROR(SEARCH("VL",J51)))</formula>
    </cfRule>
  </conditionalFormatting>
  <conditionalFormatting sqref="J51:K51">
    <cfRule type="cellIs" dxfId="4461" priority="196" operator="between">
      <formula>1</formula>
      <formula>449</formula>
    </cfRule>
  </conditionalFormatting>
  <conditionalFormatting sqref="J58">
    <cfRule type="containsText" dxfId="4460" priority="195" operator="containsText" text="P">
      <formula>NOT(ISERROR(SEARCH("P",J58)))</formula>
    </cfRule>
  </conditionalFormatting>
  <conditionalFormatting sqref="J58">
    <cfRule type="containsText" dxfId="4459" priority="194" operator="containsText" text="VL">
      <formula>NOT(ISERROR(SEARCH("VL",J58)))</formula>
    </cfRule>
  </conditionalFormatting>
  <conditionalFormatting sqref="J58">
    <cfRule type="cellIs" dxfId="4458" priority="193" operator="between">
      <formula>1</formula>
      <formula>449</formula>
    </cfRule>
  </conditionalFormatting>
  <conditionalFormatting sqref="J66:K66">
    <cfRule type="containsText" dxfId="4457" priority="192" operator="containsText" text="P">
      <formula>NOT(ISERROR(SEARCH("P",J66)))</formula>
    </cfRule>
  </conditionalFormatting>
  <conditionalFormatting sqref="J66:K66">
    <cfRule type="containsText" dxfId="4456" priority="191" operator="containsText" text="VL">
      <formula>NOT(ISERROR(SEARCH("VL",J66)))</formula>
    </cfRule>
  </conditionalFormatting>
  <conditionalFormatting sqref="J66:K66">
    <cfRule type="cellIs" dxfId="4455" priority="190" operator="between">
      <formula>1</formula>
      <formula>449</formula>
    </cfRule>
  </conditionalFormatting>
  <conditionalFormatting sqref="J67:J68">
    <cfRule type="containsText" dxfId="4454" priority="189" operator="containsText" text="P">
      <formula>NOT(ISERROR(SEARCH("P",J67)))</formula>
    </cfRule>
  </conditionalFormatting>
  <conditionalFormatting sqref="J67:J68">
    <cfRule type="containsText" dxfId="4453" priority="188" operator="containsText" text="VL">
      <formula>NOT(ISERROR(SEARCH("VL",J67)))</formula>
    </cfRule>
  </conditionalFormatting>
  <conditionalFormatting sqref="J67:J68">
    <cfRule type="cellIs" dxfId="4452" priority="187" operator="between">
      <formula>1</formula>
      <formula>449</formula>
    </cfRule>
  </conditionalFormatting>
  <conditionalFormatting sqref="J69:J71">
    <cfRule type="containsText" dxfId="4451" priority="186" operator="containsText" text="P">
      <formula>NOT(ISERROR(SEARCH("P",J69)))</formula>
    </cfRule>
  </conditionalFormatting>
  <conditionalFormatting sqref="J69:J71">
    <cfRule type="containsText" dxfId="4450" priority="185" operator="containsText" text="VL">
      <formula>NOT(ISERROR(SEARCH("VL",J69)))</formula>
    </cfRule>
  </conditionalFormatting>
  <conditionalFormatting sqref="J69:J71">
    <cfRule type="cellIs" dxfId="4449" priority="184" operator="between">
      <formula>1</formula>
      <formula>449</formula>
    </cfRule>
  </conditionalFormatting>
  <conditionalFormatting sqref="J79:K79">
    <cfRule type="containsText" dxfId="4448" priority="183" operator="containsText" text="P">
      <formula>NOT(ISERROR(SEARCH("P",J79)))</formula>
    </cfRule>
  </conditionalFormatting>
  <conditionalFormatting sqref="J79:K79">
    <cfRule type="containsText" dxfId="4447" priority="182" operator="containsText" text="VL">
      <formula>NOT(ISERROR(SEARCH("VL",J79)))</formula>
    </cfRule>
  </conditionalFormatting>
  <conditionalFormatting sqref="J79:K79">
    <cfRule type="cellIs" dxfId="4446" priority="181" operator="between">
      <formula>1</formula>
      <formula>449</formula>
    </cfRule>
  </conditionalFormatting>
  <conditionalFormatting sqref="J109:K109">
    <cfRule type="containsText" dxfId="4445" priority="180" operator="containsText" text="P">
      <formula>NOT(ISERROR(SEARCH("P",J109)))</formula>
    </cfRule>
  </conditionalFormatting>
  <conditionalFormatting sqref="J109:K109">
    <cfRule type="containsText" dxfId="4444" priority="179" operator="containsText" text="VL">
      <formula>NOT(ISERROR(SEARCH("VL",J109)))</formula>
    </cfRule>
  </conditionalFormatting>
  <conditionalFormatting sqref="J109:K109">
    <cfRule type="cellIs" dxfId="4443" priority="178" operator="between">
      <formula>1</formula>
      <formula>449</formula>
    </cfRule>
  </conditionalFormatting>
  <conditionalFormatting sqref="J73:K73">
    <cfRule type="containsText" dxfId="4442" priority="177" operator="containsText" text="P">
      <formula>NOT(ISERROR(SEARCH("P",J73)))</formula>
    </cfRule>
  </conditionalFormatting>
  <conditionalFormatting sqref="J73:K73">
    <cfRule type="containsText" dxfId="4441" priority="176" operator="containsText" text="VL">
      <formula>NOT(ISERROR(SEARCH("VL",J73)))</formula>
    </cfRule>
  </conditionalFormatting>
  <conditionalFormatting sqref="J73:K73">
    <cfRule type="cellIs" dxfId="4440" priority="175" operator="between">
      <formula>1</formula>
      <formula>449</formula>
    </cfRule>
  </conditionalFormatting>
  <conditionalFormatting sqref="K3:K4">
    <cfRule type="containsText" dxfId="4439" priority="174" operator="containsText" text="P">
      <formula>NOT(ISERROR(SEARCH("P",K3)))</formula>
    </cfRule>
  </conditionalFormatting>
  <conditionalFormatting sqref="K3:K4">
    <cfRule type="containsText" dxfId="4438" priority="173" operator="containsText" text="VL">
      <formula>NOT(ISERROR(SEARCH("VL",K3)))</formula>
    </cfRule>
  </conditionalFormatting>
  <conditionalFormatting sqref="K3:K4">
    <cfRule type="cellIs" dxfId="4437" priority="172" operator="between">
      <formula>1</formula>
      <formula>449</formula>
    </cfRule>
  </conditionalFormatting>
  <conditionalFormatting sqref="K13">
    <cfRule type="containsText" dxfId="4436" priority="171" operator="containsText" text="P">
      <formula>NOT(ISERROR(SEARCH("P",K13)))</formula>
    </cfRule>
  </conditionalFormatting>
  <conditionalFormatting sqref="K13">
    <cfRule type="containsText" dxfId="4435" priority="170" operator="containsText" text="VL">
      <formula>NOT(ISERROR(SEARCH("VL",K13)))</formula>
    </cfRule>
  </conditionalFormatting>
  <conditionalFormatting sqref="K13">
    <cfRule type="cellIs" dxfId="4434" priority="169" operator="between">
      <formula>1</formula>
      <formula>449</formula>
    </cfRule>
  </conditionalFormatting>
  <conditionalFormatting sqref="K16">
    <cfRule type="containsText" dxfId="4433" priority="168" operator="containsText" text="P">
      <formula>NOT(ISERROR(SEARCH("P",K16)))</formula>
    </cfRule>
  </conditionalFormatting>
  <conditionalFormatting sqref="K16">
    <cfRule type="containsText" dxfId="4432" priority="167" operator="containsText" text="VL">
      <formula>NOT(ISERROR(SEARCH("VL",K16)))</formula>
    </cfRule>
  </conditionalFormatting>
  <conditionalFormatting sqref="K16">
    <cfRule type="cellIs" dxfId="4431" priority="166" operator="between">
      <formula>1</formula>
      <formula>449</formula>
    </cfRule>
  </conditionalFormatting>
  <conditionalFormatting sqref="K35">
    <cfRule type="containsText" dxfId="4430" priority="165" operator="containsText" text="P">
      <formula>NOT(ISERROR(SEARCH("P",K35)))</formula>
    </cfRule>
  </conditionalFormatting>
  <conditionalFormatting sqref="K35">
    <cfRule type="containsText" dxfId="4429" priority="164" operator="containsText" text="VL">
      <formula>NOT(ISERROR(SEARCH("VL",K35)))</formula>
    </cfRule>
  </conditionalFormatting>
  <conditionalFormatting sqref="K35">
    <cfRule type="cellIs" dxfId="4428" priority="163" operator="between">
      <formula>1</formula>
      <formula>449</formula>
    </cfRule>
  </conditionalFormatting>
  <conditionalFormatting sqref="K38">
    <cfRule type="containsText" dxfId="4427" priority="162" operator="containsText" text="P">
      <formula>NOT(ISERROR(SEARCH("P",K38)))</formula>
    </cfRule>
  </conditionalFormatting>
  <conditionalFormatting sqref="K38">
    <cfRule type="containsText" dxfId="4426" priority="161" operator="containsText" text="VL">
      <formula>NOT(ISERROR(SEARCH("VL",K38)))</formula>
    </cfRule>
  </conditionalFormatting>
  <conditionalFormatting sqref="K38">
    <cfRule type="cellIs" dxfId="4425" priority="160" operator="between">
      <formula>1</formula>
      <formula>449</formula>
    </cfRule>
  </conditionalFormatting>
  <conditionalFormatting sqref="K110">
    <cfRule type="containsText" dxfId="4424" priority="159" operator="containsText" text="P">
      <formula>NOT(ISERROR(SEARCH("P",K110)))</formula>
    </cfRule>
  </conditionalFormatting>
  <conditionalFormatting sqref="K110">
    <cfRule type="containsText" dxfId="4423" priority="158" operator="containsText" text="VL">
      <formula>NOT(ISERROR(SEARCH("VL",K110)))</formula>
    </cfRule>
  </conditionalFormatting>
  <conditionalFormatting sqref="K110">
    <cfRule type="cellIs" dxfId="4422" priority="157" operator="between">
      <formula>1</formula>
      <formula>449</formula>
    </cfRule>
  </conditionalFormatting>
  <conditionalFormatting sqref="K14">
    <cfRule type="containsText" dxfId="4421" priority="156" operator="containsText" text="P">
      <formula>NOT(ISERROR(SEARCH("P",K14)))</formula>
    </cfRule>
  </conditionalFormatting>
  <conditionalFormatting sqref="K14">
    <cfRule type="containsText" dxfId="4420" priority="155" operator="containsText" text="VL">
      <formula>NOT(ISERROR(SEARCH("VL",K14)))</formula>
    </cfRule>
  </conditionalFormatting>
  <conditionalFormatting sqref="K14">
    <cfRule type="cellIs" dxfId="4419" priority="154" operator="between">
      <formula>1</formula>
      <formula>449</formula>
    </cfRule>
  </conditionalFormatting>
  <conditionalFormatting sqref="K60">
    <cfRule type="containsText" dxfId="4418" priority="153" operator="containsText" text="P">
      <formula>NOT(ISERROR(SEARCH("P",K60)))</formula>
    </cfRule>
  </conditionalFormatting>
  <conditionalFormatting sqref="K60">
    <cfRule type="containsText" dxfId="4417" priority="152" operator="containsText" text="VL">
      <formula>NOT(ISERROR(SEARCH("VL",K60)))</formula>
    </cfRule>
  </conditionalFormatting>
  <conditionalFormatting sqref="K60">
    <cfRule type="cellIs" dxfId="4416" priority="151" operator="between">
      <formula>1</formula>
      <formula>449</formula>
    </cfRule>
  </conditionalFormatting>
  <conditionalFormatting sqref="K62:L62">
    <cfRule type="containsText" dxfId="4415" priority="150" operator="containsText" text="P">
      <formula>NOT(ISERROR(SEARCH("P",K62)))</formula>
    </cfRule>
  </conditionalFormatting>
  <conditionalFormatting sqref="K62:L62">
    <cfRule type="containsText" dxfId="4414" priority="149" operator="containsText" text="VL">
      <formula>NOT(ISERROR(SEARCH("VL",K62)))</formula>
    </cfRule>
  </conditionalFormatting>
  <conditionalFormatting sqref="K62:L62">
    <cfRule type="cellIs" dxfId="4413" priority="148" operator="between">
      <formula>1</formula>
      <formula>449</formula>
    </cfRule>
  </conditionalFormatting>
  <conditionalFormatting sqref="K8">
    <cfRule type="containsText" dxfId="4412" priority="147" operator="containsText" text="P">
      <formula>NOT(ISERROR(SEARCH("P",K8)))</formula>
    </cfRule>
  </conditionalFormatting>
  <conditionalFormatting sqref="K8">
    <cfRule type="containsText" dxfId="4411" priority="146" operator="containsText" text="VL">
      <formula>NOT(ISERROR(SEARCH("VL",K8)))</formula>
    </cfRule>
  </conditionalFormatting>
  <conditionalFormatting sqref="K8">
    <cfRule type="cellIs" dxfId="4410" priority="145" operator="between">
      <formula>1</formula>
      <formula>449</formula>
    </cfRule>
  </conditionalFormatting>
  <conditionalFormatting sqref="K82">
    <cfRule type="containsText" dxfId="4409" priority="144" operator="containsText" text="P">
      <formula>NOT(ISERROR(SEARCH("P",K82)))</formula>
    </cfRule>
  </conditionalFormatting>
  <conditionalFormatting sqref="K82">
    <cfRule type="containsText" dxfId="4408" priority="143" operator="containsText" text="VL">
      <formula>NOT(ISERROR(SEARCH("VL",K82)))</formula>
    </cfRule>
  </conditionalFormatting>
  <conditionalFormatting sqref="K82">
    <cfRule type="cellIs" dxfId="4407" priority="142" operator="between">
      <formula>1</formula>
      <formula>449</formula>
    </cfRule>
  </conditionalFormatting>
  <conditionalFormatting sqref="K77">
    <cfRule type="containsText" dxfId="4406" priority="141" operator="containsText" text="P">
      <formula>NOT(ISERROR(SEARCH("P",K77)))</formula>
    </cfRule>
  </conditionalFormatting>
  <conditionalFormatting sqref="K77">
    <cfRule type="containsText" dxfId="4405" priority="140" operator="containsText" text="VL">
      <formula>NOT(ISERROR(SEARCH("VL",K77)))</formula>
    </cfRule>
  </conditionalFormatting>
  <conditionalFormatting sqref="K77">
    <cfRule type="cellIs" dxfId="4404" priority="139" operator="between">
      <formula>1</formula>
      <formula>449</formula>
    </cfRule>
  </conditionalFormatting>
  <conditionalFormatting sqref="K80">
    <cfRule type="containsText" dxfId="4403" priority="138" operator="containsText" text="P">
      <formula>NOT(ISERROR(SEARCH("P",K80)))</formula>
    </cfRule>
  </conditionalFormatting>
  <conditionalFormatting sqref="K80">
    <cfRule type="containsText" dxfId="4402" priority="137" operator="containsText" text="VL">
      <formula>NOT(ISERROR(SEARCH("VL",K80)))</formula>
    </cfRule>
  </conditionalFormatting>
  <conditionalFormatting sqref="K80">
    <cfRule type="cellIs" dxfId="4401" priority="136" operator="between">
      <formula>1</formula>
      <formula>449</formula>
    </cfRule>
  </conditionalFormatting>
  <conditionalFormatting sqref="K114">
    <cfRule type="containsText" dxfId="4400" priority="135" operator="containsText" text="P">
      <formula>NOT(ISERROR(SEARCH("P",K114)))</formula>
    </cfRule>
  </conditionalFormatting>
  <conditionalFormatting sqref="K114">
    <cfRule type="containsText" dxfId="4399" priority="134" operator="containsText" text="VL">
      <formula>NOT(ISERROR(SEARCH("VL",K114)))</formula>
    </cfRule>
  </conditionalFormatting>
  <conditionalFormatting sqref="K114">
    <cfRule type="cellIs" dxfId="4398" priority="133" operator="between">
      <formula>1</formula>
      <formula>449</formula>
    </cfRule>
  </conditionalFormatting>
  <conditionalFormatting sqref="K15">
    <cfRule type="containsText" dxfId="4397" priority="132" operator="containsText" text="P">
      <formula>NOT(ISERROR(SEARCH("P",K15)))</formula>
    </cfRule>
  </conditionalFormatting>
  <conditionalFormatting sqref="K15">
    <cfRule type="containsText" dxfId="4396" priority="131" operator="containsText" text="VL">
      <formula>NOT(ISERROR(SEARCH("VL",K15)))</formula>
    </cfRule>
  </conditionalFormatting>
  <conditionalFormatting sqref="K15">
    <cfRule type="cellIs" dxfId="4395" priority="130" operator="between">
      <formula>1</formula>
      <formula>449</formula>
    </cfRule>
  </conditionalFormatting>
  <conditionalFormatting sqref="K69">
    <cfRule type="containsText" dxfId="4394" priority="129" operator="containsText" text="P">
      <formula>NOT(ISERROR(SEARCH("P",K69)))</formula>
    </cfRule>
  </conditionalFormatting>
  <conditionalFormatting sqref="K69">
    <cfRule type="containsText" dxfId="4393" priority="128" operator="containsText" text="VL">
      <formula>NOT(ISERROR(SEARCH("VL",K69)))</formula>
    </cfRule>
  </conditionalFormatting>
  <conditionalFormatting sqref="K69">
    <cfRule type="cellIs" dxfId="4392" priority="127" operator="between">
      <formula>1</formula>
      <formula>449</formula>
    </cfRule>
  </conditionalFormatting>
  <conditionalFormatting sqref="K90">
    <cfRule type="containsText" dxfId="4391" priority="126" operator="containsText" text="P">
      <formula>NOT(ISERROR(SEARCH("P",K90)))</formula>
    </cfRule>
  </conditionalFormatting>
  <conditionalFormatting sqref="K90">
    <cfRule type="containsText" dxfId="4390" priority="125" operator="containsText" text="VL">
      <formula>NOT(ISERROR(SEARCH("VL",K90)))</formula>
    </cfRule>
  </conditionalFormatting>
  <conditionalFormatting sqref="K90">
    <cfRule type="cellIs" dxfId="4389" priority="124" operator="between">
      <formula>1</formula>
      <formula>449</formula>
    </cfRule>
  </conditionalFormatting>
  <conditionalFormatting sqref="K91">
    <cfRule type="containsText" dxfId="4388" priority="123" operator="containsText" text="P">
      <formula>NOT(ISERROR(SEARCH("P",K91)))</formula>
    </cfRule>
  </conditionalFormatting>
  <conditionalFormatting sqref="K91">
    <cfRule type="containsText" dxfId="4387" priority="122" operator="containsText" text="VL">
      <formula>NOT(ISERROR(SEARCH("VL",K91)))</formula>
    </cfRule>
  </conditionalFormatting>
  <conditionalFormatting sqref="K91">
    <cfRule type="cellIs" dxfId="4386" priority="121" operator="between">
      <formula>1</formula>
      <formula>449</formula>
    </cfRule>
  </conditionalFormatting>
  <conditionalFormatting sqref="K92">
    <cfRule type="containsText" dxfId="4385" priority="120" operator="containsText" text="P">
      <formula>NOT(ISERROR(SEARCH("P",K92)))</formula>
    </cfRule>
  </conditionalFormatting>
  <conditionalFormatting sqref="K92">
    <cfRule type="containsText" dxfId="4384" priority="119" operator="containsText" text="VL">
      <formula>NOT(ISERROR(SEARCH("VL",K92)))</formula>
    </cfRule>
  </conditionalFormatting>
  <conditionalFormatting sqref="K92">
    <cfRule type="cellIs" dxfId="4383" priority="118" operator="between">
      <formula>1</formula>
      <formula>449</formula>
    </cfRule>
  </conditionalFormatting>
  <conditionalFormatting sqref="K92">
    <cfRule type="containsText" dxfId="4382" priority="117" operator="containsText" text="P">
      <formula>NOT(ISERROR(SEARCH("P",K92)))</formula>
    </cfRule>
  </conditionalFormatting>
  <conditionalFormatting sqref="K92">
    <cfRule type="containsText" dxfId="4381" priority="116" operator="containsText" text="VL">
      <formula>NOT(ISERROR(SEARCH("VL",K92)))</formula>
    </cfRule>
  </conditionalFormatting>
  <conditionalFormatting sqref="K92">
    <cfRule type="cellIs" dxfId="4380" priority="115" operator="between">
      <formula>1</formula>
      <formula>449</formula>
    </cfRule>
  </conditionalFormatting>
  <conditionalFormatting sqref="K111">
    <cfRule type="containsText" dxfId="4379" priority="114" operator="containsText" text="P">
      <formula>NOT(ISERROR(SEARCH("P",K111)))</formula>
    </cfRule>
  </conditionalFormatting>
  <conditionalFormatting sqref="K111">
    <cfRule type="containsText" dxfId="4378" priority="113" operator="containsText" text="VL">
      <formula>NOT(ISERROR(SEARCH("VL",K111)))</formula>
    </cfRule>
  </conditionalFormatting>
  <conditionalFormatting sqref="K111">
    <cfRule type="cellIs" dxfId="4377" priority="112" operator="between">
      <formula>1</formula>
      <formula>449</formula>
    </cfRule>
  </conditionalFormatting>
  <conditionalFormatting sqref="K58">
    <cfRule type="containsText" dxfId="4376" priority="111" operator="containsText" text="P">
      <formula>NOT(ISERROR(SEARCH("P",K58)))</formula>
    </cfRule>
  </conditionalFormatting>
  <conditionalFormatting sqref="K58">
    <cfRule type="containsText" dxfId="4375" priority="110" operator="containsText" text="VL">
      <formula>NOT(ISERROR(SEARCH("VL",K58)))</formula>
    </cfRule>
  </conditionalFormatting>
  <conditionalFormatting sqref="K58">
    <cfRule type="cellIs" dxfId="4374" priority="109" operator="between">
      <formula>1</formula>
      <formula>449</formula>
    </cfRule>
  </conditionalFormatting>
  <conditionalFormatting sqref="K63">
    <cfRule type="containsText" dxfId="4373" priority="108" operator="containsText" text="P">
      <formula>NOT(ISERROR(SEARCH("P",K63)))</formula>
    </cfRule>
  </conditionalFormatting>
  <conditionalFormatting sqref="K63">
    <cfRule type="containsText" dxfId="4372" priority="107" operator="containsText" text="VL">
      <formula>NOT(ISERROR(SEARCH("VL",K63)))</formula>
    </cfRule>
  </conditionalFormatting>
  <conditionalFormatting sqref="K63">
    <cfRule type="cellIs" dxfId="4371" priority="106" operator="between">
      <formula>1</formula>
      <formula>449</formula>
    </cfRule>
  </conditionalFormatting>
  <conditionalFormatting sqref="K65:L65">
    <cfRule type="containsText" dxfId="4370" priority="105" operator="containsText" text="P">
      <formula>NOT(ISERROR(SEARCH("P",K65)))</formula>
    </cfRule>
  </conditionalFormatting>
  <conditionalFormatting sqref="K65:L65">
    <cfRule type="containsText" dxfId="4369" priority="104" operator="containsText" text="VL">
      <formula>NOT(ISERROR(SEARCH("VL",K65)))</formula>
    </cfRule>
  </conditionalFormatting>
  <conditionalFormatting sqref="K65:L65">
    <cfRule type="cellIs" dxfId="4368" priority="103" operator="between">
      <formula>1</formula>
      <formula>449</formula>
    </cfRule>
  </conditionalFormatting>
  <conditionalFormatting sqref="K68">
    <cfRule type="containsText" dxfId="4367" priority="102" operator="containsText" text="P">
      <formula>NOT(ISERROR(SEARCH("P",K68)))</formula>
    </cfRule>
  </conditionalFormatting>
  <conditionalFormatting sqref="K68">
    <cfRule type="containsText" dxfId="4366" priority="101" operator="containsText" text="VL">
      <formula>NOT(ISERROR(SEARCH("VL",K68)))</formula>
    </cfRule>
  </conditionalFormatting>
  <conditionalFormatting sqref="K68">
    <cfRule type="cellIs" dxfId="4365" priority="100" operator="between">
      <formula>1</formula>
      <formula>449</formula>
    </cfRule>
  </conditionalFormatting>
  <conditionalFormatting sqref="K93:K94">
    <cfRule type="containsText" dxfId="4364" priority="99" operator="containsText" text="P">
      <formula>NOT(ISERROR(SEARCH("P",K93)))</formula>
    </cfRule>
  </conditionalFormatting>
  <conditionalFormatting sqref="K93:K94">
    <cfRule type="containsText" dxfId="4363" priority="98" operator="containsText" text="VL">
      <formula>NOT(ISERROR(SEARCH("VL",K93)))</formula>
    </cfRule>
  </conditionalFormatting>
  <conditionalFormatting sqref="K93:K94">
    <cfRule type="cellIs" dxfId="4362" priority="97" operator="between">
      <formula>1</formula>
      <formula>449</formula>
    </cfRule>
  </conditionalFormatting>
  <conditionalFormatting sqref="K55">
    <cfRule type="containsText" dxfId="4361" priority="96" operator="containsText" text="P">
      <formula>NOT(ISERROR(SEARCH("P",K55)))</formula>
    </cfRule>
  </conditionalFormatting>
  <conditionalFormatting sqref="K55">
    <cfRule type="containsText" dxfId="4360" priority="95" operator="containsText" text="VL">
      <formula>NOT(ISERROR(SEARCH("VL",K55)))</formula>
    </cfRule>
  </conditionalFormatting>
  <conditionalFormatting sqref="K55">
    <cfRule type="cellIs" dxfId="4359" priority="94" operator="between">
      <formula>1</formula>
      <formula>449</formula>
    </cfRule>
  </conditionalFormatting>
  <conditionalFormatting sqref="K93">
    <cfRule type="containsText" dxfId="4358" priority="93" operator="containsText" text="P">
      <formula>NOT(ISERROR(SEARCH("P",K93)))</formula>
    </cfRule>
  </conditionalFormatting>
  <conditionalFormatting sqref="K93">
    <cfRule type="containsText" dxfId="4357" priority="92" operator="containsText" text="VL">
      <formula>NOT(ISERROR(SEARCH("VL",K93)))</formula>
    </cfRule>
  </conditionalFormatting>
  <conditionalFormatting sqref="K93">
    <cfRule type="cellIs" dxfId="4356" priority="91" operator="between">
      <formula>1</formula>
      <formula>449</formula>
    </cfRule>
  </conditionalFormatting>
  <conditionalFormatting sqref="K81:L81">
    <cfRule type="containsText" dxfId="4355" priority="90" operator="containsText" text="P">
      <formula>NOT(ISERROR(SEARCH("P",K81)))</formula>
    </cfRule>
  </conditionalFormatting>
  <conditionalFormatting sqref="K81:L81">
    <cfRule type="containsText" dxfId="4354" priority="89" operator="containsText" text="VL">
      <formula>NOT(ISERROR(SEARCH("VL",K81)))</formula>
    </cfRule>
  </conditionalFormatting>
  <conditionalFormatting sqref="K81:L81">
    <cfRule type="cellIs" dxfId="4353" priority="88" operator="between">
      <formula>1</formula>
      <formula>449</formula>
    </cfRule>
  </conditionalFormatting>
  <conditionalFormatting sqref="K81:L81">
    <cfRule type="containsText" dxfId="4352" priority="87" operator="containsText" text="P">
      <formula>NOT(ISERROR(SEARCH("P",K81)))</formula>
    </cfRule>
  </conditionalFormatting>
  <conditionalFormatting sqref="K81:L81">
    <cfRule type="containsText" dxfId="4351" priority="86" operator="containsText" text="VL">
      <formula>NOT(ISERROR(SEARCH("VL",K81)))</formula>
    </cfRule>
  </conditionalFormatting>
  <conditionalFormatting sqref="K81:L81">
    <cfRule type="cellIs" dxfId="4350" priority="85" operator="between">
      <formula>1</formula>
      <formula>449</formula>
    </cfRule>
  </conditionalFormatting>
  <conditionalFormatting sqref="K75">
    <cfRule type="containsText" dxfId="4349" priority="84" operator="containsText" text="P">
      <formula>NOT(ISERROR(SEARCH("P",K75)))</formula>
    </cfRule>
  </conditionalFormatting>
  <conditionalFormatting sqref="K75">
    <cfRule type="containsText" dxfId="4348" priority="83" operator="containsText" text="VL">
      <formula>NOT(ISERROR(SEARCH("VL",K75)))</formula>
    </cfRule>
  </conditionalFormatting>
  <conditionalFormatting sqref="K75">
    <cfRule type="cellIs" dxfId="4347" priority="82" operator="between">
      <formula>1</formula>
      <formula>449</formula>
    </cfRule>
  </conditionalFormatting>
  <conditionalFormatting sqref="K75">
    <cfRule type="containsText" dxfId="4346" priority="81" operator="containsText" text="P">
      <formula>NOT(ISERROR(SEARCH("P",K75)))</formula>
    </cfRule>
  </conditionalFormatting>
  <conditionalFormatting sqref="K75">
    <cfRule type="containsText" dxfId="4345" priority="80" operator="containsText" text="VL">
      <formula>NOT(ISERROR(SEARCH("VL",K75)))</formula>
    </cfRule>
  </conditionalFormatting>
  <conditionalFormatting sqref="K75">
    <cfRule type="cellIs" dxfId="4344" priority="79" operator="between">
      <formula>1</formula>
      <formula>449</formula>
    </cfRule>
  </conditionalFormatting>
  <conditionalFormatting sqref="K104:L104">
    <cfRule type="containsText" dxfId="4343" priority="78" operator="containsText" text="P">
      <formula>NOT(ISERROR(SEARCH("P",K104)))</formula>
    </cfRule>
  </conditionalFormatting>
  <conditionalFormatting sqref="K104:L104">
    <cfRule type="containsText" dxfId="4342" priority="77" operator="containsText" text="VL">
      <formula>NOT(ISERROR(SEARCH("VL",K104)))</formula>
    </cfRule>
  </conditionalFormatting>
  <conditionalFormatting sqref="K104:L104">
    <cfRule type="cellIs" dxfId="4341" priority="76" operator="between">
      <formula>1</formula>
      <formula>449</formula>
    </cfRule>
  </conditionalFormatting>
  <conditionalFormatting sqref="K104:L104">
    <cfRule type="containsText" dxfId="4340" priority="75" operator="containsText" text="P">
      <formula>NOT(ISERROR(SEARCH("P",K104)))</formula>
    </cfRule>
  </conditionalFormatting>
  <conditionalFormatting sqref="K104:L104">
    <cfRule type="containsText" dxfId="4339" priority="74" operator="containsText" text="VL">
      <formula>NOT(ISERROR(SEARCH("VL",K104)))</formula>
    </cfRule>
  </conditionalFormatting>
  <conditionalFormatting sqref="K104:L104">
    <cfRule type="cellIs" dxfId="4338" priority="73" operator="between">
      <formula>1</formula>
      <formula>449</formula>
    </cfRule>
  </conditionalFormatting>
  <conditionalFormatting sqref="L68">
    <cfRule type="containsText" dxfId="4337" priority="72" operator="containsText" text="P">
      <formula>NOT(ISERROR(SEARCH("P",L68)))</formula>
    </cfRule>
  </conditionalFormatting>
  <conditionalFormatting sqref="L68">
    <cfRule type="containsText" dxfId="4336" priority="71" operator="containsText" text="VL">
      <formula>NOT(ISERROR(SEARCH("VL",L68)))</formula>
    </cfRule>
  </conditionalFormatting>
  <conditionalFormatting sqref="L68">
    <cfRule type="cellIs" dxfId="4335" priority="70" operator="between">
      <formula>1</formula>
      <formula>449</formula>
    </cfRule>
  </conditionalFormatting>
  <conditionalFormatting sqref="L69">
    <cfRule type="containsText" dxfId="4334" priority="69" operator="containsText" text="P">
      <formula>NOT(ISERROR(SEARCH("P",L69)))</formula>
    </cfRule>
  </conditionalFormatting>
  <conditionalFormatting sqref="L69">
    <cfRule type="containsText" dxfId="4333" priority="68" operator="containsText" text="VL">
      <formula>NOT(ISERROR(SEARCH("VL",L69)))</formula>
    </cfRule>
  </conditionalFormatting>
  <conditionalFormatting sqref="L69">
    <cfRule type="cellIs" dxfId="4332" priority="67" operator="between">
      <formula>1</formula>
      <formula>449</formula>
    </cfRule>
  </conditionalFormatting>
  <conditionalFormatting sqref="L70">
    <cfRule type="containsText" dxfId="4331" priority="66" operator="containsText" text="P">
      <formula>NOT(ISERROR(SEARCH("P",L70)))</formula>
    </cfRule>
  </conditionalFormatting>
  <conditionalFormatting sqref="L70">
    <cfRule type="containsText" dxfId="4330" priority="65" operator="containsText" text="VL">
      <formula>NOT(ISERROR(SEARCH("VL",L70)))</formula>
    </cfRule>
  </conditionalFormatting>
  <conditionalFormatting sqref="L70">
    <cfRule type="cellIs" dxfId="4329" priority="64" operator="between">
      <formula>1</formula>
      <formula>449</formula>
    </cfRule>
  </conditionalFormatting>
  <conditionalFormatting sqref="L71">
    <cfRule type="containsText" dxfId="4328" priority="63" operator="containsText" text="P">
      <formula>NOT(ISERROR(SEARCH("P",L71)))</formula>
    </cfRule>
  </conditionalFormatting>
  <conditionalFormatting sqref="L71">
    <cfRule type="containsText" dxfId="4327" priority="62" operator="containsText" text="VL">
      <formula>NOT(ISERROR(SEARCH("VL",L71)))</formula>
    </cfRule>
  </conditionalFormatting>
  <conditionalFormatting sqref="L71">
    <cfRule type="cellIs" dxfId="4326" priority="61" operator="between">
      <formula>1</formula>
      <formula>449</formula>
    </cfRule>
  </conditionalFormatting>
  <conditionalFormatting sqref="L74">
    <cfRule type="containsText" dxfId="4325" priority="60" operator="containsText" text="P">
      <formula>NOT(ISERROR(SEARCH("P",L74)))</formula>
    </cfRule>
  </conditionalFormatting>
  <conditionalFormatting sqref="L74">
    <cfRule type="containsText" dxfId="4324" priority="59" operator="containsText" text="VL">
      <formula>NOT(ISERROR(SEARCH("VL",L74)))</formula>
    </cfRule>
  </conditionalFormatting>
  <conditionalFormatting sqref="L74">
    <cfRule type="cellIs" dxfId="4323" priority="58" operator="between">
      <formula>1</formula>
      <formula>449</formula>
    </cfRule>
  </conditionalFormatting>
  <conditionalFormatting sqref="L75">
    <cfRule type="containsText" dxfId="4322" priority="57" operator="containsText" text="P">
      <formula>NOT(ISERROR(SEARCH("P",L75)))</formula>
    </cfRule>
  </conditionalFormatting>
  <conditionalFormatting sqref="L75">
    <cfRule type="containsText" dxfId="4321" priority="56" operator="containsText" text="VL">
      <formula>NOT(ISERROR(SEARCH("VL",L75)))</formula>
    </cfRule>
  </conditionalFormatting>
  <conditionalFormatting sqref="L75">
    <cfRule type="cellIs" dxfId="4320" priority="55" operator="between">
      <formula>1</formula>
      <formula>449</formula>
    </cfRule>
  </conditionalFormatting>
  <conditionalFormatting sqref="L76:L77">
    <cfRule type="containsText" dxfId="4319" priority="54" operator="containsText" text="P">
      <formula>NOT(ISERROR(SEARCH("P",L76)))</formula>
    </cfRule>
  </conditionalFormatting>
  <conditionalFormatting sqref="L76:L77">
    <cfRule type="containsText" dxfId="4318" priority="53" operator="containsText" text="VL">
      <formula>NOT(ISERROR(SEARCH("VL",L76)))</formula>
    </cfRule>
  </conditionalFormatting>
  <conditionalFormatting sqref="L76:L77">
    <cfRule type="cellIs" dxfId="4317" priority="52" operator="between">
      <formula>1</formula>
      <formula>449</formula>
    </cfRule>
  </conditionalFormatting>
  <conditionalFormatting sqref="L78">
    <cfRule type="containsText" dxfId="4316" priority="51" operator="containsText" text="P">
      <formula>NOT(ISERROR(SEARCH("P",L78)))</formula>
    </cfRule>
  </conditionalFormatting>
  <conditionalFormatting sqref="L78">
    <cfRule type="containsText" dxfId="4315" priority="50" operator="containsText" text="VL">
      <formula>NOT(ISERROR(SEARCH("VL",L78)))</formula>
    </cfRule>
  </conditionalFormatting>
  <conditionalFormatting sqref="L78">
    <cfRule type="cellIs" dxfId="4314" priority="49" operator="between">
      <formula>1</formula>
      <formula>449</formula>
    </cfRule>
  </conditionalFormatting>
  <conditionalFormatting sqref="L105">
    <cfRule type="containsText" dxfId="4313" priority="48" operator="containsText" text="P">
      <formula>NOT(ISERROR(SEARCH("P",L105)))</formula>
    </cfRule>
  </conditionalFormatting>
  <conditionalFormatting sqref="L105">
    <cfRule type="containsText" dxfId="4312" priority="47" operator="containsText" text="VL">
      <formula>NOT(ISERROR(SEARCH("VL",L105)))</formula>
    </cfRule>
  </conditionalFormatting>
  <conditionalFormatting sqref="L105">
    <cfRule type="cellIs" dxfId="4311" priority="46" operator="between">
      <formula>1</formula>
      <formula>449</formula>
    </cfRule>
  </conditionalFormatting>
  <conditionalFormatting sqref="L105">
    <cfRule type="containsText" dxfId="4310" priority="45" operator="containsText" text="P">
      <formula>NOT(ISERROR(SEARCH("P",L105)))</formula>
    </cfRule>
  </conditionalFormatting>
  <conditionalFormatting sqref="L105">
    <cfRule type="containsText" dxfId="4309" priority="44" operator="containsText" text="VL">
      <formula>NOT(ISERROR(SEARCH("VL",L105)))</formula>
    </cfRule>
  </conditionalFormatting>
  <conditionalFormatting sqref="L105">
    <cfRule type="cellIs" dxfId="4308" priority="43" operator="between">
      <formula>1</formula>
      <formula>449</formula>
    </cfRule>
  </conditionalFormatting>
  <conditionalFormatting sqref="L107">
    <cfRule type="containsText" dxfId="4307" priority="42" operator="containsText" text="P">
      <formula>NOT(ISERROR(SEARCH("P",L107)))</formula>
    </cfRule>
  </conditionalFormatting>
  <conditionalFormatting sqref="L107">
    <cfRule type="containsText" dxfId="4306" priority="41" operator="containsText" text="VL">
      <formula>NOT(ISERROR(SEARCH("VL",L107)))</formula>
    </cfRule>
  </conditionalFormatting>
  <conditionalFormatting sqref="L107">
    <cfRule type="cellIs" dxfId="4305" priority="40" operator="between">
      <formula>1</formula>
      <formula>449</formula>
    </cfRule>
  </conditionalFormatting>
  <conditionalFormatting sqref="L107">
    <cfRule type="containsText" dxfId="4304" priority="39" operator="containsText" text="P">
      <formula>NOT(ISERROR(SEARCH("P",L107)))</formula>
    </cfRule>
  </conditionalFormatting>
  <conditionalFormatting sqref="L107">
    <cfRule type="containsText" dxfId="4303" priority="38" operator="containsText" text="VL">
      <formula>NOT(ISERROR(SEARCH("VL",L107)))</formula>
    </cfRule>
  </conditionalFormatting>
  <conditionalFormatting sqref="L107">
    <cfRule type="cellIs" dxfId="4302" priority="37" operator="between">
      <formula>1</formula>
      <formula>449</formula>
    </cfRule>
  </conditionalFormatting>
  <conditionalFormatting sqref="L113">
    <cfRule type="containsText" dxfId="4301" priority="36" operator="containsText" text="P">
      <formula>NOT(ISERROR(SEARCH("P",L113)))</formula>
    </cfRule>
  </conditionalFormatting>
  <conditionalFormatting sqref="L113">
    <cfRule type="containsText" dxfId="4300" priority="35" operator="containsText" text="VL">
      <formula>NOT(ISERROR(SEARCH("VL",L113)))</formula>
    </cfRule>
  </conditionalFormatting>
  <conditionalFormatting sqref="L113">
    <cfRule type="cellIs" dxfId="4299" priority="34" operator="between">
      <formula>1</formula>
      <formula>449</formula>
    </cfRule>
  </conditionalFormatting>
  <conditionalFormatting sqref="L113">
    <cfRule type="containsText" dxfId="4298" priority="33" operator="containsText" text="P">
      <formula>NOT(ISERROR(SEARCH("P",L113)))</formula>
    </cfRule>
  </conditionalFormatting>
  <conditionalFormatting sqref="L113">
    <cfRule type="containsText" dxfId="4297" priority="32" operator="containsText" text="VL">
      <formula>NOT(ISERROR(SEARCH("VL",L113)))</formula>
    </cfRule>
  </conditionalFormatting>
  <conditionalFormatting sqref="L113">
    <cfRule type="cellIs" dxfId="4296" priority="31" operator="between">
      <formula>1</formula>
      <formula>449</formula>
    </cfRule>
  </conditionalFormatting>
  <conditionalFormatting sqref="L72">
    <cfRule type="containsText" dxfId="4295" priority="30" operator="containsText" text="P">
      <formula>NOT(ISERROR(SEARCH("P",L72)))</formula>
    </cfRule>
  </conditionalFormatting>
  <conditionalFormatting sqref="L72">
    <cfRule type="containsText" dxfId="4294" priority="29" operator="containsText" text="VL">
      <formula>NOT(ISERROR(SEARCH("VL",L72)))</formula>
    </cfRule>
  </conditionalFormatting>
  <conditionalFormatting sqref="F1:L33 F35:L115 L34">
    <cfRule type="cellIs" dxfId="4293" priority="28" operator="between">
      <formula>1</formula>
      <formula>449</formula>
    </cfRule>
  </conditionalFormatting>
  <conditionalFormatting sqref="L96">
    <cfRule type="containsText" dxfId="4292" priority="27" operator="containsText" text="P">
      <formula>NOT(ISERROR(SEARCH("P",L96)))</formula>
    </cfRule>
  </conditionalFormatting>
  <conditionalFormatting sqref="L96">
    <cfRule type="containsText" dxfId="4291" priority="26" operator="containsText" text="VL">
      <formula>NOT(ISERROR(SEARCH("VL",L96)))</formula>
    </cfRule>
  </conditionalFormatting>
  <conditionalFormatting sqref="L96">
    <cfRule type="cellIs" dxfId="4290" priority="25" operator="between">
      <formula>1</formula>
      <formula>449</formula>
    </cfRule>
  </conditionalFormatting>
  <conditionalFormatting sqref="L96">
    <cfRule type="containsText" dxfId="4289" priority="24" operator="containsText" text="P">
      <formula>NOT(ISERROR(SEARCH("P",L96)))</formula>
    </cfRule>
  </conditionalFormatting>
  <conditionalFormatting sqref="L96">
    <cfRule type="containsText" dxfId="4288" priority="23" operator="containsText" text="VL">
      <formula>NOT(ISERROR(SEARCH("VL",L96)))</formula>
    </cfRule>
  </conditionalFormatting>
  <conditionalFormatting sqref="L96">
    <cfRule type="cellIs" dxfId="4287" priority="22" operator="between">
      <formula>1</formula>
      <formula>449</formula>
    </cfRule>
  </conditionalFormatting>
  <conditionalFormatting sqref="L96">
    <cfRule type="containsText" dxfId="4286" priority="21" operator="containsText" text="P">
      <formula>NOT(ISERROR(SEARCH("P",L96)))</formula>
    </cfRule>
  </conditionalFormatting>
  <conditionalFormatting sqref="L96">
    <cfRule type="containsText" dxfId="4285" priority="20" operator="containsText" text="VL">
      <formula>NOT(ISERROR(SEARCH("VL",L96)))</formula>
    </cfRule>
  </conditionalFormatting>
  <conditionalFormatting sqref="L96">
    <cfRule type="cellIs" dxfId="4284" priority="19" operator="between">
      <formula>1</formula>
      <formula>449</formula>
    </cfRule>
  </conditionalFormatting>
  <conditionalFormatting sqref="H64">
    <cfRule type="containsText" dxfId="4283" priority="18" operator="containsText" text="P">
      <formula>NOT(ISERROR(SEARCH("P",H64)))</formula>
    </cfRule>
  </conditionalFormatting>
  <conditionalFormatting sqref="H64">
    <cfRule type="containsText" dxfId="4282" priority="17" operator="containsText" text="VL">
      <formula>NOT(ISERROR(SEARCH("VL",H64)))</formula>
    </cfRule>
  </conditionalFormatting>
  <conditionalFormatting sqref="H64">
    <cfRule type="cellIs" dxfId="4281" priority="16" operator="between">
      <formula>1</formula>
      <formula>449</formula>
    </cfRule>
  </conditionalFormatting>
  <conditionalFormatting sqref="H64">
    <cfRule type="containsText" dxfId="4280" priority="15" operator="containsText" text="P">
      <formula>NOT(ISERROR(SEARCH("P",H64)))</formula>
    </cfRule>
  </conditionalFormatting>
  <conditionalFormatting sqref="H64">
    <cfRule type="containsText" dxfId="4279" priority="14" operator="containsText" text="VL">
      <formula>NOT(ISERROR(SEARCH("VL",H64)))</formula>
    </cfRule>
  </conditionalFormatting>
  <conditionalFormatting sqref="H64">
    <cfRule type="cellIs" dxfId="4278" priority="13" operator="between">
      <formula>1</formula>
      <formula>449</formula>
    </cfRule>
  </conditionalFormatting>
  <conditionalFormatting sqref="K64:L64">
    <cfRule type="containsText" dxfId="4277" priority="12" operator="containsText" text="P">
      <formula>NOT(ISERROR(SEARCH("P",K64)))</formula>
    </cfRule>
  </conditionalFormatting>
  <conditionalFormatting sqref="K64:L64">
    <cfRule type="containsText" dxfId="4276" priority="11" operator="containsText" text="VL">
      <formula>NOT(ISERROR(SEARCH("VL",K64)))</formula>
    </cfRule>
  </conditionalFormatting>
  <conditionalFormatting sqref="K64:L64">
    <cfRule type="cellIs" dxfId="4275" priority="10" operator="between">
      <formula>1</formula>
      <formula>449</formula>
    </cfRule>
  </conditionalFormatting>
  <conditionalFormatting sqref="H64">
    <cfRule type="containsText" dxfId="4274" priority="9" operator="containsText" text="P">
      <formula>NOT(ISERROR(SEARCH("P",H64)))</formula>
    </cfRule>
  </conditionalFormatting>
  <conditionalFormatting sqref="H64">
    <cfRule type="containsText" dxfId="4273" priority="8" operator="containsText" text="VL">
      <formula>NOT(ISERROR(SEARCH("VL",H64)))</formula>
    </cfRule>
  </conditionalFormatting>
  <conditionalFormatting sqref="H64">
    <cfRule type="cellIs" dxfId="4272" priority="7" operator="between">
      <formula>1</formula>
      <formula>449</formula>
    </cfRule>
  </conditionalFormatting>
  <conditionalFormatting sqref="K102">
    <cfRule type="containsText" dxfId="4271" priority="6" operator="containsText" text="P">
      <formula>NOT(ISERROR(SEARCH("P",K102)))</formula>
    </cfRule>
  </conditionalFormatting>
  <conditionalFormatting sqref="K102">
    <cfRule type="containsText" dxfId="4270" priority="5" operator="containsText" text="VL">
      <formula>NOT(ISERROR(SEARCH("VL",K102)))</formula>
    </cfRule>
  </conditionalFormatting>
  <conditionalFormatting sqref="K102">
    <cfRule type="cellIs" dxfId="4269" priority="4" operator="between">
      <formula>1</formula>
      <formula>449</formula>
    </cfRule>
  </conditionalFormatting>
  <conditionalFormatting sqref="K102">
    <cfRule type="containsText" dxfId="4268" priority="3" operator="containsText" text="P">
      <formula>NOT(ISERROR(SEARCH("P",K102)))</formula>
    </cfRule>
  </conditionalFormatting>
  <conditionalFormatting sqref="K102">
    <cfRule type="containsText" dxfId="4267" priority="2" operator="containsText" text="VL">
      <formula>NOT(ISERROR(SEARCH("VL",K102)))</formula>
    </cfRule>
  </conditionalFormatting>
  <conditionalFormatting sqref="K102">
    <cfRule type="cellIs" dxfId="4266" priority="1" operator="between">
      <formula>1</formula>
      <formula>449</formula>
    </cfRule>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6AC6B-A09E-4AA1-AA67-D50AC96CC9FE}">
  <dimension ref="A1:W117"/>
  <sheetViews>
    <sheetView workbookViewId="0">
      <selection activeCell="O28" sqref="O28"/>
    </sheetView>
  </sheetViews>
  <sheetFormatPr defaultRowHeight="15"/>
  <sheetData>
    <row r="1" spans="1:23">
      <c r="C1" s="58"/>
      <c r="D1" s="50">
        <v>45851</v>
      </c>
      <c r="E1" s="50">
        <v>45852</v>
      </c>
      <c r="F1" s="50">
        <v>45853</v>
      </c>
      <c r="G1" s="50">
        <v>45854</v>
      </c>
      <c r="H1" s="50">
        <v>45855</v>
      </c>
      <c r="I1" s="50">
        <v>45856</v>
      </c>
      <c r="J1" s="50">
        <v>45857</v>
      </c>
      <c r="K1" s="52"/>
    </row>
    <row r="2" spans="1:23">
      <c r="A2" s="1" t="s">
        <v>2</v>
      </c>
      <c r="B2" s="1" t="s">
        <v>0</v>
      </c>
      <c r="C2" s="17" t="s">
        <v>3</v>
      </c>
      <c r="D2" s="8" t="s">
        <v>135</v>
      </c>
      <c r="E2" s="8" t="s">
        <v>136</v>
      </c>
      <c r="F2" s="8" t="s">
        <v>137</v>
      </c>
      <c r="G2" s="8" t="s">
        <v>138</v>
      </c>
      <c r="H2" s="8" t="s">
        <v>139</v>
      </c>
      <c r="I2" s="8" t="s">
        <v>140</v>
      </c>
      <c r="J2" s="8" t="s">
        <v>141</v>
      </c>
      <c r="K2" s="53" t="s">
        <v>4</v>
      </c>
      <c r="L2" s="74" t="s">
        <v>186</v>
      </c>
      <c r="M2" s="74" t="s">
        <v>5</v>
      </c>
      <c r="N2" s="74" t="s">
        <v>6</v>
      </c>
      <c r="O2" s="74" t="s">
        <v>7</v>
      </c>
      <c r="P2" s="74" t="s">
        <v>8</v>
      </c>
      <c r="Q2" s="74" t="s">
        <v>9</v>
      </c>
      <c r="R2" s="74" t="s">
        <v>182</v>
      </c>
      <c r="S2" s="74" t="s">
        <v>183</v>
      </c>
      <c r="T2" s="74" t="s">
        <v>147</v>
      </c>
      <c r="U2" s="75" t="s">
        <v>12</v>
      </c>
      <c r="V2" s="75" t="s">
        <v>14</v>
      </c>
      <c r="W2" s="76" t="s">
        <v>184</v>
      </c>
    </row>
    <row r="3" spans="1:23">
      <c r="A3" s="5" t="s">
        <v>24</v>
      </c>
      <c r="B3" s="5" t="s">
        <v>22</v>
      </c>
      <c r="C3" s="5" t="s">
        <v>25</v>
      </c>
      <c r="D3" s="9" t="s">
        <v>147</v>
      </c>
      <c r="E3" s="9" t="s">
        <v>148</v>
      </c>
      <c r="F3" s="9" t="s">
        <v>148</v>
      </c>
      <c r="G3" s="9">
        <v>450</v>
      </c>
      <c r="H3" s="9" t="s">
        <v>148</v>
      </c>
      <c r="I3" s="9" t="s">
        <v>148</v>
      </c>
      <c r="J3" s="9" t="s">
        <v>147</v>
      </c>
      <c r="K3" s="73">
        <f>SUM(D3:J3)</f>
        <v>450</v>
      </c>
      <c r="L3" s="77">
        <f>K3-M3</f>
        <v>0</v>
      </c>
      <c r="M3" s="78">
        <f>SUMIF(D3:J3,"450")</f>
        <v>450</v>
      </c>
      <c r="N3" s="77">
        <f>L3+M3</f>
        <v>450</v>
      </c>
      <c r="O3" s="77">
        <f>S3*450</f>
        <v>2250</v>
      </c>
      <c r="P3" s="77">
        <f>O3-N3</f>
        <v>1800</v>
      </c>
      <c r="Q3" s="77">
        <f>P3/O3</f>
        <v>0.8</v>
      </c>
      <c r="R3" s="77">
        <f>S3-(U3+V3)</f>
        <v>5</v>
      </c>
      <c r="S3" s="77">
        <f>7-T3</f>
        <v>5</v>
      </c>
      <c r="T3" s="78">
        <f>COUNTIF(D3:J3,"RD")</f>
        <v>2</v>
      </c>
      <c r="U3" s="78">
        <f>COUNTIF(D3:J3,"VL")</f>
        <v>0</v>
      </c>
      <c r="V3" s="78">
        <f>COUNTIF(D3:J3,"LWOP")</f>
        <v>0</v>
      </c>
      <c r="W3" s="78">
        <f>COUNTIF(D3:J3,"450")</f>
        <v>1</v>
      </c>
    </row>
    <row r="4" spans="1:23">
      <c r="A4" s="7" t="s">
        <v>28</v>
      </c>
      <c r="B4" s="5" t="s">
        <v>26</v>
      </c>
      <c r="C4" s="19" t="s">
        <v>25</v>
      </c>
      <c r="D4" s="9">
        <v>1</v>
      </c>
      <c r="E4" s="9" t="s">
        <v>148</v>
      </c>
      <c r="F4" s="9" t="s">
        <v>147</v>
      </c>
      <c r="G4" s="9" t="s">
        <v>147</v>
      </c>
      <c r="H4" s="9">
        <v>4</v>
      </c>
      <c r="I4" s="9" t="s">
        <v>148</v>
      </c>
      <c r="J4" s="9" t="s">
        <v>174</v>
      </c>
      <c r="K4" s="73">
        <f t="shared" ref="K4:K67" si="0">SUM(D4:J4)</f>
        <v>5</v>
      </c>
      <c r="L4" s="77">
        <f t="shared" ref="L4:L67" si="1">K4-M4</f>
        <v>5</v>
      </c>
      <c r="M4" s="78">
        <f t="shared" ref="M4:M67" si="2">SUMIF(D4:J4,"450")</f>
        <v>0</v>
      </c>
      <c r="N4" s="77">
        <f t="shared" ref="N4:N67" si="3">L4+M4</f>
        <v>5</v>
      </c>
      <c r="O4" s="77">
        <f t="shared" ref="O4:O67" si="4">S4*450</f>
        <v>2250</v>
      </c>
      <c r="P4" s="77">
        <f t="shared" ref="P4:P67" si="5">O4-N4</f>
        <v>2245</v>
      </c>
      <c r="Q4" s="77">
        <f t="shared" ref="Q4:Q67" si="6">P4/O4</f>
        <v>0.99777777777777776</v>
      </c>
      <c r="R4" s="77">
        <f t="shared" ref="R4:R67" si="7">S4-(U4+V4)</f>
        <v>5</v>
      </c>
      <c r="S4" s="77">
        <f t="shared" ref="S4:S67" si="8">7-T4</f>
        <v>5</v>
      </c>
      <c r="T4" s="78">
        <f t="shared" ref="T4:T67" si="9">COUNTIF(D4:J4,"RD")</f>
        <v>2</v>
      </c>
      <c r="U4" s="78">
        <f t="shared" ref="U4:U67" si="10">COUNTIF(D4:J4,"VL")</f>
        <v>0</v>
      </c>
      <c r="V4" s="78">
        <f t="shared" ref="V4:V67" si="11">COUNTIF(D4:J4,"LWOP")</f>
        <v>0</v>
      </c>
      <c r="W4" s="78">
        <f t="shared" ref="W4:W67" si="12">COUNTIF(D4:J4,"450")</f>
        <v>0</v>
      </c>
    </row>
    <row r="5" spans="1:23">
      <c r="A5" s="7" t="s">
        <v>29</v>
      </c>
      <c r="B5" s="5" t="s">
        <v>26</v>
      </c>
      <c r="C5" s="34" t="s">
        <v>30</v>
      </c>
      <c r="D5" s="9" t="s">
        <v>147</v>
      </c>
      <c r="E5" s="9" t="s">
        <v>148</v>
      </c>
      <c r="F5" s="9" t="s">
        <v>148</v>
      </c>
      <c r="G5" s="9">
        <v>1</v>
      </c>
      <c r="H5" s="9">
        <v>4</v>
      </c>
      <c r="I5" s="9" t="s">
        <v>148</v>
      </c>
      <c r="J5" s="9" t="s">
        <v>147</v>
      </c>
      <c r="K5" s="73">
        <f t="shared" si="0"/>
        <v>5</v>
      </c>
      <c r="L5" s="77">
        <f t="shared" si="1"/>
        <v>5</v>
      </c>
      <c r="M5" s="78">
        <f t="shared" si="2"/>
        <v>0</v>
      </c>
      <c r="N5" s="77">
        <f t="shared" si="3"/>
        <v>5</v>
      </c>
      <c r="O5" s="77">
        <f t="shared" si="4"/>
        <v>2250</v>
      </c>
      <c r="P5" s="77">
        <f t="shared" si="5"/>
        <v>2245</v>
      </c>
      <c r="Q5" s="77">
        <f t="shared" si="6"/>
        <v>0.99777777777777776</v>
      </c>
      <c r="R5" s="77">
        <f t="shared" si="7"/>
        <v>5</v>
      </c>
      <c r="S5" s="77">
        <f t="shared" si="8"/>
        <v>5</v>
      </c>
      <c r="T5" s="78">
        <f t="shared" si="9"/>
        <v>2</v>
      </c>
      <c r="U5" s="78">
        <f t="shared" si="10"/>
        <v>0</v>
      </c>
      <c r="V5" s="78">
        <f t="shared" si="11"/>
        <v>0</v>
      </c>
      <c r="W5" s="78">
        <f t="shared" si="12"/>
        <v>0</v>
      </c>
    </row>
    <row r="6" spans="1:23">
      <c r="A6" s="5" t="s">
        <v>32</v>
      </c>
      <c r="B6" s="5" t="s">
        <v>22</v>
      </c>
      <c r="C6" s="5" t="s">
        <v>33</v>
      </c>
      <c r="D6" s="9" t="s">
        <v>147</v>
      </c>
      <c r="E6" s="9">
        <v>6</v>
      </c>
      <c r="F6" s="9" t="s">
        <v>148</v>
      </c>
      <c r="G6" s="9" t="s">
        <v>148</v>
      </c>
      <c r="H6" s="9">
        <v>10</v>
      </c>
      <c r="I6" s="9" t="s">
        <v>13</v>
      </c>
      <c r="J6" s="9" t="s">
        <v>147</v>
      </c>
      <c r="K6" s="73">
        <f t="shared" si="0"/>
        <v>16</v>
      </c>
      <c r="L6" s="77">
        <f t="shared" si="1"/>
        <v>16</v>
      </c>
      <c r="M6" s="78">
        <f t="shared" si="2"/>
        <v>0</v>
      </c>
      <c r="N6" s="77">
        <f t="shared" si="3"/>
        <v>16</v>
      </c>
      <c r="O6" s="77">
        <f t="shared" si="4"/>
        <v>2250</v>
      </c>
      <c r="P6" s="77">
        <f t="shared" si="5"/>
        <v>2234</v>
      </c>
      <c r="Q6" s="77">
        <f t="shared" si="6"/>
        <v>0.99288888888888893</v>
      </c>
      <c r="R6" s="77">
        <f t="shared" si="7"/>
        <v>5</v>
      </c>
      <c r="S6" s="77">
        <f t="shared" si="8"/>
        <v>5</v>
      </c>
      <c r="T6" s="78">
        <f t="shared" si="9"/>
        <v>2</v>
      </c>
      <c r="U6" s="78">
        <f t="shared" si="10"/>
        <v>0</v>
      </c>
      <c r="V6" s="78">
        <f t="shared" si="11"/>
        <v>0</v>
      </c>
      <c r="W6" s="78">
        <f t="shared" si="12"/>
        <v>0</v>
      </c>
    </row>
    <row r="7" spans="1:23">
      <c r="A7" s="7" t="s">
        <v>35</v>
      </c>
      <c r="B7" s="5" t="s">
        <v>26</v>
      </c>
      <c r="C7" s="19" t="s">
        <v>40</v>
      </c>
      <c r="D7" s="9" t="s">
        <v>147</v>
      </c>
      <c r="E7" s="9" t="s">
        <v>148</v>
      </c>
      <c r="F7" s="9" t="s">
        <v>148</v>
      </c>
      <c r="G7" s="9" t="s">
        <v>148</v>
      </c>
      <c r="H7" s="9" t="s">
        <v>148</v>
      </c>
      <c r="I7" s="9" t="s">
        <v>148</v>
      </c>
      <c r="J7" s="9" t="s">
        <v>147</v>
      </c>
      <c r="K7" s="73">
        <f t="shared" si="0"/>
        <v>0</v>
      </c>
      <c r="L7" s="77">
        <f t="shared" si="1"/>
        <v>0</v>
      </c>
      <c r="M7" s="78">
        <f t="shared" si="2"/>
        <v>0</v>
      </c>
      <c r="N7" s="77">
        <f t="shared" si="3"/>
        <v>0</v>
      </c>
      <c r="O7" s="77">
        <f t="shared" si="4"/>
        <v>2250</v>
      </c>
      <c r="P7" s="77">
        <f t="shared" si="5"/>
        <v>2250</v>
      </c>
      <c r="Q7" s="77">
        <f t="shared" si="6"/>
        <v>1</v>
      </c>
      <c r="R7" s="77">
        <f t="shared" si="7"/>
        <v>5</v>
      </c>
      <c r="S7" s="77">
        <f t="shared" si="8"/>
        <v>5</v>
      </c>
      <c r="T7" s="78">
        <f t="shared" si="9"/>
        <v>2</v>
      </c>
      <c r="U7" s="78">
        <f t="shared" si="10"/>
        <v>0</v>
      </c>
      <c r="V7" s="78">
        <f t="shared" si="11"/>
        <v>0</v>
      </c>
      <c r="W7" s="78">
        <f t="shared" si="12"/>
        <v>0</v>
      </c>
    </row>
    <row r="8" spans="1:23">
      <c r="A8" s="5" t="s">
        <v>39</v>
      </c>
      <c r="B8" s="5" t="s">
        <v>37</v>
      </c>
      <c r="C8" s="5" t="s">
        <v>40</v>
      </c>
      <c r="D8" s="9" t="s">
        <v>148</v>
      </c>
      <c r="E8" s="9" t="s">
        <v>148</v>
      </c>
      <c r="F8" s="9" t="s">
        <v>148</v>
      </c>
      <c r="G8" s="9" t="s">
        <v>148</v>
      </c>
      <c r="H8" s="9" t="s">
        <v>148</v>
      </c>
      <c r="I8" s="9" t="s">
        <v>147</v>
      </c>
      <c r="J8" s="9" t="s">
        <v>147</v>
      </c>
      <c r="K8" s="73">
        <f t="shared" si="0"/>
        <v>0</v>
      </c>
      <c r="L8" s="77">
        <f t="shared" si="1"/>
        <v>0</v>
      </c>
      <c r="M8" s="78">
        <f t="shared" si="2"/>
        <v>0</v>
      </c>
      <c r="N8" s="77">
        <f t="shared" si="3"/>
        <v>0</v>
      </c>
      <c r="O8" s="77">
        <f t="shared" si="4"/>
        <v>2250</v>
      </c>
      <c r="P8" s="77">
        <f t="shared" si="5"/>
        <v>2250</v>
      </c>
      <c r="Q8" s="77">
        <f t="shared" si="6"/>
        <v>1</v>
      </c>
      <c r="R8" s="77">
        <f t="shared" si="7"/>
        <v>5</v>
      </c>
      <c r="S8" s="77">
        <f t="shared" si="8"/>
        <v>5</v>
      </c>
      <c r="T8" s="78">
        <f t="shared" si="9"/>
        <v>2</v>
      </c>
      <c r="U8" s="78">
        <f t="shared" si="10"/>
        <v>0</v>
      </c>
      <c r="V8" s="78">
        <f t="shared" si="11"/>
        <v>0</v>
      </c>
      <c r="W8" s="78">
        <f t="shared" si="12"/>
        <v>0</v>
      </c>
    </row>
    <row r="9" spans="1:23">
      <c r="A9" s="5" t="s">
        <v>41</v>
      </c>
      <c r="B9" s="5" t="s">
        <v>22</v>
      </c>
      <c r="C9" s="5" t="s">
        <v>33</v>
      </c>
      <c r="D9" s="9" t="s">
        <v>147</v>
      </c>
      <c r="E9" s="9" t="s">
        <v>148</v>
      </c>
      <c r="F9" s="9" t="s">
        <v>148</v>
      </c>
      <c r="G9" s="9" t="s">
        <v>148</v>
      </c>
      <c r="H9" s="9" t="s">
        <v>148</v>
      </c>
      <c r="I9" s="9" t="s">
        <v>148</v>
      </c>
      <c r="J9" s="9" t="s">
        <v>147</v>
      </c>
      <c r="K9" s="73">
        <f t="shared" si="0"/>
        <v>0</v>
      </c>
      <c r="L9" s="77">
        <f t="shared" si="1"/>
        <v>0</v>
      </c>
      <c r="M9" s="78">
        <f t="shared" si="2"/>
        <v>0</v>
      </c>
      <c r="N9" s="77">
        <f t="shared" si="3"/>
        <v>0</v>
      </c>
      <c r="O9" s="77">
        <f t="shared" si="4"/>
        <v>2250</v>
      </c>
      <c r="P9" s="77">
        <f t="shared" si="5"/>
        <v>2250</v>
      </c>
      <c r="Q9" s="77">
        <f t="shared" si="6"/>
        <v>1</v>
      </c>
      <c r="R9" s="77">
        <f t="shared" si="7"/>
        <v>5</v>
      </c>
      <c r="S9" s="77">
        <f t="shared" si="8"/>
        <v>5</v>
      </c>
      <c r="T9" s="78">
        <f t="shared" si="9"/>
        <v>2</v>
      </c>
      <c r="U9" s="78">
        <f t="shared" si="10"/>
        <v>0</v>
      </c>
      <c r="V9" s="78">
        <f t="shared" si="11"/>
        <v>0</v>
      </c>
      <c r="W9" s="78">
        <f t="shared" si="12"/>
        <v>0</v>
      </c>
    </row>
    <row r="10" spans="1:23">
      <c r="A10" s="5" t="s">
        <v>42</v>
      </c>
      <c r="B10" s="5" t="s">
        <v>22</v>
      </c>
      <c r="C10" s="5" t="s">
        <v>25</v>
      </c>
      <c r="D10" s="9" t="s">
        <v>147</v>
      </c>
      <c r="E10" s="9" t="s">
        <v>148</v>
      </c>
      <c r="F10" s="9" t="s">
        <v>148</v>
      </c>
      <c r="G10" s="9" t="s">
        <v>148</v>
      </c>
      <c r="H10" s="9" t="s">
        <v>148</v>
      </c>
      <c r="I10" s="9" t="s">
        <v>12</v>
      </c>
      <c r="J10" s="9" t="s">
        <v>147</v>
      </c>
      <c r="K10" s="73">
        <f t="shared" si="0"/>
        <v>0</v>
      </c>
      <c r="L10" s="77">
        <f t="shared" si="1"/>
        <v>0</v>
      </c>
      <c r="M10" s="78">
        <f t="shared" si="2"/>
        <v>0</v>
      </c>
      <c r="N10" s="77">
        <f t="shared" si="3"/>
        <v>0</v>
      </c>
      <c r="O10" s="77">
        <f t="shared" si="4"/>
        <v>2250</v>
      </c>
      <c r="P10" s="77">
        <f t="shared" si="5"/>
        <v>2250</v>
      </c>
      <c r="Q10" s="77">
        <f t="shared" si="6"/>
        <v>1</v>
      </c>
      <c r="R10" s="77">
        <f t="shared" si="7"/>
        <v>4</v>
      </c>
      <c r="S10" s="77">
        <f t="shared" si="8"/>
        <v>5</v>
      </c>
      <c r="T10" s="78">
        <f t="shared" si="9"/>
        <v>2</v>
      </c>
      <c r="U10" s="78">
        <f t="shared" si="10"/>
        <v>1</v>
      </c>
      <c r="V10" s="78">
        <f t="shared" si="11"/>
        <v>0</v>
      </c>
      <c r="W10" s="78">
        <f t="shared" si="12"/>
        <v>0</v>
      </c>
    </row>
    <row r="11" spans="1:23">
      <c r="A11" s="5" t="s">
        <v>43</v>
      </c>
      <c r="B11" s="5" t="s">
        <v>22</v>
      </c>
      <c r="C11" s="5" t="s">
        <v>25</v>
      </c>
      <c r="D11" s="9" t="s">
        <v>147</v>
      </c>
      <c r="E11" s="9" t="s">
        <v>148</v>
      </c>
      <c r="F11" s="9" t="s">
        <v>148</v>
      </c>
      <c r="G11" s="9" t="s">
        <v>148</v>
      </c>
      <c r="H11" s="9" t="s">
        <v>148</v>
      </c>
      <c r="I11" s="9" t="s">
        <v>148</v>
      </c>
      <c r="J11" s="9" t="s">
        <v>147</v>
      </c>
      <c r="K11" s="73">
        <f t="shared" si="0"/>
        <v>0</v>
      </c>
      <c r="L11" s="77">
        <f t="shared" si="1"/>
        <v>0</v>
      </c>
      <c r="M11" s="78">
        <f t="shared" si="2"/>
        <v>0</v>
      </c>
      <c r="N11" s="77">
        <f t="shared" si="3"/>
        <v>0</v>
      </c>
      <c r="O11" s="77">
        <f t="shared" si="4"/>
        <v>2250</v>
      </c>
      <c r="P11" s="77">
        <f t="shared" si="5"/>
        <v>2250</v>
      </c>
      <c r="Q11" s="77">
        <f t="shared" si="6"/>
        <v>1</v>
      </c>
      <c r="R11" s="77">
        <f t="shared" si="7"/>
        <v>5</v>
      </c>
      <c r="S11" s="77">
        <f t="shared" si="8"/>
        <v>5</v>
      </c>
      <c r="T11" s="78">
        <f t="shared" si="9"/>
        <v>2</v>
      </c>
      <c r="U11" s="78">
        <f t="shared" si="10"/>
        <v>0</v>
      </c>
      <c r="V11" s="78">
        <f t="shared" si="11"/>
        <v>0</v>
      </c>
      <c r="W11" s="78">
        <f t="shared" si="12"/>
        <v>0</v>
      </c>
    </row>
    <row r="12" spans="1:23">
      <c r="A12" s="5" t="s">
        <v>44</v>
      </c>
      <c r="B12" s="5" t="s">
        <v>37</v>
      </c>
      <c r="C12" s="5" t="s">
        <v>40</v>
      </c>
      <c r="D12" s="9" t="s">
        <v>147</v>
      </c>
      <c r="E12" s="9" t="s">
        <v>147</v>
      </c>
      <c r="F12" s="9" t="s">
        <v>148</v>
      </c>
      <c r="G12" s="9" t="s">
        <v>148</v>
      </c>
      <c r="H12" s="9" t="s">
        <v>148</v>
      </c>
      <c r="I12" s="9" t="s">
        <v>174</v>
      </c>
      <c r="J12" s="9" t="s">
        <v>148</v>
      </c>
      <c r="K12" s="73">
        <f t="shared" si="0"/>
        <v>0</v>
      </c>
      <c r="L12" s="77">
        <f t="shared" si="1"/>
        <v>0</v>
      </c>
      <c r="M12" s="78">
        <f t="shared" si="2"/>
        <v>0</v>
      </c>
      <c r="N12" s="77">
        <f t="shared" si="3"/>
        <v>0</v>
      </c>
      <c r="O12" s="77">
        <f t="shared" si="4"/>
        <v>2250</v>
      </c>
      <c r="P12" s="77">
        <f t="shared" si="5"/>
        <v>2250</v>
      </c>
      <c r="Q12" s="77">
        <f t="shared" si="6"/>
        <v>1</v>
      </c>
      <c r="R12" s="77">
        <f t="shared" si="7"/>
        <v>5</v>
      </c>
      <c r="S12" s="77">
        <f t="shared" si="8"/>
        <v>5</v>
      </c>
      <c r="T12" s="78">
        <f t="shared" si="9"/>
        <v>2</v>
      </c>
      <c r="U12" s="78">
        <f t="shared" si="10"/>
        <v>0</v>
      </c>
      <c r="V12" s="78">
        <f t="shared" si="11"/>
        <v>0</v>
      </c>
      <c r="W12" s="78">
        <f t="shared" si="12"/>
        <v>0</v>
      </c>
    </row>
    <row r="13" spans="1:23">
      <c r="A13" s="7" t="s">
        <v>45</v>
      </c>
      <c r="B13" s="5" t="s">
        <v>26</v>
      </c>
      <c r="C13" s="34" t="s">
        <v>30</v>
      </c>
      <c r="D13" s="9" t="s">
        <v>148</v>
      </c>
      <c r="E13" s="9" t="s">
        <v>148</v>
      </c>
      <c r="F13" s="9">
        <v>450</v>
      </c>
      <c r="G13" s="9" t="s">
        <v>147</v>
      </c>
      <c r="H13" s="9" t="s">
        <v>147</v>
      </c>
      <c r="I13" s="9" t="s">
        <v>174</v>
      </c>
      <c r="J13" s="9">
        <v>450</v>
      </c>
      <c r="K13" s="73">
        <f t="shared" si="0"/>
        <v>900</v>
      </c>
      <c r="L13" s="77">
        <f t="shared" si="1"/>
        <v>0</v>
      </c>
      <c r="M13" s="78">
        <f t="shared" si="2"/>
        <v>900</v>
      </c>
      <c r="N13" s="77">
        <f t="shared" si="3"/>
        <v>900</v>
      </c>
      <c r="O13" s="77">
        <f t="shared" si="4"/>
        <v>2250</v>
      </c>
      <c r="P13" s="77">
        <f t="shared" si="5"/>
        <v>1350</v>
      </c>
      <c r="Q13" s="77">
        <f t="shared" si="6"/>
        <v>0.6</v>
      </c>
      <c r="R13" s="77">
        <f t="shared" si="7"/>
        <v>5</v>
      </c>
      <c r="S13" s="77">
        <f t="shared" si="8"/>
        <v>5</v>
      </c>
      <c r="T13" s="78">
        <f t="shared" si="9"/>
        <v>2</v>
      </c>
      <c r="U13" s="78">
        <f t="shared" si="10"/>
        <v>0</v>
      </c>
      <c r="V13" s="78">
        <f t="shared" si="11"/>
        <v>0</v>
      </c>
      <c r="W13" s="78">
        <f t="shared" si="12"/>
        <v>2</v>
      </c>
    </row>
    <row r="14" spans="1:23">
      <c r="A14" s="7" t="s">
        <v>47</v>
      </c>
      <c r="B14" s="5" t="s">
        <v>26</v>
      </c>
      <c r="C14" s="34" t="s">
        <v>33</v>
      </c>
      <c r="D14" s="9" t="s">
        <v>147</v>
      </c>
      <c r="E14" s="9" t="s">
        <v>148</v>
      </c>
      <c r="F14" s="9" t="s">
        <v>148</v>
      </c>
      <c r="G14" s="9" t="s">
        <v>148</v>
      </c>
      <c r="H14" s="9">
        <v>22</v>
      </c>
      <c r="I14" s="9" t="s">
        <v>174</v>
      </c>
      <c r="J14" s="9" t="s">
        <v>147</v>
      </c>
      <c r="K14" s="73">
        <f t="shared" si="0"/>
        <v>22</v>
      </c>
      <c r="L14" s="77">
        <f t="shared" si="1"/>
        <v>22</v>
      </c>
      <c r="M14" s="78">
        <f t="shared" si="2"/>
        <v>0</v>
      </c>
      <c r="N14" s="77">
        <f t="shared" si="3"/>
        <v>22</v>
      </c>
      <c r="O14" s="77">
        <f t="shared" si="4"/>
        <v>2250</v>
      </c>
      <c r="P14" s="77">
        <f t="shared" si="5"/>
        <v>2228</v>
      </c>
      <c r="Q14" s="77">
        <f t="shared" si="6"/>
        <v>0.99022222222222223</v>
      </c>
      <c r="R14" s="77">
        <f t="shared" si="7"/>
        <v>5</v>
      </c>
      <c r="S14" s="77">
        <f t="shared" si="8"/>
        <v>5</v>
      </c>
      <c r="T14" s="78">
        <f t="shared" si="9"/>
        <v>2</v>
      </c>
      <c r="U14" s="78">
        <f t="shared" si="10"/>
        <v>0</v>
      </c>
      <c r="V14" s="78">
        <f t="shared" si="11"/>
        <v>0</v>
      </c>
      <c r="W14" s="78">
        <f t="shared" si="12"/>
        <v>0</v>
      </c>
    </row>
    <row r="15" spans="1:23">
      <c r="A15" s="7" t="s">
        <v>49</v>
      </c>
      <c r="B15" s="5" t="s">
        <v>26</v>
      </c>
      <c r="C15" s="34" t="s">
        <v>40</v>
      </c>
      <c r="D15" s="9" t="s">
        <v>147</v>
      </c>
      <c r="E15" s="9" t="s">
        <v>12</v>
      </c>
      <c r="F15" s="9" t="s">
        <v>148</v>
      </c>
      <c r="G15" s="9" t="s">
        <v>148</v>
      </c>
      <c r="H15" s="9">
        <v>14</v>
      </c>
      <c r="I15" s="9" t="s">
        <v>148</v>
      </c>
      <c r="J15" s="9" t="s">
        <v>147</v>
      </c>
      <c r="K15" s="73">
        <f t="shared" si="0"/>
        <v>14</v>
      </c>
      <c r="L15" s="77">
        <f t="shared" si="1"/>
        <v>14</v>
      </c>
      <c r="M15" s="78">
        <f t="shared" si="2"/>
        <v>0</v>
      </c>
      <c r="N15" s="77">
        <f t="shared" si="3"/>
        <v>14</v>
      </c>
      <c r="O15" s="77">
        <f t="shared" si="4"/>
        <v>2250</v>
      </c>
      <c r="P15" s="77">
        <f t="shared" si="5"/>
        <v>2236</v>
      </c>
      <c r="Q15" s="77">
        <f t="shared" si="6"/>
        <v>0.99377777777777776</v>
      </c>
      <c r="R15" s="77">
        <f t="shared" si="7"/>
        <v>4</v>
      </c>
      <c r="S15" s="77">
        <f t="shared" si="8"/>
        <v>5</v>
      </c>
      <c r="T15" s="78">
        <f t="shared" si="9"/>
        <v>2</v>
      </c>
      <c r="U15" s="78">
        <f t="shared" si="10"/>
        <v>1</v>
      </c>
      <c r="V15" s="78">
        <f t="shared" si="11"/>
        <v>0</v>
      </c>
      <c r="W15" s="78">
        <f t="shared" si="12"/>
        <v>0</v>
      </c>
    </row>
    <row r="16" spans="1:23">
      <c r="A16" s="7" t="s">
        <v>51</v>
      </c>
      <c r="B16" s="5" t="s">
        <v>26</v>
      </c>
      <c r="C16" s="34" t="s">
        <v>25</v>
      </c>
      <c r="D16" s="9">
        <v>74</v>
      </c>
      <c r="E16" s="9" t="s">
        <v>148</v>
      </c>
      <c r="F16" s="9" t="s">
        <v>147</v>
      </c>
      <c r="G16" s="9" t="s">
        <v>147</v>
      </c>
      <c r="H16" s="9">
        <v>38</v>
      </c>
      <c r="I16" s="9" t="s">
        <v>148</v>
      </c>
      <c r="J16" s="9" t="s">
        <v>148</v>
      </c>
      <c r="K16" s="73">
        <f t="shared" si="0"/>
        <v>112</v>
      </c>
      <c r="L16" s="77">
        <f t="shared" si="1"/>
        <v>112</v>
      </c>
      <c r="M16" s="78">
        <f t="shared" si="2"/>
        <v>0</v>
      </c>
      <c r="N16" s="77">
        <f t="shared" si="3"/>
        <v>112</v>
      </c>
      <c r="O16" s="77">
        <f t="shared" si="4"/>
        <v>2250</v>
      </c>
      <c r="P16" s="77">
        <f t="shared" si="5"/>
        <v>2138</v>
      </c>
      <c r="Q16" s="77">
        <f t="shared" si="6"/>
        <v>0.95022222222222219</v>
      </c>
      <c r="R16" s="77">
        <f t="shared" si="7"/>
        <v>5</v>
      </c>
      <c r="S16" s="77">
        <f t="shared" si="8"/>
        <v>5</v>
      </c>
      <c r="T16" s="78">
        <f t="shared" si="9"/>
        <v>2</v>
      </c>
      <c r="U16" s="78">
        <f t="shared" si="10"/>
        <v>0</v>
      </c>
      <c r="V16" s="78">
        <f t="shared" si="11"/>
        <v>0</v>
      </c>
      <c r="W16" s="78">
        <f t="shared" si="12"/>
        <v>0</v>
      </c>
    </row>
    <row r="17" spans="1:23">
      <c r="A17" s="5" t="s">
        <v>52</v>
      </c>
      <c r="B17" s="5" t="s">
        <v>37</v>
      </c>
      <c r="C17" s="5" t="s">
        <v>40</v>
      </c>
      <c r="D17" s="9" t="s">
        <v>148</v>
      </c>
      <c r="E17" s="9" t="s">
        <v>148</v>
      </c>
      <c r="F17" s="9" t="s">
        <v>14</v>
      </c>
      <c r="G17" s="9" t="s">
        <v>148</v>
      </c>
      <c r="H17" s="9" t="s">
        <v>148</v>
      </c>
      <c r="I17" s="9" t="s">
        <v>147</v>
      </c>
      <c r="J17" s="9" t="s">
        <v>147</v>
      </c>
      <c r="K17" s="73">
        <f t="shared" si="0"/>
        <v>0</v>
      </c>
      <c r="L17" s="77">
        <f t="shared" si="1"/>
        <v>0</v>
      </c>
      <c r="M17" s="78">
        <f t="shared" si="2"/>
        <v>0</v>
      </c>
      <c r="N17" s="77">
        <f t="shared" si="3"/>
        <v>0</v>
      </c>
      <c r="O17" s="77">
        <f t="shared" si="4"/>
        <v>2250</v>
      </c>
      <c r="P17" s="77">
        <f t="shared" si="5"/>
        <v>2250</v>
      </c>
      <c r="Q17" s="77">
        <f t="shared" si="6"/>
        <v>1</v>
      </c>
      <c r="R17" s="77">
        <f t="shared" si="7"/>
        <v>4</v>
      </c>
      <c r="S17" s="77">
        <f t="shared" si="8"/>
        <v>5</v>
      </c>
      <c r="T17" s="78">
        <f t="shared" si="9"/>
        <v>2</v>
      </c>
      <c r="U17" s="78">
        <f t="shared" si="10"/>
        <v>0</v>
      </c>
      <c r="V17" s="78">
        <f t="shared" si="11"/>
        <v>1</v>
      </c>
      <c r="W17" s="78">
        <f t="shared" si="12"/>
        <v>0</v>
      </c>
    </row>
    <row r="18" spans="1:23">
      <c r="A18" s="7" t="s">
        <v>53</v>
      </c>
      <c r="B18" s="5" t="s">
        <v>26</v>
      </c>
      <c r="C18" s="34" t="s">
        <v>25</v>
      </c>
      <c r="D18" s="9" t="s">
        <v>147</v>
      </c>
      <c r="E18" s="9" t="s">
        <v>148</v>
      </c>
      <c r="F18" s="9" t="s">
        <v>148</v>
      </c>
      <c r="G18" s="9">
        <v>450</v>
      </c>
      <c r="H18" s="9" t="s">
        <v>148</v>
      </c>
      <c r="I18" s="9" t="s">
        <v>174</v>
      </c>
      <c r="J18" s="9" t="s">
        <v>147</v>
      </c>
      <c r="K18" s="73">
        <f t="shared" si="0"/>
        <v>450</v>
      </c>
      <c r="L18" s="77">
        <f t="shared" si="1"/>
        <v>0</v>
      </c>
      <c r="M18" s="78">
        <f t="shared" si="2"/>
        <v>450</v>
      </c>
      <c r="N18" s="77">
        <f t="shared" si="3"/>
        <v>450</v>
      </c>
      <c r="O18" s="77">
        <f t="shared" si="4"/>
        <v>2250</v>
      </c>
      <c r="P18" s="77">
        <f t="shared" si="5"/>
        <v>1800</v>
      </c>
      <c r="Q18" s="77">
        <f t="shared" si="6"/>
        <v>0.8</v>
      </c>
      <c r="R18" s="77">
        <f t="shared" si="7"/>
        <v>5</v>
      </c>
      <c r="S18" s="77">
        <f t="shared" si="8"/>
        <v>5</v>
      </c>
      <c r="T18" s="78">
        <f t="shared" si="9"/>
        <v>2</v>
      </c>
      <c r="U18" s="78">
        <f t="shared" si="10"/>
        <v>0</v>
      </c>
      <c r="V18" s="78">
        <f t="shared" si="11"/>
        <v>0</v>
      </c>
      <c r="W18" s="78">
        <f t="shared" si="12"/>
        <v>1</v>
      </c>
    </row>
    <row r="19" spans="1:23">
      <c r="A19" s="5" t="s">
        <v>34</v>
      </c>
      <c r="B19" s="5" t="s">
        <v>26</v>
      </c>
      <c r="C19" s="5" t="s">
        <v>40</v>
      </c>
      <c r="D19" s="9" t="s">
        <v>147</v>
      </c>
      <c r="E19" s="9">
        <v>450</v>
      </c>
      <c r="F19" s="9">
        <v>450</v>
      </c>
      <c r="G19" s="9">
        <v>450</v>
      </c>
      <c r="H19" s="9">
        <v>450</v>
      </c>
      <c r="I19" s="9" t="s">
        <v>148</v>
      </c>
      <c r="J19" s="9" t="s">
        <v>148</v>
      </c>
      <c r="K19" s="73">
        <f t="shared" si="0"/>
        <v>1800</v>
      </c>
      <c r="L19" s="77">
        <f t="shared" si="1"/>
        <v>0</v>
      </c>
      <c r="M19" s="78">
        <f t="shared" si="2"/>
        <v>1800</v>
      </c>
      <c r="N19" s="77">
        <f t="shared" si="3"/>
        <v>1800</v>
      </c>
      <c r="O19" s="77">
        <f t="shared" si="4"/>
        <v>2700</v>
      </c>
      <c r="P19" s="77">
        <f t="shared" si="5"/>
        <v>900</v>
      </c>
      <c r="Q19" s="77">
        <f t="shared" si="6"/>
        <v>0.33333333333333331</v>
      </c>
      <c r="R19" s="77">
        <f t="shared" si="7"/>
        <v>6</v>
      </c>
      <c r="S19" s="77">
        <f t="shared" si="8"/>
        <v>6</v>
      </c>
      <c r="T19" s="78">
        <f t="shared" si="9"/>
        <v>1</v>
      </c>
      <c r="U19" s="78">
        <f t="shared" si="10"/>
        <v>0</v>
      </c>
      <c r="V19" s="78">
        <f t="shared" si="11"/>
        <v>0</v>
      </c>
      <c r="W19" s="78">
        <f t="shared" si="12"/>
        <v>4</v>
      </c>
    </row>
    <row r="20" spans="1:23">
      <c r="A20" s="5" t="s">
        <v>55</v>
      </c>
      <c r="B20" s="5" t="s">
        <v>22</v>
      </c>
      <c r="C20" s="5" t="s">
        <v>56</v>
      </c>
      <c r="D20" s="9" t="s">
        <v>147</v>
      </c>
      <c r="E20" s="9">
        <v>450</v>
      </c>
      <c r="F20" s="9" t="s">
        <v>148</v>
      </c>
      <c r="G20" s="9" t="s">
        <v>148</v>
      </c>
      <c r="H20" s="9" t="s">
        <v>148</v>
      </c>
      <c r="I20" s="9" t="s">
        <v>148</v>
      </c>
      <c r="J20" s="9" t="s">
        <v>147</v>
      </c>
      <c r="K20" s="73">
        <f t="shared" si="0"/>
        <v>450</v>
      </c>
      <c r="L20" s="77">
        <f t="shared" si="1"/>
        <v>0</v>
      </c>
      <c r="M20" s="78">
        <f t="shared" si="2"/>
        <v>450</v>
      </c>
      <c r="N20" s="77">
        <f t="shared" si="3"/>
        <v>450</v>
      </c>
      <c r="O20" s="77">
        <f t="shared" si="4"/>
        <v>2250</v>
      </c>
      <c r="P20" s="77">
        <f t="shared" si="5"/>
        <v>1800</v>
      </c>
      <c r="Q20" s="77">
        <f t="shared" si="6"/>
        <v>0.8</v>
      </c>
      <c r="R20" s="77">
        <f t="shared" si="7"/>
        <v>5</v>
      </c>
      <c r="S20" s="77">
        <f t="shared" si="8"/>
        <v>5</v>
      </c>
      <c r="T20" s="78">
        <f t="shared" si="9"/>
        <v>2</v>
      </c>
      <c r="U20" s="78">
        <f t="shared" si="10"/>
        <v>0</v>
      </c>
      <c r="V20" s="78">
        <f t="shared" si="11"/>
        <v>0</v>
      </c>
      <c r="W20" s="78">
        <f t="shared" si="12"/>
        <v>1</v>
      </c>
    </row>
    <row r="21" spans="1:23">
      <c r="A21" s="5" t="s">
        <v>59</v>
      </c>
      <c r="B21" s="5" t="s">
        <v>60</v>
      </c>
      <c r="C21" s="5" t="s">
        <v>40</v>
      </c>
      <c r="D21" s="9" t="s">
        <v>147</v>
      </c>
      <c r="E21" s="9" t="s">
        <v>148</v>
      </c>
      <c r="F21" s="9" t="s">
        <v>148</v>
      </c>
      <c r="G21" s="9" t="s">
        <v>148</v>
      </c>
      <c r="H21" s="9" t="s">
        <v>148</v>
      </c>
      <c r="I21" s="9" t="s">
        <v>148</v>
      </c>
      <c r="J21" s="9" t="s">
        <v>147</v>
      </c>
      <c r="K21" s="73">
        <f t="shared" si="0"/>
        <v>0</v>
      </c>
      <c r="L21" s="77">
        <f t="shared" si="1"/>
        <v>0</v>
      </c>
      <c r="M21" s="78">
        <f t="shared" si="2"/>
        <v>0</v>
      </c>
      <c r="N21" s="77">
        <f t="shared" si="3"/>
        <v>0</v>
      </c>
      <c r="O21" s="77">
        <f t="shared" si="4"/>
        <v>2250</v>
      </c>
      <c r="P21" s="77">
        <f t="shared" si="5"/>
        <v>2250</v>
      </c>
      <c r="Q21" s="77">
        <f t="shared" si="6"/>
        <v>1</v>
      </c>
      <c r="R21" s="77">
        <f t="shared" si="7"/>
        <v>5</v>
      </c>
      <c r="S21" s="77">
        <f t="shared" si="8"/>
        <v>5</v>
      </c>
      <c r="T21" s="78">
        <f t="shared" si="9"/>
        <v>2</v>
      </c>
      <c r="U21" s="78">
        <f t="shared" si="10"/>
        <v>0</v>
      </c>
      <c r="V21" s="78">
        <f t="shared" si="11"/>
        <v>0</v>
      </c>
      <c r="W21" s="78">
        <f t="shared" si="12"/>
        <v>0</v>
      </c>
    </row>
    <row r="22" spans="1:23">
      <c r="A22" s="5" t="s">
        <v>62</v>
      </c>
      <c r="B22" s="5" t="s">
        <v>22</v>
      </c>
      <c r="C22" s="5" t="s">
        <v>63</v>
      </c>
      <c r="D22" s="9" t="s">
        <v>147</v>
      </c>
      <c r="E22" s="9" t="s">
        <v>148</v>
      </c>
      <c r="F22" s="9">
        <v>14</v>
      </c>
      <c r="G22" s="9">
        <v>12</v>
      </c>
      <c r="H22" s="9">
        <v>35</v>
      </c>
      <c r="I22" s="9" t="s">
        <v>174</v>
      </c>
      <c r="J22" s="9" t="s">
        <v>147</v>
      </c>
      <c r="K22" s="73">
        <f t="shared" si="0"/>
        <v>61</v>
      </c>
      <c r="L22" s="77">
        <f t="shared" si="1"/>
        <v>61</v>
      </c>
      <c r="M22" s="78">
        <f t="shared" si="2"/>
        <v>0</v>
      </c>
      <c r="N22" s="77">
        <f t="shared" si="3"/>
        <v>61</v>
      </c>
      <c r="O22" s="77">
        <f t="shared" si="4"/>
        <v>2250</v>
      </c>
      <c r="P22" s="77">
        <f t="shared" si="5"/>
        <v>2189</v>
      </c>
      <c r="Q22" s="77">
        <f t="shared" si="6"/>
        <v>0.97288888888888891</v>
      </c>
      <c r="R22" s="77">
        <f t="shared" si="7"/>
        <v>5</v>
      </c>
      <c r="S22" s="77">
        <f t="shared" si="8"/>
        <v>5</v>
      </c>
      <c r="T22" s="78">
        <f t="shared" si="9"/>
        <v>2</v>
      </c>
      <c r="U22" s="78">
        <f t="shared" si="10"/>
        <v>0</v>
      </c>
      <c r="V22" s="78">
        <f t="shared" si="11"/>
        <v>0</v>
      </c>
      <c r="W22" s="78">
        <f t="shared" si="12"/>
        <v>0</v>
      </c>
    </row>
    <row r="23" spans="1:23">
      <c r="A23" s="5" t="s">
        <v>64</v>
      </c>
      <c r="B23" s="5" t="s">
        <v>22</v>
      </c>
      <c r="C23" s="5" t="s">
        <v>63</v>
      </c>
      <c r="D23" s="9" t="s">
        <v>147</v>
      </c>
      <c r="E23" s="9">
        <v>8</v>
      </c>
      <c r="F23" s="9" t="s">
        <v>148</v>
      </c>
      <c r="G23" s="9" t="s">
        <v>148</v>
      </c>
      <c r="H23" s="9">
        <v>2</v>
      </c>
      <c r="I23" s="9" t="s">
        <v>12</v>
      </c>
      <c r="J23" s="9" t="s">
        <v>147</v>
      </c>
      <c r="K23" s="73">
        <f t="shared" si="0"/>
        <v>10</v>
      </c>
      <c r="L23" s="77">
        <f t="shared" si="1"/>
        <v>10</v>
      </c>
      <c r="M23" s="78">
        <f t="shared" si="2"/>
        <v>0</v>
      </c>
      <c r="N23" s="77">
        <f t="shared" si="3"/>
        <v>10</v>
      </c>
      <c r="O23" s="77">
        <f t="shared" si="4"/>
        <v>2250</v>
      </c>
      <c r="P23" s="77">
        <f t="shared" si="5"/>
        <v>2240</v>
      </c>
      <c r="Q23" s="77">
        <f t="shared" si="6"/>
        <v>0.99555555555555553</v>
      </c>
      <c r="R23" s="77">
        <f t="shared" si="7"/>
        <v>4</v>
      </c>
      <c r="S23" s="77">
        <f t="shared" si="8"/>
        <v>5</v>
      </c>
      <c r="T23" s="78">
        <f t="shared" si="9"/>
        <v>2</v>
      </c>
      <c r="U23" s="78">
        <f t="shared" si="10"/>
        <v>1</v>
      </c>
      <c r="V23" s="78">
        <f t="shared" si="11"/>
        <v>0</v>
      </c>
      <c r="W23" s="78">
        <f t="shared" si="12"/>
        <v>0</v>
      </c>
    </row>
    <row r="24" spans="1:23">
      <c r="A24" s="7" t="s">
        <v>65</v>
      </c>
      <c r="B24" s="5" t="s">
        <v>26</v>
      </c>
      <c r="C24" s="34" t="s">
        <v>56</v>
      </c>
      <c r="D24" s="9" t="s">
        <v>147</v>
      </c>
      <c r="E24" s="9" t="s">
        <v>148</v>
      </c>
      <c r="F24" s="9" t="s">
        <v>148</v>
      </c>
      <c r="G24" s="9" t="s">
        <v>148</v>
      </c>
      <c r="H24" s="9" t="s">
        <v>148</v>
      </c>
      <c r="I24" s="9" t="s">
        <v>148</v>
      </c>
      <c r="J24" s="9" t="s">
        <v>147</v>
      </c>
      <c r="K24" s="73">
        <f t="shared" si="0"/>
        <v>0</v>
      </c>
      <c r="L24" s="77">
        <f t="shared" si="1"/>
        <v>0</v>
      </c>
      <c r="M24" s="78">
        <f t="shared" si="2"/>
        <v>0</v>
      </c>
      <c r="N24" s="77">
        <f t="shared" si="3"/>
        <v>0</v>
      </c>
      <c r="O24" s="77">
        <f t="shared" si="4"/>
        <v>2250</v>
      </c>
      <c r="P24" s="77">
        <f t="shared" si="5"/>
        <v>2250</v>
      </c>
      <c r="Q24" s="77">
        <f t="shared" si="6"/>
        <v>1</v>
      </c>
      <c r="R24" s="77">
        <f t="shared" si="7"/>
        <v>5</v>
      </c>
      <c r="S24" s="77">
        <f t="shared" si="8"/>
        <v>5</v>
      </c>
      <c r="T24" s="78">
        <f t="shared" si="9"/>
        <v>2</v>
      </c>
      <c r="U24" s="78">
        <f t="shared" si="10"/>
        <v>0</v>
      </c>
      <c r="V24" s="78">
        <f t="shared" si="11"/>
        <v>0</v>
      </c>
      <c r="W24" s="78">
        <f t="shared" si="12"/>
        <v>0</v>
      </c>
    </row>
    <row r="25" spans="1:23">
      <c r="A25" s="5" t="s">
        <v>67</v>
      </c>
      <c r="B25" s="5" t="s">
        <v>22</v>
      </c>
      <c r="C25" s="5" t="s">
        <v>30</v>
      </c>
      <c r="D25" s="9" t="s">
        <v>147</v>
      </c>
      <c r="E25" s="9" t="s">
        <v>148</v>
      </c>
      <c r="F25" s="9" t="s">
        <v>148</v>
      </c>
      <c r="G25" s="9" t="s">
        <v>148</v>
      </c>
      <c r="H25" s="9" t="s">
        <v>148</v>
      </c>
      <c r="I25" s="9" t="s">
        <v>148</v>
      </c>
      <c r="J25" s="9" t="s">
        <v>147</v>
      </c>
      <c r="K25" s="73">
        <f t="shared" si="0"/>
        <v>0</v>
      </c>
      <c r="L25" s="77">
        <f t="shared" si="1"/>
        <v>0</v>
      </c>
      <c r="M25" s="78">
        <f t="shared" si="2"/>
        <v>0</v>
      </c>
      <c r="N25" s="77">
        <f t="shared" si="3"/>
        <v>0</v>
      </c>
      <c r="O25" s="77">
        <f t="shared" si="4"/>
        <v>2250</v>
      </c>
      <c r="P25" s="77">
        <f t="shared" si="5"/>
        <v>2250</v>
      </c>
      <c r="Q25" s="77">
        <f t="shared" si="6"/>
        <v>1</v>
      </c>
      <c r="R25" s="77">
        <f t="shared" si="7"/>
        <v>5</v>
      </c>
      <c r="S25" s="77">
        <f t="shared" si="8"/>
        <v>5</v>
      </c>
      <c r="T25" s="78">
        <f t="shared" si="9"/>
        <v>2</v>
      </c>
      <c r="U25" s="78">
        <f t="shared" si="10"/>
        <v>0</v>
      </c>
      <c r="V25" s="78">
        <f t="shared" si="11"/>
        <v>0</v>
      </c>
      <c r="W25" s="78">
        <f t="shared" si="12"/>
        <v>0</v>
      </c>
    </row>
    <row r="26" spans="1:23">
      <c r="A26" s="7" t="s">
        <v>68</v>
      </c>
      <c r="B26" s="5" t="s">
        <v>26</v>
      </c>
      <c r="C26" s="34" t="s">
        <v>40</v>
      </c>
      <c r="D26" s="9" t="s">
        <v>147</v>
      </c>
      <c r="E26" s="9" t="s">
        <v>148</v>
      </c>
      <c r="F26" s="9" t="s">
        <v>148</v>
      </c>
      <c r="G26" s="9">
        <v>34</v>
      </c>
      <c r="H26" s="9">
        <v>19</v>
      </c>
      <c r="I26" s="9" t="s">
        <v>148</v>
      </c>
      <c r="J26" s="9" t="s">
        <v>147</v>
      </c>
      <c r="K26" s="73">
        <f t="shared" si="0"/>
        <v>53</v>
      </c>
      <c r="L26" s="77">
        <f t="shared" si="1"/>
        <v>53</v>
      </c>
      <c r="M26" s="78">
        <f t="shared" si="2"/>
        <v>0</v>
      </c>
      <c r="N26" s="77">
        <f t="shared" si="3"/>
        <v>53</v>
      </c>
      <c r="O26" s="77">
        <f t="shared" si="4"/>
        <v>2250</v>
      </c>
      <c r="P26" s="77">
        <f t="shared" si="5"/>
        <v>2197</v>
      </c>
      <c r="Q26" s="77">
        <f t="shared" si="6"/>
        <v>0.97644444444444445</v>
      </c>
      <c r="R26" s="77">
        <f t="shared" si="7"/>
        <v>5</v>
      </c>
      <c r="S26" s="77">
        <f t="shared" si="8"/>
        <v>5</v>
      </c>
      <c r="T26" s="78">
        <f t="shared" si="9"/>
        <v>2</v>
      </c>
      <c r="U26" s="78">
        <f t="shared" si="10"/>
        <v>0</v>
      </c>
      <c r="V26" s="78">
        <f t="shared" si="11"/>
        <v>0</v>
      </c>
      <c r="W26" s="78">
        <f t="shared" si="12"/>
        <v>0</v>
      </c>
    </row>
    <row r="27" spans="1:23">
      <c r="A27" s="5" t="s">
        <v>69</v>
      </c>
      <c r="B27" s="5" t="s">
        <v>22</v>
      </c>
      <c r="C27" s="5" t="s">
        <v>30</v>
      </c>
      <c r="D27" s="9" t="s">
        <v>147</v>
      </c>
      <c r="E27" s="9" t="s">
        <v>148</v>
      </c>
      <c r="F27" s="9" t="s">
        <v>148</v>
      </c>
      <c r="G27" s="9">
        <v>450</v>
      </c>
      <c r="H27" s="9" t="s">
        <v>174</v>
      </c>
      <c r="I27" s="9" t="s">
        <v>148</v>
      </c>
      <c r="J27" s="9" t="s">
        <v>147</v>
      </c>
      <c r="K27" s="73">
        <f t="shared" si="0"/>
        <v>450</v>
      </c>
      <c r="L27" s="77">
        <f t="shared" si="1"/>
        <v>0</v>
      </c>
      <c r="M27" s="78">
        <f t="shared" si="2"/>
        <v>450</v>
      </c>
      <c r="N27" s="77">
        <f t="shared" si="3"/>
        <v>450</v>
      </c>
      <c r="O27" s="77">
        <f t="shared" si="4"/>
        <v>2250</v>
      </c>
      <c r="P27" s="77">
        <f t="shared" si="5"/>
        <v>1800</v>
      </c>
      <c r="Q27" s="77">
        <f t="shared" si="6"/>
        <v>0.8</v>
      </c>
      <c r="R27" s="77">
        <f t="shared" si="7"/>
        <v>5</v>
      </c>
      <c r="S27" s="77">
        <f t="shared" si="8"/>
        <v>5</v>
      </c>
      <c r="T27" s="78">
        <f t="shared" si="9"/>
        <v>2</v>
      </c>
      <c r="U27" s="78">
        <f t="shared" si="10"/>
        <v>0</v>
      </c>
      <c r="V27" s="78">
        <f t="shared" si="11"/>
        <v>0</v>
      </c>
      <c r="W27" s="78">
        <f t="shared" si="12"/>
        <v>1</v>
      </c>
    </row>
    <row r="28" spans="1:23">
      <c r="A28" s="5" t="s">
        <v>70</v>
      </c>
      <c r="B28" s="5" t="s">
        <v>22</v>
      </c>
      <c r="C28" s="5" t="s">
        <v>63</v>
      </c>
      <c r="D28" s="9" t="s">
        <v>147</v>
      </c>
      <c r="E28" s="9" t="s">
        <v>148</v>
      </c>
      <c r="F28" s="9">
        <v>1</v>
      </c>
      <c r="G28" s="9" t="s">
        <v>148</v>
      </c>
      <c r="H28" s="9">
        <v>3</v>
      </c>
      <c r="I28" s="9" t="s">
        <v>148</v>
      </c>
      <c r="J28" s="9" t="s">
        <v>147</v>
      </c>
      <c r="K28" s="73">
        <f t="shared" si="0"/>
        <v>4</v>
      </c>
      <c r="L28" s="77">
        <f t="shared" si="1"/>
        <v>4</v>
      </c>
      <c r="M28" s="78">
        <f t="shared" si="2"/>
        <v>0</v>
      </c>
      <c r="N28" s="77">
        <f t="shared" si="3"/>
        <v>4</v>
      </c>
      <c r="O28" s="77">
        <f t="shared" si="4"/>
        <v>2250</v>
      </c>
      <c r="P28" s="77">
        <f t="shared" si="5"/>
        <v>2246</v>
      </c>
      <c r="Q28" s="77">
        <f t="shared" si="6"/>
        <v>0.99822222222222223</v>
      </c>
      <c r="R28" s="77">
        <f t="shared" si="7"/>
        <v>5</v>
      </c>
      <c r="S28" s="77">
        <f t="shared" si="8"/>
        <v>5</v>
      </c>
      <c r="T28" s="78">
        <f t="shared" si="9"/>
        <v>2</v>
      </c>
      <c r="U28" s="78">
        <f t="shared" si="10"/>
        <v>0</v>
      </c>
      <c r="V28" s="78">
        <f t="shared" si="11"/>
        <v>0</v>
      </c>
      <c r="W28" s="78">
        <f t="shared" si="12"/>
        <v>0</v>
      </c>
    </row>
    <row r="29" spans="1:23">
      <c r="A29" s="7" t="s">
        <v>71</v>
      </c>
      <c r="B29" s="5" t="s">
        <v>26</v>
      </c>
      <c r="C29" s="34" t="s">
        <v>25</v>
      </c>
      <c r="D29" s="9" t="s">
        <v>147</v>
      </c>
      <c r="E29" s="9" t="s">
        <v>148</v>
      </c>
      <c r="F29" s="9" t="s">
        <v>148</v>
      </c>
      <c r="G29" s="9" t="s">
        <v>148</v>
      </c>
      <c r="H29" s="9" t="s">
        <v>148</v>
      </c>
      <c r="I29" s="9" t="s">
        <v>148</v>
      </c>
      <c r="J29" s="9" t="s">
        <v>147</v>
      </c>
      <c r="K29" s="73">
        <f t="shared" si="0"/>
        <v>0</v>
      </c>
      <c r="L29" s="77">
        <f t="shared" si="1"/>
        <v>0</v>
      </c>
      <c r="M29" s="78">
        <f t="shared" si="2"/>
        <v>0</v>
      </c>
      <c r="N29" s="77">
        <f t="shared" si="3"/>
        <v>0</v>
      </c>
      <c r="O29" s="77">
        <f t="shared" si="4"/>
        <v>2250</v>
      </c>
      <c r="P29" s="77">
        <f t="shared" si="5"/>
        <v>2250</v>
      </c>
      <c r="Q29" s="77">
        <f t="shared" si="6"/>
        <v>1</v>
      </c>
      <c r="R29" s="77">
        <f t="shared" si="7"/>
        <v>5</v>
      </c>
      <c r="S29" s="77">
        <f t="shared" si="8"/>
        <v>5</v>
      </c>
      <c r="T29" s="78">
        <f t="shared" si="9"/>
        <v>2</v>
      </c>
      <c r="U29" s="78">
        <f t="shared" si="10"/>
        <v>0</v>
      </c>
      <c r="V29" s="78">
        <f t="shared" si="11"/>
        <v>0</v>
      </c>
      <c r="W29" s="78">
        <f t="shared" si="12"/>
        <v>0</v>
      </c>
    </row>
    <row r="30" spans="1:23">
      <c r="A30" s="5" t="s">
        <v>72</v>
      </c>
      <c r="B30" s="5" t="s">
        <v>22</v>
      </c>
      <c r="C30" s="5" t="s">
        <v>30</v>
      </c>
      <c r="D30" s="9" t="s">
        <v>147</v>
      </c>
      <c r="E30" s="9" t="s">
        <v>148</v>
      </c>
      <c r="F30" s="9" t="s">
        <v>148</v>
      </c>
      <c r="G30" s="9" t="s">
        <v>148</v>
      </c>
      <c r="H30" s="9" t="s">
        <v>148</v>
      </c>
      <c r="I30" s="9" t="s">
        <v>148</v>
      </c>
      <c r="J30" s="9" t="s">
        <v>147</v>
      </c>
      <c r="K30" s="73">
        <f t="shared" si="0"/>
        <v>0</v>
      </c>
      <c r="L30" s="77">
        <f t="shared" si="1"/>
        <v>0</v>
      </c>
      <c r="M30" s="78">
        <f t="shared" si="2"/>
        <v>0</v>
      </c>
      <c r="N30" s="77">
        <f t="shared" si="3"/>
        <v>0</v>
      </c>
      <c r="O30" s="77">
        <f t="shared" si="4"/>
        <v>2250</v>
      </c>
      <c r="P30" s="77">
        <f t="shared" si="5"/>
        <v>2250</v>
      </c>
      <c r="Q30" s="77">
        <f t="shared" si="6"/>
        <v>1</v>
      </c>
      <c r="R30" s="77">
        <f t="shared" si="7"/>
        <v>5</v>
      </c>
      <c r="S30" s="77">
        <f t="shared" si="8"/>
        <v>5</v>
      </c>
      <c r="T30" s="78">
        <f t="shared" si="9"/>
        <v>2</v>
      </c>
      <c r="U30" s="78">
        <f t="shared" si="10"/>
        <v>0</v>
      </c>
      <c r="V30" s="78">
        <f t="shared" si="11"/>
        <v>0</v>
      </c>
      <c r="W30" s="78">
        <f t="shared" si="12"/>
        <v>0</v>
      </c>
    </row>
    <row r="31" spans="1:23">
      <c r="A31" s="7" t="s">
        <v>73</v>
      </c>
      <c r="B31" s="5" t="s">
        <v>26</v>
      </c>
      <c r="C31" s="34" t="s">
        <v>25</v>
      </c>
      <c r="D31" s="9" t="s">
        <v>147</v>
      </c>
      <c r="E31" s="9">
        <v>12</v>
      </c>
      <c r="F31" s="9" t="s">
        <v>148</v>
      </c>
      <c r="G31" s="9" t="s">
        <v>148</v>
      </c>
      <c r="H31" s="9" t="s">
        <v>148</v>
      </c>
      <c r="I31" s="9" t="s">
        <v>174</v>
      </c>
      <c r="J31" s="9" t="s">
        <v>147</v>
      </c>
      <c r="K31" s="73">
        <f t="shared" si="0"/>
        <v>12</v>
      </c>
      <c r="L31" s="77">
        <f t="shared" si="1"/>
        <v>12</v>
      </c>
      <c r="M31" s="78">
        <f t="shared" si="2"/>
        <v>0</v>
      </c>
      <c r="N31" s="77">
        <f t="shared" si="3"/>
        <v>12</v>
      </c>
      <c r="O31" s="77">
        <f t="shared" si="4"/>
        <v>2250</v>
      </c>
      <c r="P31" s="77">
        <f t="shared" si="5"/>
        <v>2238</v>
      </c>
      <c r="Q31" s="77">
        <f t="shared" si="6"/>
        <v>0.9946666666666667</v>
      </c>
      <c r="R31" s="77">
        <f t="shared" si="7"/>
        <v>5</v>
      </c>
      <c r="S31" s="77">
        <f t="shared" si="8"/>
        <v>5</v>
      </c>
      <c r="T31" s="78">
        <f t="shared" si="9"/>
        <v>2</v>
      </c>
      <c r="U31" s="78">
        <f t="shared" si="10"/>
        <v>0</v>
      </c>
      <c r="V31" s="78">
        <f t="shared" si="11"/>
        <v>0</v>
      </c>
      <c r="W31" s="78">
        <f t="shared" si="12"/>
        <v>0</v>
      </c>
    </row>
    <row r="32" spans="1:23">
      <c r="A32" s="5" t="s">
        <v>58</v>
      </c>
      <c r="B32" s="5" t="s">
        <v>57</v>
      </c>
      <c r="C32" s="5" t="s">
        <v>40</v>
      </c>
      <c r="D32" s="9" t="s">
        <v>147</v>
      </c>
      <c r="E32" s="9" t="s">
        <v>148</v>
      </c>
      <c r="F32" s="9" t="s">
        <v>148</v>
      </c>
      <c r="G32" s="9" t="s">
        <v>148</v>
      </c>
      <c r="H32" s="9" t="s">
        <v>148</v>
      </c>
      <c r="I32" s="9" t="s">
        <v>12</v>
      </c>
      <c r="J32" s="9" t="s">
        <v>147</v>
      </c>
      <c r="K32" s="73">
        <f t="shared" si="0"/>
        <v>0</v>
      </c>
      <c r="L32" s="77">
        <f t="shared" si="1"/>
        <v>0</v>
      </c>
      <c r="M32" s="78">
        <f t="shared" si="2"/>
        <v>0</v>
      </c>
      <c r="N32" s="77">
        <f t="shared" si="3"/>
        <v>0</v>
      </c>
      <c r="O32" s="77">
        <f t="shared" si="4"/>
        <v>2250</v>
      </c>
      <c r="P32" s="77">
        <f t="shared" si="5"/>
        <v>2250</v>
      </c>
      <c r="Q32" s="77">
        <f t="shared" si="6"/>
        <v>1</v>
      </c>
      <c r="R32" s="77">
        <f t="shared" si="7"/>
        <v>4</v>
      </c>
      <c r="S32" s="77">
        <f t="shared" si="8"/>
        <v>5</v>
      </c>
      <c r="T32" s="78">
        <f t="shared" si="9"/>
        <v>2</v>
      </c>
      <c r="U32" s="78">
        <f t="shared" si="10"/>
        <v>1</v>
      </c>
      <c r="V32" s="78">
        <f t="shared" si="11"/>
        <v>0</v>
      </c>
      <c r="W32" s="78">
        <f t="shared" si="12"/>
        <v>0</v>
      </c>
    </row>
    <row r="33" spans="1:23">
      <c r="A33" s="5" t="s">
        <v>74</v>
      </c>
      <c r="B33" s="5" t="s">
        <v>37</v>
      </c>
      <c r="C33" s="5" t="s">
        <v>40</v>
      </c>
      <c r="D33" s="9" t="s">
        <v>148</v>
      </c>
      <c r="E33" s="9" t="s">
        <v>148</v>
      </c>
      <c r="F33" s="9" t="s">
        <v>147</v>
      </c>
      <c r="G33" s="9" t="s">
        <v>147</v>
      </c>
      <c r="H33" s="9" t="s">
        <v>148</v>
      </c>
      <c r="I33" s="9" t="s">
        <v>174</v>
      </c>
      <c r="J33" s="9" t="s">
        <v>174</v>
      </c>
      <c r="K33" s="73">
        <f t="shared" si="0"/>
        <v>0</v>
      </c>
      <c r="L33" s="77">
        <f t="shared" si="1"/>
        <v>0</v>
      </c>
      <c r="M33" s="78">
        <f t="shared" si="2"/>
        <v>0</v>
      </c>
      <c r="N33" s="77">
        <f t="shared" si="3"/>
        <v>0</v>
      </c>
      <c r="O33" s="77">
        <f t="shared" si="4"/>
        <v>2250</v>
      </c>
      <c r="P33" s="77">
        <f t="shared" si="5"/>
        <v>2250</v>
      </c>
      <c r="Q33" s="77">
        <f t="shared" si="6"/>
        <v>1</v>
      </c>
      <c r="R33" s="77">
        <f t="shared" si="7"/>
        <v>5</v>
      </c>
      <c r="S33" s="77">
        <f t="shared" si="8"/>
        <v>5</v>
      </c>
      <c r="T33" s="78">
        <f t="shared" si="9"/>
        <v>2</v>
      </c>
      <c r="U33" s="78">
        <f t="shared" si="10"/>
        <v>0</v>
      </c>
      <c r="V33" s="78">
        <f t="shared" si="11"/>
        <v>0</v>
      </c>
      <c r="W33" s="78">
        <f t="shared" si="12"/>
        <v>0</v>
      </c>
    </row>
    <row r="34" spans="1:23">
      <c r="A34" s="7" t="s">
        <v>75</v>
      </c>
      <c r="B34" s="5" t="s">
        <v>26</v>
      </c>
      <c r="C34" s="34" t="s">
        <v>40</v>
      </c>
      <c r="D34" s="9" t="s">
        <v>148</v>
      </c>
      <c r="E34" s="9" t="s">
        <v>148</v>
      </c>
      <c r="F34" s="9" t="s">
        <v>148</v>
      </c>
      <c r="G34" s="9" t="s">
        <v>147</v>
      </c>
      <c r="H34" s="9" t="s">
        <v>147</v>
      </c>
      <c r="I34" s="9" t="s">
        <v>148</v>
      </c>
      <c r="J34" s="9" t="s">
        <v>148</v>
      </c>
      <c r="K34" s="73">
        <f t="shared" si="0"/>
        <v>0</v>
      </c>
      <c r="L34" s="77">
        <f t="shared" si="1"/>
        <v>0</v>
      </c>
      <c r="M34" s="78">
        <f t="shared" si="2"/>
        <v>0</v>
      </c>
      <c r="N34" s="77">
        <f t="shared" si="3"/>
        <v>0</v>
      </c>
      <c r="O34" s="77">
        <f t="shared" si="4"/>
        <v>2250</v>
      </c>
      <c r="P34" s="77">
        <f t="shared" si="5"/>
        <v>2250</v>
      </c>
      <c r="Q34" s="77">
        <f t="shared" si="6"/>
        <v>1</v>
      </c>
      <c r="R34" s="77">
        <f t="shared" si="7"/>
        <v>5</v>
      </c>
      <c r="S34" s="77">
        <f t="shared" si="8"/>
        <v>5</v>
      </c>
      <c r="T34" s="78">
        <f t="shared" si="9"/>
        <v>2</v>
      </c>
      <c r="U34" s="78">
        <f t="shared" si="10"/>
        <v>0</v>
      </c>
      <c r="V34" s="78">
        <f t="shared" si="11"/>
        <v>0</v>
      </c>
      <c r="W34" s="78">
        <f t="shared" si="12"/>
        <v>0</v>
      </c>
    </row>
    <row r="35" spans="1:23">
      <c r="A35" s="5" t="s">
        <v>76</v>
      </c>
      <c r="B35" s="5" t="s">
        <v>37</v>
      </c>
      <c r="C35" s="5" t="s">
        <v>40</v>
      </c>
      <c r="D35" s="9" t="s">
        <v>148</v>
      </c>
      <c r="E35" s="9" t="s">
        <v>148</v>
      </c>
      <c r="F35" s="9" t="s">
        <v>148</v>
      </c>
      <c r="G35" s="9" t="s">
        <v>148</v>
      </c>
      <c r="H35" s="9">
        <v>1</v>
      </c>
      <c r="I35" s="9" t="s">
        <v>147</v>
      </c>
      <c r="J35" s="9" t="s">
        <v>147</v>
      </c>
      <c r="K35" s="73">
        <f t="shared" si="0"/>
        <v>1</v>
      </c>
      <c r="L35" s="77">
        <f t="shared" si="1"/>
        <v>1</v>
      </c>
      <c r="M35" s="78">
        <f t="shared" si="2"/>
        <v>0</v>
      </c>
      <c r="N35" s="77">
        <f t="shared" si="3"/>
        <v>1</v>
      </c>
      <c r="O35" s="77">
        <f t="shared" si="4"/>
        <v>2250</v>
      </c>
      <c r="P35" s="77">
        <f t="shared" si="5"/>
        <v>2249</v>
      </c>
      <c r="Q35" s="77">
        <f t="shared" si="6"/>
        <v>0.99955555555555553</v>
      </c>
      <c r="R35" s="77">
        <f t="shared" si="7"/>
        <v>5</v>
      </c>
      <c r="S35" s="77">
        <f t="shared" si="8"/>
        <v>5</v>
      </c>
      <c r="T35" s="78">
        <f t="shared" si="9"/>
        <v>2</v>
      </c>
      <c r="U35" s="78">
        <f t="shared" si="10"/>
        <v>0</v>
      </c>
      <c r="V35" s="78">
        <f t="shared" si="11"/>
        <v>0</v>
      </c>
      <c r="W35" s="78">
        <f t="shared" si="12"/>
        <v>0</v>
      </c>
    </row>
    <row r="36" spans="1:23">
      <c r="A36" s="5" t="s">
        <v>77</v>
      </c>
      <c r="B36" s="5" t="s">
        <v>22</v>
      </c>
      <c r="C36" s="5" t="s">
        <v>30</v>
      </c>
      <c r="D36" s="9" t="s">
        <v>147</v>
      </c>
      <c r="E36" s="9" t="s">
        <v>148</v>
      </c>
      <c r="F36" s="9" t="s">
        <v>148</v>
      </c>
      <c r="G36" s="9" t="s">
        <v>148</v>
      </c>
      <c r="H36" s="9">
        <v>45</v>
      </c>
      <c r="I36" s="9" t="s">
        <v>148</v>
      </c>
      <c r="J36" s="9" t="s">
        <v>147</v>
      </c>
      <c r="K36" s="73">
        <f t="shared" si="0"/>
        <v>45</v>
      </c>
      <c r="L36" s="77">
        <f t="shared" si="1"/>
        <v>45</v>
      </c>
      <c r="M36" s="78">
        <f t="shared" si="2"/>
        <v>0</v>
      </c>
      <c r="N36" s="77">
        <f t="shared" si="3"/>
        <v>45</v>
      </c>
      <c r="O36" s="77">
        <f t="shared" si="4"/>
        <v>2250</v>
      </c>
      <c r="P36" s="77">
        <f t="shared" si="5"/>
        <v>2205</v>
      </c>
      <c r="Q36" s="77">
        <f t="shared" si="6"/>
        <v>0.98</v>
      </c>
      <c r="R36" s="77">
        <f t="shared" si="7"/>
        <v>5</v>
      </c>
      <c r="S36" s="77">
        <f t="shared" si="8"/>
        <v>5</v>
      </c>
      <c r="T36" s="78">
        <f t="shared" si="9"/>
        <v>2</v>
      </c>
      <c r="U36" s="78">
        <f t="shared" si="10"/>
        <v>0</v>
      </c>
      <c r="V36" s="78">
        <f t="shared" si="11"/>
        <v>0</v>
      </c>
      <c r="W36" s="78">
        <f t="shared" si="12"/>
        <v>0</v>
      </c>
    </row>
    <row r="37" spans="1:23">
      <c r="A37" s="7" t="s">
        <v>78</v>
      </c>
      <c r="B37" s="5" t="s">
        <v>26</v>
      </c>
      <c r="C37" s="34" t="s">
        <v>40</v>
      </c>
      <c r="D37" s="9" t="s">
        <v>147</v>
      </c>
      <c r="E37" s="9" t="s">
        <v>148</v>
      </c>
      <c r="F37" s="9" t="s">
        <v>148</v>
      </c>
      <c r="G37" s="9" t="s">
        <v>148</v>
      </c>
      <c r="H37" s="9" t="s">
        <v>148</v>
      </c>
      <c r="I37" s="9" t="s">
        <v>148</v>
      </c>
      <c r="J37" s="9" t="s">
        <v>147</v>
      </c>
      <c r="K37" s="73">
        <f t="shared" si="0"/>
        <v>0</v>
      </c>
      <c r="L37" s="77">
        <f t="shared" si="1"/>
        <v>0</v>
      </c>
      <c r="M37" s="78">
        <f t="shared" si="2"/>
        <v>0</v>
      </c>
      <c r="N37" s="77">
        <f t="shared" si="3"/>
        <v>0</v>
      </c>
      <c r="O37" s="77">
        <f t="shared" si="4"/>
        <v>2250</v>
      </c>
      <c r="P37" s="77">
        <f t="shared" si="5"/>
        <v>2250</v>
      </c>
      <c r="Q37" s="77">
        <f t="shared" si="6"/>
        <v>1</v>
      </c>
      <c r="R37" s="77">
        <f t="shared" si="7"/>
        <v>5</v>
      </c>
      <c r="S37" s="77">
        <f t="shared" si="8"/>
        <v>5</v>
      </c>
      <c r="T37" s="78">
        <f t="shared" si="9"/>
        <v>2</v>
      </c>
      <c r="U37" s="78">
        <f t="shared" si="10"/>
        <v>0</v>
      </c>
      <c r="V37" s="78">
        <f t="shared" si="11"/>
        <v>0</v>
      </c>
      <c r="W37" s="78">
        <f t="shared" si="12"/>
        <v>0</v>
      </c>
    </row>
    <row r="38" spans="1:23">
      <c r="A38" s="7" t="s">
        <v>80</v>
      </c>
      <c r="B38" s="5" t="s">
        <v>26</v>
      </c>
      <c r="C38" s="34" t="s">
        <v>40</v>
      </c>
      <c r="D38" s="9" t="s">
        <v>148</v>
      </c>
      <c r="E38" s="9" t="s">
        <v>148</v>
      </c>
      <c r="F38" s="9" t="s">
        <v>148</v>
      </c>
      <c r="G38" s="9" t="s">
        <v>147</v>
      </c>
      <c r="H38" s="9" t="s">
        <v>147</v>
      </c>
      <c r="I38" s="9" t="s">
        <v>148</v>
      </c>
      <c r="J38" s="9" t="s">
        <v>148</v>
      </c>
      <c r="K38" s="73">
        <f t="shared" si="0"/>
        <v>0</v>
      </c>
      <c r="L38" s="77">
        <f t="shared" si="1"/>
        <v>0</v>
      </c>
      <c r="M38" s="78">
        <f t="shared" si="2"/>
        <v>0</v>
      </c>
      <c r="N38" s="77">
        <f t="shared" si="3"/>
        <v>0</v>
      </c>
      <c r="O38" s="77">
        <f t="shared" si="4"/>
        <v>2250</v>
      </c>
      <c r="P38" s="77">
        <f t="shared" si="5"/>
        <v>2250</v>
      </c>
      <c r="Q38" s="77">
        <f t="shared" si="6"/>
        <v>1</v>
      </c>
      <c r="R38" s="77">
        <f t="shared" si="7"/>
        <v>5</v>
      </c>
      <c r="S38" s="77">
        <f t="shared" si="8"/>
        <v>5</v>
      </c>
      <c r="T38" s="78">
        <f t="shared" si="9"/>
        <v>2</v>
      </c>
      <c r="U38" s="78">
        <f t="shared" si="10"/>
        <v>0</v>
      </c>
      <c r="V38" s="78">
        <f t="shared" si="11"/>
        <v>0</v>
      </c>
      <c r="W38" s="78">
        <f t="shared" si="12"/>
        <v>0</v>
      </c>
    </row>
    <row r="39" spans="1:23">
      <c r="A39" s="7" t="s">
        <v>81</v>
      </c>
      <c r="B39" s="5" t="s">
        <v>26</v>
      </c>
      <c r="C39" s="34" t="s">
        <v>33</v>
      </c>
      <c r="D39" s="9" t="s">
        <v>147</v>
      </c>
      <c r="E39" s="9" t="s">
        <v>148</v>
      </c>
      <c r="F39" s="9" t="s">
        <v>148</v>
      </c>
      <c r="G39" s="9" t="s">
        <v>148</v>
      </c>
      <c r="H39" s="9" t="s">
        <v>148</v>
      </c>
      <c r="I39" s="9" t="s">
        <v>148</v>
      </c>
      <c r="J39" s="9" t="s">
        <v>147</v>
      </c>
      <c r="K39" s="73">
        <f t="shared" si="0"/>
        <v>0</v>
      </c>
      <c r="L39" s="77">
        <f t="shared" si="1"/>
        <v>0</v>
      </c>
      <c r="M39" s="78">
        <f t="shared" si="2"/>
        <v>0</v>
      </c>
      <c r="N39" s="77">
        <f t="shared" si="3"/>
        <v>0</v>
      </c>
      <c r="O39" s="77">
        <f t="shared" si="4"/>
        <v>2250</v>
      </c>
      <c r="P39" s="77">
        <f t="shared" si="5"/>
        <v>2250</v>
      </c>
      <c r="Q39" s="77">
        <f t="shared" si="6"/>
        <v>1</v>
      </c>
      <c r="R39" s="77">
        <f t="shared" si="7"/>
        <v>5</v>
      </c>
      <c r="S39" s="77">
        <f t="shared" si="8"/>
        <v>5</v>
      </c>
      <c r="T39" s="78">
        <f t="shared" si="9"/>
        <v>2</v>
      </c>
      <c r="U39" s="78">
        <f t="shared" si="10"/>
        <v>0</v>
      </c>
      <c r="V39" s="78">
        <f t="shared" si="11"/>
        <v>0</v>
      </c>
      <c r="W39" s="78">
        <f t="shared" si="12"/>
        <v>0</v>
      </c>
    </row>
    <row r="40" spans="1:23">
      <c r="A40" s="5" t="s">
        <v>82</v>
      </c>
      <c r="B40" s="5" t="s">
        <v>22</v>
      </c>
      <c r="C40" s="5" t="s">
        <v>33</v>
      </c>
      <c r="D40" s="9" t="s">
        <v>147</v>
      </c>
      <c r="E40" s="9">
        <v>24</v>
      </c>
      <c r="F40" s="9" t="s">
        <v>148</v>
      </c>
      <c r="G40" s="9" t="s">
        <v>148</v>
      </c>
      <c r="H40" s="9">
        <v>38</v>
      </c>
      <c r="I40" s="9" t="s">
        <v>148</v>
      </c>
      <c r="J40" s="9" t="s">
        <v>147</v>
      </c>
      <c r="K40" s="73">
        <f t="shared" si="0"/>
        <v>62</v>
      </c>
      <c r="L40" s="77">
        <f t="shared" si="1"/>
        <v>62</v>
      </c>
      <c r="M40" s="78">
        <f t="shared" si="2"/>
        <v>0</v>
      </c>
      <c r="N40" s="77">
        <f t="shared" si="3"/>
        <v>62</v>
      </c>
      <c r="O40" s="77">
        <f t="shared" si="4"/>
        <v>2250</v>
      </c>
      <c r="P40" s="77">
        <f t="shared" si="5"/>
        <v>2188</v>
      </c>
      <c r="Q40" s="77">
        <f t="shared" si="6"/>
        <v>0.97244444444444444</v>
      </c>
      <c r="R40" s="77">
        <f t="shared" si="7"/>
        <v>5</v>
      </c>
      <c r="S40" s="77">
        <f t="shared" si="8"/>
        <v>5</v>
      </c>
      <c r="T40" s="78">
        <f t="shared" si="9"/>
        <v>2</v>
      </c>
      <c r="U40" s="78">
        <f t="shared" si="10"/>
        <v>0</v>
      </c>
      <c r="V40" s="78">
        <f t="shared" si="11"/>
        <v>0</v>
      </c>
      <c r="W40" s="78">
        <f t="shared" si="12"/>
        <v>0</v>
      </c>
    </row>
    <row r="41" spans="1:23">
      <c r="A41" s="5" t="s">
        <v>84</v>
      </c>
      <c r="B41" s="5" t="s">
        <v>60</v>
      </c>
      <c r="C41" s="5" t="s">
        <v>40</v>
      </c>
      <c r="D41" s="9" t="s">
        <v>147</v>
      </c>
      <c r="E41" s="9" t="s">
        <v>148</v>
      </c>
      <c r="F41" s="9" t="s">
        <v>148</v>
      </c>
      <c r="G41" s="9" t="s">
        <v>148</v>
      </c>
      <c r="H41" s="9" t="s">
        <v>148</v>
      </c>
      <c r="I41" s="9" t="s">
        <v>148</v>
      </c>
      <c r="J41" s="9" t="s">
        <v>147</v>
      </c>
      <c r="K41" s="73">
        <f t="shared" si="0"/>
        <v>0</v>
      </c>
      <c r="L41" s="77">
        <f t="shared" si="1"/>
        <v>0</v>
      </c>
      <c r="M41" s="78">
        <f t="shared" si="2"/>
        <v>0</v>
      </c>
      <c r="N41" s="77">
        <f t="shared" si="3"/>
        <v>0</v>
      </c>
      <c r="O41" s="77">
        <f t="shared" si="4"/>
        <v>2250</v>
      </c>
      <c r="P41" s="77">
        <f t="shared" si="5"/>
        <v>2250</v>
      </c>
      <c r="Q41" s="77">
        <f t="shared" si="6"/>
        <v>1</v>
      </c>
      <c r="R41" s="77">
        <f t="shared" si="7"/>
        <v>5</v>
      </c>
      <c r="S41" s="77">
        <f t="shared" si="8"/>
        <v>5</v>
      </c>
      <c r="T41" s="78">
        <f t="shared" si="9"/>
        <v>2</v>
      </c>
      <c r="U41" s="78">
        <f t="shared" si="10"/>
        <v>0</v>
      </c>
      <c r="V41" s="78">
        <f t="shared" si="11"/>
        <v>0</v>
      </c>
      <c r="W41" s="78">
        <f t="shared" si="12"/>
        <v>0</v>
      </c>
    </row>
    <row r="42" spans="1:23">
      <c r="A42" s="5" t="s">
        <v>61</v>
      </c>
      <c r="B42" s="5" t="s">
        <v>22</v>
      </c>
      <c r="C42" s="5" t="s">
        <v>63</v>
      </c>
      <c r="D42" s="9" t="s">
        <v>147</v>
      </c>
      <c r="E42" s="9" t="s">
        <v>148</v>
      </c>
      <c r="F42" s="9" t="s">
        <v>148</v>
      </c>
      <c r="G42" s="9" t="s">
        <v>148</v>
      </c>
      <c r="H42" s="9">
        <v>6</v>
      </c>
      <c r="I42" s="9" t="s">
        <v>148</v>
      </c>
      <c r="J42" s="9" t="s">
        <v>147</v>
      </c>
      <c r="K42" s="73">
        <f t="shared" si="0"/>
        <v>6</v>
      </c>
      <c r="L42" s="77">
        <f t="shared" si="1"/>
        <v>6</v>
      </c>
      <c r="M42" s="78">
        <f t="shared" si="2"/>
        <v>0</v>
      </c>
      <c r="N42" s="77">
        <f t="shared" si="3"/>
        <v>6</v>
      </c>
      <c r="O42" s="77">
        <f t="shared" si="4"/>
        <v>2250</v>
      </c>
      <c r="P42" s="77">
        <f t="shared" si="5"/>
        <v>2244</v>
      </c>
      <c r="Q42" s="77">
        <f t="shared" si="6"/>
        <v>0.99733333333333329</v>
      </c>
      <c r="R42" s="77">
        <f t="shared" si="7"/>
        <v>5</v>
      </c>
      <c r="S42" s="77">
        <f t="shared" si="8"/>
        <v>5</v>
      </c>
      <c r="T42" s="78">
        <f t="shared" si="9"/>
        <v>2</v>
      </c>
      <c r="U42" s="78">
        <f t="shared" si="10"/>
        <v>0</v>
      </c>
      <c r="V42" s="78">
        <f t="shared" si="11"/>
        <v>0</v>
      </c>
      <c r="W42" s="78">
        <f t="shared" si="12"/>
        <v>0</v>
      </c>
    </row>
    <row r="43" spans="1:23">
      <c r="A43" s="5" t="s">
        <v>85</v>
      </c>
      <c r="B43" s="5" t="s">
        <v>22</v>
      </c>
      <c r="C43" s="5" t="s">
        <v>63</v>
      </c>
      <c r="D43" s="9" t="s">
        <v>147</v>
      </c>
      <c r="E43" s="9" t="s">
        <v>148</v>
      </c>
      <c r="F43" s="9" t="s">
        <v>148</v>
      </c>
      <c r="G43" s="9" t="s">
        <v>148</v>
      </c>
      <c r="H43" s="9">
        <v>42</v>
      </c>
      <c r="I43" s="9" t="s">
        <v>148</v>
      </c>
      <c r="J43" s="9" t="s">
        <v>147</v>
      </c>
      <c r="K43" s="73">
        <f t="shared" si="0"/>
        <v>42</v>
      </c>
      <c r="L43" s="77">
        <f t="shared" si="1"/>
        <v>42</v>
      </c>
      <c r="M43" s="78">
        <f t="shared" si="2"/>
        <v>0</v>
      </c>
      <c r="N43" s="77">
        <f t="shared" si="3"/>
        <v>42</v>
      </c>
      <c r="O43" s="77">
        <f t="shared" si="4"/>
        <v>2250</v>
      </c>
      <c r="P43" s="77">
        <f t="shared" si="5"/>
        <v>2208</v>
      </c>
      <c r="Q43" s="77">
        <f t="shared" si="6"/>
        <v>0.98133333333333328</v>
      </c>
      <c r="R43" s="77">
        <f t="shared" si="7"/>
        <v>5</v>
      </c>
      <c r="S43" s="77">
        <f t="shared" si="8"/>
        <v>5</v>
      </c>
      <c r="T43" s="78">
        <f t="shared" si="9"/>
        <v>2</v>
      </c>
      <c r="U43" s="78">
        <f t="shared" si="10"/>
        <v>0</v>
      </c>
      <c r="V43" s="78">
        <f t="shared" si="11"/>
        <v>0</v>
      </c>
      <c r="W43" s="78">
        <f t="shared" si="12"/>
        <v>0</v>
      </c>
    </row>
    <row r="44" spans="1:23">
      <c r="A44" s="7" t="s">
        <v>86</v>
      </c>
      <c r="B44" s="5" t="s">
        <v>26</v>
      </c>
      <c r="C44" s="34" t="s">
        <v>56</v>
      </c>
      <c r="D44" s="9" t="s">
        <v>148</v>
      </c>
      <c r="E44" s="9" t="s">
        <v>148</v>
      </c>
      <c r="F44" s="9" t="s">
        <v>148</v>
      </c>
      <c r="G44" s="9" t="s">
        <v>147</v>
      </c>
      <c r="H44" s="9" t="s">
        <v>147</v>
      </c>
      <c r="I44" s="9" t="s">
        <v>148</v>
      </c>
      <c r="J44" s="9" t="s">
        <v>148</v>
      </c>
      <c r="K44" s="73">
        <f t="shared" si="0"/>
        <v>0</v>
      </c>
      <c r="L44" s="77">
        <f t="shared" si="1"/>
        <v>0</v>
      </c>
      <c r="M44" s="78">
        <f t="shared" si="2"/>
        <v>0</v>
      </c>
      <c r="N44" s="77">
        <f t="shared" si="3"/>
        <v>0</v>
      </c>
      <c r="O44" s="77">
        <f t="shared" si="4"/>
        <v>2250</v>
      </c>
      <c r="P44" s="77">
        <f t="shared" si="5"/>
        <v>2250</v>
      </c>
      <c r="Q44" s="77">
        <f t="shared" si="6"/>
        <v>1</v>
      </c>
      <c r="R44" s="77">
        <f t="shared" si="7"/>
        <v>5</v>
      </c>
      <c r="S44" s="77">
        <f t="shared" si="8"/>
        <v>5</v>
      </c>
      <c r="T44" s="78">
        <f t="shared" si="9"/>
        <v>2</v>
      </c>
      <c r="U44" s="78">
        <f t="shared" si="10"/>
        <v>0</v>
      </c>
      <c r="V44" s="78">
        <f t="shared" si="11"/>
        <v>0</v>
      </c>
      <c r="W44" s="78">
        <f t="shared" si="12"/>
        <v>0</v>
      </c>
    </row>
    <row r="45" spans="1:23">
      <c r="A45" s="7" t="s">
        <v>87</v>
      </c>
      <c r="B45" s="5" t="s">
        <v>26</v>
      </c>
      <c r="C45" s="34" t="s">
        <v>33</v>
      </c>
      <c r="D45" s="9" t="s">
        <v>147</v>
      </c>
      <c r="E45" s="9" t="s">
        <v>148</v>
      </c>
      <c r="F45" s="9" t="s">
        <v>148</v>
      </c>
      <c r="G45" s="9" t="s">
        <v>148</v>
      </c>
      <c r="H45" s="9">
        <v>4</v>
      </c>
      <c r="I45" s="9" t="s">
        <v>148</v>
      </c>
      <c r="J45" s="9" t="s">
        <v>147</v>
      </c>
      <c r="K45" s="73">
        <f t="shared" si="0"/>
        <v>4</v>
      </c>
      <c r="L45" s="77">
        <f t="shared" si="1"/>
        <v>4</v>
      </c>
      <c r="M45" s="78">
        <f t="shared" si="2"/>
        <v>0</v>
      </c>
      <c r="N45" s="77">
        <f t="shared" si="3"/>
        <v>4</v>
      </c>
      <c r="O45" s="77">
        <f t="shared" si="4"/>
        <v>2250</v>
      </c>
      <c r="P45" s="77">
        <f t="shared" si="5"/>
        <v>2246</v>
      </c>
      <c r="Q45" s="77">
        <f t="shared" si="6"/>
        <v>0.99822222222222223</v>
      </c>
      <c r="R45" s="77">
        <f t="shared" si="7"/>
        <v>5</v>
      </c>
      <c r="S45" s="77">
        <f t="shared" si="8"/>
        <v>5</v>
      </c>
      <c r="T45" s="78">
        <f t="shared" si="9"/>
        <v>2</v>
      </c>
      <c r="U45" s="78">
        <f t="shared" si="10"/>
        <v>0</v>
      </c>
      <c r="V45" s="78">
        <f t="shared" si="11"/>
        <v>0</v>
      </c>
      <c r="W45" s="78">
        <f t="shared" si="12"/>
        <v>0</v>
      </c>
    </row>
    <row r="46" spans="1:23">
      <c r="A46" s="5" t="s">
        <v>88</v>
      </c>
      <c r="B46" s="5" t="s">
        <v>22</v>
      </c>
      <c r="C46" s="5" t="s">
        <v>25</v>
      </c>
      <c r="D46" s="9" t="s">
        <v>147</v>
      </c>
      <c r="E46" s="9" t="s">
        <v>148</v>
      </c>
      <c r="F46" s="9" t="s">
        <v>148</v>
      </c>
      <c r="G46" s="9" t="s">
        <v>148</v>
      </c>
      <c r="H46" s="9" t="s">
        <v>148</v>
      </c>
      <c r="I46" s="9" t="s">
        <v>174</v>
      </c>
      <c r="J46" s="9" t="s">
        <v>147</v>
      </c>
      <c r="K46" s="73">
        <f t="shared" si="0"/>
        <v>0</v>
      </c>
      <c r="L46" s="77">
        <f t="shared" si="1"/>
        <v>0</v>
      </c>
      <c r="M46" s="78">
        <f t="shared" si="2"/>
        <v>0</v>
      </c>
      <c r="N46" s="77">
        <f t="shared" si="3"/>
        <v>0</v>
      </c>
      <c r="O46" s="77">
        <f t="shared" si="4"/>
        <v>2250</v>
      </c>
      <c r="P46" s="77">
        <f t="shared" si="5"/>
        <v>2250</v>
      </c>
      <c r="Q46" s="77">
        <f t="shared" si="6"/>
        <v>1</v>
      </c>
      <c r="R46" s="77">
        <f t="shared" si="7"/>
        <v>5</v>
      </c>
      <c r="S46" s="77">
        <f t="shared" si="8"/>
        <v>5</v>
      </c>
      <c r="T46" s="78">
        <f t="shared" si="9"/>
        <v>2</v>
      </c>
      <c r="U46" s="78">
        <f t="shared" si="10"/>
        <v>0</v>
      </c>
      <c r="V46" s="78">
        <f t="shared" si="11"/>
        <v>0</v>
      </c>
      <c r="W46" s="78">
        <f t="shared" si="12"/>
        <v>0</v>
      </c>
    </row>
    <row r="47" spans="1:23">
      <c r="A47" s="7" t="s">
        <v>89</v>
      </c>
      <c r="B47" s="5" t="s">
        <v>26</v>
      </c>
      <c r="C47" s="34" t="s">
        <v>40</v>
      </c>
      <c r="D47" s="9" t="s">
        <v>148</v>
      </c>
      <c r="E47" s="9" t="s">
        <v>148</v>
      </c>
      <c r="F47" s="9" t="s">
        <v>147</v>
      </c>
      <c r="G47" s="9" t="s">
        <v>147</v>
      </c>
      <c r="H47" s="9">
        <v>31</v>
      </c>
      <c r="I47" s="9" t="s">
        <v>148</v>
      </c>
      <c r="J47" s="9" t="s">
        <v>148</v>
      </c>
      <c r="K47" s="73">
        <f t="shared" si="0"/>
        <v>31</v>
      </c>
      <c r="L47" s="77">
        <f t="shared" si="1"/>
        <v>31</v>
      </c>
      <c r="M47" s="78">
        <f t="shared" si="2"/>
        <v>0</v>
      </c>
      <c r="N47" s="77">
        <f t="shared" si="3"/>
        <v>31</v>
      </c>
      <c r="O47" s="77">
        <f t="shared" si="4"/>
        <v>2250</v>
      </c>
      <c r="P47" s="77">
        <f t="shared" si="5"/>
        <v>2219</v>
      </c>
      <c r="Q47" s="77">
        <f t="shared" si="6"/>
        <v>0.98622222222222222</v>
      </c>
      <c r="R47" s="77">
        <f t="shared" si="7"/>
        <v>5</v>
      </c>
      <c r="S47" s="77">
        <f t="shared" si="8"/>
        <v>5</v>
      </c>
      <c r="T47" s="78">
        <f t="shared" si="9"/>
        <v>2</v>
      </c>
      <c r="U47" s="78">
        <f t="shared" si="10"/>
        <v>0</v>
      </c>
      <c r="V47" s="78">
        <f t="shared" si="11"/>
        <v>0</v>
      </c>
      <c r="W47" s="78">
        <f t="shared" si="12"/>
        <v>0</v>
      </c>
    </row>
    <row r="48" spans="1:23">
      <c r="A48" s="5" t="s">
        <v>90</v>
      </c>
      <c r="B48" s="5" t="s">
        <v>37</v>
      </c>
      <c r="C48" s="5" t="s">
        <v>40</v>
      </c>
      <c r="D48" s="9" t="s">
        <v>147</v>
      </c>
      <c r="E48" s="9" t="s">
        <v>147</v>
      </c>
      <c r="F48" s="9" t="s">
        <v>148</v>
      </c>
      <c r="G48" s="9" t="s">
        <v>148</v>
      </c>
      <c r="H48" s="9" t="s">
        <v>148</v>
      </c>
      <c r="I48" s="9" t="s">
        <v>148</v>
      </c>
      <c r="J48" s="9" t="s">
        <v>148</v>
      </c>
      <c r="K48" s="73">
        <f t="shared" si="0"/>
        <v>0</v>
      </c>
      <c r="L48" s="77">
        <f t="shared" si="1"/>
        <v>0</v>
      </c>
      <c r="M48" s="78">
        <f t="shared" si="2"/>
        <v>0</v>
      </c>
      <c r="N48" s="77">
        <f t="shared" si="3"/>
        <v>0</v>
      </c>
      <c r="O48" s="77">
        <f t="shared" si="4"/>
        <v>2250</v>
      </c>
      <c r="P48" s="77">
        <f t="shared" si="5"/>
        <v>2250</v>
      </c>
      <c r="Q48" s="77">
        <f t="shared" si="6"/>
        <v>1</v>
      </c>
      <c r="R48" s="77">
        <f t="shared" si="7"/>
        <v>5</v>
      </c>
      <c r="S48" s="77">
        <f t="shared" si="8"/>
        <v>5</v>
      </c>
      <c r="T48" s="78">
        <f t="shared" si="9"/>
        <v>2</v>
      </c>
      <c r="U48" s="78">
        <f t="shared" si="10"/>
        <v>0</v>
      </c>
      <c r="V48" s="78">
        <f t="shared" si="11"/>
        <v>0</v>
      </c>
      <c r="W48" s="78">
        <f t="shared" si="12"/>
        <v>0</v>
      </c>
    </row>
    <row r="49" spans="1:23">
      <c r="A49" s="5" t="s">
        <v>91</v>
      </c>
      <c r="B49" s="5" t="s">
        <v>22</v>
      </c>
      <c r="C49" s="5" t="s">
        <v>30</v>
      </c>
      <c r="D49" s="9" t="s">
        <v>147</v>
      </c>
      <c r="E49" s="9" t="s">
        <v>148</v>
      </c>
      <c r="F49" s="9" t="s">
        <v>148</v>
      </c>
      <c r="G49" s="9" t="s">
        <v>148</v>
      </c>
      <c r="H49" s="9" t="s">
        <v>148</v>
      </c>
      <c r="I49" s="9" t="s">
        <v>148</v>
      </c>
      <c r="J49" s="9" t="s">
        <v>147</v>
      </c>
      <c r="K49" s="73">
        <f t="shared" si="0"/>
        <v>0</v>
      </c>
      <c r="L49" s="77">
        <f t="shared" si="1"/>
        <v>0</v>
      </c>
      <c r="M49" s="78">
        <f t="shared" si="2"/>
        <v>0</v>
      </c>
      <c r="N49" s="77">
        <f t="shared" si="3"/>
        <v>0</v>
      </c>
      <c r="O49" s="77">
        <f t="shared" si="4"/>
        <v>2250</v>
      </c>
      <c r="P49" s="77">
        <f t="shared" si="5"/>
        <v>2250</v>
      </c>
      <c r="Q49" s="77">
        <f t="shared" si="6"/>
        <v>1</v>
      </c>
      <c r="R49" s="77">
        <f t="shared" si="7"/>
        <v>5</v>
      </c>
      <c r="S49" s="77">
        <f t="shared" si="8"/>
        <v>5</v>
      </c>
      <c r="T49" s="78">
        <f t="shared" si="9"/>
        <v>2</v>
      </c>
      <c r="U49" s="78">
        <f t="shared" si="10"/>
        <v>0</v>
      </c>
      <c r="V49" s="78">
        <f t="shared" si="11"/>
        <v>0</v>
      </c>
      <c r="W49" s="78">
        <f t="shared" si="12"/>
        <v>0</v>
      </c>
    </row>
    <row r="50" spans="1:23">
      <c r="A50" s="5" t="s">
        <v>178</v>
      </c>
      <c r="B50" s="5" t="s">
        <v>22</v>
      </c>
      <c r="C50" s="5" t="s">
        <v>33</v>
      </c>
      <c r="D50" s="9" t="s">
        <v>147</v>
      </c>
      <c r="E50" s="9" t="s">
        <v>148</v>
      </c>
      <c r="F50" s="9" t="s">
        <v>148</v>
      </c>
      <c r="G50" s="9">
        <v>4</v>
      </c>
      <c r="H50" s="9">
        <v>1</v>
      </c>
      <c r="I50" s="9" t="s">
        <v>174</v>
      </c>
      <c r="J50" s="9" t="s">
        <v>147</v>
      </c>
      <c r="K50" s="73">
        <f t="shared" si="0"/>
        <v>5</v>
      </c>
      <c r="L50" s="77">
        <f t="shared" si="1"/>
        <v>5</v>
      </c>
      <c r="M50" s="78">
        <f t="shared" si="2"/>
        <v>0</v>
      </c>
      <c r="N50" s="77">
        <f t="shared" si="3"/>
        <v>5</v>
      </c>
      <c r="O50" s="77">
        <f t="shared" si="4"/>
        <v>2250</v>
      </c>
      <c r="P50" s="77">
        <f t="shared" si="5"/>
        <v>2245</v>
      </c>
      <c r="Q50" s="77">
        <f t="shared" si="6"/>
        <v>0.99777777777777776</v>
      </c>
      <c r="R50" s="77">
        <f t="shared" si="7"/>
        <v>5</v>
      </c>
      <c r="S50" s="77">
        <f t="shared" si="8"/>
        <v>5</v>
      </c>
      <c r="T50" s="78">
        <f t="shared" si="9"/>
        <v>2</v>
      </c>
      <c r="U50" s="78">
        <f t="shared" si="10"/>
        <v>0</v>
      </c>
      <c r="V50" s="78">
        <f t="shared" si="11"/>
        <v>0</v>
      </c>
      <c r="W50" s="78">
        <f t="shared" si="12"/>
        <v>0</v>
      </c>
    </row>
    <row r="51" spans="1:23">
      <c r="A51" s="5" t="s">
        <v>92</v>
      </c>
      <c r="B51" s="5" t="s">
        <v>22</v>
      </c>
      <c r="C51" s="5" t="s">
        <v>63</v>
      </c>
      <c r="D51" s="9" t="s">
        <v>147</v>
      </c>
      <c r="E51" s="9" t="s">
        <v>148</v>
      </c>
      <c r="F51" s="9" t="s">
        <v>148</v>
      </c>
      <c r="G51" s="9" t="s">
        <v>148</v>
      </c>
      <c r="H51" s="9" t="s">
        <v>148</v>
      </c>
      <c r="I51" s="9" t="s">
        <v>148</v>
      </c>
      <c r="J51" s="9" t="s">
        <v>147</v>
      </c>
      <c r="K51" s="73">
        <f t="shared" si="0"/>
        <v>0</v>
      </c>
      <c r="L51" s="77">
        <f t="shared" si="1"/>
        <v>0</v>
      </c>
      <c r="M51" s="78">
        <f t="shared" si="2"/>
        <v>0</v>
      </c>
      <c r="N51" s="77">
        <f t="shared" si="3"/>
        <v>0</v>
      </c>
      <c r="O51" s="77">
        <f t="shared" si="4"/>
        <v>2250</v>
      </c>
      <c r="P51" s="77">
        <f t="shared" si="5"/>
        <v>2250</v>
      </c>
      <c r="Q51" s="77">
        <f t="shared" si="6"/>
        <v>1</v>
      </c>
      <c r="R51" s="77">
        <f t="shared" si="7"/>
        <v>5</v>
      </c>
      <c r="S51" s="77">
        <f t="shared" si="8"/>
        <v>5</v>
      </c>
      <c r="T51" s="78">
        <f t="shared" si="9"/>
        <v>2</v>
      </c>
      <c r="U51" s="78">
        <f t="shared" si="10"/>
        <v>0</v>
      </c>
      <c r="V51" s="78">
        <f t="shared" si="11"/>
        <v>0</v>
      </c>
      <c r="W51" s="78">
        <f t="shared" si="12"/>
        <v>0</v>
      </c>
    </row>
    <row r="52" spans="1:23">
      <c r="A52" s="7" t="s">
        <v>93</v>
      </c>
      <c r="B52" s="5" t="s">
        <v>26</v>
      </c>
      <c r="C52" s="34" t="s">
        <v>56</v>
      </c>
      <c r="D52" s="9" t="s">
        <v>147</v>
      </c>
      <c r="E52" s="9" t="s">
        <v>148</v>
      </c>
      <c r="F52" s="9" t="s">
        <v>148</v>
      </c>
      <c r="G52" s="9" t="s">
        <v>148</v>
      </c>
      <c r="H52" s="9" t="s">
        <v>148</v>
      </c>
      <c r="I52" s="9" t="s">
        <v>148</v>
      </c>
      <c r="J52" s="9" t="s">
        <v>147</v>
      </c>
      <c r="K52" s="73">
        <f t="shared" si="0"/>
        <v>0</v>
      </c>
      <c r="L52" s="77">
        <f t="shared" si="1"/>
        <v>0</v>
      </c>
      <c r="M52" s="78">
        <f t="shared" si="2"/>
        <v>0</v>
      </c>
      <c r="N52" s="77">
        <f t="shared" si="3"/>
        <v>0</v>
      </c>
      <c r="O52" s="77">
        <f t="shared" si="4"/>
        <v>2250</v>
      </c>
      <c r="P52" s="77">
        <f t="shared" si="5"/>
        <v>2250</v>
      </c>
      <c r="Q52" s="77">
        <f t="shared" si="6"/>
        <v>1</v>
      </c>
      <c r="R52" s="77">
        <f t="shared" si="7"/>
        <v>5</v>
      </c>
      <c r="S52" s="77">
        <f t="shared" si="8"/>
        <v>5</v>
      </c>
      <c r="T52" s="78">
        <f t="shared" si="9"/>
        <v>2</v>
      </c>
      <c r="U52" s="78">
        <f t="shared" si="10"/>
        <v>0</v>
      </c>
      <c r="V52" s="78">
        <f t="shared" si="11"/>
        <v>0</v>
      </c>
      <c r="W52" s="78">
        <f t="shared" si="12"/>
        <v>0</v>
      </c>
    </row>
    <row r="53" spans="1:23">
      <c r="A53" s="7" t="s">
        <v>94</v>
      </c>
      <c r="B53" s="5" t="s">
        <v>57</v>
      </c>
      <c r="C53" s="5" t="s">
        <v>40</v>
      </c>
      <c r="D53" s="9" t="s">
        <v>147</v>
      </c>
      <c r="E53" s="9">
        <v>450</v>
      </c>
      <c r="F53" s="9" t="s">
        <v>148</v>
      </c>
      <c r="G53" s="9" t="s">
        <v>12</v>
      </c>
      <c r="H53" s="9" t="s">
        <v>12</v>
      </c>
      <c r="I53" s="9">
        <v>450</v>
      </c>
      <c r="J53" s="9" t="s">
        <v>147</v>
      </c>
      <c r="K53" s="73">
        <f t="shared" si="0"/>
        <v>900</v>
      </c>
      <c r="L53" s="77">
        <f t="shared" si="1"/>
        <v>0</v>
      </c>
      <c r="M53" s="78">
        <f t="shared" si="2"/>
        <v>900</v>
      </c>
      <c r="N53" s="77">
        <f t="shared" si="3"/>
        <v>900</v>
      </c>
      <c r="O53" s="77">
        <f t="shared" si="4"/>
        <v>2250</v>
      </c>
      <c r="P53" s="77">
        <f t="shared" si="5"/>
        <v>1350</v>
      </c>
      <c r="Q53" s="77">
        <f t="shared" si="6"/>
        <v>0.6</v>
      </c>
      <c r="R53" s="77">
        <f t="shared" si="7"/>
        <v>3</v>
      </c>
      <c r="S53" s="77">
        <f t="shared" si="8"/>
        <v>5</v>
      </c>
      <c r="T53" s="78">
        <f t="shared" si="9"/>
        <v>2</v>
      </c>
      <c r="U53" s="78">
        <f t="shared" si="10"/>
        <v>2</v>
      </c>
      <c r="V53" s="78">
        <f t="shared" si="11"/>
        <v>0</v>
      </c>
      <c r="W53" s="78">
        <f t="shared" si="12"/>
        <v>2</v>
      </c>
    </row>
    <row r="54" spans="1:23">
      <c r="A54" s="5" t="s">
        <v>23</v>
      </c>
      <c r="B54" s="5" t="s">
        <v>22</v>
      </c>
      <c r="C54" s="5" t="s">
        <v>25</v>
      </c>
      <c r="D54" s="9" t="s">
        <v>147</v>
      </c>
      <c r="E54" s="9" t="s">
        <v>148</v>
      </c>
      <c r="F54" s="9" t="s">
        <v>148</v>
      </c>
      <c r="G54" s="9" t="s">
        <v>148</v>
      </c>
      <c r="H54" s="9" t="s">
        <v>148</v>
      </c>
      <c r="I54" s="9" t="s">
        <v>148</v>
      </c>
      <c r="J54" s="9" t="s">
        <v>147</v>
      </c>
      <c r="K54" s="73">
        <f t="shared" si="0"/>
        <v>0</v>
      </c>
      <c r="L54" s="77">
        <f t="shared" si="1"/>
        <v>0</v>
      </c>
      <c r="M54" s="78">
        <f t="shared" si="2"/>
        <v>0</v>
      </c>
      <c r="N54" s="77">
        <f t="shared" si="3"/>
        <v>0</v>
      </c>
      <c r="O54" s="77">
        <f t="shared" si="4"/>
        <v>2250</v>
      </c>
      <c r="P54" s="77">
        <f t="shared" si="5"/>
        <v>2250</v>
      </c>
      <c r="Q54" s="77">
        <f t="shared" si="6"/>
        <v>1</v>
      </c>
      <c r="R54" s="77">
        <f t="shared" si="7"/>
        <v>5</v>
      </c>
      <c r="S54" s="77">
        <f t="shared" si="8"/>
        <v>5</v>
      </c>
      <c r="T54" s="78">
        <f t="shared" si="9"/>
        <v>2</v>
      </c>
      <c r="U54" s="78">
        <f t="shared" si="10"/>
        <v>0</v>
      </c>
      <c r="V54" s="78">
        <f t="shared" si="11"/>
        <v>0</v>
      </c>
      <c r="W54" s="78">
        <f t="shared" si="12"/>
        <v>0</v>
      </c>
    </row>
    <row r="55" spans="1:23">
      <c r="A55" s="5" t="s">
        <v>96</v>
      </c>
      <c r="B55" s="5" t="s">
        <v>37</v>
      </c>
      <c r="C55" s="5" t="s">
        <v>40</v>
      </c>
      <c r="D55" s="9" t="s">
        <v>147</v>
      </c>
      <c r="E55" s="9" t="s">
        <v>147</v>
      </c>
      <c r="F55" s="9" t="s">
        <v>148</v>
      </c>
      <c r="G55" s="9" t="s">
        <v>148</v>
      </c>
      <c r="H55" s="9" t="s">
        <v>148</v>
      </c>
      <c r="I55" s="9" t="s">
        <v>174</v>
      </c>
      <c r="J55" s="9" t="s">
        <v>148</v>
      </c>
      <c r="K55" s="73">
        <f t="shared" si="0"/>
        <v>0</v>
      </c>
      <c r="L55" s="77">
        <f t="shared" si="1"/>
        <v>0</v>
      </c>
      <c r="M55" s="78">
        <f t="shared" si="2"/>
        <v>0</v>
      </c>
      <c r="N55" s="77">
        <f t="shared" si="3"/>
        <v>0</v>
      </c>
      <c r="O55" s="77">
        <f t="shared" si="4"/>
        <v>2250</v>
      </c>
      <c r="P55" s="77">
        <f t="shared" si="5"/>
        <v>2250</v>
      </c>
      <c r="Q55" s="77">
        <f t="shared" si="6"/>
        <v>1</v>
      </c>
      <c r="R55" s="77">
        <f t="shared" si="7"/>
        <v>5</v>
      </c>
      <c r="S55" s="77">
        <f t="shared" si="8"/>
        <v>5</v>
      </c>
      <c r="T55" s="78">
        <f t="shared" si="9"/>
        <v>2</v>
      </c>
      <c r="U55" s="78">
        <f t="shared" si="10"/>
        <v>0</v>
      </c>
      <c r="V55" s="78">
        <f t="shared" si="11"/>
        <v>0</v>
      </c>
      <c r="W55" s="78">
        <f t="shared" si="12"/>
        <v>0</v>
      </c>
    </row>
    <row r="56" spans="1:23">
      <c r="A56" s="7" t="s">
        <v>97</v>
      </c>
      <c r="B56" s="5" t="s">
        <v>26</v>
      </c>
      <c r="C56" s="34" t="s">
        <v>56</v>
      </c>
      <c r="D56" s="9" t="s">
        <v>147</v>
      </c>
      <c r="E56" s="9" t="s">
        <v>148</v>
      </c>
      <c r="F56" s="9" t="s">
        <v>148</v>
      </c>
      <c r="G56" s="9" t="s">
        <v>148</v>
      </c>
      <c r="H56" s="9" t="s">
        <v>148</v>
      </c>
      <c r="I56" s="9">
        <v>450</v>
      </c>
      <c r="J56" s="9" t="s">
        <v>147</v>
      </c>
      <c r="K56" s="73">
        <f t="shared" si="0"/>
        <v>450</v>
      </c>
      <c r="L56" s="77">
        <f t="shared" si="1"/>
        <v>0</v>
      </c>
      <c r="M56" s="78">
        <f t="shared" si="2"/>
        <v>450</v>
      </c>
      <c r="N56" s="77">
        <f t="shared" si="3"/>
        <v>450</v>
      </c>
      <c r="O56" s="77">
        <f t="shared" si="4"/>
        <v>2250</v>
      </c>
      <c r="P56" s="77">
        <f t="shared" si="5"/>
        <v>1800</v>
      </c>
      <c r="Q56" s="77">
        <f t="shared" si="6"/>
        <v>0.8</v>
      </c>
      <c r="R56" s="77">
        <f t="shared" si="7"/>
        <v>5</v>
      </c>
      <c r="S56" s="77">
        <f t="shared" si="8"/>
        <v>5</v>
      </c>
      <c r="T56" s="78">
        <f t="shared" si="9"/>
        <v>2</v>
      </c>
      <c r="U56" s="78">
        <f t="shared" si="10"/>
        <v>0</v>
      </c>
      <c r="V56" s="78">
        <f t="shared" si="11"/>
        <v>0</v>
      </c>
      <c r="W56" s="78">
        <f t="shared" si="12"/>
        <v>1</v>
      </c>
    </row>
    <row r="57" spans="1:23">
      <c r="A57" s="5" t="s">
        <v>38</v>
      </c>
      <c r="B57" s="5" t="s">
        <v>37</v>
      </c>
      <c r="C57" s="5" t="s">
        <v>40</v>
      </c>
      <c r="D57" s="9" t="s">
        <v>148</v>
      </c>
      <c r="E57" s="9" t="s">
        <v>147</v>
      </c>
      <c r="F57" s="9" t="s">
        <v>147</v>
      </c>
      <c r="G57" s="9" t="s">
        <v>148</v>
      </c>
      <c r="H57" s="9" t="s">
        <v>148</v>
      </c>
      <c r="I57" s="9" t="s">
        <v>148</v>
      </c>
      <c r="J57" s="9" t="s">
        <v>148</v>
      </c>
      <c r="K57" s="73">
        <f t="shared" si="0"/>
        <v>0</v>
      </c>
      <c r="L57" s="77">
        <f t="shared" si="1"/>
        <v>0</v>
      </c>
      <c r="M57" s="78">
        <f t="shared" si="2"/>
        <v>0</v>
      </c>
      <c r="N57" s="77">
        <f t="shared" si="3"/>
        <v>0</v>
      </c>
      <c r="O57" s="77">
        <f t="shared" si="4"/>
        <v>2250</v>
      </c>
      <c r="P57" s="77">
        <f t="shared" si="5"/>
        <v>2250</v>
      </c>
      <c r="Q57" s="77">
        <f t="shared" si="6"/>
        <v>1</v>
      </c>
      <c r="R57" s="77">
        <f t="shared" si="7"/>
        <v>5</v>
      </c>
      <c r="S57" s="77">
        <f t="shared" si="8"/>
        <v>5</v>
      </c>
      <c r="T57" s="78">
        <f t="shared" si="9"/>
        <v>2</v>
      </c>
      <c r="U57" s="78">
        <f t="shared" si="10"/>
        <v>0</v>
      </c>
      <c r="V57" s="78">
        <f t="shared" si="11"/>
        <v>0</v>
      </c>
      <c r="W57" s="78">
        <f t="shared" si="12"/>
        <v>0</v>
      </c>
    </row>
    <row r="58" spans="1:23">
      <c r="A58" s="5" t="s">
        <v>189</v>
      </c>
      <c r="B58" s="5" t="s">
        <v>22</v>
      </c>
      <c r="C58" s="5" t="s">
        <v>63</v>
      </c>
      <c r="D58" s="9" t="s">
        <v>147</v>
      </c>
      <c r="E58" s="9" t="s">
        <v>148</v>
      </c>
      <c r="F58" s="9" t="s">
        <v>148</v>
      </c>
      <c r="G58" s="9" t="s">
        <v>148</v>
      </c>
      <c r="H58" s="9" t="s">
        <v>148</v>
      </c>
      <c r="I58" s="9" t="s">
        <v>148</v>
      </c>
      <c r="J58" s="9" t="s">
        <v>147</v>
      </c>
      <c r="K58" s="73">
        <f t="shared" si="0"/>
        <v>0</v>
      </c>
      <c r="L58" s="77">
        <f t="shared" si="1"/>
        <v>0</v>
      </c>
      <c r="M58" s="78">
        <f t="shared" si="2"/>
        <v>0</v>
      </c>
      <c r="N58" s="77">
        <f t="shared" si="3"/>
        <v>0</v>
      </c>
      <c r="O58" s="77">
        <f t="shared" si="4"/>
        <v>2250</v>
      </c>
      <c r="P58" s="77">
        <f t="shared" si="5"/>
        <v>2250</v>
      </c>
      <c r="Q58" s="77">
        <f t="shared" si="6"/>
        <v>1</v>
      </c>
      <c r="R58" s="77">
        <f t="shared" si="7"/>
        <v>5</v>
      </c>
      <c r="S58" s="77">
        <f t="shared" si="8"/>
        <v>5</v>
      </c>
      <c r="T58" s="78">
        <f t="shared" si="9"/>
        <v>2</v>
      </c>
      <c r="U58" s="78">
        <f t="shared" si="10"/>
        <v>0</v>
      </c>
      <c r="V58" s="78">
        <f t="shared" si="11"/>
        <v>0</v>
      </c>
      <c r="W58" s="78">
        <f t="shared" si="12"/>
        <v>0</v>
      </c>
    </row>
    <row r="59" spans="1:23">
      <c r="A59" s="32" t="s">
        <v>100</v>
      </c>
      <c r="B59" s="5" t="s">
        <v>22</v>
      </c>
      <c r="C59" s="35" t="s">
        <v>63</v>
      </c>
      <c r="D59" s="9" t="s">
        <v>147</v>
      </c>
      <c r="E59" s="9" t="s">
        <v>148</v>
      </c>
      <c r="F59" s="9" t="s">
        <v>148</v>
      </c>
      <c r="G59" s="9" t="s">
        <v>148</v>
      </c>
      <c r="H59" s="9" t="s">
        <v>13</v>
      </c>
      <c r="I59" s="9" t="s">
        <v>148</v>
      </c>
      <c r="J59" s="9" t="s">
        <v>147</v>
      </c>
      <c r="K59" s="73">
        <f t="shared" si="0"/>
        <v>0</v>
      </c>
      <c r="L59" s="77">
        <f t="shared" si="1"/>
        <v>0</v>
      </c>
      <c r="M59" s="78">
        <f t="shared" si="2"/>
        <v>0</v>
      </c>
      <c r="N59" s="77">
        <f t="shared" si="3"/>
        <v>0</v>
      </c>
      <c r="O59" s="77">
        <f t="shared" si="4"/>
        <v>2250</v>
      </c>
      <c r="P59" s="77">
        <f t="shared" si="5"/>
        <v>2250</v>
      </c>
      <c r="Q59" s="77">
        <f t="shared" si="6"/>
        <v>1</v>
      </c>
      <c r="R59" s="77">
        <f t="shared" si="7"/>
        <v>5</v>
      </c>
      <c r="S59" s="77">
        <f t="shared" si="8"/>
        <v>5</v>
      </c>
      <c r="T59" s="78">
        <f t="shared" si="9"/>
        <v>2</v>
      </c>
      <c r="U59" s="78">
        <f t="shared" si="10"/>
        <v>0</v>
      </c>
      <c r="V59" s="78">
        <f t="shared" si="11"/>
        <v>0</v>
      </c>
      <c r="W59" s="78">
        <f t="shared" si="12"/>
        <v>0</v>
      </c>
    </row>
    <row r="60" spans="1:23">
      <c r="A60" s="10" t="s">
        <v>101</v>
      </c>
      <c r="B60" s="5" t="s">
        <v>111</v>
      </c>
      <c r="C60" s="35" t="s">
        <v>40</v>
      </c>
      <c r="D60" s="9" t="s">
        <v>147</v>
      </c>
      <c r="E60" s="9" t="s">
        <v>148</v>
      </c>
      <c r="F60" s="9" t="s">
        <v>148</v>
      </c>
      <c r="G60" s="9" t="s">
        <v>148</v>
      </c>
      <c r="H60" s="9" t="s">
        <v>148</v>
      </c>
      <c r="I60" s="9" t="s">
        <v>148</v>
      </c>
      <c r="J60" s="9" t="s">
        <v>147</v>
      </c>
      <c r="K60" s="73">
        <f t="shared" si="0"/>
        <v>0</v>
      </c>
      <c r="L60" s="77">
        <f t="shared" si="1"/>
        <v>0</v>
      </c>
      <c r="M60" s="78">
        <f t="shared" si="2"/>
        <v>0</v>
      </c>
      <c r="N60" s="77">
        <f t="shared" si="3"/>
        <v>0</v>
      </c>
      <c r="O60" s="77">
        <f t="shared" si="4"/>
        <v>2250</v>
      </c>
      <c r="P60" s="77">
        <f t="shared" si="5"/>
        <v>2250</v>
      </c>
      <c r="Q60" s="77">
        <f t="shared" si="6"/>
        <v>1</v>
      </c>
      <c r="R60" s="77">
        <f t="shared" si="7"/>
        <v>5</v>
      </c>
      <c r="S60" s="77">
        <f t="shared" si="8"/>
        <v>5</v>
      </c>
      <c r="T60" s="78">
        <f t="shared" si="9"/>
        <v>2</v>
      </c>
      <c r="U60" s="78">
        <f t="shared" si="10"/>
        <v>0</v>
      </c>
      <c r="V60" s="78">
        <f t="shared" si="11"/>
        <v>0</v>
      </c>
      <c r="W60" s="78">
        <f t="shared" si="12"/>
        <v>0</v>
      </c>
    </row>
    <row r="61" spans="1:23">
      <c r="A61" s="32" t="s">
        <v>102</v>
      </c>
      <c r="B61" s="5" t="s">
        <v>22</v>
      </c>
      <c r="C61" s="35" t="s">
        <v>33</v>
      </c>
      <c r="D61" s="9" t="s">
        <v>147</v>
      </c>
      <c r="E61" s="9" t="s">
        <v>148</v>
      </c>
      <c r="F61" s="9" t="s">
        <v>148</v>
      </c>
      <c r="G61" s="9">
        <v>1</v>
      </c>
      <c r="H61" s="9" t="s">
        <v>12</v>
      </c>
      <c r="I61" s="9" t="s">
        <v>12</v>
      </c>
      <c r="J61" s="9" t="s">
        <v>147</v>
      </c>
      <c r="K61" s="73">
        <f t="shared" si="0"/>
        <v>1</v>
      </c>
      <c r="L61" s="77">
        <f t="shared" si="1"/>
        <v>1</v>
      </c>
      <c r="M61" s="78">
        <f t="shared" si="2"/>
        <v>0</v>
      </c>
      <c r="N61" s="77">
        <f t="shared" si="3"/>
        <v>1</v>
      </c>
      <c r="O61" s="77">
        <f t="shared" si="4"/>
        <v>2250</v>
      </c>
      <c r="P61" s="77">
        <f t="shared" si="5"/>
        <v>2249</v>
      </c>
      <c r="Q61" s="77">
        <f t="shared" si="6"/>
        <v>0.99955555555555553</v>
      </c>
      <c r="R61" s="77">
        <f t="shared" si="7"/>
        <v>3</v>
      </c>
      <c r="S61" s="77">
        <f t="shared" si="8"/>
        <v>5</v>
      </c>
      <c r="T61" s="78">
        <f t="shared" si="9"/>
        <v>2</v>
      </c>
      <c r="U61" s="78">
        <f t="shared" si="10"/>
        <v>2</v>
      </c>
      <c r="V61" s="78">
        <f t="shared" si="11"/>
        <v>0</v>
      </c>
      <c r="W61" s="78">
        <f t="shared" si="12"/>
        <v>0</v>
      </c>
    </row>
    <row r="62" spans="1:23">
      <c r="A62" s="7" t="s">
        <v>98</v>
      </c>
      <c r="B62" s="5" t="s">
        <v>26</v>
      </c>
      <c r="C62" s="34" t="s">
        <v>30</v>
      </c>
      <c r="D62" s="9" t="s">
        <v>147</v>
      </c>
      <c r="E62" s="9" t="s">
        <v>148</v>
      </c>
      <c r="F62" s="9">
        <v>6</v>
      </c>
      <c r="G62" s="9" t="s">
        <v>148</v>
      </c>
      <c r="H62" s="9" t="s">
        <v>148</v>
      </c>
      <c r="I62" s="9" t="s">
        <v>174</v>
      </c>
      <c r="J62" s="9" t="s">
        <v>147</v>
      </c>
      <c r="K62" s="73">
        <f t="shared" si="0"/>
        <v>6</v>
      </c>
      <c r="L62" s="77">
        <f t="shared" si="1"/>
        <v>6</v>
      </c>
      <c r="M62" s="78">
        <f t="shared" si="2"/>
        <v>0</v>
      </c>
      <c r="N62" s="77">
        <f t="shared" si="3"/>
        <v>6</v>
      </c>
      <c r="O62" s="77">
        <f t="shared" si="4"/>
        <v>2250</v>
      </c>
      <c r="P62" s="77">
        <f t="shared" si="5"/>
        <v>2244</v>
      </c>
      <c r="Q62" s="77">
        <f t="shared" si="6"/>
        <v>0.99733333333333329</v>
      </c>
      <c r="R62" s="77">
        <f t="shared" si="7"/>
        <v>5</v>
      </c>
      <c r="S62" s="77">
        <f t="shared" si="8"/>
        <v>5</v>
      </c>
      <c r="T62" s="78">
        <f t="shared" si="9"/>
        <v>2</v>
      </c>
      <c r="U62" s="78">
        <f t="shared" si="10"/>
        <v>0</v>
      </c>
      <c r="V62" s="78">
        <f t="shared" si="11"/>
        <v>0</v>
      </c>
      <c r="W62" s="78">
        <f t="shared" si="12"/>
        <v>0</v>
      </c>
    </row>
    <row r="63" spans="1:23">
      <c r="A63" s="32" t="s">
        <v>31</v>
      </c>
      <c r="B63" s="5" t="s">
        <v>22</v>
      </c>
      <c r="C63" s="35" t="s">
        <v>33</v>
      </c>
      <c r="D63" s="9" t="s">
        <v>147</v>
      </c>
      <c r="E63" s="9">
        <v>9</v>
      </c>
      <c r="F63" s="9" t="s">
        <v>148</v>
      </c>
      <c r="G63" s="9">
        <v>3</v>
      </c>
      <c r="H63" s="9" t="s">
        <v>148</v>
      </c>
      <c r="I63" s="9" t="s">
        <v>12</v>
      </c>
      <c r="J63" s="9" t="s">
        <v>147</v>
      </c>
      <c r="K63" s="73">
        <f t="shared" si="0"/>
        <v>12</v>
      </c>
      <c r="L63" s="77">
        <f t="shared" si="1"/>
        <v>12</v>
      </c>
      <c r="M63" s="78">
        <f t="shared" si="2"/>
        <v>0</v>
      </c>
      <c r="N63" s="77">
        <f t="shared" si="3"/>
        <v>12</v>
      </c>
      <c r="O63" s="77">
        <f t="shared" si="4"/>
        <v>2250</v>
      </c>
      <c r="P63" s="77">
        <f t="shared" si="5"/>
        <v>2238</v>
      </c>
      <c r="Q63" s="77">
        <f t="shared" si="6"/>
        <v>0.9946666666666667</v>
      </c>
      <c r="R63" s="77">
        <f t="shared" si="7"/>
        <v>4</v>
      </c>
      <c r="S63" s="77">
        <f t="shared" si="8"/>
        <v>5</v>
      </c>
      <c r="T63" s="78">
        <f t="shared" si="9"/>
        <v>2</v>
      </c>
      <c r="U63" s="78">
        <f t="shared" si="10"/>
        <v>1</v>
      </c>
      <c r="V63" s="78">
        <f t="shared" si="11"/>
        <v>0</v>
      </c>
      <c r="W63" s="78">
        <f t="shared" si="12"/>
        <v>0</v>
      </c>
    </row>
    <row r="64" spans="1:23">
      <c r="A64" s="10" t="s">
        <v>103</v>
      </c>
      <c r="B64" s="5" t="s">
        <v>26</v>
      </c>
      <c r="C64" s="11" t="s">
        <v>40</v>
      </c>
      <c r="D64" s="9" t="s">
        <v>148</v>
      </c>
      <c r="E64" s="9" t="s">
        <v>148</v>
      </c>
      <c r="F64" s="9" t="s">
        <v>147</v>
      </c>
      <c r="G64" s="9" t="s">
        <v>147</v>
      </c>
      <c r="H64" s="9" t="s">
        <v>148</v>
      </c>
      <c r="I64" s="9" t="s">
        <v>148</v>
      </c>
      <c r="J64" s="9" t="s">
        <v>148</v>
      </c>
      <c r="K64" s="73">
        <f t="shared" si="0"/>
        <v>0</v>
      </c>
      <c r="L64" s="77">
        <f t="shared" si="1"/>
        <v>0</v>
      </c>
      <c r="M64" s="78">
        <f t="shared" si="2"/>
        <v>0</v>
      </c>
      <c r="N64" s="77">
        <f t="shared" si="3"/>
        <v>0</v>
      </c>
      <c r="O64" s="77">
        <f t="shared" si="4"/>
        <v>2250</v>
      </c>
      <c r="P64" s="77">
        <f t="shared" si="5"/>
        <v>2250</v>
      </c>
      <c r="Q64" s="77">
        <f t="shared" si="6"/>
        <v>1</v>
      </c>
      <c r="R64" s="77">
        <f t="shared" si="7"/>
        <v>5</v>
      </c>
      <c r="S64" s="77">
        <f t="shared" si="8"/>
        <v>5</v>
      </c>
      <c r="T64" s="78">
        <f t="shared" si="9"/>
        <v>2</v>
      </c>
      <c r="U64" s="78">
        <f t="shared" si="10"/>
        <v>0</v>
      </c>
      <c r="V64" s="78">
        <f t="shared" si="11"/>
        <v>0</v>
      </c>
      <c r="W64" s="78">
        <f t="shared" si="12"/>
        <v>0</v>
      </c>
    </row>
    <row r="65" spans="1:23">
      <c r="A65" s="32" t="s">
        <v>104</v>
      </c>
      <c r="B65" s="5" t="s">
        <v>22</v>
      </c>
      <c r="C65" s="35" t="s">
        <v>25</v>
      </c>
      <c r="D65" s="9" t="s">
        <v>147</v>
      </c>
      <c r="E65" s="9" t="s">
        <v>148</v>
      </c>
      <c r="F65" s="9" t="s">
        <v>148</v>
      </c>
      <c r="G65" s="9">
        <v>5</v>
      </c>
      <c r="H65" s="9" t="s">
        <v>148</v>
      </c>
      <c r="I65" s="9" t="s">
        <v>148</v>
      </c>
      <c r="J65" s="9" t="s">
        <v>147</v>
      </c>
      <c r="K65" s="73">
        <f t="shared" si="0"/>
        <v>5</v>
      </c>
      <c r="L65" s="77">
        <f t="shared" si="1"/>
        <v>5</v>
      </c>
      <c r="M65" s="78">
        <f t="shared" si="2"/>
        <v>0</v>
      </c>
      <c r="N65" s="77">
        <f t="shared" si="3"/>
        <v>5</v>
      </c>
      <c r="O65" s="77">
        <f t="shared" si="4"/>
        <v>2250</v>
      </c>
      <c r="P65" s="77">
        <f t="shared" si="5"/>
        <v>2245</v>
      </c>
      <c r="Q65" s="77">
        <f t="shared" si="6"/>
        <v>0.99777777777777776</v>
      </c>
      <c r="R65" s="77">
        <f t="shared" si="7"/>
        <v>5</v>
      </c>
      <c r="S65" s="77">
        <f t="shared" si="8"/>
        <v>5</v>
      </c>
      <c r="T65" s="78">
        <f t="shared" si="9"/>
        <v>2</v>
      </c>
      <c r="U65" s="78">
        <f t="shared" si="10"/>
        <v>0</v>
      </c>
      <c r="V65" s="78">
        <f t="shared" si="11"/>
        <v>0</v>
      </c>
      <c r="W65" s="78">
        <f t="shared" si="12"/>
        <v>0</v>
      </c>
    </row>
    <row r="66" spans="1:23">
      <c r="A66" s="32" t="s">
        <v>190</v>
      </c>
      <c r="B66" s="5" t="s">
        <v>22</v>
      </c>
      <c r="C66" s="35" t="s">
        <v>56</v>
      </c>
      <c r="D66" s="9" t="s">
        <v>147</v>
      </c>
      <c r="E66" s="9" t="s">
        <v>148</v>
      </c>
      <c r="F66" s="9">
        <v>8</v>
      </c>
      <c r="G66" s="9" t="s">
        <v>148</v>
      </c>
      <c r="H66" s="9">
        <v>450</v>
      </c>
      <c r="I66" s="9" t="s">
        <v>148</v>
      </c>
      <c r="J66" s="9" t="s">
        <v>147</v>
      </c>
      <c r="K66" s="73">
        <f t="shared" si="0"/>
        <v>458</v>
      </c>
      <c r="L66" s="77">
        <f t="shared" si="1"/>
        <v>8</v>
      </c>
      <c r="M66" s="78">
        <f t="shared" si="2"/>
        <v>450</v>
      </c>
      <c r="N66" s="77">
        <f t="shared" si="3"/>
        <v>458</v>
      </c>
      <c r="O66" s="77">
        <f t="shared" si="4"/>
        <v>2250</v>
      </c>
      <c r="P66" s="77">
        <f t="shared" si="5"/>
        <v>1792</v>
      </c>
      <c r="Q66" s="77">
        <f t="shared" si="6"/>
        <v>0.7964444444444444</v>
      </c>
      <c r="R66" s="77">
        <f t="shared" si="7"/>
        <v>5</v>
      </c>
      <c r="S66" s="77">
        <f t="shared" si="8"/>
        <v>5</v>
      </c>
      <c r="T66" s="78">
        <f t="shared" si="9"/>
        <v>2</v>
      </c>
      <c r="U66" s="78">
        <f t="shared" si="10"/>
        <v>0</v>
      </c>
      <c r="V66" s="78">
        <f t="shared" si="11"/>
        <v>0</v>
      </c>
      <c r="W66" s="78">
        <f t="shared" si="12"/>
        <v>1</v>
      </c>
    </row>
    <row r="67" spans="1:23">
      <c r="A67" s="32" t="s">
        <v>106</v>
      </c>
      <c r="B67" s="5" t="s">
        <v>22</v>
      </c>
      <c r="C67" s="35" t="s">
        <v>30</v>
      </c>
      <c r="D67" s="9" t="s">
        <v>147</v>
      </c>
      <c r="E67" s="9" t="s">
        <v>148</v>
      </c>
      <c r="F67" s="9" t="s">
        <v>148</v>
      </c>
      <c r="G67" s="9" t="s">
        <v>148</v>
      </c>
      <c r="H67" s="9" t="s">
        <v>148</v>
      </c>
      <c r="I67" s="9" t="s">
        <v>148</v>
      </c>
      <c r="J67" s="9" t="s">
        <v>147</v>
      </c>
      <c r="K67" s="73">
        <f t="shared" si="0"/>
        <v>0</v>
      </c>
      <c r="L67" s="77">
        <f t="shared" si="1"/>
        <v>0</v>
      </c>
      <c r="M67" s="78">
        <f t="shared" si="2"/>
        <v>0</v>
      </c>
      <c r="N67" s="77">
        <f t="shared" si="3"/>
        <v>0</v>
      </c>
      <c r="O67" s="77">
        <f t="shared" si="4"/>
        <v>2250</v>
      </c>
      <c r="P67" s="77">
        <f t="shared" si="5"/>
        <v>2250</v>
      </c>
      <c r="Q67" s="77">
        <f t="shared" si="6"/>
        <v>1</v>
      </c>
      <c r="R67" s="77">
        <f t="shared" si="7"/>
        <v>5</v>
      </c>
      <c r="S67" s="77">
        <f t="shared" si="8"/>
        <v>5</v>
      </c>
      <c r="T67" s="78">
        <f t="shared" si="9"/>
        <v>2</v>
      </c>
      <c r="U67" s="78">
        <f t="shared" si="10"/>
        <v>0</v>
      </c>
      <c r="V67" s="78">
        <f t="shared" si="11"/>
        <v>0</v>
      </c>
      <c r="W67" s="78">
        <f t="shared" si="12"/>
        <v>0</v>
      </c>
    </row>
    <row r="68" spans="1:23">
      <c r="A68" s="10" t="s">
        <v>107</v>
      </c>
      <c r="B68" s="5" t="s">
        <v>57</v>
      </c>
      <c r="C68" s="35" t="s">
        <v>40</v>
      </c>
      <c r="D68" s="9" t="s">
        <v>147</v>
      </c>
      <c r="E68" s="9" t="s">
        <v>14</v>
      </c>
      <c r="F68" s="9">
        <v>240</v>
      </c>
      <c r="G68" s="9" t="s">
        <v>148</v>
      </c>
      <c r="H68" s="9" t="s">
        <v>148</v>
      </c>
      <c r="I68" s="9" t="s">
        <v>148</v>
      </c>
      <c r="J68" s="9" t="s">
        <v>147</v>
      </c>
      <c r="K68" s="73">
        <f t="shared" ref="K68:K93" si="13">SUM(D68:J68)</f>
        <v>240</v>
      </c>
      <c r="L68" s="77">
        <f t="shared" ref="L68:L93" si="14">K68-M68</f>
        <v>240</v>
      </c>
      <c r="M68" s="78">
        <f t="shared" ref="M68:M93" si="15">SUMIF(D68:J68,"450")</f>
        <v>0</v>
      </c>
      <c r="N68" s="77">
        <f t="shared" ref="N68:N93" si="16">L68+M68</f>
        <v>240</v>
      </c>
      <c r="O68" s="77">
        <f t="shared" ref="O68:O93" si="17">S68*450</f>
        <v>2250</v>
      </c>
      <c r="P68" s="77">
        <f t="shared" ref="P68:P93" si="18">O68-N68</f>
        <v>2010</v>
      </c>
      <c r="Q68" s="77">
        <f t="shared" ref="Q68:Q93" si="19">P68/O68</f>
        <v>0.89333333333333331</v>
      </c>
      <c r="R68" s="77">
        <f t="shared" ref="R68:R93" si="20">S68-(U68+V68)</f>
        <v>4</v>
      </c>
      <c r="S68" s="77">
        <f t="shared" ref="S68:S93" si="21">7-T68</f>
        <v>5</v>
      </c>
      <c r="T68" s="78">
        <f t="shared" ref="T68:T93" si="22">COUNTIF(D68:J68,"RD")</f>
        <v>2</v>
      </c>
      <c r="U68" s="78">
        <f t="shared" ref="U68:U93" si="23">COUNTIF(D68:J68,"VL")</f>
        <v>0</v>
      </c>
      <c r="V68" s="78">
        <f t="shared" ref="V68:V93" si="24">COUNTIF(D68:J68,"LWOP")</f>
        <v>1</v>
      </c>
      <c r="W68" s="78">
        <f t="shared" ref="W68:W93" si="25">COUNTIF(D68:J68,"450")</f>
        <v>0</v>
      </c>
    </row>
    <row r="69" spans="1:23">
      <c r="A69" s="10" t="s">
        <v>108</v>
      </c>
      <c r="B69" s="5" t="s">
        <v>26</v>
      </c>
      <c r="C69" s="11" t="s">
        <v>30</v>
      </c>
      <c r="D69" s="9" t="s">
        <v>148</v>
      </c>
      <c r="E69" s="9" t="s">
        <v>147</v>
      </c>
      <c r="F69" s="9" t="s">
        <v>147</v>
      </c>
      <c r="G69" s="9" t="s">
        <v>148</v>
      </c>
      <c r="H69" s="9">
        <v>41</v>
      </c>
      <c r="I69" s="9" t="s">
        <v>148</v>
      </c>
      <c r="J69" s="9" t="s">
        <v>148</v>
      </c>
      <c r="K69" s="73">
        <f t="shared" si="13"/>
        <v>41</v>
      </c>
      <c r="L69" s="77">
        <f t="shared" si="14"/>
        <v>41</v>
      </c>
      <c r="M69" s="78">
        <f t="shared" si="15"/>
        <v>0</v>
      </c>
      <c r="N69" s="77">
        <f t="shared" si="16"/>
        <v>41</v>
      </c>
      <c r="O69" s="77">
        <f t="shared" si="17"/>
        <v>2250</v>
      </c>
      <c r="P69" s="77">
        <f t="shared" si="18"/>
        <v>2209</v>
      </c>
      <c r="Q69" s="77">
        <f t="shared" si="19"/>
        <v>0.98177777777777775</v>
      </c>
      <c r="R69" s="77">
        <f t="shared" si="20"/>
        <v>5</v>
      </c>
      <c r="S69" s="77">
        <f t="shared" si="21"/>
        <v>5</v>
      </c>
      <c r="T69" s="78">
        <f t="shared" si="22"/>
        <v>2</v>
      </c>
      <c r="U69" s="78">
        <f t="shared" si="23"/>
        <v>0</v>
      </c>
      <c r="V69" s="78">
        <f t="shared" si="24"/>
        <v>0</v>
      </c>
      <c r="W69" s="78">
        <f t="shared" si="25"/>
        <v>0</v>
      </c>
    </row>
    <row r="70" spans="1:23">
      <c r="A70" s="10" t="s">
        <v>109</v>
      </c>
      <c r="B70" s="5" t="s">
        <v>26</v>
      </c>
      <c r="C70" s="34" t="s">
        <v>40</v>
      </c>
      <c r="D70" s="9" t="s">
        <v>147</v>
      </c>
      <c r="E70" s="9" t="s">
        <v>148</v>
      </c>
      <c r="F70" s="9" t="s">
        <v>148</v>
      </c>
      <c r="G70" s="9" t="s">
        <v>12</v>
      </c>
      <c r="H70" s="9" t="s">
        <v>148</v>
      </c>
      <c r="I70" s="9" t="s">
        <v>148</v>
      </c>
      <c r="J70" s="9" t="s">
        <v>147</v>
      </c>
      <c r="K70" s="73">
        <f t="shared" si="13"/>
        <v>0</v>
      </c>
      <c r="L70" s="77">
        <f t="shared" si="14"/>
        <v>0</v>
      </c>
      <c r="M70" s="78">
        <f t="shared" si="15"/>
        <v>0</v>
      </c>
      <c r="N70" s="77">
        <f t="shared" si="16"/>
        <v>0</v>
      </c>
      <c r="O70" s="77">
        <f t="shared" si="17"/>
        <v>2250</v>
      </c>
      <c r="P70" s="77">
        <f t="shared" si="18"/>
        <v>2250</v>
      </c>
      <c r="Q70" s="77">
        <f t="shared" si="19"/>
        <v>1</v>
      </c>
      <c r="R70" s="77">
        <f t="shared" si="20"/>
        <v>4</v>
      </c>
      <c r="S70" s="77">
        <f t="shared" si="21"/>
        <v>5</v>
      </c>
      <c r="T70" s="78">
        <f t="shared" si="22"/>
        <v>2</v>
      </c>
      <c r="U70" s="78">
        <f t="shared" si="23"/>
        <v>1</v>
      </c>
      <c r="V70" s="78">
        <f t="shared" si="24"/>
        <v>0</v>
      </c>
      <c r="W70" s="78">
        <f t="shared" si="25"/>
        <v>0</v>
      </c>
    </row>
    <row r="71" spans="1:23">
      <c r="A71" s="10" t="s">
        <v>110</v>
      </c>
      <c r="B71" s="5" t="s">
        <v>111</v>
      </c>
      <c r="C71" s="35" t="s">
        <v>40</v>
      </c>
      <c r="D71" s="9" t="s">
        <v>147</v>
      </c>
      <c r="E71" s="9" t="s">
        <v>148</v>
      </c>
      <c r="F71" s="9" t="s">
        <v>148</v>
      </c>
      <c r="G71" s="9" t="s">
        <v>148</v>
      </c>
      <c r="H71" s="9" t="s">
        <v>148</v>
      </c>
      <c r="I71" s="9" t="s">
        <v>148</v>
      </c>
      <c r="J71" s="9" t="s">
        <v>147</v>
      </c>
      <c r="K71" s="73">
        <f t="shared" si="13"/>
        <v>0</v>
      </c>
      <c r="L71" s="77">
        <f t="shared" si="14"/>
        <v>0</v>
      </c>
      <c r="M71" s="78">
        <f t="shared" si="15"/>
        <v>0</v>
      </c>
      <c r="N71" s="77">
        <f t="shared" si="16"/>
        <v>0</v>
      </c>
      <c r="O71" s="77">
        <f t="shared" si="17"/>
        <v>2250</v>
      </c>
      <c r="P71" s="77">
        <f t="shared" si="18"/>
        <v>2250</v>
      </c>
      <c r="Q71" s="77">
        <f t="shared" si="19"/>
        <v>1</v>
      </c>
      <c r="R71" s="77">
        <f t="shared" si="20"/>
        <v>5</v>
      </c>
      <c r="S71" s="77">
        <f t="shared" si="21"/>
        <v>5</v>
      </c>
      <c r="T71" s="78">
        <f t="shared" si="22"/>
        <v>2</v>
      </c>
      <c r="U71" s="78">
        <f t="shared" si="23"/>
        <v>0</v>
      </c>
      <c r="V71" s="78">
        <f t="shared" si="24"/>
        <v>0</v>
      </c>
      <c r="W71" s="78">
        <f t="shared" si="25"/>
        <v>0</v>
      </c>
    </row>
    <row r="72" spans="1:23">
      <c r="A72" s="32" t="s">
        <v>112</v>
      </c>
      <c r="B72" s="5" t="s">
        <v>22</v>
      </c>
      <c r="C72" s="35" t="s">
        <v>25</v>
      </c>
      <c r="D72" s="9" t="s">
        <v>147</v>
      </c>
      <c r="E72" s="9" t="s">
        <v>148</v>
      </c>
      <c r="F72" s="9">
        <v>7</v>
      </c>
      <c r="G72" s="9" t="s">
        <v>148</v>
      </c>
      <c r="H72" s="9" t="s">
        <v>174</v>
      </c>
      <c r="I72" s="9" t="s">
        <v>148</v>
      </c>
      <c r="J72" s="9" t="s">
        <v>147</v>
      </c>
      <c r="K72" s="73">
        <f t="shared" si="13"/>
        <v>7</v>
      </c>
      <c r="L72" s="77">
        <f t="shared" si="14"/>
        <v>7</v>
      </c>
      <c r="M72" s="78">
        <f t="shared" si="15"/>
        <v>0</v>
      </c>
      <c r="N72" s="77">
        <f t="shared" si="16"/>
        <v>7</v>
      </c>
      <c r="O72" s="77">
        <f t="shared" si="17"/>
        <v>2250</v>
      </c>
      <c r="P72" s="77">
        <f t="shared" si="18"/>
        <v>2243</v>
      </c>
      <c r="Q72" s="77">
        <f t="shared" si="19"/>
        <v>0.99688888888888894</v>
      </c>
      <c r="R72" s="77">
        <f t="shared" si="20"/>
        <v>5</v>
      </c>
      <c r="S72" s="77">
        <f t="shared" si="21"/>
        <v>5</v>
      </c>
      <c r="T72" s="78">
        <f t="shared" si="22"/>
        <v>2</v>
      </c>
      <c r="U72" s="78">
        <f t="shared" si="23"/>
        <v>0</v>
      </c>
      <c r="V72" s="78">
        <f t="shared" si="24"/>
        <v>0</v>
      </c>
      <c r="W72" s="78">
        <f t="shared" si="25"/>
        <v>0</v>
      </c>
    </row>
    <row r="73" spans="1:23">
      <c r="A73" s="32" t="s">
        <v>114</v>
      </c>
      <c r="B73" s="5" t="s">
        <v>37</v>
      </c>
      <c r="C73" s="35" t="s">
        <v>40</v>
      </c>
      <c r="D73" s="9" t="s">
        <v>147</v>
      </c>
      <c r="E73" s="9" t="s">
        <v>147</v>
      </c>
      <c r="F73" s="9" t="s">
        <v>148</v>
      </c>
      <c r="G73" s="9">
        <v>450</v>
      </c>
      <c r="H73" s="9" t="s">
        <v>148</v>
      </c>
      <c r="I73" s="9" t="s">
        <v>174</v>
      </c>
      <c r="J73" s="9" t="s">
        <v>174</v>
      </c>
      <c r="K73" s="73">
        <f t="shared" si="13"/>
        <v>450</v>
      </c>
      <c r="L73" s="77">
        <f t="shared" si="14"/>
        <v>0</v>
      </c>
      <c r="M73" s="78">
        <f t="shared" si="15"/>
        <v>450</v>
      </c>
      <c r="N73" s="77">
        <f t="shared" si="16"/>
        <v>450</v>
      </c>
      <c r="O73" s="77">
        <f t="shared" si="17"/>
        <v>2250</v>
      </c>
      <c r="P73" s="77">
        <f t="shared" si="18"/>
        <v>1800</v>
      </c>
      <c r="Q73" s="77">
        <f t="shared" si="19"/>
        <v>0.8</v>
      </c>
      <c r="R73" s="77">
        <f t="shared" si="20"/>
        <v>5</v>
      </c>
      <c r="S73" s="77">
        <f t="shared" si="21"/>
        <v>5</v>
      </c>
      <c r="T73" s="78">
        <f t="shared" si="22"/>
        <v>2</v>
      </c>
      <c r="U73" s="78">
        <f t="shared" si="23"/>
        <v>0</v>
      </c>
      <c r="V73" s="78">
        <f t="shared" si="24"/>
        <v>0</v>
      </c>
      <c r="W73" s="78">
        <f t="shared" si="25"/>
        <v>1</v>
      </c>
    </row>
    <row r="74" spans="1:23">
      <c r="A74" s="32" t="s">
        <v>66</v>
      </c>
      <c r="B74" s="5" t="s">
        <v>22</v>
      </c>
      <c r="C74" s="35" t="s">
        <v>30</v>
      </c>
      <c r="D74" s="9" t="s">
        <v>147</v>
      </c>
      <c r="E74" s="9" t="s">
        <v>148</v>
      </c>
      <c r="F74" s="9" t="s">
        <v>148</v>
      </c>
      <c r="G74" s="9" t="s">
        <v>148</v>
      </c>
      <c r="H74" s="9" t="s">
        <v>148</v>
      </c>
      <c r="I74" s="9" t="s">
        <v>148</v>
      </c>
      <c r="J74" s="9" t="s">
        <v>147</v>
      </c>
      <c r="K74" s="73">
        <f t="shared" si="13"/>
        <v>0</v>
      </c>
      <c r="L74" s="77">
        <f t="shared" si="14"/>
        <v>0</v>
      </c>
      <c r="M74" s="78">
        <f t="shared" si="15"/>
        <v>0</v>
      </c>
      <c r="N74" s="77">
        <f t="shared" si="16"/>
        <v>0</v>
      </c>
      <c r="O74" s="77">
        <f t="shared" si="17"/>
        <v>2250</v>
      </c>
      <c r="P74" s="77">
        <f t="shared" si="18"/>
        <v>2250</v>
      </c>
      <c r="Q74" s="77">
        <f t="shared" si="19"/>
        <v>1</v>
      </c>
      <c r="R74" s="77">
        <f t="shared" si="20"/>
        <v>5</v>
      </c>
      <c r="S74" s="77">
        <f t="shared" si="21"/>
        <v>5</v>
      </c>
      <c r="T74" s="78">
        <f t="shared" si="22"/>
        <v>2</v>
      </c>
      <c r="U74" s="78">
        <f t="shared" si="23"/>
        <v>0</v>
      </c>
      <c r="V74" s="78">
        <f t="shared" si="24"/>
        <v>0</v>
      </c>
      <c r="W74" s="78">
        <f t="shared" si="25"/>
        <v>0</v>
      </c>
    </row>
    <row r="75" spans="1:23">
      <c r="A75" s="32" t="s">
        <v>115</v>
      </c>
      <c r="B75" s="5" t="s">
        <v>22</v>
      </c>
      <c r="C75" s="35" t="s">
        <v>33</v>
      </c>
      <c r="D75" s="9" t="s">
        <v>147</v>
      </c>
      <c r="E75" s="9" t="s">
        <v>14</v>
      </c>
      <c r="F75" s="9" t="s">
        <v>148</v>
      </c>
      <c r="G75" s="9">
        <v>7</v>
      </c>
      <c r="H75" s="9" t="s">
        <v>148</v>
      </c>
      <c r="I75" s="9" t="s">
        <v>148</v>
      </c>
      <c r="J75" s="9" t="s">
        <v>147</v>
      </c>
      <c r="K75" s="73">
        <f t="shared" si="13"/>
        <v>7</v>
      </c>
      <c r="L75" s="77">
        <f t="shared" si="14"/>
        <v>7</v>
      </c>
      <c r="M75" s="78">
        <f t="shared" si="15"/>
        <v>0</v>
      </c>
      <c r="N75" s="77">
        <f t="shared" si="16"/>
        <v>7</v>
      </c>
      <c r="O75" s="77">
        <f t="shared" si="17"/>
        <v>2250</v>
      </c>
      <c r="P75" s="77">
        <f t="shared" si="18"/>
        <v>2243</v>
      </c>
      <c r="Q75" s="77">
        <f t="shared" si="19"/>
        <v>0.99688888888888894</v>
      </c>
      <c r="R75" s="77">
        <f t="shared" si="20"/>
        <v>4</v>
      </c>
      <c r="S75" s="77">
        <f t="shared" si="21"/>
        <v>5</v>
      </c>
      <c r="T75" s="78">
        <f t="shared" si="22"/>
        <v>2</v>
      </c>
      <c r="U75" s="78">
        <f t="shared" si="23"/>
        <v>0</v>
      </c>
      <c r="V75" s="78">
        <f t="shared" si="24"/>
        <v>1</v>
      </c>
      <c r="W75" s="78">
        <f t="shared" si="25"/>
        <v>0</v>
      </c>
    </row>
    <row r="76" spans="1:23">
      <c r="A76" s="32" t="s">
        <v>116</v>
      </c>
      <c r="B76" s="5" t="s">
        <v>22</v>
      </c>
      <c r="C76" s="35" t="s">
        <v>63</v>
      </c>
      <c r="D76" s="9" t="s">
        <v>147</v>
      </c>
      <c r="E76" s="9" t="s">
        <v>148</v>
      </c>
      <c r="F76" s="9" t="s">
        <v>148</v>
      </c>
      <c r="G76" s="9" t="s">
        <v>148</v>
      </c>
      <c r="H76" s="9" t="s">
        <v>148</v>
      </c>
      <c r="I76" s="9" t="s">
        <v>148</v>
      </c>
      <c r="J76" s="9" t="s">
        <v>147</v>
      </c>
      <c r="K76" s="73">
        <f t="shared" si="13"/>
        <v>0</v>
      </c>
      <c r="L76" s="77">
        <f t="shared" si="14"/>
        <v>0</v>
      </c>
      <c r="M76" s="78">
        <f t="shared" si="15"/>
        <v>0</v>
      </c>
      <c r="N76" s="77">
        <f t="shared" si="16"/>
        <v>0</v>
      </c>
      <c r="O76" s="77">
        <f t="shared" si="17"/>
        <v>2250</v>
      </c>
      <c r="P76" s="77">
        <f t="shared" si="18"/>
        <v>2250</v>
      </c>
      <c r="Q76" s="77">
        <f t="shared" si="19"/>
        <v>1</v>
      </c>
      <c r="R76" s="77">
        <f t="shared" si="20"/>
        <v>5</v>
      </c>
      <c r="S76" s="77">
        <f t="shared" si="21"/>
        <v>5</v>
      </c>
      <c r="T76" s="78">
        <f t="shared" si="22"/>
        <v>2</v>
      </c>
      <c r="U76" s="78">
        <f t="shared" si="23"/>
        <v>0</v>
      </c>
      <c r="V76" s="78">
        <f t="shared" si="24"/>
        <v>0</v>
      </c>
      <c r="W76" s="78">
        <f t="shared" si="25"/>
        <v>0</v>
      </c>
    </row>
    <row r="77" spans="1:23">
      <c r="A77" s="32" t="s">
        <v>117</v>
      </c>
      <c r="B77" s="5" t="s">
        <v>22</v>
      </c>
      <c r="C77" s="35" t="s">
        <v>30</v>
      </c>
      <c r="D77" s="9" t="s">
        <v>147</v>
      </c>
      <c r="E77" s="9" t="s">
        <v>148</v>
      </c>
      <c r="F77" s="9" t="s">
        <v>148</v>
      </c>
      <c r="G77" s="9" t="s">
        <v>148</v>
      </c>
      <c r="H77" s="9" t="s">
        <v>148</v>
      </c>
      <c r="I77" s="9" t="s">
        <v>148</v>
      </c>
      <c r="J77" s="9" t="s">
        <v>147</v>
      </c>
      <c r="K77" s="73">
        <f t="shared" si="13"/>
        <v>0</v>
      </c>
      <c r="L77" s="77">
        <f t="shared" si="14"/>
        <v>0</v>
      </c>
      <c r="M77" s="78">
        <f t="shared" si="15"/>
        <v>0</v>
      </c>
      <c r="N77" s="77">
        <f t="shared" si="16"/>
        <v>0</v>
      </c>
      <c r="O77" s="77">
        <f t="shared" si="17"/>
        <v>2250</v>
      </c>
      <c r="P77" s="77">
        <f t="shared" si="18"/>
        <v>2250</v>
      </c>
      <c r="Q77" s="77">
        <f t="shared" si="19"/>
        <v>1</v>
      </c>
      <c r="R77" s="77">
        <f t="shared" si="20"/>
        <v>5</v>
      </c>
      <c r="S77" s="77">
        <f t="shared" si="21"/>
        <v>5</v>
      </c>
      <c r="T77" s="78">
        <f t="shared" si="22"/>
        <v>2</v>
      </c>
      <c r="U77" s="78">
        <f t="shared" si="23"/>
        <v>0</v>
      </c>
      <c r="V77" s="78">
        <f t="shared" si="24"/>
        <v>0</v>
      </c>
      <c r="W77" s="78">
        <f t="shared" si="25"/>
        <v>0</v>
      </c>
    </row>
    <row r="78" spans="1:23">
      <c r="A78" s="32" t="s">
        <v>118</v>
      </c>
      <c r="B78" s="5" t="s">
        <v>37</v>
      </c>
      <c r="C78" s="35" t="s">
        <v>40</v>
      </c>
      <c r="D78" s="9" t="s">
        <v>147</v>
      </c>
      <c r="E78" s="9" t="s">
        <v>148</v>
      </c>
      <c r="F78" s="9" t="s">
        <v>148</v>
      </c>
      <c r="G78" s="9" t="s">
        <v>148</v>
      </c>
      <c r="H78" s="9" t="s">
        <v>148</v>
      </c>
      <c r="I78" s="9" t="s">
        <v>174</v>
      </c>
      <c r="J78" s="9" t="s">
        <v>147</v>
      </c>
      <c r="K78" s="73">
        <f t="shared" si="13"/>
        <v>0</v>
      </c>
      <c r="L78" s="77">
        <f t="shared" si="14"/>
        <v>0</v>
      </c>
      <c r="M78" s="78">
        <f t="shared" si="15"/>
        <v>0</v>
      </c>
      <c r="N78" s="77">
        <f t="shared" si="16"/>
        <v>0</v>
      </c>
      <c r="O78" s="77">
        <f t="shared" si="17"/>
        <v>2250</v>
      </c>
      <c r="P78" s="77">
        <f t="shared" si="18"/>
        <v>2250</v>
      </c>
      <c r="Q78" s="77">
        <f t="shared" si="19"/>
        <v>1</v>
      </c>
      <c r="R78" s="77">
        <f t="shared" si="20"/>
        <v>5</v>
      </c>
      <c r="S78" s="77">
        <f t="shared" si="21"/>
        <v>5</v>
      </c>
      <c r="T78" s="78">
        <f t="shared" si="22"/>
        <v>2</v>
      </c>
      <c r="U78" s="78">
        <f t="shared" si="23"/>
        <v>0</v>
      </c>
      <c r="V78" s="78">
        <f t="shared" si="24"/>
        <v>0</v>
      </c>
      <c r="W78" s="78">
        <f t="shared" si="25"/>
        <v>0</v>
      </c>
    </row>
    <row r="79" spans="1:23">
      <c r="A79" s="10" t="s">
        <v>113</v>
      </c>
      <c r="B79" s="5" t="s">
        <v>26</v>
      </c>
      <c r="C79" s="11" t="s">
        <v>40</v>
      </c>
      <c r="D79" s="9" t="s">
        <v>148</v>
      </c>
      <c r="E79" s="9" t="s">
        <v>148</v>
      </c>
      <c r="F79" s="9" t="s">
        <v>147</v>
      </c>
      <c r="G79" s="9" t="s">
        <v>147</v>
      </c>
      <c r="H79" s="9" t="s">
        <v>148</v>
      </c>
      <c r="I79" s="9" t="s">
        <v>148</v>
      </c>
      <c r="J79" s="9" t="s">
        <v>148</v>
      </c>
      <c r="K79" s="73">
        <f t="shared" si="13"/>
        <v>0</v>
      </c>
      <c r="L79" s="77">
        <f t="shared" si="14"/>
        <v>0</v>
      </c>
      <c r="M79" s="78">
        <f t="shared" si="15"/>
        <v>0</v>
      </c>
      <c r="N79" s="77">
        <f t="shared" si="16"/>
        <v>0</v>
      </c>
      <c r="O79" s="77">
        <f t="shared" si="17"/>
        <v>2250</v>
      </c>
      <c r="P79" s="77">
        <f t="shared" si="18"/>
        <v>2250</v>
      </c>
      <c r="Q79" s="77">
        <f t="shared" si="19"/>
        <v>1</v>
      </c>
      <c r="R79" s="77">
        <f t="shared" si="20"/>
        <v>5</v>
      </c>
      <c r="S79" s="77">
        <f t="shared" si="21"/>
        <v>5</v>
      </c>
      <c r="T79" s="78">
        <f t="shared" si="22"/>
        <v>2</v>
      </c>
      <c r="U79" s="78">
        <f t="shared" si="23"/>
        <v>0</v>
      </c>
      <c r="V79" s="78">
        <f t="shared" si="24"/>
        <v>0</v>
      </c>
      <c r="W79" s="78">
        <f t="shared" si="25"/>
        <v>0</v>
      </c>
    </row>
    <row r="80" spans="1:23">
      <c r="A80" s="10" t="s">
        <v>119</v>
      </c>
      <c r="B80" s="5" t="s">
        <v>26</v>
      </c>
      <c r="C80" s="11" t="s">
        <v>25</v>
      </c>
      <c r="D80" s="9" t="s">
        <v>148</v>
      </c>
      <c r="E80" s="9" t="s">
        <v>148</v>
      </c>
      <c r="F80" s="9" t="s">
        <v>147</v>
      </c>
      <c r="G80" s="9" t="s">
        <v>147</v>
      </c>
      <c r="H80" s="9" t="s">
        <v>148</v>
      </c>
      <c r="I80" s="9" t="s">
        <v>148</v>
      </c>
      <c r="J80" s="9" t="s">
        <v>148</v>
      </c>
      <c r="K80" s="73">
        <f t="shared" si="13"/>
        <v>0</v>
      </c>
      <c r="L80" s="77">
        <f t="shared" si="14"/>
        <v>0</v>
      </c>
      <c r="M80" s="78">
        <f t="shared" si="15"/>
        <v>0</v>
      </c>
      <c r="N80" s="77">
        <f t="shared" si="16"/>
        <v>0</v>
      </c>
      <c r="O80" s="77">
        <f t="shared" si="17"/>
        <v>2250</v>
      </c>
      <c r="P80" s="77">
        <f t="shared" si="18"/>
        <v>2250</v>
      </c>
      <c r="Q80" s="77">
        <f t="shared" si="19"/>
        <v>1</v>
      </c>
      <c r="R80" s="77">
        <f t="shared" si="20"/>
        <v>5</v>
      </c>
      <c r="S80" s="77">
        <f t="shared" si="21"/>
        <v>5</v>
      </c>
      <c r="T80" s="78">
        <f t="shared" si="22"/>
        <v>2</v>
      </c>
      <c r="U80" s="78">
        <f t="shared" si="23"/>
        <v>0</v>
      </c>
      <c r="V80" s="78">
        <f t="shared" si="24"/>
        <v>0</v>
      </c>
      <c r="W80" s="78">
        <f t="shared" si="25"/>
        <v>0</v>
      </c>
    </row>
    <row r="81" spans="1:23">
      <c r="A81" s="32" t="s">
        <v>120</v>
      </c>
      <c r="B81" s="5" t="s">
        <v>22</v>
      </c>
      <c r="C81" s="35" t="s">
        <v>30</v>
      </c>
      <c r="D81" s="9" t="s">
        <v>147</v>
      </c>
      <c r="E81" s="9" t="s">
        <v>148</v>
      </c>
      <c r="F81" s="9">
        <v>240</v>
      </c>
      <c r="G81" s="9">
        <v>450</v>
      </c>
      <c r="H81" s="9">
        <v>48</v>
      </c>
      <c r="I81" s="9" t="s">
        <v>174</v>
      </c>
      <c r="J81" s="9" t="s">
        <v>147</v>
      </c>
      <c r="K81" s="73">
        <f t="shared" si="13"/>
        <v>738</v>
      </c>
      <c r="L81" s="77">
        <f t="shared" si="14"/>
        <v>288</v>
      </c>
      <c r="M81" s="78">
        <f t="shared" si="15"/>
        <v>450</v>
      </c>
      <c r="N81" s="77">
        <f t="shared" si="16"/>
        <v>738</v>
      </c>
      <c r="O81" s="77">
        <f t="shared" si="17"/>
        <v>2250</v>
      </c>
      <c r="P81" s="77">
        <f t="shared" si="18"/>
        <v>1512</v>
      </c>
      <c r="Q81" s="77">
        <f t="shared" si="19"/>
        <v>0.67200000000000004</v>
      </c>
      <c r="R81" s="77">
        <f t="shared" si="20"/>
        <v>5</v>
      </c>
      <c r="S81" s="77">
        <f t="shared" si="21"/>
        <v>5</v>
      </c>
      <c r="T81" s="78">
        <f t="shared" si="22"/>
        <v>2</v>
      </c>
      <c r="U81" s="78">
        <f t="shared" si="23"/>
        <v>0</v>
      </c>
      <c r="V81" s="78">
        <f t="shared" si="24"/>
        <v>0</v>
      </c>
      <c r="W81" s="78">
        <f t="shared" si="25"/>
        <v>1</v>
      </c>
    </row>
    <row r="82" spans="1:23">
      <c r="A82" s="32" t="s">
        <v>122</v>
      </c>
      <c r="B82" s="5" t="s">
        <v>22</v>
      </c>
      <c r="C82" s="35" t="s">
        <v>30</v>
      </c>
      <c r="D82" s="9" t="s">
        <v>147</v>
      </c>
      <c r="E82" s="9" t="s">
        <v>148</v>
      </c>
      <c r="F82" s="9" t="s">
        <v>148</v>
      </c>
      <c r="G82" s="9" t="s">
        <v>148</v>
      </c>
      <c r="H82" s="9" t="s">
        <v>148</v>
      </c>
      <c r="I82" s="9" t="s">
        <v>148</v>
      </c>
      <c r="J82" s="9" t="s">
        <v>147</v>
      </c>
      <c r="K82" s="73">
        <f t="shared" si="13"/>
        <v>0</v>
      </c>
      <c r="L82" s="77">
        <f t="shared" si="14"/>
        <v>0</v>
      </c>
      <c r="M82" s="78">
        <f t="shared" si="15"/>
        <v>0</v>
      </c>
      <c r="N82" s="77">
        <f t="shared" si="16"/>
        <v>0</v>
      </c>
      <c r="O82" s="77">
        <f t="shared" si="17"/>
        <v>2250</v>
      </c>
      <c r="P82" s="77">
        <f t="shared" si="18"/>
        <v>2250</v>
      </c>
      <c r="Q82" s="77">
        <f t="shared" si="19"/>
        <v>1</v>
      </c>
      <c r="R82" s="77">
        <f t="shared" si="20"/>
        <v>5</v>
      </c>
      <c r="S82" s="77">
        <f t="shared" si="21"/>
        <v>5</v>
      </c>
      <c r="T82" s="78">
        <f t="shared" si="22"/>
        <v>2</v>
      </c>
      <c r="U82" s="78">
        <f t="shared" si="23"/>
        <v>0</v>
      </c>
      <c r="V82" s="78">
        <f t="shared" si="24"/>
        <v>0</v>
      </c>
      <c r="W82" s="78">
        <f t="shared" si="25"/>
        <v>0</v>
      </c>
    </row>
    <row r="83" spans="1:23">
      <c r="A83" s="10" t="s">
        <v>123</v>
      </c>
      <c r="B83" s="5" t="s">
        <v>26</v>
      </c>
      <c r="C83" s="11" t="s">
        <v>40</v>
      </c>
      <c r="D83" s="9" t="s">
        <v>147</v>
      </c>
      <c r="E83" s="9" t="s">
        <v>148</v>
      </c>
      <c r="F83" s="9" t="s">
        <v>148</v>
      </c>
      <c r="G83" s="9" t="s">
        <v>148</v>
      </c>
      <c r="H83" s="9" t="s">
        <v>148</v>
      </c>
      <c r="I83" s="9" t="s">
        <v>174</v>
      </c>
      <c r="J83" s="9" t="s">
        <v>147</v>
      </c>
      <c r="K83" s="73">
        <f t="shared" si="13"/>
        <v>0</v>
      </c>
      <c r="L83" s="77">
        <f t="shared" si="14"/>
        <v>0</v>
      </c>
      <c r="M83" s="78">
        <f t="shared" si="15"/>
        <v>0</v>
      </c>
      <c r="N83" s="77">
        <f t="shared" si="16"/>
        <v>0</v>
      </c>
      <c r="O83" s="77">
        <f t="shared" si="17"/>
        <v>2250</v>
      </c>
      <c r="P83" s="77">
        <f t="shared" si="18"/>
        <v>2250</v>
      </c>
      <c r="Q83" s="77">
        <f t="shared" si="19"/>
        <v>1</v>
      </c>
      <c r="R83" s="77">
        <f t="shared" si="20"/>
        <v>5</v>
      </c>
      <c r="S83" s="77">
        <f t="shared" si="21"/>
        <v>5</v>
      </c>
      <c r="T83" s="78">
        <f t="shared" si="22"/>
        <v>2</v>
      </c>
      <c r="U83" s="78">
        <f t="shared" si="23"/>
        <v>0</v>
      </c>
      <c r="V83" s="78">
        <f t="shared" si="24"/>
        <v>0</v>
      </c>
      <c r="W83" s="78">
        <f t="shared" si="25"/>
        <v>0</v>
      </c>
    </row>
    <row r="84" spans="1:23">
      <c r="A84" s="10" t="s">
        <v>124</v>
      </c>
      <c r="B84" s="5" t="s">
        <v>26</v>
      </c>
      <c r="C84" s="34" t="s">
        <v>40</v>
      </c>
      <c r="D84" s="9" t="s">
        <v>147</v>
      </c>
      <c r="E84" s="9" t="s">
        <v>148</v>
      </c>
      <c r="F84" s="9" t="s">
        <v>148</v>
      </c>
      <c r="G84" s="9" t="s">
        <v>148</v>
      </c>
      <c r="H84" s="9" t="s">
        <v>148</v>
      </c>
      <c r="I84" s="9" t="s">
        <v>148</v>
      </c>
      <c r="J84" s="9" t="s">
        <v>147</v>
      </c>
      <c r="K84" s="73">
        <f t="shared" si="13"/>
        <v>0</v>
      </c>
      <c r="L84" s="77">
        <f t="shared" si="14"/>
        <v>0</v>
      </c>
      <c r="M84" s="78">
        <f t="shared" si="15"/>
        <v>0</v>
      </c>
      <c r="N84" s="77">
        <f t="shared" si="16"/>
        <v>0</v>
      </c>
      <c r="O84" s="77">
        <f t="shared" si="17"/>
        <v>2250</v>
      </c>
      <c r="P84" s="77">
        <f t="shared" si="18"/>
        <v>2250</v>
      </c>
      <c r="Q84" s="77">
        <f t="shared" si="19"/>
        <v>1</v>
      </c>
      <c r="R84" s="77">
        <f t="shared" si="20"/>
        <v>5</v>
      </c>
      <c r="S84" s="77">
        <f t="shared" si="21"/>
        <v>5</v>
      </c>
      <c r="T84" s="78">
        <f t="shared" si="22"/>
        <v>2</v>
      </c>
      <c r="U84" s="78">
        <f t="shared" si="23"/>
        <v>0</v>
      </c>
      <c r="V84" s="78">
        <f t="shared" si="24"/>
        <v>0</v>
      </c>
      <c r="W84" s="78">
        <f t="shared" si="25"/>
        <v>0</v>
      </c>
    </row>
    <row r="85" spans="1:23">
      <c r="A85" s="32" t="s">
        <v>125</v>
      </c>
      <c r="B85" s="5" t="s">
        <v>22</v>
      </c>
      <c r="C85" s="35" t="s">
        <v>25</v>
      </c>
      <c r="D85" s="9" t="s">
        <v>147</v>
      </c>
      <c r="E85" s="9">
        <v>450</v>
      </c>
      <c r="F85" s="9">
        <v>4</v>
      </c>
      <c r="G85" s="9">
        <v>6</v>
      </c>
      <c r="H85" s="9">
        <v>2</v>
      </c>
      <c r="I85" s="9" t="s">
        <v>174</v>
      </c>
      <c r="J85" s="9" t="s">
        <v>147</v>
      </c>
      <c r="K85" s="73">
        <f t="shared" si="13"/>
        <v>462</v>
      </c>
      <c r="L85" s="77">
        <f t="shared" si="14"/>
        <v>12</v>
      </c>
      <c r="M85" s="78">
        <f t="shared" si="15"/>
        <v>450</v>
      </c>
      <c r="N85" s="77">
        <f t="shared" si="16"/>
        <v>462</v>
      </c>
      <c r="O85" s="77">
        <f t="shared" si="17"/>
        <v>2250</v>
      </c>
      <c r="P85" s="77">
        <f t="shared" si="18"/>
        <v>1788</v>
      </c>
      <c r="Q85" s="77">
        <f t="shared" si="19"/>
        <v>0.79466666666666663</v>
      </c>
      <c r="R85" s="77">
        <f t="shared" si="20"/>
        <v>5</v>
      </c>
      <c r="S85" s="77">
        <f t="shared" si="21"/>
        <v>5</v>
      </c>
      <c r="T85" s="78">
        <f t="shared" si="22"/>
        <v>2</v>
      </c>
      <c r="U85" s="78">
        <f t="shared" si="23"/>
        <v>0</v>
      </c>
      <c r="V85" s="78">
        <f t="shared" si="24"/>
        <v>0</v>
      </c>
      <c r="W85" s="78">
        <f t="shared" si="25"/>
        <v>1</v>
      </c>
    </row>
    <row r="86" spans="1:23">
      <c r="A86" s="10" t="s">
        <v>126</v>
      </c>
      <c r="B86" s="5" t="s">
        <v>26</v>
      </c>
      <c r="C86" s="11" t="s">
        <v>30</v>
      </c>
      <c r="D86" s="9" t="s">
        <v>148</v>
      </c>
      <c r="E86" s="9" t="s">
        <v>148</v>
      </c>
      <c r="F86" s="9" t="s">
        <v>148</v>
      </c>
      <c r="G86" s="9" t="s">
        <v>148</v>
      </c>
      <c r="H86" s="9" t="s">
        <v>147</v>
      </c>
      <c r="I86" s="9" t="s">
        <v>147</v>
      </c>
      <c r="J86" s="9">
        <v>450</v>
      </c>
      <c r="K86" s="73">
        <f t="shared" si="13"/>
        <v>450</v>
      </c>
      <c r="L86" s="77">
        <f t="shared" si="14"/>
        <v>0</v>
      </c>
      <c r="M86" s="78">
        <f t="shared" si="15"/>
        <v>450</v>
      </c>
      <c r="N86" s="77">
        <f t="shared" si="16"/>
        <v>450</v>
      </c>
      <c r="O86" s="77">
        <f t="shared" si="17"/>
        <v>2250</v>
      </c>
      <c r="P86" s="77">
        <f t="shared" si="18"/>
        <v>1800</v>
      </c>
      <c r="Q86" s="77">
        <f t="shared" si="19"/>
        <v>0.8</v>
      </c>
      <c r="R86" s="77">
        <f t="shared" si="20"/>
        <v>5</v>
      </c>
      <c r="S86" s="77">
        <f t="shared" si="21"/>
        <v>5</v>
      </c>
      <c r="T86" s="78">
        <f t="shared" si="22"/>
        <v>2</v>
      </c>
      <c r="U86" s="78">
        <f t="shared" si="23"/>
        <v>0</v>
      </c>
      <c r="V86" s="78">
        <f t="shared" si="24"/>
        <v>0</v>
      </c>
      <c r="W86" s="78">
        <f t="shared" si="25"/>
        <v>1</v>
      </c>
    </row>
    <row r="87" spans="1:23">
      <c r="A87" s="32" t="s">
        <v>127</v>
      </c>
      <c r="B87" s="5" t="s">
        <v>22</v>
      </c>
      <c r="C87" s="35" t="s">
        <v>33</v>
      </c>
      <c r="D87" s="9" t="s">
        <v>147</v>
      </c>
      <c r="E87" s="9" t="s">
        <v>148</v>
      </c>
      <c r="F87" s="9" t="s">
        <v>148</v>
      </c>
      <c r="G87" s="9" t="s">
        <v>13</v>
      </c>
      <c r="H87" s="9">
        <v>2</v>
      </c>
      <c r="I87" s="9" t="s">
        <v>148</v>
      </c>
      <c r="J87" s="9" t="s">
        <v>147</v>
      </c>
      <c r="K87" s="73">
        <f t="shared" si="13"/>
        <v>2</v>
      </c>
      <c r="L87" s="77">
        <f t="shared" si="14"/>
        <v>2</v>
      </c>
      <c r="M87" s="78">
        <f t="shared" si="15"/>
        <v>0</v>
      </c>
      <c r="N87" s="77">
        <f t="shared" si="16"/>
        <v>2</v>
      </c>
      <c r="O87" s="77">
        <f t="shared" si="17"/>
        <v>2250</v>
      </c>
      <c r="P87" s="77">
        <f t="shared" si="18"/>
        <v>2248</v>
      </c>
      <c r="Q87" s="77">
        <f t="shared" si="19"/>
        <v>0.99911111111111106</v>
      </c>
      <c r="R87" s="77">
        <f t="shared" si="20"/>
        <v>5</v>
      </c>
      <c r="S87" s="77">
        <f t="shared" si="21"/>
        <v>5</v>
      </c>
      <c r="T87" s="78">
        <f t="shared" si="22"/>
        <v>2</v>
      </c>
      <c r="U87" s="78">
        <f t="shared" si="23"/>
        <v>0</v>
      </c>
      <c r="V87" s="78">
        <f t="shared" si="24"/>
        <v>0</v>
      </c>
      <c r="W87" s="78">
        <f t="shared" si="25"/>
        <v>0</v>
      </c>
    </row>
    <row r="88" spans="1:23">
      <c r="A88" s="32" t="s">
        <v>128</v>
      </c>
      <c r="B88" s="5" t="s">
        <v>22</v>
      </c>
      <c r="C88" s="35" t="s">
        <v>33</v>
      </c>
      <c r="D88" s="9" t="s">
        <v>147</v>
      </c>
      <c r="E88" s="9">
        <v>450</v>
      </c>
      <c r="F88" s="9" t="s">
        <v>148</v>
      </c>
      <c r="G88" s="9">
        <v>1</v>
      </c>
      <c r="H88" s="9">
        <v>1</v>
      </c>
      <c r="I88" s="9" t="s">
        <v>148</v>
      </c>
      <c r="J88" s="9" t="s">
        <v>147</v>
      </c>
      <c r="K88" s="73">
        <f t="shared" si="13"/>
        <v>452</v>
      </c>
      <c r="L88" s="77">
        <f t="shared" si="14"/>
        <v>2</v>
      </c>
      <c r="M88" s="78">
        <f t="shared" si="15"/>
        <v>450</v>
      </c>
      <c r="N88" s="77">
        <f t="shared" si="16"/>
        <v>452</v>
      </c>
      <c r="O88" s="77">
        <f t="shared" si="17"/>
        <v>2250</v>
      </c>
      <c r="P88" s="77">
        <f t="shared" si="18"/>
        <v>1798</v>
      </c>
      <c r="Q88" s="77">
        <f t="shared" si="19"/>
        <v>0.79911111111111111</v>
      </c>
      <c r="R88" s="77">
        <f t="shared" si="20"/>
        <v>5</v>
      </c>
      <c r="S88" s="77">
        <f t="shared" si="21"/>
        <v>5</v>
      </c>
      <c r="T88" s="78">
        <f t="shared" si="22"/>
        <v>2</v>
      </c>
      <c r="U88" s="78">
        <f t="shared" si="23"/>
        <v>0</v>
      </c>
      <c r="V88" s="78">
        <f t="shared" si="24"/>
        <v>0</v>
      </c>
      <c r="W88" s="78">
        <f t="shared" si="25"/>
        <v>1</v>
      </c>
    </row>
    <row r="89" spans="1:23">
      <c r="A89" s="32" t="s">
        <v>129</v>
      </c>
      <c r="B89" s="5" t="s">
        <v>22</v>
      </c>
      <c r="C89" s="35" t="s">
        <v>56</v>
      </c>
      <c r="D89" s="9" t="s">
        <v>147</v>
      </c>
      <c r="E89" s="9" t="s">
        <v>148</v>
      </c>
      <c r="F89" s="9">
        <v>13</v>
      </c>
      <c r="G89" s="9">
        <v>14</v>
      </c>
      <c r="H89" s="9" t="s">
        <v>148</v>
      </c>
      <c r="I89" s="9" t="s">
        <v>148</v>
      </c>
      <c r="J89" s="9" t="s">
        <v>147</v>
      </c>
      <c r="K89" s="73">
        <f t="shared" si="13"/>
        <v>27</v>
      </c>
      <c r="L89" s="77">
        <f t="shared" si="14"/>
        <v>27</v>
      </c>
      <c r="M89" s="78">
        <f t="shared" si="15"/>
        <v>0</v>
      </c>
      <c r="N89" s="77">
        <f t="shared" si="16"/>
        <v>27</v>
      </c>
      <c r="O89" s="77">
        <f t="shared" si="17"/>
        <v>2250</v>
      </c>
      <c r="P89" s="77">
        <f t="shared" si="18"/>
        <v>2223</v>
      </c>
      <c r="Q89" s="77">
        <f t="shared" si="19"/>
        <v>0.98799999999999999</v>
      </c>
      <c r="R89" s="77">
        <f t="shared" si="20"/>
        <v>5</v>
      </c>
      <c r="S89" s="77">
        <f t="shared" si="21"/>
        <v>5</v>
      </c>
      <c r="T89" s="78">
        <f t="shared" si="22"/>
        <v>2</v>
      </c>
      <c r="U89" s="78">
        <f t="shared" si="23"/>
        <v>0</v>
      </c>
      <c r="V89" s="78">
        <f t="shared" si="24"/>
        <v>0</v>
      </c>
      <c r="W89" s="78">
        <f t="shared" si="25"/>
        <v>0</v>
      </c>
    </row>
    <row r="90" spans="1:23">
      <c r="A90" s="10" t="s">
        <v>131</v>
      </c>
      <c r="B90" s="5" t="s">
        <v>26</v>
      </c>
      <c r="C90" s="11" t="s">
        <v>33</v>
      </c>
      <c r="D90" s="9" t="s">
        <v>147</v>
      </c>
      <c r="E90" s="9">
        <v>7</v>
      </c>
      <c r="F90" s="9">
        <v>11</v>
      </c>
      <c r="G90" s="9">
        <v>13</v>
      </c>
      <c r="H90" s="9">
        <v>24</v>
      </c>
      <c r="I90" s="9">
        <v>450</v>
      </c>
      <c r="J90" s="9" t="s">
        <v>147</v>
      </c>
      <c r="K90" s="73">
        <f t="shared" si="13"/>
        <v>505</v>
      </c>
      <c r="L90" s="77">
        <f t="shared" si="14"/>
        <v>55</v>
      </c>
      <c r="M90" s="78">
        <f t="shared" si="15"/>
        <v>450</v>
      </c>
      <c r="N90" s="77">
        <f t="shared" si="16"/>
        <v>505</v>
      </c>
      <c r="O90" s="77">
        <f t="shared" si="17"/>
        <v>2250</v>
      </c>
      <c r="P90" s="77">
        <f t="shared" si="18"/>
        <v>1745</v>
      </c>
      <c r="Q90" s="77">
        <f t="shared" si="19"/>
        <v>0.77555555555555555</v>
      </c>
      <c r="R90" s="77">
        <f t="shared" si="20"/>
        <v>5</v>
      </c>
      <c r="S90" s="77">
        <f t="shared" si="21"/>
        <v>5</v>
      </c>
      <c r="T90" s="78">
        <f t="shared" si="22"/>
        <v>2</v>
      </c>
      <c r="U90" s="78">
        <f t="shared" si="23"/>
        <v>0</v>
      </c>
      <c r="V90" s="78">
        <f t="shared" si="24"/>
        <v>0</v>
      </c>
      <c r="W90" s="78">
        <f t="shared" si="25"/>
        <v>1</v>
      </c>
    </row>
    <row r="91" spans="1:23">
      <c r="A91" s="10" t="s">
        <v>133</v>
      </c>
      <c r="B91" s="5" t="s">
        <v>26</v>
      </c>
      <c r="C91" s="11" t="s">
        <v>40</v>
      </c>
      <c r="D91" s="9" t="s">
        <v>147</v>
      </c>
      <c r="E91" s="9" t="s">
        <v>12</v>
      </c>
      <c r="F91" s="9" t="s">
        <v>12</v>
      </c>
      <c r="G91" s="9" t="s">
        <v>174</v>
      </c>
      <c r="H91" s="9">
        <v>10</v>
      </c>
      <c r="I91" s="9" t="s">
        <v>174</v>
      </c>
      <c r="J91" s="9" t="s">
        <v>147</v>
      </c>
      <c r="K91" s="73">
        <f t="shared" si="13"/>
        <v>10</v>
      </c>
      <c r="L91" s="77">
        <f t="shared" si="14"/>
        <v>10</v>
      </c>
      <c r="M91" s="78">
        <f t="shared" si="15"/>
        <v>0</v>
      </c>
      <c r="N91" s="77">
        <f t="shared" si="16"/>
        <v>10</v>
      </c>
      <c r="O91" s="77">
        <f t="shared" si="17"/>
        <v>2250</v>
      </c>
      <c r="P91" s="77">
        <f t="shared" si="18"/>
        <v>2240</v>
      </c>
      <c r="Q91" s="77">
        <f t="shared" si="19"/>
        <v>0.99555555555555553</v>
      </c>
      <c r="R91" s="77">
        <f t="shared" si="20"/>
        <v>3</v>
      </c>
      <c r="S91" s="77">
        <f t="shared" si="21"/>
        <v>5</v>
      </c>
      <c r="T91" s="78">
        <f t="shared" si="22"/>
        <v>2</v>
      </c>
      <c r="U91" s="78">
        <f t="shared" si="23"/>
        <v>2</v>
      </c>
      <c r="V91" s="78">
        <f t="shared" si="24"/>
        <v>0</v>
      </c>
      <c r="W91" s="78">
        <f t="shared" si="25"/>
        <v>0</v>
      </c>
    </row>
    <row r="92" spans="1:23">
      <c r="A92" s="33" t="s">
        <v>27</v>
      </c>
      <c r="B92" s="12" t="s">
        <v>26</v>
      </c>
      <c r="C92" s="36" t="s">
        <v>40</v>
      </c>
      <c r="D92" s="9" t="s">
        <v>147</v>
      </c>
      <c r="E92" s="9" t="s">
        <v>148</v>
      </c>
      <c r="F92" s="9" t="s">
        <v>148</v>
      </c>
      <c r="G92" s="9" t="s">
        <v>148</v>
      </c>
      <c r="H92" s="9" t="s">
        <v>148</v>
      </c>
      <c r="I92" s="9" t="s">
        <v>12</v>
      </c>
      <c r="J92" s="9" t="s">
        <v>147</v>
      </c>
      <c r="K92" s="73">
        <f t="shared" si="13"/>
        <v>0</v>
      </c>
      <c r="L92" s="77">
        <f t="shared" si="14"/>
        <v>0</v>
      </c>
      <c r="M92" s="78">
        <f t="shared" si="15"/>
        <v>0</v>
      </c>
      <c r="N92" s="77">
        <f t="shared" si="16"/>
        <v>0</v>
      </c>
      <c r="O92" s="77">
        <f t="shared" si="17"/>
        <v>2250</v>
      </c>
      <c r="P92" s="77">
        <f t="shared" si="18"/>
        <v>2250</v>
      </c>
      <c r="Q92" s="77">
        <f t="shared" si="19"/>
        <v>1</v>
      </c>
      <c r="R92" s="77">
        <f t="shared" si="20"/>
        <v>4</v>
      </c>
      <c r="S92" s="77">
        <f t="shared" si="21"/>
        <v>5</v>
      </c>
      <c r="T92" s="78">
        <f t="shared" si="22"/>
        <v>2</v>
      </c>
      <c r="U92" s="78">
        <f t="shared" si="23"/>
        <v>1</v>
      </c>
      <c r="V92" s="78">
        <f t="shared" si="24"/>
        <v>0</v>
      </c>
      <c r="W92" s="78">
        <f t="shared" si="25"/>
        <v>0</v>
      </c>
    </row>
    <row r="93" spans="1:23">
      <c r="A93" s="5" t="s">
        <v>134</v>
      </c>
      <c r="B93" s="5" t="s">
        <v>22</v>
      </c>
      <c r="C93" s="5" t="s">
        <v>56</v>
      </c>
      <c r="D93" s="9" t="s">
        <v>147</v>
      </c>
      <c r="E93" s="9" t="s">
        <v>148</v>
      </c>
      <c r="F93" s="9">
        <v>22</v>
      </c>
      <c r="G93" s="9" t="s">
        <v>148</v>
      </c>
      <c r="H93" s="9">
        <v>450</v>
      </c>
      <c r="I93" s="9">
        <v>450</v>
      </c>
      <c r="J93" s="9" t="s">
        <v>147</v>
      </c>
      <c r="K93" s="73">
        <f t="shared" si="13"/>
        <v>922</v>
      </c>
      <c r="L93" s="77">
        <f t="shared" si="14"/>
        <v>22</v>
      </c>
      <c r="M93" s="78">
        <f t="shared" si="15"/>
        <v>900</v>
      </c>
      <c r="N93" s="77">
        <f t="shared" si="16"/>
        <v>922</v>
      </c>
      <c r="O93" s="77">
        <f t="shared" si="17"/>
        <v>2250</v>
      </c>
      <c r="P93" s="77">
        <f t="shared" si="18"/>
        <v>1328</v>
      </c>
      <c r="Q93" s="77">
        <f t="shared" si="19"/>
        <v>0.5902222222222222</v>
      </c>
      <c r="R93" s="77">
        <f t="shared" si="20"/>
        <v>5</v>
      </c>
      <c r="S93" s="77">
        <f t="shared" si="21"/>
        <v>5</v>
      </c>
      <c r="T93" s="78">
        <f t="shared" si="22"/>
        <v>2</v>
      </c>
      <c r="U93" s="78">
        <f t="shared" si="23"/>
        <v>0</v>
      </c>
      <c r="V93" s="78">
        <f t="shared" si="24"/>
        <v>0</v>
      </c>
      <c r="W93" s="78">
        <f t="shared" si="25"/>
        <v>2</v>
      </c>
    </row>
    <row r="94" spans="1:23">
      <c r="A94" s="6"/>
      <c r="B94" s="6"/>
      <c r="C94" s="6"/>
      <c r="D94" s="43"/>
      <c r="E94" s="43"/>
      <c r="F94" s="43"/>
      <c r="G94" s="43"/>
      <c r="H94" s="43"/>
      <c r="I94" s="43"/>
      <c r="J94" s="43"/>
      <c r="K94">
        <f>SUM(K3:K93)</f>
        <v>11155</v>
      </c>
      <c r="L94">
        <f>SUM(L3:L93)</f>
        <v>1255</v>
      </c>
      <c r="M94">
        <f>SUM(M3:M93)</f>
        <v>9900</v>
      </c>
      <c r="N94">
        <f>SUM(N3:N93)</f>
        <v>11155</v>
      </c>
      <c r="O94">
        <f>SUM(O3:O93)</f>
        <v>205200</v>
      </c>
      <c r="P94">
        <f>SUM(P3:P93)</f>
        <v>194045</v>
      </c>
      <c r="Q94" s="38">
        <f>P94/O94</f>
        <v>0.94563840155945422</v>
      </c>
      <c r="R94">
        <f t="shared" ref="R94:W94" si="26">SUM(R3:R93)</f>
        <v>440</v>
      </c>
      <c r="S94">
        <f t="shared" si="26"/>
        <v>456</v>
      </c>
      <c r="T94">
        <f t="shared" si="26"/>
        <v>181</v>
      </c>
      <c r="U94">
        <f t="shared" si="26"/>
        <v>13</v>
      </c>
      <c r="V94">
        <f t="shared" si="26"/>
        <v>3</v>
      </c>
      <c r="W94">
        <f t="shared" si="26"/>
        <v>22</v>
      </c>
    </row>
    <row r="95" spans="1:23">
      <c r="A95" s="6"/>
      <c r="B95" s="6"/>
      <c r="C95" s="6"/>
      <c r="D95" s="43"/>
      <c r="E95" s="43"/>
      <c r="F95" s="43"/>
      <c r="G95" s="43"/>
      <c r="H95" s="43"/>
      <c r="I95" s="43"/>
      <c r="J95" s="43"/>
      <c r="K95" s="54"/>
      <c r="L95" s="15"/>
      <c r="M95" s="6"/>
      <c r="N95" s="15"/>
      <c r="T95" s="6"/>
      <c r="U95" s="6"/>
      <c r="V95" s="6"/>
      <c r="W95" s="6"/>
    </row>
    <row r="96" spans="1:23">
      <c r="A96" s="6"/>
      <c r="B96" s="6"/>
      <c r="C96" s="6"/>
      <c r="D96" s="43"/>
      <c r="E96" s="43"/>
      <c r="F96" s="43"/>
      <c r="G96" s="43"/>
      <c r="H96" s="43"/>
      <c r="I96" s="43"/>
      <c r="J96" s="43"/>
      <c r="K96" s="54"/>
      <c r="L96" s="39">
        <f>L94/P94</f>
        <v>6.4675719549589011E-3</v>
      </c>
      <c r="M96" s="39">
        <f>M94/P94</f>
        <v>5.1019093509237549E-2</v>
      </c>
      <c r="N96" s="15"/>
      <c r="T96" s="6"/>
      <c r="U96" s="6"/>
      <c r="V96" s="6"/>
      <c r="W96" s="6"/>
    </row>
    <row r="97" spans="1:23">
      <c r="A97" s="6"/>
      <c r="B97" s="6"/>
      <c r="C97" s="6"/>
      <c r="D97" s="43"/>
      <c r="E97" s="43"/>
      <c r="F97" s="43"/>
      <c r="G97" s="43"/>
      <c r="H97" s="43"/>
      <c r="I97" s="43"/>
      <c r="J97" s="43"/>
      <c r="K97" s="54"/>
      <c r="L97" s="15"/>
      <c r="M97" s="6"/>
      <c r="N97" s="15"/>
      <c r="T97" s="6"/>
      <c r="U97" s="6"/>
      <c r="V97" s="6"/>
      <c r="W97" s="6"/>
    </row>
    <row r="98" spans="1:23">
      <c r="A98" s="6"/>
      <c r="B98" s="6"/>
      <c r="C98" s="6"/>
      <c r="D98" s="43"/>
      <c r="E98" s="43"/>
      <c r="F98" s="43"/>
      <c r="G98" s="43"/>
      <c r="H98" s="43"/>
      <c r="I98" s="43"/>
      <c r="J98" s="43"/>
      <c r="K98" s="54"/>
      <c r="L98" s="15"/>
      <c r="M98" s="6"/>
      <c r="N98" s="15"/>
      <c r="T98" s="6"/>
      <c r="U98" s="6"/>
      <c r="V98" s="6"/>
      <c r="W98" s="6"/>
    </row>
    <row r="99" spans="1:23">
      <c r="A99" s="6"/>
      <c r="B99" s="6"/>
      <c r="C99" s="6"/>
      <c r="D99" s="43"/>
      <c r="E99" s="43"/>
      <c r="F99" s="43"/>
      <c r="G99" s="43"/>
      <c r="H99" s="43"/>
      <c r="I99" s="43"/>
      <c r="J99" s="43"/>
      <c r="K99" s="54"/>
      <c r="L99" s="15"/>
      <c r="M99" s="6"/>
      <c r="N99" s="15"/>
      <c r="T99" s="6"/>
      <c r="U99" s="6"/>
      <c r="V99" s="6"/>
      <c r="W99" s="6"/>
    </row>
    <row r="100" spans="1:23">
      <c r="A100" s="6"/>
      <c r="B100" s="6"/>
      <c r="C100" s="6"/>
      <c r="D100" s="43"/>
      <c r="E100" s="43"/>
      <c r="F100" s="43"/>
      <c r="G100" s="43"/>
      <c r="H100" s="43"/>
      <c r="I100" s="43"/>
      <c r="J100" s="43"/>
      <c r="K100" s="54"/>
      <c r="L100" s="15"/>
      <c r="M100" s="6"/>
      <c r="N100" s="15"/>
      <c r="T100" s="6"/>
      <c r="U100" s="6"/>
      <c r="V100" s="6"/>
      <c r="W100" s="6"/>
    </row>
    <row r="101" spans="1:23">
      <c r="K101" s="54"/>
      <c r="L101" s="15"/>
    </row>
    <row r="102" spans="1:23" ht="15.75">
      <c r="A102" s="55" t="s">
        <v>191</v>
      </c>
      <c r="C102" s="55" t="s">
        <v>191</v>
      </c>
      <c r="D102" s="56">
        <f>SUM(D4:D93)</f>
        <v>75</v>
      </c>
      <c r="E102" s="56">
        <f>SUM(E4:E93)</f>
        <v>2316</v>
      </c>
      <c r="F102" s="56">
        <f>SUM(F4:F93)</f>
        <v>1466</v>
      </c>
      <c r="G102" s="56">
        <f>SUM(G4:G93)</f>
        <v>2351</v>
      </c>
      <c r="H102" s="56">
        <f>SUM(H4:H93)</f>
        <v>1797</v>
      </c>
      <c r="I102" s="56">
        <f>SUM(I4:I93)</f>
        <v>1800</v>
      </c>
      <c r="J102" s="56">
        <f>SUM(J4:J93)</f>
        <v>900</v>
      </c>
      <c r="K102" s="54"/>
      <c r="L102" s="15"/>
    </row>
    <row r="103" spans="1:23" ht="15.75">
      <c r="A103" s="65" t="s">
        <v>4</v>
      </c>
      <c r="C103" s="65" t="s">
        <v>4</v>
      </c>
      <c r="D103" s="57">
        <f>D102-D104</f>
        <v>75</v>
      </c>
      <c r="E103" s="57">
        <f>E102-E104</f>
        <v>66</v>
      </c>
      <c r="F103" s="57">
        <f>F102-F104</f>
        <v>566</v>
      </c>
      <c r="G103" s="57">
        <f>G102-G104</f>
        <v>-349</v>
      </c>
      <c r="H103" s="57">
        <f>H102-H104</f>
        <v>447</v>
      </c>
      <c r="I103" s="57">
        <f>I102-I104</f>
        <v>0</v>
      </c>
      <c r="J103" s="57">
        <f>J102-J104</f>
        <v>0</v>
      </c>
      <c r="K103" s="52"/>
    </row>
    <row r="104" spans="1:23" ht="15.75">
      <c r="A104" s="68" t="s">
        <v>11</v>
      </c>
      <c r="C104" s="68" t="s">
        <v>11</v>
      </c>
      <c r="D104" s="57">
        <f>SUMIF(D3:D93,"450")</f>
        <v>0</v>
      </c>
      <c r="E104" s="57">
        <f>SUMIF(E3:E93,"450")</f>
        <v>2250</v>
      </c>
      <c r="F104" s="57">
        <f>SUMIF(F3:F93,"450")</f>
        <v>900</v>
      </c>
      <c r="G104" s="57">
        <f>SUMIF(G3:G93,"450")</f>
        <v>2700</v>
      </c>
      <c r="H104" s="57">
        <f>SUMIF(H3:H93,"450")</f>
        <v>1350</v>
      </c>
      <c r="I104" s="57">
        <f>SUMIF(I3:I93,"450")</f>
        <v>1800</v>
      </c>
      <c r="J104" s="57">
        <f>SUMIF(J3:J93,"450")</f>
        <v>900</v>
      </c>
      <c r="K104" s="52"/>
    </row>
    <row r="105" spans="1:23" ht="15.75">
      <c r="A105" s="55" t="s">
        <v>192</v>
      </c>
      <c r="C105" s="55" t="s">
        <v>192</v>
      </c>
      <c r="D105" s="57">
        <f>D103+D104</f>
        <v>75</v>
      </c>
      <c r="E105" s="57">
        <f>E103+E104</f>
        <v>2316</v>
      </c>
      <c r="F105" s="57">
        <f>F103+F104</f>
        <v>1466</v>
      </c>
      <c r="G105" s="57">
        <f>G103+G104</f>
        <v>2351</v>
      </c>
      <c r="H105" s="57">
        <f>H103+H104</f>
        <v>1797</v>
      </c>
      <c r="I105" s="57">
        <f>I103+I104</f>
        <v>1800</v>
      </c>
      <c r="J105" s="57">
        <f>J103+J104</f>
        <v>900</v>
      </c>
      <c r="K105" s="52"/>
    </row>
    <row r="106" spans="1:23" ht="15.75">
      <c r="A106" s="55" t="s">
        <v>193</v>
      </c>
      <c r="C106" s="55" t="s">
        <v>193</v>
      </c>
      <c r="D106" s="57">
        <f t="shared" ref="D106:J106" si="27">COUNTA(D3:D93)</f>
        <v>91</v>
      </c>
      <c r="E106" s="57">
        <f t="shared" si="27"/>
        <v>91</v>
      </c>
      <c r="F106" s="57">
        <f t="shared" si="27"/>
        <v>91</v>
      </c>
      <c r="G106" s="57">
        <f t="shared" si="27"/>
        <v>91</v>
      </c>
      <c r="H106" s="57">
        <f t="shared" si="27"/>
        <v>91</v>
      </c>
      <c r="I106" s="57">
        <f t="shared" si="27"/>
        <v>91</v>
      </c>
      <c r="J106" s="57">
        <f t="shared" si="27"/>
        <v>91</v>
      </c>
      <c r="K106" s="52"/>
    </row>
    <row r="107" spans="1:23" ht="15.75">
      <c r="A107" s="55" t="s">
        <v>194</v>
      </c>
      <c r="C107" s="55" t="s">
        <v>194</v>
      </c>
      <c r="D107" s="57">
        <f t="shared" ref="D107:J107" si="28">D106-D112-D113-D114-D115</f>
        <v>17</v>
      </c>
      <c r="E107" s="57">
        <f t="shared" si="28"/>
        <v>76</v>
      </c>
      <c r="F107" s="57">
        <f t="shared" si="28"/>
        <v>78</v>
      </c>
      <c r="G107" s="57">
        <f t="shared" si="28"/>
        <v>72</v>
      </c>
      <c r="H107" s="57">
        <f t="shared" si="28"/>
        <v>81</v>
      </c>
      <c r="I107" s="57">
        <f t="shared" si="28"/>
        <v>77</v>
      </c>
      <c r="J107" s="57">
        <f t="shared" si="28"/>
        <v>17</v>
      </c>
      <c r="K107" s="52"/>
    </row>
    <row r="108" spans="1:23" ht="15.75">
      <c r="A108" s="55" t="s">
        <v>195</v>
      </c>
      <c r="C108" s="55" t="s">
        <v>195</v>
      </c>
      <c r="D108" s="57">
        <f t="shared" ref="D108:J108" si="29">D107+D115</f>
        <v>17</v>
      </c>
      <c r="E108" s="57">
        <f t="shared" si="29"/>
        <v>81</v>
      </c>
      <c r="F108" s="57">
        <f t="shared" si="29"/>
        <v>80</v>
      </c>
      <c r="G108" s="57">
        <f t="shared" si="29"/>
        <v>78</v>
      </c>
      <c r="H108" s="57">
        <f t="shared" si="29"/>
        <v>84</v>
      </c>
      <c r="I108" s="57">
        <f t="shared" si="29"/>
        <v>81</v>
      </c>
      <c r="J108" s="57">
        <f t="shared" si="29"/>
        <v>19</v>
      </c>
      <c r="K108" s="52"/>
    </row>
    <row r="109" spans="1:23" ht="15.75">
      <c r="A109" s="55" t="s">
        <v>7</v>
      </c>
      <c r="C109" s="55" t="s">
        <v>7</v>
      </c>
      <c r="D109" s="57">
        <f>D108*450</f>
        <v>7650</v>
      </c>
      <c r="E109" s="57">
        <f>E108*450</f>
        <v>36450</v>
      </c>
      <c r="F109" s="57">
        <f>F108*450</f>
        <v>36000</v>
      </c>
      <c r="G109" s="57">
        <f>G108*450</f>
        <v>35100</v>
      </c>
      <c r="H109" s="57">
        <f>H108*450</f>
        <v>37800</v>
      </c>
      <c r="I109" s="57">
        <f>I108*450</f>
        <v>36450</v>
      </c>
      <c r="J109" s="57">
        <f>J108*450</f>
        <v>8550</v>
      </c>
      <c r="K109" s="52"/>
    </row>
    <row r="110" spans="1:23" ht="15.75">
      <c r="A110" s="65" t="s">
        <v>8</v>
      </c>
      <c r="C110" s="65" t="s">
        <v>8</v>
      </c>
      <c r="D110" s="57">
        <f>D109-D105</f>
        <v>7575</v>
      </c>
      <c r="E110" s="57">
        <f>E109-E105</f>
        <v>34134</v>
      </c>
      <c r="F110" s="57">
        <f>F109-F105</f>
        <v>34534</v>
      </c>
      <c r="G110" s="57">
        <f>G109-G105</f>
        <v>32749</v>
      </c>
      <c r="H110" s="57">
        <f>H109-H105</f>
        <v>36003</v>
      </c>
      <c r="I110" s="57">
        <f>I109-I105</f>
        <v>34650</v>
      </c>
      <c r="J110" s="57">
        <f>J109-J105</f>
        <v>7650</v>
      </c>
      <c r="K110" s="52"/>
    </row>
    <row r="111" spans="1:23" ht="15.75">
      <c r="A111" s="59" t="s">
        <v>9</v>
      </c>
      <c r="C111" s="59" t="s">
        <v>9</v>
      </c>
      <c r="D111" s="60">
        <f>D110/D109</f>
        <v>0.99019607843137258</v>
      </c>
      <c r="E111" s="60">
        <f>E110/E109</f>
        <v>0.9364609053497942</v>
      </c>
      <c r="F111" s="60">
        <f>F110/F109</f>
        <v>0.95927777777777778</v>
      </c>
      <c r="G111" s="60">
        <f>G110/G109</f>
        <v>0.93301994301994307</v>
      </c>
      <c r="H111" s="60">
        <f>H110/H109</f>
        <v>0.95246031746031745</v>
      </c>
      <c r="I111" s="60">
        <f>I110/I109</f>
        <v>0.95061728395061729</v>
      </c>
      <c r="J111" s="60">
        <f>J110/J109</f>
        <v>0.89473684210526316</v>
      </c>
      <c r="K111" s="52"/>
    </row>
    <row r="112" spans="1:23" ht="15.75">
      <c r="A112" s="55" t="s">
        <v>147</v>
      </c>
      <c r="C112" s="55" t="s">
        <v>147</v>
      </c>
      <c r="D112" s="57">
        <f>COUNTIF(D3:D93,"RD")</f>
        <v>74</v>
      </c>
      <c r="E112" s="57">
        <f>COUNTIF(E3:E93,"RD")</f>
        <v>6</v>
      </c>
      <c r="F112" s="57">
        <f>COUNTIF(F3:F93,"RD")</f>
        <v>9</v>
      </c>
      <c r="G112" s="57">
        <f>COUNTIF(G3:G93,"RD")</f>
        <v>11</v>
      </c>
      <c r="H112" s="57">
        <f>COUNTIF(H3:H93,"RD")</f>
        <v>5</v>
      </c>
      <c r="I112" s="57">
        <f>COUNTIF(I3:I93,"RD")</f>
        <v>4</v>
      </c>
      <c r="J112" s="57">
        <f>COUNTIF(J3:J93,"RD")</f>
        <v>72</v>
      </c>
      <c r="K112" s="52"/>
    </row>
    <row r="113" spans="1:10" ht="15.75">
      <c r="A113" s="55" t="s">
        <v>12</v>
      </c>
      <c r="C113" s="55" t="s">
        <v>12</v>
      </c>
      <c r="D113" s="57">
        <f t="shared" ref="D113:J113" si="30">COUNTIF(D3:D93,"VL")</f>
        <v>0</v>
      </c>
      <c r="E113" s="57">
        <f t="shared" si="30"/>
        <v>2</v>
      </c>
      <c r="F113" s="57">
        <f t="shared" si="30"/>
        <v>1</v>
      </c>
      <c r="G113" s="57">
        <f t="shared" si="30"/>
        <v>2</v>
      </c>
      <c r="H113" s="57">
        <f t="shared" si="30"/>
        <v>2</v>
      </c>
      <c r="I113" s="57">
        <f t="shared" si="30"/>
        <v>6</v>
      </c>
      <c r="J113" s="57">
        <f t="shared" si="30"/>
        <v>0</v>
      </c>
    </row>
    <row r="114" spans="1:10" ht="15.75">
      <c r="A114" s="55" t="s">
        <v>14</v>
      </c>
      <c r="C114" s="55" t="s">
        <v>14</v>
      </c>
      <c r="D114" s="57">
        <f t="shared" ref="D114:J114" si="31">COUNTIF(D3:D93,"LWOP")</f>
        <v>0</v>
      </c>
      <c r="E114" s="57">
        <f t="shared" si="31"/>
        <v>2</v>
      </c>
      <c r="F114" s="57">
        <f t="shared" si="31"/>
        <v>1</v>
      </c>
      <c r="G114" s="57">
        <f t="shared" si="31"/>
        <v>0</v>
      </c>
      <c r="H114" s="57">
        <f t="shared" si="31"/>
        <v>0</v>
      </c>
      <c r="I114" s="57">
        <f t="shared" si="31"/>
        <v>0</v>
      </c>
      <c r="J114" s="57">
        <f t="shared" si="31"/>
        <v>0</v>
      </c>
    </row>
    <row r="115" spans="1:10" ht="15.75">
      <c r="A115" s="55" t="s">
        <v>11</v>
      </c>
      <c r="C115" s="55" t="s">
        <v>11</v>
      </c>
      <c r="D115" s="57">
        <f t="shared" ref="D115:J115" si="32">COUNTIF(D3:D102,"450")</f>
        <v>0</v>
      </c>
      <c r="E115" s="57">
        <f t="shared" si="32"/>
        <v>5</v>
      </c>
      <c r="F115" s="57">
        <f>COUNTIF(F3:F102,"450")</f>
        <v>2</v>
      </c>
      <c r="G115" s="57">
        <f t="shared" si="32"/>
        <v>6</v>
      </c>
      <c r="H115" s="57">
        <f t="shared" si="32"/>
        <v>3</v>
      </c>
      <c r="I115" s="57">
        <f t="shared" si="32"/>
        <v>4</v>
      </c>
      <c r="J115" s="57">
        <f t="shared" si="32"/>
        <v>2</v>
      </c>
    </row>
    <row r="116" spans="1:10">
      <c r="A116" s="66" t="s">
        <v>196</v>
      </c>
      <c r="C116" s="66" t="s">
        <v>196</v>
      </c>
      <c r="D116" s="39">
        <f t="shared" ref="D116:J116" si="33">D103/D110</f>
        <v>9.9009900990099011E-3</v>
      </c>
      <c r="E116" s="39">
        <f t="shared" si="33"/>
        <v>1.9335559852346634E-3</v>
      </c>
      <c r="F116" s="39">
        <f t="shared" si="33"/>
        <v>1.6389644987548503E-2</v>
      </c>
      <c r="G116" s="39">
        <f t="shared" si="33"/>
        <v>-1.0656813948517512E-2</v>
      </c>
      <c r="H116" s="39">
        <f t="shared" si="33"/>
        <v>1.2415632030664111E-2</v>
      </c>
      <c r="I116" s="39">
        <f t="shared" si="33"/>
        <v>0</v>
      </c>
      <c r="J116" s="39">
        <f t="shared" si="33"/>
        <v>0</v>
      </c>
    </row>
    <row r="117" spans="1:10">
      <c r="A117" s="67" t="s">
        <v>197</v>
      </c>
      <c r="C117" s="67" t="s">
        <v>197</v>
      </c>
      <c r="D117" s="39">
        <f t="shared" ref="D117:J117" si="34">D104/D109</f>
        <v>0</v>
      </c>
      <c r="E117" s="39">
        <f t="shared" si="34"/>
        <v>6.1728395061728392E-2</v>
      </c>
      <c r="F117" s="39">
        <f t="shared" si="34"/>
        <v>2.5000000000000001E-2</v>
      </c>
      <c r="G117" s="39">
        <f t="shared" si="34"/>
        <v>7.6923076923076927E-2</v>
      </c>
      <c r="H117" s="39">
        <f t="shared" si="34"/>
        <v>3.5714285714285712E-2</v>
      </c>
      <c r="I117" s="39">
        <f t="shared" si="34"/>
        <v>4.9382716049382713E-2</v>
      </c>
      <c r="J117" s="39">
        <f t="shared" si="34"/>
        <v>0.10526315789473684</v>
      </c>
    </row>
  </sheetData>
  <conditionalFormatting sqref="D28 D42:E42 D43 D51:E51 D19:F19 H69">
    <cfRule type="containsText" dxfId="4265" priority="4124" operator="containsText" text="TFO">
      <formula>NOT(ISERROR(SEARCH("TFO",D19)))</formula>
    </cfRule>
    <cfRule type="containsText" dxfId="4264" priority="4125" operator="containsText" text="AA">
      <formula>NOT(ISERROR(SEARCH("AA",D19)))</formula>
    </cfRule>
    <cfRule type="containsText" dxfId="4263" priority="4126" operator="containsText" text="RESIGNED">
      <formula>NOT(ISERROR(SEARCH("RESIGNED",D19)))</formula>
    </cfRule>
    <cfRule type="containsText" dxfId="4262" priority="4127" operator="containsText" text="P">
      <formula>NOT(ISERROR(SEARCH("P",D19)))</formula>
    </cfRule>
    <cfRule type="containsText" dxfId="4261" priority="4128" operator="containsText" text="TARDY">
      <formula>NOT(ISERROR(SEARCH("TARDY",D19)))</formula>
    </cfRule>
    <cfRule type="containsText" dxfId="4260" priority="4129" operator="containsText" text="REST DAY">
      <formula>NOT(ISERROR(SEARCH("REST DAY",D19)))</formula>
    </cfRule>
    <cfRule type="containsText" dxfId="4259" priority="4130" operator="containsText" text="UA">
      <formula>NOT(ISERROR(SEARCH("UA",D19)))</formula>
    </cfRule>
    <cfRule type="containsText" dxfId="4258" priority="4131" operator="containsText" text="LWOP UA">
      <formula>NOT(ISERROR(SEARCH("LWOP UA",D19)))</formula>
    </cfRule>
  </conditionalFormatting>
  <conditionalFormatting sqref="D28 D42:E42 D43 D51:E51 D19:F19 H69">
    <cfRule type="containsText" dxfId="4257" priority="4118" operator="containsText" text="VL">
      <formula>NOT(ISERROR(SEARCH("VL",D19)))</formula>
    </cfRule>
    <cfRule type="containsText" dxfId="4256" priority="4119" operator="containsText" text="RD">
      <formula>NOT(ISERROR(SEARCH("RD",D19)))</formula>
    </cfRule>
    <cfRule type="containsText" dxfId="4255" priority="4120" operator="containsText" text="540">
      <formula>NOT(ISERROR(SEARCH("540",D19)))</formula>
    </cfRule>
    <cfRule type="cellIs" dxfId="4254" priority="4121" operator="between">
      <formula>1</formula>
      <formula>400</formula>
    </cfRule>
    <cfRule type="containsText" dxfId="4253" priority="4122" operator="containsText" text="LWOP UA">
      <formula>NOT(ISERROR(SEARCH("LWOP UA",D19)))</formula>
    </cfRule>
  </conditionalFormatting>
  <conditionalFormatting sqref="D28 D42:E42 D43 D51:E51 D19:F19 H69 G87:G88">
    <cfRule type="containsText" dxfId="4252" priority="4123" operator="containsText" text="P">
      <formula>NOT(ISERROR(SEARCH("P",D19)))</formula>
    </cfRule>
  </conditionalFormatting>
  <conditionalFormatting sqref="D4:E4">
    <cfRule type="containsText" dxfId="4251" priority="4110" operator="containsText" text="TFO">
      <formula>NOT(ISERROR(SEARCH("TFO",D4)))</formula>
    </cfRule>
    <cfRule type="containsText" dxfId="4250" priority="4111" operator="containsText" text="AA">
      <formula>NOT(ISERROR(SEARCH("AA",D4)))</formula>
    </cfRule>
    <cfRule type="containsText" dxfId="4249" priority="4112" operator="containsText" text="RESIGNED">
      <formula>NOT(ISERROR(SEARCH("RESIGNED",D4)))</formula>
    </cfRule>
    <cfRule type="containsText" dxfId="4248" priority="4113" operator="containsText" text="P">
      <formula>NOT(ISERROR(SEARCH("P",D4)))</formula>
    </cfRule>
    <cfRule type="containsText" dxfId="4247" priority="4114" operator="containsText" text="TARDY">
      <formula>NOT(ISERROR(SEARCH("TARDY",D4)))</formula>
    </cfRule>
    <cfRule type="containsText" dxfId="4246" priority="4115" operator="containsText" text="REST DAY">
      <formula>NOT(ISERROR(SEARCH("REST DAY",D4)))</formula>
    </cfRule>
    <cfRule type="containsText" dxfId="4245" priority="4116" operator="containsText" text="UA">
      <formula>NOT(ISERROR(SEARCH("UA",D4)))</formula>
    </cfRule>
    <cfRule type="containsText" dxfId="4244" priority="4117" operator="containsText" text="LWOP UA">
      <formula>NOT(ISERROR(SEARCH("LWOP UA",D4)))</formula>
    </cfRule>
  </conditionalFormatting>
  <conditionalFormatting sqref="D4:E4">
    <cfRule type="containsText" dxfId="4243" priority="4104" operator="containsText" text="VL">
      <formula>NOT(ISERROR(SEARCH("VL",D4)))</formula>
    </cfRule>
    <cfRule type="containsText" dxfId="4242" priority="4105" operator="containsText" text="RD">
      <formula>NOT(ISERROR(SEARCH("RD",D4)))</formula>
    </cfRule>
    <cfRule type="containsText" dxfId="4241" priority="4106" operator="containsText" text="540">
      <formula>NOT(ISERROR(SEARCH("540",D4)))</formula>
    </cfRule>
    <cfRule type="cellIs" dxfId="4240" priority="4107" operator="between">
      <formula>1</formula>
      <formula>400</formula>
    </cfRule>
    <cfRule type="containsText" dxfId="4239" priority="4108" operator="containsText" text="LWOP UA">
      <formula>NOT(ISERROR(SEARCH("LWOP UA",D4)))</formula>
    </cfRule>
  </conditionalFormatting>
  <conditionalFormatting sqref="D4:E4">
    <cfRule type="containsText" dxfId="4238" priority="4109" operator="containsText" text="P">
      <formula>NOT(ISERROR(SEARCH("P",D4)))</formula>
    </cfRule>
  </conditionalFormatting>
  <conditionalFormatting sqref="E5">
    <cfRule type="containsText" dxfId="4237" priority="4096" operator="containsText" text="TFO">
      <formula>NOT(ISERROR(SEARCH("TFO",E5)))</formula>
    </cfRule>
    <cfRule type="containsText" dxfId="4236" priority="4097" operator="containsText" text="AA">
      <formula>NOT(ISERROR(SEARCH("AA",E5)))</formula>
    </cfRule>
    <cfRule type="containsText" dxfId="4235" priority="4098" operator="containsText" text="RESIGNED">
      <formula>NOT(ISERROR(SEARCH("RESIGNED",E5)))</formula>
    </cfRule>
    <cfRule type="containsText" dxfId="4234" priority="4099" operator="containsText" text="P">
      <formula>NOT(ISERROR(SEARCH("P",E5)))</formula>
    </cfRule>
    <cfRule type="containsText" dxfId="4233" priority="4100" operator="containsText" text="TARDY">
      <formula>NOT(ISERROR(SEARCH("TARDY",E5)))</formula>
    </cfRule>
    <cfRule type="containsText" dxfId="4232" priority="4101" operator="containsText" text="REST DAY">
      <formula>NOT(ISERROR(SEARCH("REST DAY",E5)))</formula>
    </cfRule>
    <cfRule type="containsText" dxfId="4231" priority="4102" operator="containsText" text="UA">
      <formula>NOT(ISERROR(SEARCH("UA",E5)))</formula>
    </cfRule>
    <cfRule type="containsText" dxfId="4230" priority="4103" operator="containsText" text="LWOP UA">
      <formula>NOT(ISERROR(SEARCH("LWOP UA",E5)))</formula>
    </cfRule>
  </conditionalFormatting>
  <conditionalFormatting sqref="E5">
    <cfRule type="containsText" dxfId="4229" priority="4090" operator="containsText" text="VL">
      <formula>NOT(ISERROR(SEARCH("VL",E5)))</formula>
    </cfRule>
    <cfRule type="containsText" dxfId="4228" priority="4091" operator="containsText" text="RD">
      <formula>NOT(ISERROR(SEARCH("RD",E5)))</formula>
    </cfRule>
    <cfRule type="containsText" dxfId="4227" priority="4092" operator="containsText" text="540">
      <formula>NOT(ISERROR(SEARCH("540",E5)))</formula>
    </cfRule>
    <cfRule type="cellIs" dxfId="4226" priority="4093" operator="between">
      <formula>1</formula>
      <formula>400</formula>
    </cfRule>
    <cfRule type="containsText" dxfId="4225" priority="4094" operator="containsText" text="LWOP UA">
      <formula>NOT(ISERROR(SEARCH("LWOP UA",E5)))</formula>
    </cfRule>
  </conditionalFormatting>
  <conditionalFormatting sqref="E5">
    <cfRule type="containsText" dxfId="4224" priority="4095" operator="containsText" text="P">
      <formula>NOT(ISERROR(SEARCH("P",E5)))</formula>
    </cfRule>
  </conditionalFormatting>
  <conditionalFormatting sqref="D13:E13">
    <cfRule type="containsText" dxfId="4223" priority="4082" operator="containsText" text="TFO">
      <formula>NOT(ISERROR(SEARCH("TFO",D13)))</formula>
    </cfRule>
    <cfRule type="containsText" dxfId="4222" priority="4083" operator="containsText" text="AA">
      <formula>NOT(ISERROR(SEARCH("AA",D13)))</formula>
    </cfRule>
    <cfRule type="containsText" dxfId="4221" priority="4084" operator="containsText" text="RESIGNED">
      <formula>NOT(ISERROR(SEARCH("RESIGNED",D13)))</formula>
    </cfRule>
    <cfRule type="containsText" dxfId="4220" priority="4085" operator="containsText" text="P">
      <formula>NOT(ISERROR(SEARCH("P",D13)))</formula>
    </cfRule>
    <cfRule type="containsText" dxfId="4219" priority="4086" operator="containsText" text="TARDY">
      <formula>NOT(ISERROR(SEARCH("TARDY",D13)))</formula>
    </cfRule>
    <cfRule type="containsText" dxfId="4218" priority="4087" operator="containsText" text="REST DAY">
      <formula>NOT(ISERROR(SEARCH("REST DAY",D13)))</formula>
    </cfRule>
    <cfRule type="containsText" dxfId="4217" priority="4088" operator="containsText" text="UA">
      <formula>NOT(ISERROR(SEARCH("UA",D13)))</formula>
    </cfRule>
    <cfRule type="containsText" dxfId="4216" priority="4089" operator="containsText" text="LWOP UA">
      <formula>NOT(ISERROR(SEARCH("LWOP UA",D13)))</formula>
    </cfRule>
  </conditionalFormatting>
  <conditionalFormatting sqref="D13:E13">
    <cfRule type="containsText" dxfId="4215" priority="4076" operator="containsText" text="VL">
      <formula>NOT(ISERROR(SEARCH("VL",D13)))</formula>
    </cfRule>
    <cfRule type="containsText" dxfId="4214" priority="4077" operator="containsText" text="RD">
      <formula>NOT(ISERROR(SEARCH("RD",D13)))</formula>
    </cfRule>
    <cfRule type="containsText" dxfId="4213" priority="4078" operator="containsText" text="540">
      <formula>NOT(ISERROR(SEARCH("540",D13)))</formula>
    </cfRule>
    <cfRule type="cellIs" dxfId="4212" priority="4079" operator="between">
      <formula>1</formula>
      <formula>400</formula>
    </cfRule>
    <cfRule type="containsText" dxfId="4211" priority="4080" operator="containsText" text="LWOP UA">
      <formula>NOT(ISERROR(SEARCH("LWOP UA",D13)))</formula>
    </cfRule>
  </conditionalFormatting>
  <conditionalFormatting sqref="D13:E13">
    <cfRule type="containsText" dxfId="4210" priority="4081" operator="containsText" text="P">
      <formula>NOT(ISERROR(SEARCH("P",D13)))</formula>
    </cfRule>
  </conditionalFormatting>
  <conditionalFormatting sqref="D28:E28 E25 E29">
    <cfRule type="containsText" dxfId="4209" priority="4068" operator="containsText" text="TFO">
      <formula>NOT(ISERROR(SEARCH("TFO",D25)))</formula>
    </cfRule>
    <cfRule type="containsText" dxfId="4208" priority="4069" operator="containsText" text="AA">
      <formula>NOT(ISERROR(SEARCH("AA",D25)))</formula>
    </cfRule>
    <cfRule type="containsText" dxfId="4207" priority="4070" operator="containsText" text="RESIGNED">
      <formula>NOT(ISERROR(SEARCH("RESIGNED",D25)))</formula>
    </cfRule>
    <cfRule type="containsText" dxfId="4206" priority="4071" operator="containsText" text="P">
      <formula>NOT(ISERROR(SEARCH("P",D25)))</formula>
    </cfRule>
    <cfRule type="containsText" dxfId="4205" priority="4072" operator="containsText" text="TARDY">
      <formula>NOT(ISERROR(SEARCH("TARDY",D25)))</formula>
    </cfRule>
    <cfRule type="containsText" dxfId="4204" priority="4073" operator="containsText" text="REST DAY">
      <formula>NOT(ISERROR(SEARCH("REST DAY",D25)))</formula>
    </cfRule>
    <cfRule type="containsText" dxfId="4203" priority="4074" operator="containsText" text="UA">
      <formula>NOT(ISERROR(SEARCH("UA",D25)))</formula>
    </cfRule>
    <cfRule type="containsText" dxfId="4202" priority="4075" operator="containsText" text="LWOP UA">
      <formula>NOT(ISERROR(SEARCH("LWOP UA",D25)))</formula>
    </cfRule>
  </conditionalFormatting>
  <conditionalFormatting sqref="D28:E28 E25 E29">
    <cfRule type="containsText" dxfId="4201" priority="4062" operator="containsText" text="VL">
      <formula>NOT(ISERROR(SEARCH("VL",D25)))</formula>
    </cfRule>
    <cfRule type="containsText" dxfId="4200" priority="4063" operator="containsText" text="RD">
      <formula>NOT(ISERROR(SEARCH("RD",D25)))</formula>
    </cfRule>
    <cfRule type="containsText" dxfId="4199" priority="4064" operator="containsText" text="540">
      <formula>NOT(ISERROR(SEARCH("540",D25)))</formula>
    </cfRule>
    <cfRule type="cellIs" dxfId="4198" priority="4065" operator="between">
      <formula>1</formula>
      <formula>400</formula>
    </cfRule>
    <cfRule type="containsText" dxfId="4197" priority="4066" operator="containsText" text="LWOP UA">
      <formula>NOT(ISERROR(SEARCH("LWOP UA",D25)))</formula>
    </cfRule>
  </conditionalFormatting>
  <conditionalFormatting sqref="D28:E28 E25 E29">
    <cfRule type="containsText" dxfId="4196" priority="4067" operator="containsText" text="P">
      <formula>NOT(ISERROR(SEARCH("P",D25)))</formula>
    </cfRule>
  </conditionalFormatting>
  <conditionalFormatting sqref="E27">
    <cfRule type="containsText" dxfId="4195" priority="4054" operator="containsText" text="TFO">
      <formula>NOT(ISERROR(SEARCH("TFO",E27)))</formula>
    </cfRule>
    <cfRule type="containsText" dxfId="4194" priority="4055" operator="containsText" text="AA">
      <formula>NOT(ISERROR(SEARCH("AA",E27)))</formula>
    </cfRule>
    <cfRule type="containsText" dxfId="4193" priority="4056" operator="containsText" text="RESIGNED">
      <formula>NOT(ISERROR(SEARCH("RESIGNED",E27)))</formula>
    </cfRule>
    <cfRule type="containsText" dxfId="4192" priority="4057" operator="containsText" text="P">
      <formula>NOT(ISERROR(SEARCH("P",E27)))</formula>
    </cfRule>
    <cfRule type="containsText" dxfId="4191" priority="4058" operator="containsText" text="TARDY">
      <formula>NOT(ISERROR(SEARCH("TARDY",E27)))</formula>
    </cfRule>
    <cfRule type="containsText" dxfId="4190" priority="4059" operator="containsText" text="REST DAY">
      <formula>NOT(ISERROR(SEARCH("REST DAY",E27)))</formula>
    </cfRule>
    <cfRule type="containsText" dxfId="4189" priority="4060" operator="containsText" text="UA">
      <formula>NOT(ISERROR(SEARCH("UA",E27)))</formula>
    </cfRule>
    <cfRule type="containsText" dxfId="4188" priority="4061" operator="containsText" text="LWOP UA">
      <formula>NOT(ISERROR(SEARCH("LWOP UA",E27)))</formula>
    </cfRule>
  </conditionalFormatting>
  <conditionalFormatting sqref="E27">
    <cfRule type="containsText" dxfId="4187" priority="4048" operator="containsText" text="VL">
      <formula>NOT(ISERROR(SEARCH("VL",E27)))</formula>
    </cfRule>
    <cfRule type="containsText" dxfId="4186" priority="4049" operator="containsText" text="RD">
      <formula>NOT(ISERROR(SEARCH("RD",E27)))</formula>
    </cfRule>
    <cfRule type="containsText" dxfId="4185" priority="4050" operator="containsText" text="540">
      <formula>NOT(ISERROR(SEARCH("540",E27)))</formula>
    </cfRule>
    <cfRule type="cellIs" dxfId="4184" priority="4051" operator="between">
      <formula>1</formula>
      <formula>400</formula>
    </cfRule>
    <cfRule type="containsText" dxfId="4183" priority="4052" operator="containsText" text="LWOP UA">
      <formula>NOT(ISERROR(SEARCH("LWOP UA",E27)))</formula>
    </cfRule>
  </conditionalFormatting>
  <conditionalFormatting sqref="E27">
    <cfRule type="containsText" dxfId="4182" priority="4053" operator="containsText" text="P">
      <formula>NOT(ISERROR(SEARCH("P",E27)))</formula>
    </cfRule>
  </conditionalFormatting>
  <conditionalFormatting sqref="E30">
    <cfRule type="containsText" dxfId="4181" priority="4040" operator="containsText" text="TFO">
      <formula>NOT(ISERROR(SEARCH("TFO",E30)))</formula>
    </cfRule>
    <cfRule type="containsText" dxfId="4180" priority="4041" operator="containsText" text="AA">
      <formula>NOT(ISERROR(SEARCH("AA",E30)))</formula>
    </cfRule>
    <cfRule type="containsText" dxfId="4179" priority="4042" operator="containsText" text="RESIGNED">
      <formula>NOT(ISERROR(SEARCH("RESIGNED",E30)))</formula>
    </cfRule>
    <cfRule type="containsText" dxfId="4178" priority="4043" operator="containsText" text="P">
      <formula>NOT(ISERROR(SEARCH("P",E30)))</formula>
    </cfRule>
    <cfRule type="containsText" dxfId="4177" priority="4044" operator="containsText" text="TARDY">
      <formula>NOT(ISERROR(SEARCH("TARDY",E30)))</formula>
    </cfRule>
    <cfRule type="containsText" dxfId="4176" priority="4045" operator="containsText" text="REST DAY">
      <formula>NOT(ISERROR(SEARCH("REST DAY",E30)))</formula>
    </cfRule>
    <cfRule type="containsText" dxfId="4175" priority="4046" operator="containsText" text="UA">
      <formula>NOT(ISERROR(SEARCH("UA",E30)))</formula>
    </cfRule>
    <cfRule type="containsText" dxfId="4174" priority="4047" operator="containsText" text="LWOP UA">
      <formula>NOT(ISERROR(SEARCH("LWOP UA",E30)))</formula>
    </cfRule>
  </conditionalFormatting>
  <conditionalFormatting sqref="E30">
    <cfRule type="containsText" dxfId="4173" priority="4034" operator="containsText" text="VL">
      <formula>NOT(ISERROR(SEARCH("VL",E30)))</formula>
    </cfRule>
    <cfRule type="containsText" dxfId="4172" priority="4035" operator="containsText" text="RD">
      <formula>NOT(ISERROR(SEARCH("RD",E30)))</formula>
    </cfRule>
    <cfRule type="containsText" dxfId="4171" priority="4036" operator="containsText" text="540">
      <formula>NOT(ISERROR(SEARCH("540",E30)))</formula>
    </cfRule>
    <cfRule type="cellIs" dxfId="4170" priority="4037" operator="between">
      <formula>1</formula>
      <formula>400</formula>
    </cfRule>
    <cfRule type="containsText" dxfId="4169" priority="4038" operator="containsText" text="LWOP UA">
      <formula>NOT(ISERROR(SEARCH("LWOP UA",E30)))</formula>
    </cfRule>
  </conditionalFormatting>
  <conditionalFormatting sqref="E30">
    <cfRule type="containsText" dxfId="4168" priority="4039" operator="containsText" text="P">
      <formula>NOT(ISERROR(SEARCH("P",E30)))</formula>
    </cfRule>
  </conditionalFormatting>
  <conditionalFormatting sqref="E36">
    <cfRule type="containsText" dxfId="4167" priority="4026" operator="containsText" text="TFO">
      <formula>NOT(ISERROR(SEARCH("TFO",E36)))</formula>
    </cfRule>
    <cfRule type="containsText" dxfId="4166" priority="4027" operator="containsText" text="AA">
      <formula>NOT(ISERROR(SEARCH("AA",E36)))</formula>
    </cfRule>
    <cfRule type="containsText" dxfId="4165" priority="4028" operator="containsText" text="RESIGNED">
      <formula>NOT(ISERROR(SEARCH("RESIGNED",E36)))</formula>
    </cfRule>
    <cfRule type="containsText" dxfId="4164" priority="4029" operator="containsText" text="P">
      <formula>NOT(ISERROR(SEARCH("P",E36)))</formula>
    </cfRule>
    <cfRule type="containsText" dxfId="4163" priority="4030" operator="containsText" text="TARDY">
      <formula>NOT(ISERROR(SEARCH("TARDY",E36)))</formula>
    </cfRule>
    <cfRule type="containsText" dxfId="4162" priority="4031" operator="containsText" text="REST DAY">
      <formula>NOT(ISERROR(SEARCH("REST DAY",E36)))</formula>
    </cfRule>
    <cfRule type="containsText" dxfId="4161" priority="4032" operator="containsText" text="UA">
      <formula>NOT(ISERROR(SEARCH("UA",E36)))</formula>
    </cfRule>
    <cfRule type="containsText" dxfId="4160" priority="4033" operator="containsText" text="LWOP UA">
      <formula>NOT(ISERROR(SEARCH("LWOP UA",E36)))</formula>
    </cfRule>
  </conditionalFormatting>
  <conditionalFormatting sqref="E36">
    <cfRule type="containsText" dxfId="4159" priority="4020" operator="containsText" text="VL">
      <formula>NOT(ISERROR(SEARCH("VL",E36)))</formula>
    </cfRule>
    <cfRule type="containsText" dxfId="4158" priority="4021" operator="containsText" text="RD">
      <formula>NOT(ISERROR(SEARCH("RD",E36)))</formula>
    </cfRule>
    <cfRule type="containsText" dxfId="4157" priority="4022" operator="containsText" text="540">
      <formula>NOT(ISERROR(SEARCH("540",E36)))</formula>
    </cfRule>
    <cfRule type="cellIs" dxfId="4156" priority="4023" operator="between">
      <formula>1</formula>
      <formula>400</formula>
    </cfRule>
    <cfRule type="containsText" dxfId="4155" priority="4024" operator="containsText" text="LWOP UA">
      <formula>NOT(ISERROR(SEARCH("LWOP UA",E36)))</formula>
    </cfRule>
  </conditionalFormatting>
  <conditionalFormatting sqref="E36">
    <cfRule type="containsText" dxfId="4154" priority="4025" operator="containsText" text="P">
      <formula>NOT(ISERROR(SEARCH("P",E36)))</formula>
    </cfRule>
  </conditionalFormatting>
  <conditionalFormatting sqref="E49">
    <cfRule type="containsText" dxfId="4153" priority="4012" operator="containsText" text="TFO">
      <formula>NOT(ISERROR(SEARCH("TFO",E49)))</formula>
    </cfRule>
    <cfRule type="containsText" dxfId="4152" priority="4013" operator="containsText" text="AA">
      <formula>NOT(ISERROR(SEARCH("AA",E49)))</formula>
    </cfRule>
    <cfRule type="containsText" dxfId="4151" priority="4014" operator="containsText" text="RESIGNED">
      <formula>NOT(ISERROR(SEARCH("RESIGNED",E49)))</formula>
    </cfRule>
    <cfRule type="containsText" dxfId="4150" priority="4015" operator="containsText" text="P">
      <formula>NOT(ISERROR(SEARCH("P",E49)))</formula>
    </cfRule>
    <cfRule type="containsText" dxfId="4149" priority="4016" operator="containsText" text="TARDY">
      <formula>NOT(ISERROR(SEARCH("TARDY",E49)))</formula>
    </cfRule>
    <cfRule type="containsText" dxfId="4148" priority="4017" operator="containsText" text="REST DAY">
      <formula>NOT(ISERROR(SEARCH("REST DAY",E49)))</formula>
    </cfRule>
    <cfRule type="containsText" dxfId="4147" priority="4018" operator="containsText" text="UA">
      <formula>NOT(ISERROR(SEARCH("UA",E49)))</formula>
    </cfRule>
    <cfRule type="containsText" dxfId="4146" priority="4019" operator="containsText" text="LWOP UA">
      <formula>NOT(ISERROR(SEARCH("LWOP UA",E49)))</formula>
    </cfRule>
  </conditionalFormatting>
  <conditionalFormatting sqref="E49">
    <cfRule type="containsText" dxfId="4145" priority="4006" operator="containsText" text="VL">
      <formula>NOT(ISERROR(SEARCH("VL",E49)))</formula>
    </cfRule>
    <cfRule type="containsText" dxfId="4144" priority="4007" operator="containsText" text="RD">
      <formula>NOT(ISERROR(SEARCH("RD",E49)))</formula>
    </cfRule>
    <cfRule type="containsText" dxfId="4143" priority="4008" operator="containsText" text="540">
      <formula>NOT(ISERROR(SEARCH("540",E49)))</formula>
    </cfRule>
    <cfRule type="cellIs" dxfId="4142" priority="4009" operator="between">
      <formula>1</formula>
      <formula>400</formula>
    </cfRule>
    <cfRule type="containsText" dxfId="4141" priority="4010" operator="containsText" text="LWOP UA">
      <formula>NOT(ISERROR(SEARCH("LWOP UA",E49)))</formula>
    </cfRule>
  </conditionalFormatting>
  <conditionalFormatting sqref="E49">
    <cfRule type="containsText" dxfId="4140" priority="4011" operator="containsText" text="P">
      <formula>NOT(ISERROR(SEARCH("P",E49)))</formula>
    </cfRule>
  </conditionalFormatting>
  <conditionalFormatting sqref="E62">
    <cfRule type="containsText" dxfId="4139" priority="3998" operator="containsText" text="TFO">
      <formula>NOT(ISERROR(SEARCH("TFO",E62)))</formula>
    </cfRule>
    <cfRule type="containsText" dxfId="4138" priority="3999" operator="containsText" text="AA">
      <formula>NOT(ISERROR(SEARCH("AA",E62)))</formula>
    </cfRule>
    <cfRule type="containsText" dxfId="4137" priority="4000" operator="containsText" text="RESIGNED">
      <formula>NOT(ISERROR(SEARCH("RESIGNED",E62)))</formula>
    </cfRule>
    <cfRule type="containsText" dxfId="4136" priority="4001" operator="containsText" text="P">
      <formula>NOT(ISERROR(SEARCH("P",E62)))</formula>
    </cfRule>
    <cfRule type="containsText" dxfId="4135" priority="4002" operator="containsText" text="TARDY">
      <formula>NOT(ISERROR(SEARCH("TARDY",E62)))</formula>
    </cfRule>
    <cfRule type="containsText" dxfId="4134" priority="4003" operator="containsText" text="REST DAY">
      <formula>NOT(ISERROR(SEARCH("REST DAY",E62)))</formula>
    </cfRule>
    <cfRule type="containsText" dxfId="4133" priority="4004" operator="containsText" text="UA">
      <formula>NOT(ISERROR(SEARCH("UA",E62)))</formula>
    </cfRule>
    <cfRule type="containsText" dxfId="4132" priority="4005" operator="containsText" text="LWOP UA">
      <formula>NOT(ISERROR(SEARCH("LWOP UA",E62)))</formula>
    </cfRule>
  </conditionalFormatting>
  <conditionalFormatting sqref="E62">
    <cfRule type="containsText" dxfId="4131" priority="3992" operator="containsText" text="VL">
      <formula>NOT(ISERROR(SEARCH("VL",E62)))</formula>
    </cfRule>
    <cfRule type="containsText" dxfId="4130" priority="3993" operator="containsText" text="RD">
      <formula>NOT(ISERROR(SEARCH("RD",E62)))</formula>
    </cfRule>
    <cfRule type="containsText" dxfId="4129" priority="3994" operator="containsText" text="540">
      <formula>NOT(ISERROR(SEARCH("540",E62)))</formula>
    </cfRule>
    <cfRule type="cellIs" dxfId="4128" priority="3995" operator="between">
      <formula>1</formula>
      <formula>400</formula>
    </cfRule>
    <cfRule type="containsText" dxfId="4127" priority="3996" operator="containsText" text="LWOP UA">
      <formula>NOT(ISERROR(SEARCH("LWOP UA",E62)))</formula>
    </cfRule>
  </conditionalFormatting>
  <conditionalFormatting sqref="E62">
    <cfRule type="containsText" dxfId="4126" priority="3997" operator="containsText" text="P">
      <formula>NOT(ISERROR(SEARCH("P",E62)))</formula>
    </cfRule>
  </conditionalFormatting>
  <conditionalFormatting sqref="D79:E79 F72:I72 E74:I74 D71:I71 F73:H73 E67:I68 E70:I70 D69 H79:J79">
    <cfRule type="containsText" dxfId="4125" priority="3984" operator="containsText" text="TFO">
      <formula>NOT(ISERROR(SEARCH("TFO",D67)))</formula>
    </cfRule>
    <cfRule type="containsText" dxfId="4124" priority="3985" operator="containsText" text="AA">
      <formula>NOT(ISERROR(SEARCH("AA",D67)))</formula>
    </cfRule>
    <cfRule type="containsText" dxfId="4123" priority="3986" operator="containsText" text="RESIGNED">
      <formula>NOT(ISERROR(SEARCH("RESIGNED",D67)))</formula>
    </cfRule>
    <cfRule type="containsText" dxfId="4122" priority="3987" operator="containsText" text="P">
      <formula>NOT(ISERROR(SEARCH("P",D67)))</formula>
    </cfRule>
    <cfRule type="containsText" dxfId="4121" priority="3988" operator="containsText" text="TARDY">
      <formula>NOT(ISERROR(SEARCH("TARDY",D67)))</formula>
    </cfRule>
    <cfRule type="containsText" dxfId="4120" priority="3989" operator="containsText" text="REST DAY">
      <formula>NOT(ISERROR(SEARCH("REST DAY",D67)))</formula>
    </cfRule>
    <cfRule type="containsText" dxfId="4119" priority="3990" operator="containsText" text="UA">
      <formula>NOT(ISERROR(SEARCH("UA",D67)))</formula>
    </cfRule>
    <cfRule type="containsText" dxfId="4118" priority="3991" operator="containsText" text="LWOP UA">
      <formula>NOT(ISERROR(SEARCH("LWOP UA",D67)))</formula>
    </cfRule>
  </conditionalFormatting>
  <conditionalFormatting sqref="D79:E79 F72:I72 E74:I74 D71:I71 F73:H73 E67:I68 E70:I70 D69 H79:J79">
    <cfRule type="containsText" dxfId="4117" priority="3978" operator="containsText" text="VL">
      <formula>NOT(ISERROR(SEARCH("VL",D67)))</formula>
    </cfRule>
    <cfRule type="containsText" dxfId="4116" priority="3979" operator="containsText" text="RD">
      <formula>NOT(ISERROR(SEARCH("RD",D67)))</formula>
    </cfRule>
    <cfRule type="containsText" dxfId="4115" priority="3980" operator="containsText" text="540">
      <formula>NOT(ISERROR(SEARCH("540",D67)))</formula>
    </cfRule>
    <cfRule type="cellIs" dxfId="4114" priority="3981" operator="between">
      <formula>1</formula>
      <formula>400</formula>
    </cfRule>
    <cfRule type="containsText" dxfId="4113" priority="3982" operator="containsText" text="LWOP UA">
      <formula>NOT(ISERROR(SEARCH("LWOP UA",D67)))</formula>
    </cfRule>
  </conditionalFormatting>
  <conditionalFormatting sqref="D79:E79 F72:I72 E74:I74 D71:I71 F73:H73 E67:I68 E70:I70 D69 H79:J79">
    <cfRule type="containsText" dxfId="4112" priority="3983" operator="containsText" text="P">
      <formula>NOT(ISERROR(SEARCH("P",D67)))</formula>
    </cfRule>
  </conditionalFormatting>
  <conditionalFormatting sqref="D69">
    <cfRule type="containsText" dxfId="4111" priority="3970" operator="containsText" text="TFO">
      <formula>NOT(ISERROR(SEARCH("TFO",D69)))</formula>
    </cfRule>
    <cfRule type="containsText" dxfId="4110" priority="3971" operator="containsText" text="AA">
      <formula>NOT(ISERROR(SEARCH("AA",D69)))</formula>
    </cfRule>
    <cfRule type="containsText" dxfId="4109" priority="3972" operator="containsText" text="RESIGNED">
      <formula>NOT(ISERROR(SEARCH("RESIGNED",D69)))</formula>
    </cfRule>
    <cfRule type="containsText" dxfId="4108" priority="3973" operator="containsText" text="P">
      <formula>NOT(ISERROR(SEARCH("P",D69)))</formula>
    </cfRule>
    <cfRule type="containsText" dxfId="4107" priority="3974" operator="containsText" text="TARDY">
      <formula>NOT(ISERROR(SEARCH("TARDY",D69)))</formula>
    </cfRule>
    <cfRule type="containsText" dxfId="4106" priority="3975" operator="containsText" text="REST DAY">
      <formula>NOT(ISERROR(SEARCH("REST DAY",D69)))</formula>
    </cfRule>
    <cfRule type="containsText" dxfId="4105" priority="3976" operator="containsText" text="UA">
      <formula>NOT(ISERROR(SEARCH("UA",D69)))</formula>
    </cfRule>
    <cfRule type="containsText" dxfId="4104" priority="3977" operator="containsText" text="LWOP UA">
      <formula>NOT(ISERROR(SEARCH("LWOP UA",D69)))</formula>
    </cfRule>
  </conditionalFormatting>
  <conditionalFormatting sqref="D69">
    <cfRule type="containsText" dxfId="4103" priority="3964" operator="containsText" text="VL">
      <formula>NOT(ISERROR(SEARCH("VL",D69)))</formula>
    </cfRule>
    <cfRule type="containsText" dxfId="4102" priority="3965" operator="containsText" text="RD">
      <formula>NOT(ISERROR(SEARCH("RD",D69)))</formula>
    </cfRule>
    <cfRule type="containsText" dxfId="4101" priority="3966" operator="containsText" text="540">
      <formula>NOT(ISERROR(SEARCH("540",D69)))</formula>
    </cfRule>
    <cfRule type="cellIs" dxfId="4100" priority="3967" operator="between">
      <formula>1</formula>
      <formula>400</formula>
    </cfRule>
    <cfRule type="containsText" dxfId="4099" priority="3968" operator="containsText" text="LWOP UA">
      <formula>NOT(ISERROR(SEARCH("LWOP UA",D69)))</formula>
    </cfRule>
  </conditionalFormatting>
  <conditionalFormatting sqref="D69">
    <cfRule type="containsText" dxfId="4098" priority="3969" operator="containsText" text="P">
      <formula>NOT(ISERROR(SEARCH("P",D69)))</formula>
    </cfRule>
  </conditionalFormatting>
  <conditionalFormatting sqref="E74">
    <cfRule type="containsText" dxfId="4097" priority="3956" operator="containsText" text="TFO">
      <formula>NOT(ISERROR(SEARCH("TFO",E74)))</formula>
    </cfRule>
    <cfRule type="containsText" dxfId="4096" priority="3957" operator="containsText" text="AA">
      <formula>NOT(ISERROR(SEARCH("AA",E74)))</formula>
    </cfRule>
    <cfRule type="containsText" dxfId="4095" priority="3958" operator="containsText" text="RESIGNED">
      <formula>NOT(ISERROR(SEARCH("RESIGNED",E74)))</formula>
    </cfRule>
    <cfRule type="containsText" dxfId="4094" priority="3959" operator="containsText" text="P">
      <formula>NOT(ISERROR(SEARCH("P",E74)))</formula>
    </cfRule>
    <cfRule type="containsText" dxfId="4093" priority="3960" operator="containsText" text="TARDY">
      <formula>NOT(ISERROR(SEARCH("TARDY",E74)))</formula>
    </cfRule>
    <cfRule type="containsText" dxfId="4092" priority="3961" operator="containsText" text="REST DAY">
      <formula>NOT(ISERROR(SEARCH("REST DAY",E74)))</formula>
    </cfRule>
    <cfRule type="containsText" dxfId="4091" priority="3962" operator="containsText" text="UA">
      <formula>NOT(ISERROR(SEARCH("UA",E74)))</formula>
    </cfRule>
    <cfRule type="containsText" dxfId="4090" priority="3963" operator="containsText" text="LWOP UA">
      <formula>NOT(ISERROR(SEARCH("LWOP UA",E74)))</formula>
    </cfRule>
  </conditionalFormatting>
  <conditionalFormatting sqref="E74">
    <cfRule type="containsText" dxfId="4089" priority="3950" operator="containsText" text="VL">
      <formula>NOT(ISERROR(SEARCH("VL",E74)))</formula>
    </cfRule>
    <cfRule type="containsText" dxfId="4088" priority="3951" operator="containsText" text="RD">
      <formula>NOT(ISERROR(SEARCH("RD",E74)))</formula>
    </cfRule>
    <cfRule type="containsText" dxfId="4087" priority="3952" operator="containsText" text="540">
      <formula>NOT(ISERROR(SEARCH("540",E74)))</formula>
    </cfRule>
    <cfRule type="cellIs" dxfId="4086" priority="3953" operator="between">
      <formula>1</formula>
      <formula>400</formula>
    </cfRule>
    <cfRule type="containsText" dxfId="4085" priority="3954" operator="containsText" text="LWOP UA">
      <formula>NOT(ISERROR(SEARCH("LWOP UA",E74)))</formula>
    </cfRule>
  </conditionalFormatting>
  <conditionalFormatting sqref="E74">
    <cfRule type="containsText" dxfId="4084" priority="3955" operator="containsText" text="P">
      <formula>NOT(ISERROR(SEARCH("P",E74)))</formula>
    </cfRule>
  </conditionalFormatting>
  <conditionalFormatting sqref="E77">
    <cfRule type="containsText" dxfId="4083" priority="3942" operator="containsText" text="TFO">
      <formula>NOT(ISERROR(SEARCH("TFO",E77)))</formula>
    </cfRule>
    <cfRule type="containsText" dxfId="4082" priority="3943" operator="containsText" text="AA">
      <formula>NOT(ISERROR(SEARCH("AA",E77)))</formula>
    </cfRule>
    <cfRule type="containsText" dxfId="4081" priority="3944" operator="containsText" text="RESIGNED">
      <formula>NOT(ISERROR(SEARCH("RESIGNED",E77)))</formula>
    </cfRule>
    <cfRule type="containsText" dxfId="4080" priority="3945" operator="containsText" text="P">
      <formula>NOT(ISERROR(SEARCH("P",E77)))</formula>
    </cfRule>
    <cfRule type="containsText" dxfId="4079" priority="3946" operator="containsText" text="TARDY">
      <formula>NOT(ISERROR(SEARCH("TARDY",E77)))</formula>
    </cfRule>
    <cfRule type="containsText" dxfId="4078" priority="3947" operator="containsText" text="REST DAY">
      <formula>NOT(ISERROR(SEARCH("REST DAY",E77)))</formula>
    </cfRule>
    <cfRule type="containsText" dxfId="4077" priority="3948" operator="containsText" text="UA">
      <formula>NOT(ISERROR(SEARCH("UA",E77)))</formula>
    </cfRule>
    <cfRule type="containsText" dxfId="4076" priority="3949" operator="containsText" text="LWOP UA">
      <formula>NOT(ISERROR(SEARCH("LWOP UA",E77)))</formula>
    </cfRule>
  </conditionalFormatting>
  <conditionalFormatting sqref="E77">
    <cfRule type="containsText" dxfId="4075" priority="3936" operator="containsText" text="VL">
      <formula>NOT(ISERROR(SEARCH("VL",E77)))</formula>
    </cfRule>
    <cfRule type="containsText" dxfId="4074" priority="3937" operator="containsText" text="RD">
      <formula>NOT(ISERROR(SEARCH("RD",E77)))</formula>
    </cfRule>
    <cfRule type="containsText" dxfId="4073" priority="3938" operator="containsText" text="540">
      <formula>NOT(ISERROR(SEARCH("540",E77)))</formula>
    </cfRule>
    <cfRule type="cellIs" dxfId="4072" priority="3939" operator="between">
      <formula>1</formula>
      <formula>400</formula>
    </cfRule>
    <cfRule type="containsText" dxfId="4071" priority="3940" operator="containsText" text="LWOP UA">
      <formula>NOT(ISERROR(SEARCH("LWOP UA",E77)))</formula>
    </cfRule>
  </conditionalFormatting>
  <conditionalFormatting sqref="E77">
    <cfRule type="containsText" dxfId="4070" priority="3941" operator="containsText" text="P">
      <formula>NOT(ISERROR(SEARCH("P",E77)))</formula>
    </cfRule>
  </conditionalFormatting>
  <conditionalFormatting sqref="E81">
    <cfRule type="containsText" dxfId="4069" priority="3928" operator="containsText" text="TFO">
      <formula>NOT(ISERROR(SEARCH("TFO",E81)))</formula>
    </cfRule>
    <cfRule type="containsText" dxfId="4068" priority="3929" operator="containsText" text="AA">
      <formula>NOT(ISERROR(SEARCH("AA",E81)))</formula>
    </cfRule>
    <cfRule type="containsText" dxfId="4067" priority="3930" operator="containsText" text="RESIGNED">
      <formula>NOT(ISERROR(SEARCH("RESIGNED",E81)))</formula>
    </cfRule>
    <cfRule type="containsText" dxfId="4066" priority="3931" operator="containsText" text="P">
      <formula>NOT(ISERROR(SEARCH("P",E81)))</formula>
    </cfRule>
    <cfRule type="containsText" dxfId="4065" priority="3932" operator="containsText" text="TARDY">
      <formula>NOT(ISERROR(SEARCH("TARDY",E81)))</formula>
    </cfRule>
    <cfRule type="containsText" dxfId="4064" priority="3933" operator="containsText" text="REST DAY">
      <formula>NOT(ISERROR(SEARCH("REST DAY",E81)))</formula>
    </cfRule>
    <cfRule type="containsText" dxfId="4063" priority="3934" operator="containsText" text="UA">
      <formula>NOT(ISERROR(SEARCH("UA",E81)))</formula>
    </cfRule>
    <cfRule type="containsText" dxfId="4062" priority="3935" operator="containsText" text="LWOP UA">
      <formula>NOT(ISERROR(SEARCH("LWOP UA",E81)))</formula>
    </cfRule>
  </conditionalFormatting>
  <conditionalFormatting sqref="E81">
    <cfRule type="containsText" dxfId="4061" priority="3922" operator="containsText" text="VL">
      <formula>NOT(ISERROR(SEARCH("VL",E81)))</formula>
    </cfRule>
    <cfRule type="containsText" dxfId="4060" priority="3923" operator="containsText" text="RD">
      <formula>NOT(ISERROR(SEARCH("RD",E81)))</formula>
    </cfRule>
    <cfRule type="containsText" dxfId="4059" priority="3924" operator="containsText" text="540">
      <formula>NOT(ISERROR(SEARCH("540",E81)))</formula>
    </cfRule>
    <cfRule type="cellIs" dxfId="4058" priority="3925" operator="between">
      <formula>1</formula>
      <formula>400</formula>
    </cfRule>
    <cfRule type="containsText" dxfId="4057" priority="3926" operator="containsText" text="LWOP UA">
      <formula>NOT(ISERROR(SEARCH("LWOP UA",E81)))</formula>
    </cfRule>
  </conditionalFormatting>
  <conditionalFormatting sqref="E81">
    <cfRule type="containsText" dxfId="4056" priority="3927" operator="containsText" text="P">
      <formula>NOT(ISERROR(SEARCH("P",E81)))</formula>
    </cfRule>
  </conditionalFormatting>
  <conditionalFormatting sqref="E82">
    <cfRule type="containsText" dxfId="4055" priority="3914" operator="containsText" text="TFO">
      <formula>NOT(ISERROR(SEARCH("TFO",E82)))</formula>
    </cfRule>
    <cfRule type="containsText" dxfId="4054" priority="3915" operator="containsText" text="AA">
      <formula>NOT(ISERROR(SEARCH("AA",E82)))</formula>
    </cfRule>
    <cfRule type="containsText" dxfId="4053" priority="3916" operator="containsText" text="RESIGNED">
      <formula>NOT(ISERROR(SEARCH("RESIGNED",E82)))</formula>
    </cfRule>
    <cfRule type="containsText" dxfId="4052" priority="3917" operator="containsText" text="P">
      <formula>NOT(ISERROR(SEARCH("P",E82)))</formula>
    </cfRule>
    <cfRule type="containsText" dxfId="4051" priority="3918" operator="containsText" text="TARDY">
      <formula>NOT(ISERROR(SEARCH("TARDY",E82)))</formula>
    </cfRule>
    <cfRule type="containsText" dxfId="4050" priority="3919" operator="containsText" text="REST DAY">
      <formula>NOT(ISERROR(SEARCH("REST DAY",E82)))</formula>
    </cfRule>
    <cfRule type="containsText" dxfId="4049" priority="3920" operator="containsText" text="UA">
      <formula>NOT(ISERROR(SEARCH("UA",E82)))</formula>
    </cfRule>
    <cfRule type="containsText" dxfId="4048" priority="3921" operator="containsText" text="LWOP UA">
      <formula>NOT(ISERROR(SEARCH("LWOP UA",E82)))</formula>
    </cfRule>
  </conditionalFormatting>
  <conditionalFormatting sqref="E82">
    <cfRule type="containsText" dxfId="4047" priority="3908" operator="containsText" text="VL">
      <formula>NOT(ISERROR(SEARCH("VL",E82)))</formula>
    </cfRule>
    <cfRule type="containsText" dxfId="4046" priority="3909" operator="containsText" text="RD">
      <formula>NOT(ISERROR(SEARCH("RD",E82)))</formula>
    </cfRule>
    <cfRule type="containsText" dxfId="4045" priority="3910" operator="containsText" text="540">
      <formula>NOT(ISERROR(SEARCH("540",E82)))</formula>
    </cfRule>
    <cfRule type="cellIs" dxfId="4044" priority="3911" operator="between">
      <formula>1</formula>
      <formula>400</formula>
    </cfRule>
    <cfRule type="containsText" dxfId="4043" priority="3912" operator="containsText" text="LWOP UA">
      <formula>NOT(ISERROR(SEARCH("LWOP UA",E82)))</formula>
    </cfRule>
  </conditionalFormatting>
  <conditionalFormatting sqref="E82">
    <cfRule type="containsText" dxfId="4042" priority="3913" operator="containsText" text="P">
      <formula>NOT(ISERROR(SEARCH("P",E82)))</formula>
    </cfRule>
  </conditionalFormatting>
  <conditionalFormatting sqref="D86">
    <cfRule type="containsText" dxfId="4041" priority="3900" operator="containsText" text="TFO">
      <formula>NOT(ISERROR(SEARCH("TFO",D86)))</formula>
    </cfRule>
    <cfRule type="containsText" dxfId="4040" priority="3901" operator="containsText" text="AA">
      <formula>NOT(ISERROR(SEARCH("AA",D86)))</formula>
    </cfRule>
    <cfRule type="containsText" dxfId="4039" priority="3902" operator="containsText" text="RESIGNED">
      <formula>NOT(ISERROR(SEARCH("RESIGNED",D86)))</formula>
    </cfRule>
    <cfRule type="containsText" dxfId="4038" priority="3903" operator="containsText" text="P">
      <formula>NOT(ISERROR(SEARCH("P",D86)))</formula>
    </cfRule>
    <cfRule type="containsText" dxfId="4037" priority="3904" operator="containsText" text="TARDY">
      <formula>NOT(ISERROR(SEARCH("TARDY",D86)))</formula>
    </cfRule>
    <cfRule type="containsText" dxfId="4036" priority="3905" operator="containsText" text="REST DAY">
      <formula>NOT(ISERROR(SEARCH("REST DAY",D86)))</formula>
    </cfRule>
    <cfRule type="containsText" dxfId="4035" priority="3906" operator="containsText" text="UA">
      <formula>NOT(ISERROR(SEARCH("UA",D86)))</formula>
    </cfRule>
    <cfRule type="containsText" dxfId="4034" priority="3907" operator="containsText" text="LWOP UA">
      <formula>NOT(ISERROR(SEARCH("LWOP UA",D86)))</formula>
    </cfRule>
  </conditionalFormatting>
  <conditionalFormatting sqref="D86">
    <cfRule type="containsText" dxfId="4033" priority="3894" operator="containsText" text="VL">
      <formula>NOT(ISERROR(SEARCH("VL",D86)))</formula>
    </cfRule>
    <cfRule type="containsText" dxfId="4032" priority="3895" operator="containsText" text="RD">
      <formula>NOT(ISERROR(SEARCH("RD",D86)))</formula>
    </cfRule>
    <cfRule type="containsText" dxfId="4031" priority="3896" operator="containsText" text="540">
      <formula>NOT(ISERROR(SEARCH("540",D86)))</formula>
    </cfRule>
    <cfRule type="cellIs" dxfId="4030" priority="3897" operator="between">
      <formula>1</formula>
      <formula>400</formula>
    </cfRule>
    <cfRule type="containsText" dxfId="4029" priority="3898" operator="containsText" text="LWOP UA">
      <formula>NOT(ISERROR(SEARCH("LWOP UA",D86)))</formula>
    </cfRule>
  </conditionalFormatting>
  <conditionalFormatting sqref="D86">
    <cfRule type="containsText" dxfId="4028" priority="3899" operator="containsText" text="P">
      <formula>NOT(ISERROR(SEARCH("P",D86)))</formula>
    </cfRule>
  </conditionalFormatting>
  <conditionalFormatting sqref="F5:G5">
    <cfRule type="containsText" dxfId="4027" priority="3885" operator="containsText" text="P">
      <formula>NOT(ISERROR(SEARCH("P",F5)))</formula>
    </cfRule>
  </conditionalFormatting>
  <conditionalFormatting sqref="F5:G5 H69 G87:G88">
    <cfRule type="containsText" dxfId="4026" priority="3893" operator="containsText" text="LWOP UA">
      <formula>NOT(ISERROR(SEARCH("LWOP UA",F5)))</formula>
    </cfRule>
  </conditionalFormatting>
  <conditionalFormatting sqref="F5:G5 H69 G87:G88">
    <cfRule type="containsText" dxfId="4025" priority="3886" operator="containsText" text="TFO">
      <formula>NOT(ISERROR(SEARCH("TFO",F5)))</formula>
    </cfRule>
    <cfRule type="containsText" dxfId="4024" priority="3887" operator="containsText" text="AA">
      <formula>NOT(ISERROR(SEARCH("AA",F5)))</formula>
    </cfRule>
    <cfRule type="containsText" dxfId="4023" priority="3888" operator="containsText" text="RESIGNED">
      <formula>NOT(ISERROR(SEARCH("RESIGNED",F5)))</formula>
    </cfRule>
    <cfRule type="containsText" dxfId="4022" priority="3889" operator="containsText" text="P">
      <formula>NOT(ISERROR(SEARCH("P",F5)))</formula>
    </cfRule>
    <cfRule type="containsText" dxfId="4021" priority="3890" operator="containsText" text="TARDY">
      <formula>NOT(ISERROR(SEARCH("TARDY",F5)))</formula>
    </cfRule>
    <cfRule type="containsText" dxfId="4020" priority="3891" operator="containsText" text="REST DAY">
      <formula>NOT(ISERROR(SEARCH("REST DAY",F5)))</formula>
    </cfRule>
    <cfRule type="containsText" dxfId="4019" priority="3892" operator="containsText" text="UA">
      <formula>NOT(ISERROR(SEARCH("UA",F5)))</formula>
    </cfRule>
  </conditionalFormatting>
  <conditionalFormatting sqref="F5:I5">
    <cfRule type="containsText" dxfId="4018" priority="3884" operator="containsText" text="LWOP UA">
      <formula>NOT(ISERROR(SEARCH("LWOP UA",F5)))</formula>
    </cfRule>
  </conditionalFormatting>
  <conditionalFormatting sqref="F5:I5">
    <cfRule type="containsText" dxfId="4017" priority="3871" operator="containsText" text="VL">
      <formula>NOT(ISERROR(SEARCH("VL",F5)))</formula>
    </cfRule>
    <cfRule type="containsText" dxfId="4016" priority="3872" operator="containsText" text="RD">
      <formula>NOT(ISERROR(SEARCH("RD",F5)))</formula>
    </cfRule>
    <cfRule type="containsText" dxfId="4015" priority="3873" operator="containsText" text="540">
      <formula>NOT(ISERROR(SEARCH("540",F5)))</formula>
    </cfRule>
    <cfRule type="cellIs" dxfId="4014" priority="3874" operator="between">
      <formula>1</formula>
      <formula>400</formula>
    </cfRule>
  </conditionalFormatting>
  <conditionalFormatting sqref="H5:I5">
    <cfRule type="containsText" dxfId="4013" priority="3875" operator="containsText" text="LWOP UA">
      <formula>NOT(ISERROR(SEARCH("LWOP UA",H5)))</formula>
    </cfRule>
    <cfRule type="containsText" dxfId="4012" priority="3876" operator="containsText" text="P">
      <formula>NOT(ISERROR(SEARCH("P",H5)))</formula>
    </cfRule>
    <cfRule type="containsText" dxfId="4011" priority="3877" operator="containsText" text="TFO">
      <formula>NOT(ISERROR(SEARCH("TFO",H5)))</formula>
    </cfRule>
    <cfRule type="containsText" dxfId="4010" priority="3878" operator="containsText" text="AA">
      <formula>NOT(ISERROR(SEARCH("AA",H5)))</formula>
    </cfRule>
    <cfRule type="containsText" dxfId="4009" priority="3879" operator="containsText" text="RESIGNED">
      <formula>NOT(ISERROR(SEARCH("RESIGNED",H5)))</formula>
    </cfRule>
    <cfRule type="containsText" dxfId="4008" priority="3880" operator="containsText" text="P">
      <formula>NOT(ISERROR(SEARCH("P",H5)))</formula>
    </cfRule>
    <cfRule type="containsText" dxfId="4007" priority="3881" operator="containsText" text="TARDY">
      <formula>NOT(ISERROR(SEARCH("TARDY",H5)))</formula>
    </cfRule>
    <cfRule type="containsText" dxfId="4006" priority="3882" operator="containsText" text="REST DAY">
      <formula>NOT(ISERROR(SEARCH("REST DAY",H5)))</formula>
    </cfRule>
    <cfRule type="containsText" dxfId="4005" priority="3883" operator="containsText" text="UA">
      <formula>NOT(ISERROR(SEARCH("UA",H5)))</formula>
    </cfRule>
  </conditionalFormatting>
  <conditionalFormatting sqref="F13:H13">
    <cfRule type="containsText" dxfId="4004" priority="3862" operator="containsText" text="P">
      <formula>NOT(ISERROR(SEARCH("P",F13)))</formula>
    </cfRule>
  </conditionalFormatting>
  <conditionalFormatting sqref="F13:H13">
    <cfRule type="containsText" dxfId="4003" priority="3870" operator="containsText" text="LWOP UA">
      <formula>NOT(ISERROR(SEARCH("LWOP UA",F13)))</formula>
    </cfRule>
  </conditionalFormatting>
  <conditionalFormatting sqref="F13:H13">
    <cfRule type="containsText" dxfId="4002" priority="3863" operator="containsText" text="TFO">
      <formula>NOT(ISERROR(SEARCH("TFO",F13)))</formula>
    </cfRule>
    <cfRule type="containsText" dxfId="4001" priority="3864" operator="containsText" text="AA">
      <formula>NOT(ISERROR(SEARCH("AA",F13)))</formula>
    </cfRule>
    <cfRule type="containsText" dxfId="4000" priority="3865" operator="containsText" text="RESIGNED">
      <formula>NOT(ISERROR(SEARCH("RESIGNED",F13)))</formula>
    </cfRule>
    <cfRule type="containsText" dxfId="3999" priority="3866" operator="containsText" text="P">
      <formula>NOT(ISERROR(SEARCH("P",F13)))</formula>
    </cfRule>
    <cfRule type="containsText" dxfId="3998" priority="3867" operator="containsText" text="TARDY">
      <formula>NOT(ISERROR(SEARCH("TARDY",F13)))</formula>
    </cfRule>
    <cfRule type="containsText" dxfId="3997" priority="3868" operator="containsText" text="REST DAY">
      <formula>NOT(ISERROR(SEARCH("REST DAY",F13)))</formula>
    </cfRule>
    <cfRule type="containsText" dxfId="3996" priority="3869" operator="containsText" text="UA">
      <formula>NOT(ISERROR(SEARCH("UA",F13)))</formula>
    </cfRule>
  </conditionalFormatting>
  <conditionalFormatting sqref="F13:H13 J13">
    <cfRule type="containsText" dxfId="3995" priority="3848" operator="containsText" text="VL">
      <formula>NOT(ISERROR(SEARCH("VL",F13)))</formula>
    </cfRule>
    <cfRule type="containsText" dxfId="3994" priority="3849" operator="containsText" text="RD">
      <formula>NOT(ISERROR(SEARCH("RD",F13)))</formula>
    </cfRule>
    <cfRule type="containsText" dxfId="3993" priority="3850" operator="containsText" text="540">
      <formula>NOT(ISERROR(SEARCH("540",F13)))</formula>
    </cfRule>
    <cfRule type="cellIs" dxfId="3992" priority="3851" operator="between">
      <formula>1</formula>
      <formula>400</formula>
    </cfRule>
  </conditionalFormatting>
  <conditionalFormatting sqref="F13:H13 J13">
    <cfRule type="containsText" dxfId="3991" priority="3861" operator="containsText" text="LWOP UA">
      <formula>NOT(ISERROR(SEARCH("LWOP UA",F13)))</formula>
    </cfRule>
  </conditionalFormatting>
  <conditionalFormatting sqref="J13">
    <cfRule type="containsText" dxfId="3990" priority="3852" operator="containsText" text="LWOP UA">
      <formula>NOT(ISERROR(SEARCH("LWOP UA",J13)))</formula>
    </cfRule>
    <cfRule type="containsText" dxfId="3989" priority="3853" operator="containsText" text="P">
      <formula>NOT(ISERROR(SEARCH("P",J13)))</formula>
    </cfRule>
    <cfRule type="containsText" dxfId="3988" priority="3854" operator="containsText" text="TFO">
      <formula>NOT(ISERROR(SEARCH("TFO",J13)))</formula>
    </cfRule>
    <cfRule type="containsText" dxfId="3987" priority="3855" operator="containsText" text="AA">
      <formula>NOT(ISERROR(SEARCH("AA",J13)))</formula>
    </cfRule>
    <cfRule type="containsText" dxfId="3986" priority="3856" operator="containsText" text="RESIGNED">
      <formula>NOT(ISERROR(SEARCH("RESIGNED",J13)))</formula>
    </cfRule>
    <cfRule type="containsText" dxfId="3985" priority="3857" operator="containsText" text="P">
      <formula>NOT(ISERROR(SEARCH("P",J13)))</formula>
    </cfRule>
    <cfRule type="containsText" dxfId="3984" priority="3858" operator="containsText" text="TARDY">
      <formula>NOT(ISERROR(SEARCH("TARDY",J13)))</formula>
    </cfRule>
    <cfRule type="containsText" dxfId="3983" priority="3859" operator="containsText" text="REST DAY">
      <formula>NOT(ISERROR(SEARCH("REST DAY",J13)))</formula>
    </cfRule>
    <cfRule type="containsText" dxfId="3982" priority="3860" operator="containsText" text="UA">
      <formula>NOT(ISERROR(SEARCH("UA",J13)))</formula>
    </cfRule>
  </conditionalFormatting>
  <conditionalFormatting sqref="F25:I25">
    <cfRule type="containsText" dxfId="3981" priority="3839" operator="containsText" text="P">
      <formula>NOT(ISERROR(SEARCH("P",F25)))</formula>
    </cfRule>
  </conditionalFormatting>
  <conditionalFormatting sqref="F25:I25">
    <cfRule type="containsText" dxfId="3980" priority="3847" operator="containsText" text="LWOP UA">
      <formula>NOT(ISERROR(SEARCH("LWOP UA",F25)))</formula>
    </cfRule>
  </conditionalFormatting>
  <conditionalFormatting sqref="F25:I25">
    <cfRule type="containsText" dxfId="3979" priority="3840" operator="containsText" text="TFO">
      <formula>NOT(ISERROR(SEARCH("TFO",F25)))</formula>
    </cfRule>
    <cfRule type="containsText" dxfId="3978" priority="3841" operator="containsText" text="AA">
      <formula>NOT(ISERROR(SEARCH("AA",F25)))</formula>
    </cfRule>
    <cfRule type="containsText" dxfId="3977" priority="3842" operator="containsText" text="RESIGNED">
      <formula>NOT(ISERROR(SEARCH("RESIGNED",F25)))</formula>
    </cfRule>
    <cfRule type="containsText" dxfId="3976" priority="3843" operator="containsText" text="P">
      <formula>NOT(ISERROR(SEARCH("P",F25)))</formula>
    </cfRule>
    <cfRule type="containsText" dxfId="3975" priority="3844" operator="containsText" text="TARDY">
      <formula>NOT(ISERROR(SEARCH("TARDY",F25)))</formula>
    </cfRule>
    <cfRule type="containsText" dxfId="3974" priority="3845" operator="containsText" text="REST DAY">
      <formula>NOT(ISERROR(SEARCH("REST DAY",F25)))</formula>
    </cfRule>
    <cfRule type="containsText" dxfId="3973" priority="3846" operator="containsText" text="UA">
      <formula>NOT(ISERROR(SEARCH("UA",F25)))</formula>
    </cfRule>
  </conditionalFormatting>
  <conditionalFormatting sqref="F25:I25 H69 G87:G88">
    <cfRule type="containsText" dxfId="3972" priority="3835" operator="containsText" text="RD">
      <formula>NOT(ISERROR(SEARCH("RD",F25)))</formula>
    </cfRule>
    <cfRule type="containsText" dxfId="3971" priority="3836" operator="containsText" text="540">
      <formula>NOT(ISERROR(SEARCH("540",F25)))</formula>
    </cfRule>
    <cfRule type="cellIs" dxfId="3970" priority="3837" operator="between">
      <formula>1</formula>
      <formula>400</formula>
    </cfRule>
  </conditionalFormatting>
  <conditionalFormatting sqref="F25:I25">
    <cfRule type="containsText" dxfId="3969" priority="3838" operator="containsText" text="LWOP UA">
      <formula>NOT(ISERROR(SEARCH("LWOP UA",F25)))</formula>
    </cfRule>
  </conditionalFormatting>
  <conditionalFormatting sqref="F25:I25 H69 G87:G88">
    <cfRule type="containsText" dxfId="3968" priority="3834" operator="containsText" text="VL">
      <formula>NOT(ISERROR(SEARCH("VL",F25)))</formula>
    </cfRule>
  </conditionalFormatting>
  <conditionalFormatting sqref="H27:I27">
    <cfRule type="containsText" dxfId="3967" priority="3825" operator="containsText" text="P">
      <formula>NOT(ISERROR(SEARCH("P",H27)))</formula>
    </cfRule>
  </conditionalFormatting>
  <conditionalFormatting sqref="H27:I27">
    <cfRule type="containsText" dxfId="3966" priority="3833" operator="containsText" text="LWOP UA">
      <formula>NOT(ISERROR(SEARCH("LWOP UA",H27)))</formula>
    </cfRule>
  </conditionalFormatting>
  <conditionalFormatting sqref="H27:I27">
    <cfRule type="containsText" dxfId="3965" priority="3826" operator="containsText" text="TFO">
      <formula>NOT(ISERROR(SEARCH("TFO",H27)))</formula>
    </cfRule>
    <cfRule type="containsText" dxfId="3964" priority="3827" operator="containsText" text="AA">
      <formula>NOT(ISERROR(SEARCH("AA",H27)))</formula>
    </cfRule>
    <cfRule type="containsText" dxfId="3963" priority="3828" operator="containsText" text="RESIGNED">
      <formula>NOT(ISERROR(SEARCH("RESIGNED",H27)))</formula>
    </cfRule>
    <cfRule type="containsText" dxfId="3962" priority="3829" operator="containsText" text="P">
      <formula>NOT(ISERROR(SEARCH("P",H27)))</formula>
    </cfRule>
    <cfRule type="containsText" dxfId="3961" priority="3830" operator="containsText" text="TARDY">
      <formula>NOT(ISERROR(SEARCH("TARDY",H27)))</formula>
    </cfRule>
    <cfRule type="containsText" dxfId="3960" priority="3831" operator="containsText" text="REST DAY">
      <formula>NOT(ISERROR(SEARCH("REST DAY",H27)))</formula>
    </cfRule>
    <cfRule type="containsText" dxfId="3959" priority="3832" operator="containsText" text="UA">
      <formula>NOT(ISERROR(SEARCH("UA",H27)))</formula>
    </cfRule>
  </conditionalFormatting>
  <conditionalFormatting sqref="H27:I27">
    <cfRule type="containsText" dxfId="3958" priority="3821" operator="containsText" text="RD">
      <formula>NOT(ISERROR(SEARCH("RD",H27)))</formula>
    </cfRule>
    <cfRule type="containsText" dxfId="3957" priority="3822" operator="containsText" text="540">
      <formula>NOT(ISERROR(SEARCH("540",H27)))</formula>
    </cfRule>
    <cfRule type="cellIs" dxfId="3956" priority="3823" operator="between">
      <formula>1</formula>
      <formula>400</formula>
    </cfRule>
  </conditionalFormatting>
  <conditionalFormatting sqref="H27:I27">
    <cfRule type="containsText" dxfId="3955" priority="3824" operator="containsText" text="LWOP UA">
      <formula>NOT(ISERROR(SEARCH("LWOP UA",H27)))</formula>
    </cfRule>
  </conditionalFormatting>
  <conditionalFormatting sqref="H27:I27">
    <cfRule type="containsText" dxfId="3954" priority="3820" operator="containsText" text="VL">
      <formula>NOT(ISERROR(SEARCH("VL",H27)))</formula>
    </cfRule>
  </conditionalFormatting>
  <conditionalFormatting sqref="F30:I30">
    <cfRule type="containsText" dxfId="3953" priority="3811" operator="containsText" text="P">
      <formula>NOT(ISERROR(SEARCH("P",F30)))</formula>
    </cfRule>
  </conditionalFormatting>
  <conditionalFormatting sqref="F30:I30">
    <cfRule type="containsText" dxfId="3952" priority="3819" operator="containsText" text="LWOP UA">
      <formula>NOT(ISERROR(SEARCH("LWOP UA",F30)))</formula>
    </cfRule>
  </conditionalFormatting>
  <conditionalFormatting sqref="F30:I30">
    <cfRule type="containsText" dxfId="3951" priority="3812" operator="containsText" text="TFO">
      <formula>NOT(ISERROR(SEARCH("TFO",F30)))</formula>
    </cfRule>
    <cfRule type="containsText" dxfId="3950" priority="3813" operator="containsText" text="AA">
      <formula>NOT(ISERROR(SEARCH("AA",F30)))</formula>
    </cfRule>
    <cfRule type="containsText" dxfId="3949" priority="3814" operator="containsText" text="RESIGNED">
      <formula>NOT(ISERROR(SEARCH("RESIGNED",F30)))</formula>
    </cfRule>
    <cfRule type="containsText" dxfId="3948" priority="3815" operator="containsText" text="P">
      <formula>NOT(ISERROR(SEARCH("P",F30)))</formula>
    </cfRule>
    <cfRule type="containsText" dxfId="3947" priority="3816" operator="containsText" text="TARDY">
      <formula>NOT(ISERROR(SEARCH("TARDY",F30)))</formula>
    </cfRule>
    <cfRule type="containsText" dxfId="3946" priority="3817" operator="containsText" text="REST DAY">
      <formula>NOT(ISERROR(SEARCH("REST DAY",F30)))</formula>
    </cfRule>
    <cfRule type="containsText" dxfId="3945" priority="3818" operator="containsText" text="UA">
      <formula>NOT(ISERROR(SEARCH("UA",F30)))</formula>
    </cfRule>
  </conditionalFormatting>
  <conditionalFormatting sqref="F30:I30">
    <cfRule type="containsText" dxfId="3944" priority="3807" operator="containsText" text="RD">
      <formula>NOT(ISERROR(SEARCH("RD",F30)))</formula>
    </cfRule>
    <cfRule type="containsText" dxfId="3943" priority="3808" operator="containsText" text="540">
      <formula>NOT(ISERROR(SEARCH("540",F30)))</formula>
    </cfRule>
    <cfRule type="cellIs" dxfId="3942" priority="3809" operator="between">
      <formula>1</formula>
      <formula>400</formula>
    </cfRule>
  </conditionalFormatting>
  <conditionalFormatting sqref="F30:I30">
    <cfRule type="containsText" dxfId="3941" priority="3810" operator="containsText" text="LWOP UA">
      <formula>NOT(ISERROR(SEARCH("LWOP UA",F30)))</formula>
    </cfRule>
  </conditionalFormatting>
  <conditionalFormatting sqref="F30:I30">
    <cfRule type="containsText" dxfId="3940" priority="3806" operator="containsText" text="VL">
      <formula>NOT(ISERROR(SEARCH("VL",F30)))</formula>
    </cfRule>
  </conditionalFormatting>
  <conditionalFormatting sqref="G36:I36">
    <cfRule type="containsText" dxfId="3939" priority="3805" operator="containsText" text="LWOP UA">
      <formula>NOT(ISERROR(SEARCH("LWOP UA",G36)))</formula>
    </cfRule>
  </conditionalFormatting>
  <conditionalFormatting sqref="G36:I36">
    <cfRule type="containsText" dxfId="3938" priority="3792" operator="containsText" text="VL">
      <formula>NOT(ISERROR(SEARCH("VL",G36)))</formula>
    </cfRule>
    <cfRule type="containsText" dxfId="3937" priority="3793" operator="containsText" text="RD">
      <formula>NOT(ISERROR(SEARCH("RD",G36)))</formula>
    </cfRule>
    <cfRule type="containsText" dxfId="3936" priority="3794" operator="containsText" text="540">
      <formula>NOT(ISERROR(SEARCH("540",G36)))</formula>
    </cfRule>
    <cfRule type="cellIs" dxfId="3935" priority="3795" operator="between">
      <formula>1</formula>
      <formula>400</formula>
    </cfRule>
  </conditionalFormatting>
  <conditionalFormatting sqref="G36:I36">
    <cfRule type="containsText" dxfId="3934" priority="3797" operator="containsText" text="P">
      <formula>NOT(ISERROR(SEARCH("P",G36)))</formula>
    </cfRule>
    <cfRule type="containsText" dxfId="3933" priority="3798" operator="containsText" text="TFO">
      <formula>NOT(ISERROR(SEARCH("TFO",G36)))</formula>
    </cfRule>
    <cfRule type="containsText" dxfId="3932" priority="3799" operator="containsText" text="AA">
      <formula>NOT(ISERROR(SEARCH("AA",G36)))</formula>
    </cfRule>
    <cfRule type="containsText" dxfId="3931" priority="3800" operator="containsText" text="RESIGNED">
      <formula>NOT(ISERROR(SEARCH("RESIGNED",G36)))</formula>
    </cfRule>
    <cfRule type="containsText" dxfId="3930" priority="3801" operator="containsText" text="P">
      <formula>NOT(ISERROR(SEARCH("P",G36)))</formula>
    </cfRule>
    <cfRule type="containsText" dxfId="3929" priority="3802" operator="containsText" text="TARDY">
      <formula>NOT(ISERROR(SEARCH("TARDY",G36)))</formula>
    </cfRule>
    <cfRule type="containsText" dxfId="3928" priority="3803" operator="containsText" text="REST DAY">
      <formula>NOT(ISERROR(SEARCH("REST DAY",G36)))</formula>
    </cfRule>
    <cfRule type="containsText" dxfId="3927" priority="3804" operator="containsText" text="UA">
      <formula>NOT(ISERROR(SEARCH("UA",G36)))</formula>
    </cfRule>
  </conditionalFormatting>
  <conditionalFormatting sqref="G36:I36">
    <cfRule type="containsText" dxfId="3926" priority="3796" operator="containsText" text="LWOP UA">
      <formula>NOT(ISERROR(SEARCH("LWOP UA",G36)))</formula>
    </cfRule>
  </conditionalFormatting>
  <conditionalFormatting sqref="G49:I49">
    <cfRule type="containsText" dxfId="3925" priority="3783" operator="containsText" text="P">
      <formula>NOT(ISERROR(SEARCH("P",G49)))</formula>
    </cfRule>
  </conditionalFormatting>
  <conditionalFormatting sqref="F49">
    <cfRule type="containsText" dxfId="3924" priority="3773" operator="containsText" text="LWOP UA">
      <formula>NOT(ISERROR(SEARCH("LWOP UA",F49)))</formula>
    </cfRule>
    <cfRule type="containsText" dxfId="3923" priority="3774" operator="containsText" text="P">
      <formula>NOT(ISERROR(SEARCH("P",F49)))</formula>
    </cfRule>
    <cfRule type="containsText" dxfId="3922" priority="3775" operator="containsText" text="TFO">
      <formula>NOT(ISERROR(SEARCH("TFO",F49)))</formula>
    </cfRule>
    <cfRule type="containsText" dxfId="3921" priority="3776" operator="containsText" text="AA">
      <formula>NOT(ISERROR(SEARCH("AA",F49)))</formula>
    </cfRule>
    <cfRule type="containsText" dxfId="3920" priority="3777" operator="containsText" text="RESIGNED">
      <formula>NOT(ISERROR(SEARCH("RESIGNED",F49)))</formula>
    </cfRule>
    <cfRule type="containsText" dxfId="3919" priority="3778" operator="containsText" text="P">
      <formula>NOT(ISERROR(SEARCH("P",F49)))</formula>
    </cfRule>
    <cfRule type="containsText" dxfId="3918" priority="3779" operator="containsText" text="TARDY">
      <formula>NOT(ISERROR(SEARCH("TARDY",F49)))</formula>
    </cfRule>
    <cfRule type="containsText" dxfId="3917" priority="3780" operator="containsText" text="REST DAY">
      <formula>NOT(ISERROR(SEARCH("REST DAY",F49)))</formula>
    </cfRule>
    <cfRule type="containsText" dxfId="3916" priority="3781" operator="containsText" text="UA">
      <formula>NOT(ISERROR(SEARCH("UA",F49)))</formula>
    </cfRule>
  </conditionalFormatting>
  <conditionalFormatting sqref="G49:I49">
    <cfRule type="containsText" dxfId="3915" priority="3791" operator="containsText" text="LWOP UA">
      <formula>NOT(ISERROR(SEARCH("LWOP UA",G49)))</formula>
    </cfRule>
  </conditionalFormatting>
  <conditionalFormatting sqref="G49:I49">
    <cfRule type="containsText" dxfId="3914" priority="3784" operator="containsText" text="TFO">
      <formula>NOT(ISERROR(SEARCH("TFO",G49)))</formula>
    </cfRule>
    <cfRule type="containsText" dxfId="3913" priority="3785" operator="containsText" text="AA">
      <formula>NOT(ISERROR(SEARCH("AA",G49)))</formula>
    </cfRule>
    <cfRule type="containsText" dxfId="3912" priority="3786" operator="containsText" text="RESIGNED">
      <formula>NOT(ISERROR(SEARCH("RESIGNED",G49)))</formula>
    </cfRule>
    <cfRule type="containsText" dxfId="3911" priority="3787" operator="containsText" text="P">
      <formula>NOT(ISERROR(SEARCH("P",G49)))</formula>
    </cfRule>
    <cfRule type="containsText" dxfId="3910" priority="3788" operator="containsText" text="TARDY">
      <formula>NOT(ISERROR(SEARCH("TARDY",G49)))</formula>
    </cfRule>
    <cfRule type="containsText" dxfId="3909" priority="3789" operator="containsText" text="REST DAY">
      <formula>NOT(ISERROR(SEARCH("REST DAY",G49)))</formula>
    </cfRule>
    <cfRule type="containsText" dxfId="3908" priority="3790" operator="containsText" text="UA">
      <formula>NOT(ISERROR(SEARCH("UA",G49)))</formula>
    </cfRule>
  </conditionalFormatting>
  <conditionalFormatting sqref="F49:I49">
    <cfRule type="containsText" dxfId="3907" priority="3769" operator="containsText" text="VL">
      <formula>NOT(ISERROR(SEARCH("VL",F49)))</formula>
    </cfRule>
    <cfRule type="containsText" dxfId="3906" priority="3770" operator="containsText" text="RD">
      <formula>NOT(ISERROR(SEARCH("RD",F49)))</formula>
    </cfRule>
    <cfRule type="containsText" dxfId="3905" priority="3771" operator="containsText" text="540">
      <formula>NOT(ISERROR(SEARCH("540",F49)))</formula>
    </cfRule>
    <cfRule type="cellIs" dxfId="3904" priority="3772" operator="between">
      <formula>1</formula>
      <formula>400</formula>
    </cfRule>
  </conditionalFormatting>
  <conditionalFormatting sqref="F49:I49">
    <cfRule type="containsText" dxfId="3903" priority="3782" operator="containsText" text="LWOP UA">
      <formula>NOT(ISERROR(SEARCH("LWOP UA",F49)))</formula>
    </cfRule>
  </conditionalFormatting>
  <conditionalFormatting sqref="F62">
    <cfRule type="containsText" dxfId="3902" priority="3740" operator="containsText" text="LWOP UA">
      <formula>NOT(ISERROR(SEARCH("LWOP UA",F62)))</formula>
    </cfRule>
    <cfRule type="containsText" dxfId="3901" priority="3741" operator="containsText" text="P">
      <formula>NOT(ISERROR(SEARCH("P",F62)))</formula>
    </cfRule>
    <cfRule type="containsText" dxfId="3900" priority="3742" operator="containsText" text="TFO">
      <formula>NOT(ISERROR(SEARCH("TFO",F62)))</formula>
    </cfRule>
    <cfRule type="containsText" dxfId="3899" priority="3743" operator="containsText" text="AA">
      <formula>NOT(ISERROR(SEARCH("AA",F62)))</formula>
    </cfRule>
    <cfRule type="containsText" dxfId="3898" priority="3744" operator="containsText" text="RESIGNED">
      <formula>NOT(ISERROR(SEARCH("RESIGNED",F62)))</formula>
    </cfRule>
    <cfRule type="containsText" dxfId="3897" priority="3745" operator="containsText" text="P">
      <formula>NOT(ISERROR(SEARCH("P",F62)))</formula>
    </cfRule>
    <cfRule type="containsText" dxfId="3896" priority="3746" operator="containsText" text="TARDY">
      <formula>NOT(ISERROR(SEARCH("TARDY",F62)))</formula>
    </cfRule>
    <cfRule type="containsText" dxfId="3895" priority="3747" operator="containsText" text="REST DAY">
      <formula>NOT(ISERROR(SEARCH("REST DAY",F62)))</formula>
    </cfRule>
    <cfRule type="containsText" dxfId="3894" priority="3748" operator="containsText" text="UA">
      <formula>NOT(ISERROR(SEARCH("UA",F62)))</formula>
    </cfRule>
  </conditionalFormatting>
  <conditionalFormatting sqref="H62:I62">
    <cfRule type="containsText" dxfId="3893" priority="3760" operator="containsText" text="P">
      <formula>NOT(ISERROR(SEARCH("P",H62)))</formula>
    </cfRule>
  </conditionalFormatting>
  <conditionalFormatting sqref="G62">
    <cfRule type="containsText" dxfId="3892" priority="3750" operator="containsText" text="P">
      <formula>NOT(ISERROR(SEARCH("P",G62)))</formula>
    </cfRule>
    <cfRule type="containsText" dxfId="3891" priority="3751" operator="containsText" text="TFO">
      <formula>NOT(ISERROR(SEARCH("TFO",G62)))</formula>
    </cfRule>
    <cfRule type="containsText" dxfId="3890" priority="3752" operator="containsText" text="AA">
      <formula>NOT(ISERROR(SEARCH("AA",G62)))</formula>
    </cfRule>
    <cfRule type="containsText" dxfId="3889" priority="3753" operator="containsText" text="RESIGNED">
      <formula>NOT(ISERROR(SEARCH("RESIGNED",G62)))</formula>
    </cfRule>
    <cfRule type="containsText" dxfId="3888" priority="3754" operator="containsText" text="P">
      <formula>NOT(ISERROR(SEARCH("P",G62)))</formula>
    </cfRule>
    <cfRule type="containsText" dxfId="3887" priority="3755" operator="containsText" text="TARDY">
      <formula>NOT(ISERROR(SEARCH("TARDY",G62)))</formula>
    </cfRule>
    <cfRule type="containsText" dxfId="3886" priority="3756" operator="containsText" text="REST DAY">
      <formula>NOT(ISERROR(SEARCH("REST DAY",G62)))</formula>
    </cfRule>
    <cfRule type="containsText" dxfId="3885" priority="3757" operator="containsText" text="UA">
      <formula>NOT(ISERROR(SEARCH("UA",G62)))</formula>
    </cfRule>
    <cfRule type="containsText" dxfId="3884" priority="3758" operator="containsText" text="LWOP UA">
      <formula>NOT(ISERROR(SEARCH("LWOP UA",G62)))</formula>
    </cfRule>
  </conditionalFormatting>
  <conditionalFormatting sqref="F62:G62">
    <cfRule type="containsText" dxfId="3883" priority="3749" operator="containsText" text="LWOP UA">
      <formula>NOT(ISERROR(SEARCH("LWOP UA",F62)))</formula>
    </cfRule>
  </conditionalFormatting>
  <conditionalFormatting sqref="H62:I62">
    <cfRule type="containsText" dxfId="3882" priority="3768" operator="containsText" text="LWOP UA">
      <formula>NOT(ISERROR(SEARCH("LWOP UA",H62)))</formula>
    </cfRule>
  </conditionalFormatting>
  <conditionalFormatting sqref="H62:I62">
    <cfRule type="containsText" dxfId="3881" priority="3761" operator="containsText" text="TFO">
      <formula>NOT(ISERROR(SEARCH("TFO",H62)))</formula>
    </cfRule>
    <cfRule type="containsText" dxfId="3880" priority="3762" operator="containsText" text="AA">
      <formula>NOT(ISERROR(SEARCH("AA",H62)))</formula>
    </cfRule>
    <cfRule type="containsText" dxfId="3879" priority="3763" operator="containsText" text="RESIGNED">
      <formula>NOT(ISERROR(SEARCH("RESIGNED",H62)))</formula>
    </cfRule>
    <cfRule type="containsText" dxfId="3878" priority="3764" operator="containsText" text="P">
      <formula>NOT(ISERROR(SEARCH("P",H62)))</formula>
    </cfRule>
    <cfRule type="containsText" dxfId="3877" priority="3765" operator="containsText" text="TARDY">
      <formula>NOT(ISERROR(SEARCH("TARDY",H62)))</formula>
    </cfRule>
    <cfRule type="containsText" dxfId="3876" priority="3766" operator="containsText" text="REST DAY">
      <formula>NOT(ISERROR(SEARCH("REST DAY",H62)))</formula>
    </cfRule>
    <cfRule type="containsText" dxfId="3875" priority="3767" operator="containsText" text="UA">
      <formula>NOT(ISERROR(SEARCH("UA",H62)))</formula>
    </cfRule>
  </conditionalFormatting>
  <conditionalFormatting sqref="F62:I62">
    <cfRule type="containsText" dxfId="3874" priority="3736" operator="containsText" text="VL">
      <formula>NOT(ISERROR(SEARCH("VL",F62)))</formula>
    </cfRule>
    <cfRule type="containsText" dxfId="3873" priority="3737" operator="containsText" text="RD">
      <formula>NOT(ISERROR(SEARCH("RD",F62)))</formula>
    </cfRule>
    <cfRule type="containsText" dxfId="3872" priority="3738" operator="containsText" text="540">
      <formula>NOT(ISERROR(SEARCH("540",F62)))</formula>
    </cfRule>
    <cfRule type="cellIs" dxfId="3871" priority="3739" operator="between">
      <formula>1</formula>
      <formula>400</formula>
    </cfRule>
  </conditionalFormatting>
  <conditionalFormatting sqref="H62:I62">
    <cfRule type="containsText" dxfId="3870" priority="3759" operator="containsText" text="LWOP UA">
      <formula>NOT(ISERROR(SEARCH("LWOP UA",H62)))</formula>
    </cfRule>
  </conditionalFormatting>
  <conditionalFormatting sqref="F67:I67">
    <cfRule type="containsText" dxfId="3869" priority="3727" operator="containsText" text="P">
      <formula>NOT(ISERROR(SEARCH("P",F67)))</formula>
    </cfRule>
  </conditionalFormatting>
  <conditionalFormatting sqref="F67:I67">
    <cfRule type="containsText" dxfId="3868" priority="3735" operator="containsText" text="LWOP UA">
      <formula>NOT(ISERROR(SEARCH("LWOP UA",F67)))</formula>
    </cfRule>
  </conditionalFormatting>
  <conditionalFormatting sqref="F67:I67">
    <cfRule type="containsText" dxfId="3867" priority="3728" operator="containsText" text="TFO">
      <formula>NOT(ISERROR(SEARCH("TFO",F67)))</formula>
    </cfRule>
    <cfRule type="containsText" dxfId="3866" priority="3729" operator="containsText" text="AA">
      <formula>NOT(ISERROR(SEARCH("AA",F67)))</formula>
    </cfRule>
    <cfRule type="containsText" dxfId="3865" priority="3730" operator="containsText" text="RESIGNED">
      <formula>NOT(ISERROR(SEARCH("RESIGNED",F67)))</formula>
    </cfRule>
    <cfRule type="containsText" dxfId="3864" priority="3731" operator="containsText" text="P">
      <formula>NOT(ISERROR(SEARCH("P",F67)))</formula>
    </cfRule>
    <cfRule type="containsText" dxfId="3863" priority="3732" operator="containsText" text="TARDY">
      <formula>NOT(ISERROR(SEARCH("TARDY",F67)))</formula>
    </cfRule>
    <cfRule type="containsText" dxfId="3862" priority="3733" operator="containsText" text="REST DAY">
      <formula>NOT(ISERROR(SEARCH("REST DAY",F67)))</formula>
    </cfRule>
    <cfRule type="containsText" dxfId="3861" priority="3734" operator="containsText" text="UA">
      <formula>NOT(ISERROR(SEARCH("UA",F67)))</formula>
    </cfRule>
  </conditionalFormatting>
  <conditionalFormatting sqref="F67:I67">
    <cfRule type="containsText" dxfId="3860" priority="3723" operator="containsText" text="RD">
      <formula>NOT(ISERROR(SEARCH("RD",F67)))</formula>
    </cfRule>
    <cfRule type="containsText" dxfId="3859" priority="3724" operator="containsText" text="540">
      <formula>NOT(ISERROR(SEARCH("540",F67)))</formula>
    </cfRule>
    <cfRule type="cellIs" dxfId="3858" priority="3725" operator="between">
      <formula>1</formula>
      <formula>400</formula>
    </cfRule>
  </conditionalFormatting>
  <conditionalFormatting sqref="F67:I67">
    <cfRule type="containsText" dxfId="3857" priority="3726" operator="containsText" text="LWOP UA">
      <formula>NOT(ISERROR(SEARCH("LWOP UA",F67)))</formula>
    </cfRule>
  </conditionalFormatting>
  <conditionalFormatting sqref="F67:I67">
    <cfRule type="containsText" dxfId="3856" priority="3722" operator="containsText" text="VL">
      <formula>NOT(ISERROR(SEARCH("VL",F67)))</formula>
    </cfRule>
  </conditionalFormatting>
  <conditionalFormatting sqref="F74:I74">
    <cfRule type="containsText" dxfId="3855" priority="3713" operator="containsText" text="P">
      <formula>NOT(ISERROR(SEARCH("P",F74)))</formula>
    </cfRule>
  </conditionalFormatting>
  <conditionalFormatting sqref="F74:I74">
    <cfRule type="containsText" dxfId="3854" priority="3721" operator="containsText" text="LWOP UA">
      <formula>NOT(ISERROR(SEARCH("LWOP UA",F74)))</formula>
    </cfRule>
  </conditionalFormatting>
  <conditionalFormatting sqref="F74:I74">
    <cfRule type="containsText" dxfId="3853" priority="3714" operator="containsText" text="TFO">
      <formula>NOT(ISERROR(SEARCH("TFO",F74)))</formula>
    </cfRule>
    <cfRule type="containsText" dxfId="3852" priority="3715" operator="containsText" text="AA">
      <formula>NOT(ISERROR(SEARCH("AA",F74)))</formula>
    </cfRule>
    <cfRule type="containsText" dxfId="3851" priority="3716" operator="containsText" text="RESIGNED">
      <formula>NOT(ISERROR(SEARCH("RESIGNED",F74)))</formula>
    </cfRule>
    <cfRule type="containsText" dxfId="3850" priority="3717" operator="containsText" text="P">
      <formula>NOT(ISERROR(SEARCH("P",F74)))</formula>
    </cfRule>
    <cfRule type="containsText" dxfId="3849" priority="3718" operator="containsText" text="TARDY">
      <formula>NOT(ISERROR(SEARCH("TARDY",F74)))</formula>
    </cfRule>
    <cfRule type="containsText" dxfId="3848" priority="3719" operator="containsText" text="REST DAY">
      <formula>NOT(ISERROR(SEARCH("REST DAY",F74)))</formula>
    </cfRule>
    <cfRule type="containsText" dxfId="3847" priority="3720" operator="containsText" text="UA">
      <formula>NOT(ISERROR(SEARCH("UA",F74)))</formula>
    </cfRule>
  </conditionalFormatting>
  <conditionalFormatting sqref="F74:I74">
    <cfRule type="containsText" dxfId="3846" priority="3709" operator="containsText" text="RD">
      <formula>NOT(ISERROR(SEARCH("RD",F74)))</formula>
    </cfRule>
    <cfRule type="containsText" dxfId="3845" priority="3710" operator="containsText" text="540">
      <formula>NOT(ISERROR(SEARCH("540",F74)))</formula>
    </cfRule>
    <cfRule type="cellIs" dxfId="3844" priority="3711" operator="between">
      <formula>1</formula>
      <formula>400</formula>
    </cfRule>
  </conditionalFormatting>
  <conditionalFormatting sqref="F74:I74">
    <cfRule type="containsText" dxfId="3843" priority="3712" operator="containsText" text="LWOP UA">
      <formula>NOT(ISERROR(SEARCH("LWOP UA",F74)))</formula>
    </cfRule>
  </conditionalFormatting>
  <conditionalFormatting sqref="F74:I74">
    <cfRule type="containsText" dxfId="3842" priority="3708" operator="containsText" text="VL">
      <formula>NOT(ISERROR(SEARCH("VL",F74)))</formula>
    </cfRule>
  </conditionalFormatting>
  <conditionalFormatting sqref="F77:I77">
    <cfRule type="containsText" dxfId="3841" priority="3699" operator="containsText" text="P">
      <formula>NOT(ISERROR(SEARCH("P",F77)))</formula>
    </cfRule>
  </conditionalFormatting>
  <conditionalFormatting sqref="F77:I77">
    <cfRule type="containsText" dxfId="3840" priority="3698" operator="containsText" text="LWOP UA">
      <formula>NOT(ISERROR(SEARCH("LWOP UA",F77)))</formula>
    </cfRule>
  </conditionalFormatting>
  <conditionalFormatting sqref="F77:I77">
    <cfRule type="containsText" dxfId="3839" priority="3707" operator="containsText" text="LWOP UA">
      <formula>NOT(ISERROR(SEARCH("LWOP UA",F77)))</formula>
    </cfRule>
  </conditionalFormatting>
  <conditionalFormatting sqref="F77:I77">
    <cfRule type="containsText" dxfId="3838" priority="3700" operator="containsText" text="TFO">
      <formula>NOT(ISERROR(SEARCH("TFO",F77)))</formula>
    </cfRule>
    <cfRule type="containsText" dxfId="3837" priority="3701" operator="containsText" text="AA">
      <formula>NOT(ISERROR(SEARCH("AA",F77)))</formula>
    </cfRule>
    <cfRule type="containsText" dxfId="3836" priority="3702" operator="containsText" text="RESIGNED">
      <formula>NOT(ISERROR(SEARCH("RESIGNED",F77)))</formula>
    </cfRule>
    <cfRule type="containsText" dxfId="3835" priority="3703" operator="containsText" text="P">
      <formula>NOT(ISERROR(SEARCH("P",F77)))</formula>
    </cfRule>
    <cfRule type="containsText" dxfId="3834" priority="3704" operator="containsText" text="TARDY">
      <formula>NOT(ISERROR(SEARCH("TARDY",F77)))</formula>
    </cfRule>
    <cfRule type="containsText" dxfId="3833" priority="3705" operator="containsText" text="REST DAY">
      <formula>NOT(ISERROR(SEARCH("REST DAY",F77)))</formula>
    </cfRule>
    <cfRule type="containsText" dxfId="3832" priority="3706" operator="containsText" text="UA">
      <formula>NOT(ISERROR(SEARCH("UA",F77)))</formula>
    </cfRule>
  </conditionalFormatting>
  <conditionalFormatting sqref="F77:I77">
    <cfRule type="containsText" dxfId="3831" priority="3694" operator="containsText" text="VL">
      <formula>NOT(ISERROR(SEARCH("VL",F77)))</formula>
    </cfRule>
    <cfRule type="containsText" dxfId="3830" priority="3695" operator="containsText" text="RD">
      <formula>NOT(ISERROR(SEARCH("RD",F77)))</formula>
    </cfRule>
    <cfRule type="containsText" dxfId="3829" priority="3696" operator="containsText" text="540">
      <formula>NOT(ISERROR(SEARCH("540",F77)))</formula>
    </cfRule>
    <cfRule type="cellIs" dxfId="3828" priority="3697" operator="between">
      <formula>1</formula>
      <formula>400</formula>
    </cfRule>
  </conditionalFormatting>
  <conditionalFormatting sqref="F81:H81">
    <cfRule type="containsText" dxfId="3827" priority="3685" operator="containsText" text="P">
      <formula>NOT(ISERROR(SEARCH("P",F81)))</formula>
    </cfRule>
  </conditionalFormatting>
  <conditionalFormatting sqref="F81:H81">
    <cfRule type="containsText" dxfId="3826" priority="3693" operator="containsText" text="LWOP UA">
      <formula>NOT(ISERROR(SEARCH("LWOP UA",F81)))</formula>
    </cfRule>
  </conditionalFormatting>
  <conditionalFormatting sqref="F81:H81">
    <cfRule type="containsText" dxfId="3825" priority="3686" operator="containsText" text="TFO">
      <formula>NOT(ISERROR(SEARCH("TFO",F81)))</formula>
    </cfRule>
    <cfRule type="containsText" dxfId="3824" priority="3687" operator="containsText" text="AA">
      <formula>NOT(ISERROR(SEARCH("AA",F81)))</formula>
    </cfRule>
    <cfRule type="containsText" dxfId="3823" priority="3688" operator="containsText" text="RESIGNED">
      <formula>NOT(ISERROR(SEARCH("RESIGNED",F81)))</formula>
    </cfRule>
    <cfRule type="containsText" dxfId="3822" priority="3689" operator="containsText" text="P">
      <formula>NOT(ISERROR(SEARCH("P",F81)))</formula>
    </cfRule>
    <cfRule type="containsText" dxfId="3821" priority="3690" operator="containsText" text="TARDY">
      <formula>NOT(ISERROR(SEARCH("TARDY",F81)))</formula>
    </cfRule>
    <cfRule type="containsText" dxfId="3820" priority="3691" operator="containsText" text="REST DAY">
      <formula>NOT(ISERROR(SEARCH("REST DAY",F81)))</formula>
    </cfRule>
    <cfRule type="containsText" dxfId="3819" priority="3692" operator="containsText" text="UA">
      <formula>NOT(ISERROR(SEARCH("UA",F81)))</formula>
    </cfRule>
  </conditionalFormatting>
  <conditionalFormatting sqref="F81:H81">
    <cfRule type="containsText" dxfId="3818" priority="3681" operator="containsText" text="RD">
      <formula>NOT(ISERROR(SEARCH("RD",F81)))</formula>
    </cfRule>
    <cfRule type="containsText" dxfId="3817" priority="3682" operator="containsText" text="540">
      <formula>NOT(ISERROR(SEARCH("540",F81)))</formula>
    </cfRule>
    <cfRule type="cellIs" dxfId="3816" priority="3683" operator="between">
      <formula>1</formula>
      <formula>400</formula>
    </cfRule>
  </conditionalFormatting>
  <conditionalFormatting sqref="F81:H81">
    <cfRule type="containsText" dxfId="3815" priority="3684" operator="containsText" text="LWOP UA">
      <formula>NOT(ISERROR(SEARCH("LWOP UA",F81)))</formula>
    </cfRule>
  </conditionalFormatting>
  <conditionalFormatting sqref="F81:H81">
    <cfRule type="containsText" dxfId="3814" priority="3680" operator="containsText" text="VL">
      <formula>NOT(ISERROR(SEARCH("VL",F81)))</formula>
    </cfRule>
  </conditionalFormatting>
  <conditionalFormatting sqref="F82:I82">
    <cfRule type="containsText" dxfId="3813" priority="3671" operator="containsText" text="P">
      <formula>NOT(ISERROR(SEARCH("P",F82)))</formula>
    </cfRule>
  </conditionalFormatting>
  <conditionalFormatting sqref="F82:I82">
    <cfRule type="containsText" dxfId="3812" priority="3679" operator="containsText" text="LWOP UA">
      <formula>NOT(ISERROR(SEARCH("LWOP UA",F82)))</formula>
    </cfRule>
  </conditionalFormatting>
  <conditionalFormatting sqref="F82:I82">
    <cfRule type="containsText" dxfId="3811" priority="3672" operator="containsText" text="TFO">
      <formula>NOT(ISERROR(SEARCH("TFO",F82)))</formula>
    </cfRule>
    <cfRule type="containsText" dxfId="3810" priority="3673" operator="containsText" text="AA">
      <formula>NOT(ISERROR(SEARCH("AA",F82)))</formula>
    </cfRule>
    <cfRule type="containsText" dxfId="3809" priority="3674" operator="containsText" text="RESIGNED">
      <formula>NOT(ISERROR(SEARCH("RESIGNED",F82)))</formula>
    </cfRule>
    <cfRule type="containsText" dxfId="3808" priority="3675" operator="containsText" text="P">
      <formula>NOT(ISERROR(SEARCH("P",F82)))</formula>
    </cfRule>
    <cfRule type="containsText" dxfId="3807" priority="3676" operator="containsText" text="TARDY">
      <formula>NOT(ISERROR(SEARCH("TARDY",F82)))</formula>
    </cfRule>
    <cfRule type="containsText" dxfId="3806" priority="3677" operator="containsText" text="REST DAY">
      <formula>NOT(ISERROR(SEARCH("REST DAY",F82)))</formula>
    </cfRule>
    <cfRule type="containsText" dxfId="3805" priority="3678" operator="containsText" text="UA">
      <formula>NOT(ISERROR(SEARCH("UA",F82)))</formula>
    </cfRule>
  </conditionalFormatting>
  <conditionalFormatting sqref="F82:I82">
    <cfRule type="containsText" dxfId="3804" priority="3667" operator="containsText" text="RD">
      <formula>NOT(ISERROR(SEARCH("RD",F82)))</formula>
    </cfRule>
    <cfRule type="containsText" dxfId="3803" priority="3668" operator="containsText" text="540">
      <formula>NOT(ISERROR(SEARCH("540",F82)))</formula>
    </cfRule>
    <cfRule type="cellIs" dxfId="3802" priority="3669" operator="between">
      <formula>1</formula>
      <formula>400</formula>
    </cfRule>
  </conditionalFormatting>
  <conditionalFormatting sqref="F82:I82">
    <cfRule type="containsText" dxfId="3801" priority="3670" operator="containsText" text="LWOP UA">
      <formula>NOT(ISERROR(SEARCH("LWOP UA",F82)))</formula>
    </cfRule>
  </conditionalFormatting>
  <conditionalFormatting sqref="F82:I82">
    <cfRule type="containsText" dxfId="3800" priority="3666" operator="containsText" text="VL">
      <formula>NOT(ISERROR(SEARCH("VL",F82)))</formula>
    </cfRule>
  </conditionalFormatting>
  <conditionalFormatting sqref="E86:G86 J86">
    <cfRule type="containsText" dxfId="3799" priority="3657" operator="containsText" text="P">
      <formula>NOT(ISERROR(SEARCH("P",E86)))</formula>
    </cfRule>
  </conditionalFormatting>
  <conditionalFormatting sqref="E86:G86 J86">
    <cfRule type="containsText" dxfId="3798" priority="3665" operator="containsText" text="LWOP UA">
      <formula>NOT(ISERROR(SEARCH("LWOP UA",E86)))</formula>
    </cfRule>
  </conditionalFormatting>
  <conditionalFormatting sqref="E86:G86 J86">
    <cfRule type="containsText" dxfId="3797" priority="3658" operator="containsText" text="TFO">
      <formula>NOT(ISERROR(SEARCH("TFO",E86)))</formula>
    </cfRule>
    <cfRule type="containsText" dxfId="3796" priority="3659" operator="containsText" text="AA">
      <formula>NOT(ISERROR(SEARCH("AA",E86)))</formula>
    </cfRule>
    <cfRule type="containsText" dxfId="3795" priority="3660" operator="containsText" text="RESIGNED">
      <formula>NOT(ISERROR(SEARCH("RESIGNED",E86)))</formula>
    </cfRule>
    <cfRule type="containsText" dxfId="3794" priority="3661" operator="containsText" text="P">
      <formula>NOT(ISERROR(SEARCH("P",E86)))</formula>
    </cfRule>
    <cfRule type="containsText" dxfId="3793" priority="3662" operator="containsText" text="TARDY">
      <formula>NOT(ISERROR(SEARCH("TARDY",E86)))</formula>
    </cfRule>
    <cfRule type="containsText" dxfId="3792" priority="3663" operator="containsText" text="REST DAY">
      <formula>NOT(ISERROR(SEARCH("REST DAY",E86)))</formula>
    </cfRule>
    <cfRule type="containsText" dxfId="3791" priority="3664" operator="containsText" text="UA">
      <formula>NOT(ISERROR(SEARCH("UA",E86)))</formula>
    </cfRule>
  </conditionalFormatting>
  <conditionalFormatting sqref="E86:G86 J86">
    <cfRule type="containsText" dxfId="3790" priority="3653" operator="containsText" text="RD">
      <formula>NOT(ISERROR(SEARCH("RD",E86)))</formula>
    </cfRule>
    <cfRule type="containsText" dxfId="3789" priority="3654" operator="containsText" text="540">
      <formula>NOT(ISERROR(SEARCH("540",E86)))</formula>
    </cfRule>
    <cfRule type="cellIs" dxfId="3788" priority="3655" operator="between">
      <formula>1</formula>
      <formula>400</formula>
    </cfRule>
  </conditionalFormatting>
  <conditionalFormatting sqref="E86:G86 J86">
    <cfRule type="containsText" dxfId="3787" priority="3656" operator="containsText" text="LWOP UA">
      <formula>NOT(ISERROR(SEARCH("LWOP UA",E86)))</formula>
    </cfRule>
  </conditionalFormatting>
  <conditionalFormatting sqref="E86:G86 J86">
    <cfRule type="containsText" dxfId="3786" priority="3652" operator="containsText" text="VL">
      <formula>NOT(ISERROR(SEARCH("VL",E86)))</formula>
    </cfRule>
  </conditionalFormatting>
  <conditionalFormatting sqref="E7">
    <cfRule type="containsText" dxfId="3785" priority="3644" operator="containsText" text="TFO">
      <formula>NOT(ISERROR(SEARCH("TFO",E7)))</formula>
    </cfRule>
    <cfRule type="containsText" dxfId="3784" priority="3645" operator="containsText" text="AA">
      <formula>NOT(ISERROR(SEARCH("AA",E7)))</formula>
    </cfRule>
    <cfRule type="containsText" dxfId="3783" priority="3646" operator="containsText" text="RESIGNED">
      <formula>NOT(ISERROR(SEARCH("RESIGNED",E7)))</formula>
    </cfRule>
    <cfRule type="containsText" dxfId="3782" priority="3647" operator="containsText" text="P">
      <formula>NOT(ISERROR(SEARCH("P",E7)))</formula>
    </cfRule>
    <cfRule type="containsText" dxfId="3781" priority="3648" operator="containsText" text="TARDY">
      <formula>NOT(ISERROR(SEARCH("TARDY",E7)))</formula>
    </cfRule>
    <cfRule type="containsText" dxfId="3780" priority="3649" operator="containsText" text="REST DAY">
      <formula>NOT(ISERROR(SEARCH("REST DAY",E7)))</formula>
    </cfRule>
    <cfRule type="containsText" dxfId="3779" priority="3650" operator="containsText" text="UA">
      <formula>NOT(ISERROR(SEARCH("UA",E7)))</formula>
    </cfRule>
    <cfRule type="containsText" dxfId="3778" priority="3651" operator="containsText" text="LWOP UA">
      <formula>NOT(ISERROR(SEARCH("LWOP UA",E7)))</formula>
    </cfRule>
  </conditionalFormatting>
  <conditionalFormatting sqref="E7">
    <cfRule type="containsText" dxfId="3777" priority="3638" operator="containsText" text="VL">
      <formula>NOT(ISERROR(SEARCH("VL",E7)))</formula>
    </cfRule>
    <cfRule type="containsText" dxfId="3776" priority="3639" operator="containsText" text="RD">
      <formula>NOT(ISERROR(SEARCH("RD",E7)))</formula>
    </cfRule>
    <cfRule type="containsText" dxfId="3775" priority="3640" operator="containsText" text="540">
      <formula>NOT(ISERROR(SEARCH("540",E7)))</formula>
    </cfRule>
    <cfRule type="cellIs" dxfId="3774" priority="3641" operator="between">
      <formula>1</formula>
      <formula>400</formula>
    </cfRule>
    <cfRule type="containsText" dxfId="3773" priority="3642" operator="containsText" text="LWOP UA">
      <formula>NOT(ISERROR(SEARCH("LWOP UA",E7)))</formula>
    </cfRule>
  </conditionalFormatting>
  <conditionalFormatting sqref="E7">
    <cfRule type="containsText" dxfId="3772" priority="3643" operator="containsText" text="P">
      <formula>NOT(ISERROR(SEARCH("P",E7)))</formula>
    </cfRule>
  </conditionalFormatting>
  <conditionalFormatting sqref="D16:E16">
    <cfRule type="containsText" dxfId="3771" priority="3630" operator="containsText" text="TFO">
      <formula>NOT(ISERROR(SEARCH("TFO",D16)))</formula>
    </cfRule>
    <cfRule type="containsText" dxfId="3770" priority="3631" operator="containsText" text="AA">
      <formula>NOT(ISERROR(SEARCH("AA",D16)))</formula>
    </cfRule>
    <cfRule type="containsText" dxfId="3769" priority="3632" operator="containsText" text="RESIGNED">
      <formula>NOT(ISERROR(SEARCH("RESIGNED",D16)))</formula>
    </cfRule>
    <cfRule type="containsText" dxfId="3768" priority="3633" operator="containsText" text="P">
      <formula>NOT(ISERROR(SEARCH("P",D16)))</formula>
    </cfRule>
    <cfRule type="containsText" dxfId="3767" priority="3634" operator="containsText" text="TARDY">
      <formula>NOT(ISERROR(SEARCH("TARDY",D16)))</formula>
    </cfRule>
    <cfRule type="containsText" dxfId="3766" priority="3635" operator="containsText" text="REST DAY">
      <formula>NOT(ISERROR(SEARCH("REST DAY",D16)))</formula>
    </cfRule>
    <cfRule type="containsText" dxfId="3765" priority="3636" operator="containsText" text="UA">
      <formula>NOT(ISERROR(SEARCH("UA",D16)))</formula>
    </cfRule>
    <cfRule type="containsText" dxfId="3764" priority="3637" operator="containsText" text="LWOP UA">
      <formula>NOT(ISERROR(SEARCH("LWOP UA",D16)))</formula>
    </cfRule>
  </conditionalFormatting>
  <conditionalFormatting sqref="D16:E16">
    <cfRule type="containsText" dxfId="3763" priority="3624" operator="containsText" text="VL">
      <formula>NOT(ISERROR(SEARCH("VL",D16)))</formula>
    </cfRule>
    <cfRule type="containsText" dxfId="3762" priority="3625" operator="containsText" text="RD">
      <formula>NOT(ISERROR(SEARCH("RD",D16)))</formula>
    </cfRule>
    <cfRule type="containsText" dxfId="3761" priority="3626" operator="containsText" text="540">
      <formula>NOT(ISERROR(SEARCH("540",D16)))</formula>
    </cfRule>
    <cfRule type="cellIs" dxfId="3760" priority="3627" operator="between">
      <formula>1</formula>
      <formula>400</formula>
    </cfRule>
    <cfRule type="containsText" dxfId="3759" priority="3628" operator="containsText" text="LWOP UA">
      <formula>NOT(ISERROR(SEARCH("LWOP UA",D16)))</formula>
    </cfRule>
  </conditionalFormatting>
  <conditionalFormatting sqref="D16:E16">
    <cfRule type="containsText" dxfId="3758" priority="3629" operator="containsText" text="P">
      <formula>NOT(ISERROR(SEARCH("P",D16)))</formula>
    </cfRule>
  </conditionalFormatting>
  <conditionalFormatting sqref="E18">
    <cfRule type="containsText" dxfId="3757" priority="3616" operator="containsText" text="TFO">
      <formula>NOT(ISERROR(SEARCH("TFO",E18)))</formula>
    </cfRule>
    <cfRule type="containsText" dxfId="3756" priority="3617" operator="containsText" text="AA">
      <formula>NOT(ISERROR(SEARCH("AA",E18)))</formula>
    </cfRule>
    <cfRule type="containsText" dxfId="3755" priority="3618" operator="containsText" text="RESIGNED">
      <formula>NOT(ISERROR(SEARCH("RESIGNED",E18)))</formula>
    </cfRule>
    <cfRule type="containsText" dxfId="3754" priority="3619" operator="containsText" text="P">
      <formula>NOT(ISERROR(SEARCH("P",E18)))</formula>
    </cfRule>
    <cfRule type="containsText" dxfId="3753" priority="3620" operator="containsText" text="TARDY">
      <formula>NOT(ISERROR(SEARCH("TARDY",E18)))</formula>
    </cfRule>
    <cfRule type="containsText" dxfId="3752" priority="3621" operator="containsText" text="REST DAY">
      <formula>NOT(ISERROR(SEARCH("REST DAY",E18)))</formula>
    </cfRule>
    <cfRule type="containsText" dxfId="3751" priority="3622" operator="containsText" text="UA">
      <formula>NOT(ISERROR(SEARCH("UA",E18)))</formula>
    </cfRule>
    <cfRule type="containsText" dxfId="3750" priority="3623" operator="containsText" text="LWOP UA">
      <formula>NOT(ISERROR(SEARCH("LWOP UA",E18)))</formula>
    </cfRule>
  </conditionalFormatting>
  <conditionalFormatting sqref="E18">
    <cfRule type="containsText" dxfId="3749" priority="3610" operator="containsText" text="VL">
      <formula>NOT(ISERROR(SEARCH("VL",E18)))</formula>
    </cfRule>
    <cfRule type="containsText" dxfId="3748" priority="3611" operator="containsText" text="RD">
      <formula>NOT(ISERROR(SEARCH("RD",E18)))</formula>
    </cfRule>
    <cfRule type="containsText" dxfId="3747" priority="3612" operator="containsText" text="540">
      <formula>NOT(ISERROR(SEARCH("540",E18)))</formula>
    </cfRule>
    <cfRule type="cellIs" dxfId="3746" priority="3613" operator="between">
      <formula>1</formula>
      <formula>400</formula>
    </cfRule>
    <cfRule type="containsText" dxfId="3745" priority="3614" operator="containsText" text="LWOP UA">
      <formula>NOT(ISERROR(SEARCH("LWOP UA",E18)))</formula>
    </cfRule>
  </conditionalFormatting>
  <conditionalFormatting sqref="E18">
    <cfRule type="containsText" dxfId="3744" priority="3615" operator="containsText" text="P">
      <formula>NOT(ISERROR(SEARCH("P",E18)))</formula>
    </cfRule>
  </conditionalFormatting>
  <conditionalFormatting sqref="E31">
    <cfRule type="containsText" dxfId="3743" priority="3602" operator="containsText" text="TFO">
      <formula>NOT(ISERROR(SEARCH("TFO",E31)))</formula>
    </cfRule>
    <cfRule type="containsText" dxfId="3742" priority="3603" operator="containsText" text="AA">
      <formula>NOT(ISERROR(SEARCH("AA",E31)))</formula>
    </cfRule>
    <cfRule type="containsText" dxfId="3741" priority="3604" operator="containsText" text="RESIGNED">
      <formula>NOT(ISERROR(SEARCH("RESIGNED",E31)))</formula>
    </cfRule>
    <cfRule type="containsText" dxfId="3740" priority="3605" operator="containsText" text="P">
      <formula>NOT(ISERROR(SEARCH("P",E31)))</formula>
    </cfRule>
    <cfRule type="containsText" dxfId="3739" priority="3606" operator="containsText" text="TARDY">
      <formula>NOT(ISERROR(SEARCH("TARDY",E31)))</formula>
    </cfRule>
    <cfRule type="containsText" dxfId="3738" priority="3607" operator="containsText" text="REST DAY">
      <formula>NOT(ISERROR(SEARCH("REST DAY",E31)))</formula>
    </cfRule>
    <cfRule type="containsText" dxfId="3737" priority="3608" operator="containsText" text="UA">
      <formula>NOT(ISERROR(SEARCH("UA",E31)))</formula>
    </cfRule>
    <cfRule type="containsText" dxfId="3736" priority="3609" operator="containsText" text="LWOP UA">
      <formula>NOT(ISERROR(SEARCH("LWOP UA",E31)))</formula>
    </cfRule>
  </conditionalFormatting>
  <conditionalFormatting sqref="E31">
    <cfRule type="containsText" dxfId="3735" priority="3596" operator="containsText" text="VL">
      <formula>NOT(ISERROR(SEARCH("VL",E31)))</formula>
    </cfRule>
    <cfRule type="containsText" dxfId="3734" priority="3597" operator="containsText" text="RD">
      <formula>NOT(ISERROR(SEARCH("RD",E31)))</formula>
    </cfRule>
    <cfRule type="containsText" dxfId="3733" priority="3598" operator="containsText" text="540">
      <formula>NOT(ISERROR(SEARCH("540",E31)))</formula>
    </cfRule>
    <cfRule type="cellIs" dxfId="3732" priority="3599" operator="between">
      <formula>1</formula>
      <formula>400</formula>
    </cfRule>
    <cfRule type="containsText" dxfId="3731" priority="3600" operator="containsText" text="LWOP UA">
      <formula>NOT(ISERROR(SEARCH("LWOP UA",E31)))</formula>
    </cfRule>
  </conditionalFormatting>
  <conditionalFormatting sqref="E31">
    <cfRule type="containsText" dxfId="3730" priority="3601" operator="containsText" text="P">
      <formula>NOT(ISERROR(SEARCH("P",E31)))</formula>
    </cfRule>
  </conditionalFormatting>
  <conditionalFormatting sqref="E70">
    <cfRule type="containsText" dxfId="3729" priority="3588" operator="containsText" text="TFO">
      <formula>NOT(ISERROR(SEARCH("TFO",E70)))</formula>
    </cfRule>
    <cfRule type="containsText" dxfId="3728" priority="3589" operator="containsText" text="AA">
      <formula>NOT(ISERROR(SEARCH("AA",E70)))</formula>
    </cfRule>
    <cfRule type="containsText" dxfId="3727" priority="3590" operator="containsText" text="RESIGNED">
      <formula>NOT(ISERROR(SEARCH("RESIGNED",E70)))</formula>
    </cfRule>
    <cfRule type="containsText" dxfId="3726" priority="3591" operator="containsText" text="P">
      <formula>NOT(ISERROR(SEARCH("P",E70)))</formula>
    </cfRule>
    <cfRule type="containsText" dxfId="3725" priority="3592" operator="containsText" text="TARDY">
      <formula>NOT(ISERROR(SEARCH("TARDY",E70)))</formula>
    </cfRule>
    <cfRule type="containsText" dxfId="3724" priority="3593" operator="containsText" text="REST DAY">
      <formula>NOT(ISERROR(SEARCH("REST DAY",E70)))</formula>
    </cfRule>
    <cfRule type="containsText" dxfId="3723" priority="3594" operator="containsText" text="UA">
      <formula>NOT(ISERROR(SEARCH("UA",E70)))</formula>
    </cfRule>
    <cfRule type="containsText" dxfId="3722" priority="3595" operator="containsText" text="LWOP UA">
      <formula>NOT(ISERROR(SEARCH("LWOP UA",E70)))</formula>
    </cfRule>
  </conditionalFormatting>
  <conditionalFormatting sqref="E70">
    <cfRule type="containsText" dxfId="3721" priority="3582" operator="containsText" text="VL">
      <formula>NOT(ISERROR(SEARCH("VL",E70)))</formula>
    </cfRule>
    <cfRule type="containsText" dxfId="3720" priority="3583" operator="containsText" text="RD">
      <formula>NOT(ISERROR(SEARCH("RD",E70)))</formula>
    </cfRule>
    <cfRule type="containsText" dxfId="3719" priority="3584" operator="containsText" text="540">
      <formula>NOT(ISERROR(SEARCH("540",E70)))</formula>
    </cfRule>
    <cfRule type="cellIs" dxfId="3718" priority="3585" operator="between">
      <formula>1</formula>
      <formula>400</formula>
    </cfRule>
    <cfRule type="containsText" dxfId="3717" priority="3586" operator="containsText" text="LWOP UA">
      <formula>NOT(ISERROR(SEARCH("LWOP UA",E70)))</formula>
    </cfRule>
  </conditionalFormatting>
  <conditionalFormatting sqref="E70">
    <cfRule type="containsText" dxfId="3716" priority="3587" operator="containsText" text="P">
      <formula>NOT(ISERROR(SEARCH("P",E70)))</formula>
    </cfRule>
  </conditionalFormatting>
  <conditionalFormatting sqref="D80">
    <cfRule type="containsText" dxfId="3715" priority="3574" operator="containsText" text="TFO">
      <formula>NOT(ISERROR(SEARCH("TFO",D80)))</formula>
    </cfRule>
    <cfRule type="containsText" dxfId="3714" priority="3575" operator="containsText" text="AA">
      <formula>NOT(ISERROR(SEARCH("AA",D80)))</formula>
    </cfRule>
    <cfRule type="containsText" dxfId="3713" priority="3576" operator="containsText" text="RESIGNED">
      <formula>NOT(ISERROR(SEARCH("RESIGNED",D80)))</formula>
    </cfRule>
    <cfRule type="containsText" dxfId="3712" priority="3577" operator="containsText" text="P">
      <formula>NOT(ISERROR(SEARCH("P",D80)))</formula>
    </cfRule>
    <cfRule type="containsText" dxfId="3711" priority="3578" operator="containsText" text="TARDY">
      <formula>NOT(ISERROR(SEARCH("TARDY",D80)))</formula>
    </cfRule>
    <cfRule type="containsText" dxfId="3710" priority="3579" operator="containsText" text="REST DAY">
      <formula>NOT(ISERROR(SEARCH("REST DAY",D80)))</formula>
    </cfRule>
    <cfRule type="containsText" dxfId="3709" priority="3580" operator="containsText" text="UA">
      <formula>NOT(ISERROR(SEARCH("UA",D80)))</formula>
    </cfRule>
    <cfRule type="containsText" dxfId="3708" priority="3581" operator="containsText" text="LWOP UA">
      <formula>NOT(ISERROR(SEARCH("LWOP UA",D80)))</formula>
    </cfRule>
  </conditionalFormatting>
  <conditionalFormatting sqref="D80">
    <cfRule type="containsText" dxfId="3707" priority="3568" operator="containsText" text="VL">
      <formula>NOT(ISERROR(SEARCH("VL",D80)))</formula>
    </cfRule>
    <cfRule type="containsText" dxfId="3706" priority="3569" operator="containsText" text="RD">
      <formula>NOT(ISERROR(SEARCH("RD",D80)))</formula>
    </cfRule>
    <cfRule type="containsText" dxfId="3705" priority="3570" operator="containsText" text="540">
      <formula>NOT(ISERROR(SEARCH("540",D80)))</formula>
    </cfRule>
    <cfRule type="cellIs" dxfId="3704" priority="3571" operator="between">
      <formula>1</formula>
      <formula>400</formula>
    </cfRule>
    <cfRule type="containsText" dxfId="3703" priority="3572" operator="containsText" text="LWOP UA">
      <formula>NOT(ISERROR(SEARCH("LWOP UA",D80)))</formula>
    </cfRule>
  </conditionalFormatting>
  <conditionalFormatting sqref="D80">
    <cfRule type="containsText" dxfId="3702" priority="3573" operator="containsText" text="P">
      <formula>NOT(ISERROR(SEARCH("P",D80)))</formula>
    </cfRule>
  </conditionalFormatting>
  <conditionalFormatting sqref="E84">
    <cfRule type="containsText" dxfId="3701" priority="3560" operator="containsText" text="TFO">
      <formula>NOT(ISERROR(SEARCH("TFO",E84)))</formula>
    </cfRule>
    <cfRule type="containsText" dxfId="3700" priority="3561" operator="containsText" text="AA">
      <formula>NOT(ISERROR(SEARCH("AA",E84)))</formula>
    </cfRule>
    <cfRule type="containsText" dxfId="3699" priority="3562" operator="containsText" text="RESIGNED">
      <formula>NOT(ISERROR(SEARCH("RESIGNED",E84)))</formula>
    </cfRule>
    <cfRule type="containsText" dxfId="3698" priority="3563" operator="containsText" text="P">
      <formula>NOT(ISERROR(SEARCH("P",E84)))</formula>
    </cfRule>
    <cfRule type="containsText" dxfId="3697" priority="3564" operator="containsText" text="TARDY">
      <formula>NOT(ISERROR(SEARCH("TARDY",E84)))</formula>
    </cfRule>
    <cfRule type="containsText" dxfId="3696" priority="3565" operator="containsText" text="REST DAY">
      <formula>NOT(ISERROR(SEARCH("REST DAY",E84)))</formula>
    </cfRule>
    <cfRule type="containsText" dxfId="3695" priority="3566" operator="containsText" text="UA">
      <formula>NOT(ISERROR(SEARCH("UA",E84)))</formula>
    </cfRule>
    <cfRule type="containsText" dxfId="3694" priority="3567" operator="containsText" text="LWOP UA">
      <formula>NOT(ISERROR(SEARCH("LWOP UA",E84)))</formula>
    </cfRule>
  </conditionalFormatting>
  <conditionalFormatting sqref="E84">
    <cfRule type="containsText" dxfId="3693" priority="3554" operator="containsText" text="VL">
      <formula>NOT(ISERROR(SEARCH("VL",E84)))</formula>
    </cfRule>
    <cfRule type="containsText" dxfId="3692" priority="3555" operator="containsText" text="RD">
      <formula>NOT(ISERROR(SEARCH("RD",E84)))</formula>
    </cfRule>
    <cfRule type="containsText" dxfId="3691" priority="3556" operator="containsText" text="540">
      <formula>NOT(ISERROR(SEARCH("540",E84)))</formula>
    </cfRule>
    <cfRule type="cellIs" dxfId="3690" priority="3557" operator="between">
      <formula>1</formula>
      <formula>400</formula>
    </cfRule>
    <cfRule type="containsText" dxfId="3689" priority="3558" operator="containsText" text="LWOP UA">
      <formula>NOT(ISERROR(SEARCH("LWOP UA",E84)))</formula>
    </cfRule>
  </conditionalFormatting>
  <conditionalFormatting sqref="E84">
    <cfRule type="containsText" dxfId="3688" priority="3559" operator="containsText" text="P">
      <formula>NOT(ISERROR(SEARCH("P",E84)))</formula>
    </cfRule>
  </conditionalFormatting>
  <conditionalFormatting sqref="E24">
    <cfRule type="containsText" dxfId="3687" priority="3546" operator="containsText" text="TFO">
      <formula>NOT(ISERROR(SEARCH("TFO",E24)))</formula>
    </cfRule>
    <cfRule type="containsText" dxfId="3686" priority="3547" operator="containsText" text="AA">
      <formula>NOT(ISERROR(SEARCH("AA",E24)))</formula>
    </cfRule>
    <cfRule type="containsText" dxfId="3685" priority="3548" operator="containsText" text="RESIGNED">
      <formula>NOT(ISERROR(SEARCH("RESIGNED",E24)))</formula>
    </cfRule>
    <cfRule type="containsText" dxfId="3684" priority="3549" operator="containsText" text="P">
      <formula>NOT(ISERROR(SEARCH("P",E24)))</formula>
    </cfRule>
    <cfRule type="containsText" dxfId="3683" priority="3550" operator="containsText" text="TARDY">
      <formula>NOT(ISERROR(SEARCH("TARDY",E24)))</formula>
    </cfRule>
    <cfRule type="containsText" dxfId="3682" priority="3551" operator="containsText" text="REST DAY">
      <formula>NOT(ISERROR(SEARCH("REST DAY",E24)))</formula>
    </cfRule>
    <cfRule type="containsText" dxfId="3681" priority="3552" operator="containsText" text="UA">
      <formula>NOT(ISERROR(SEARCH("UA",E24)))</formula>
    </cfRule>
    <cfRule type="containsText" dxfId="3680" priority="3553" operator="containsText" text="LWOP UA">
      <formula>NOT(ISERROR(SEARCH("LWOP UA",E24)))</formula>
    </cfRule>
  </conditionalFormatting>
  <conditionalFormatting sqref="E24">
    <cfRule type="containsText" dxfId="3679" priority="3540" operator="containsText" text="VL">
      <formula>NOT(ISERROR(SEARCH("VL",E24)))</formula>
    </cfRule>
    <cfRule type="containsText" dxfId="3678" priority="3541" operator="containsText" text="RD">
      <formula>NOT(ISERROR(SEARCH("RD",E24)))</formula>
    </cfRule>
    <cfRule type="containsText" dxfId="3677" priority="3542" operator="containsText" text="540">
      <formula>NOT(ISERROR(SEARCH("540",E24)))</formula>
    </cfRule>
    <cfRule type="cellIs" dxfId="3676" priority="3543" operator="between">
      <formula>1</formula>
      <formula>400</formula>
    </cfRule>
    <cfRule type="containsText" dxfId="3675" priority="3544" operator="containsText" text="LWOP UA">
      <formula>NOT(ISERROR(SEARCH("LWOP UA",E24)))</formula>
    </cfRule>
  </conditionalFormatting>
  <conditionalFormatting sqref="E24">
    <cfRule type="containsText" dxfId="3674" priority="3545" operator="containsText" text="P">
      <formula>NOT(ISERROR(SEARCH("P",E24)))</formula>
    </cfRule>
  </conditionalFormatting>
  <conditionalFormatting sqref="E22:E23">
    <cfRule type="containsText" dxfId="3673" priority="3532" operator="containsText" text="TFO">
      <formula>NOT(ISERROR(SEARCH("TFO",E22)))</formula>
    </cfRule>
    <cfRule type="containsText" dxfId="3672" priority="3533" operator="containsText" text="AA">
      <formula>NOT(ISERROR(SEARCH("AA",E22)))</formula>
    </cfRule>
    <cfRule type="containsText" dxfId="3671" priority="3534" operator="containsText" text="RESIGNED">
      <formula>NOT(ISERROR(SEARCH("RESIGNED",E22)))</formula>
    </cfRule>
    <cfRule type="containsText" dxfId="3670" priority="3535" operator="containsText" text="P">
      <formula>NOT(ISERROR(SEARCH("P",E22)))</formula>
    </cfRule>
    <cfRule type="containsText" dxfId="3669" priority="3536" operator="containsText" text="TARDY">
      <formula>NOT(ISERROR(SEARCH("TARDY",E22)))</formula>
    </cfRule>
    <cfRule type="containsText" dxfId="3668" priority="3537" operator="containsText" text="REST DAY">
      <formula>NOT(ISERROR(SEARCH("REST DAY",E22)))</formula>
    </cfRule>
    <cfRule type="containsText" dxfId="3667" priority="3538" operator="containsText" text="UA">
      <formula>NOT(ISERROR(SEARCH("UA",E22)))</formula>
    </cfRule>
    <cfRule type="containsText" dxfId="3666" priority="3539" operator="containsText" text="LWOP UA">
      <formula>NOT(ISERROR(SEARCH("LWOP UA",E22)))</formula>
    </cfRule>
  </conditionalFormatting>
  <conditionalFormatting sqref="E22:E23">
    <cfRule type="containsText" dxfId="3665" priority="3526" operator="containsText" text="VL">
      <formula>NOT(ISERROR(SEARCH("VL",E22)))</formula>
    </cfRule>
    <cfRule type="containsText" dxfId="3664" priority="3527" operator="containsText" text="RD">
      <formula>NOT(ISERROR(SEARCH("RD",E22)))</formula>
    </cfRule>
    <cfRule type="containsText" dxfId="3663" priority="3528" operator="containsText" text="540">
      <formula>NOT(ISERROR(SEARCH("540",E22)))</formula>
    </cfRule>
    <cfRule type="cellIs" dxfId="3662" priority="3529" operator="between">
      <formula>1</formula>
      <formula>400</formula>
    </cfRule>
    <cfRule type="containsText" dxfId="3661" priority="3530" operator="containsText" text="LWOP UA">
      <formula>NOT(ISERROR(SEARCH("LWOP UA",E22)))</formula>
    </cfRule>
  </conditionalFormatting>
  <conditionalFormatting sqref="E22:E23">
    <cfRule type="containsText" dxfId="3660" priority="3531" operator="containsText" text="P">
      <formula>NOT(ISERROR(SEARCH("P",E22)))</formula>
    </cfRule>
  </conditionalFormatting>
  <conditionalFormatting sqref="D43:E43">
    <cfRule type="containsText" dxfId="3659" priority="3518" operator="containsText" text="TFO">
      <formula>NOT(ISERROR(SEARCH("TFO",D43)))</formula>
    </cfRule>
    <cfRule type="containsText" dxfId="3658" priority="3519" operator="containsText" text="AA">
      <formula>NOT(ISERROR(SEARCH("AA",D43)))</formula>
    </cfRule>
    <cfRule type="containsText" dxfId="3657" priority="3520" operator="containsText" text="RESIGNED">
      <formula>NOT(ISERROR(SEARCH("RESIGNED",D43)))</formula>
    </cfRule>
    <cfRule type="containsText" dxfId="3656" priority="3521" operator="containsText" text="P">
      <formula>NOT(ISERROR(SEARCH("P",D43)))</formula>
    </cfRule>
    <cfRule type="containsText" dxfId="3655" priority="3522" operator="containsText" text="TARDY">
      <formula>NOT(ISERROR(SEARCH("TARDY",D43)))</formula>
    </cfRule>
    <cfRule type="containsText" dxfId="3654" priority="3523" operator="containsText" text="REST DAY">
      <formula>NOT(ISERROR(SEARCH("REST DAY",D43)))</formula>
    </cfRule>
    <cfRule type="containsText" dxfId="3653" priority="3524" operator="containsText" text="UA">
      <formula>NOT(ISERROR(SEARCH("UA",D43)))</formula>
    </cfRule>
    <cfRule type="containsText" dxfId="3652" priority="3525" operator="containsText" text="LWOP UA">
      <formula>NOT(ISERROR(SEARCH("LWOP UA",D43)))</formula>
    </cfRule>
  </conditionalFormatting>
  <conditionalFormatting sqref="D43:E43">
    <cfRule type="containsText" dxfId="3651" priority="3512" operator="containsText" text="VL">
      <formula>NOT(ISERROR(SEARCH("VL",D43)))</formula>
    </cfRule>
    <cfRule type="containsText" dxfId="3650" priority="3513" operator="containsText" text="RD">
      <formula>NOT(ISERROR(SEARCH("RD",D43)))</formula>
    </cfRule>
    <cfRule type="containsText" dxfId="3649" priority="3514" operator="containsText" text="540">
      <formula>NOT(ISERROR(SEARCH("540",D43)))</formula>
    </cfRule>
    <cfRule type="cellIs" dxfId="3648" priority="3515" operator="between">
      <formula>1</formula>
      <formula>400</formula>
    </cfRule>
    <cfRule type="containsText" dxfId="3647" priority="3516" operator="containsText" text="LWOP UA">
      <formula>NOT(ISERROR(SEARCH("LWOP UA",D43)))</formula>
    </cfRule>
  </conditionalFormatting>
  <conditionalFormatting sqref="D43:E43">
    <cfRule type="containsText" dxfId="3646" priority="3517" operator="containsText" text="P">
      <formula>NOT(ISERROR(SEARCH("P",D43)))</formula>
    </cfRule>
  </conditionalFormatting>
  <conditionalFormatting sqref="E58">
    <cfRule type="containsText" dxfId="3645" priority="3504" operator="containsText" text="TFO">
      <formula>NOT(ISERROR(SEARCH("TFO",E58)))</formula>
    </cfRule>
    <cfRule type="containsText" dxfId="3644" priority="3505" operator="containsText" text="AA">
      <formula>NOT(ISERROR(SEARCH("AA",E58)))</formula>
    </cfRule>
    <cfRule type="containsText" dxfId="3643" priority="3506" operator="containsText" text="RESIGNED">
      <formula>NOT(ISERROR(SEARCH("RESIGNED",E58)))</formula>
    </cfRule>
    <cfRule type="containsText" dxfId="3642" priority="3507" operator="containsText" text="P">
      <formula>NOT(ISERROR(SEARCH("P",E58)))</formula>
    </cfRule>
    <cfRule type="containsText" dxfId="3641" priority="3508" operator="containsText" text="TARDY">
      <formula>NOT(ISERROR(SEARCH("TARDY",E58)))</formula>
    </cfRule>
    <cfRule type="containsText" dxfId="3640" priority="3509" operator="containsText" text="REST DAY">
      <formula>NOT(ISERROR(SEARCH("REST DAY",E58)))</formula>
    </cfRule>
    <cfRule type="containsText" dxfId="3639" priority="3510" operator="containsText" text="UA">
      <formula>NOT(ISERROR(SEARCH("UA",E58)))</formula>
    </cfRule>
    <cfRule type="containsText" dxfId="3638" priority="3511" operator="containsText" text="LWOP UA">
      <formula>NOT(ISERROR(SEARCH("LWOP UA",E58)))</formula>
    </cfRule>
  </conditionalFormatting>
  <conditionalFormatting sqref="E58">
    <cfRule type="containsText" dxfId="3637" priority="3498" operator="containsText" text="VL">
      <formula>NOT(ISERROR(SEARCH("VL",E58)))</formula>
    </cfRule>
    <cfRule type="containsText" dxfId="3636" priority="3499" operator="containsText" text="RD">
      <formula>NOT(ISERROR(SEARCH("RD",E58)))</formula>
    </cfRule>
    <cfRule type="containsText" dxfId="3635" priority="3500" operator="containsText" text="540">
      <formula>NOT(ISERROR(SEARCH("540",E58)))</formula>
    </cfRule>
    <cfRule type="cellIs" dxfId="3634" priority="3501" operator="between">
      <formula>1</formula>
      <formula>400</formula>
    </cfRule>
    <cfRule type="containsText" dxfId="3633" priority="3502" operator="containsText" text="LWOP UA">
      <formula>NOT(ISERROR(SEARCH("LWOP UA",E58)))</formula>
    </cfRule>
  </conditionalFormatting>
  <conditionalFormatting sqref="E58">
    <cfRule type="containsText" dxfId="3632" priority="3503" operator="containsText" text="P">
      <formula>NOT(ISERROR(SEARCH("P",E58)))</formula>
    </cfRule>
  </conditionalFormatting>
  <conditionalFormatting sqref="E59">
    <cfRule type="containsText" dxfId="3631" priority="3490" operator="containsText" text="TFO">
      <formula>NOT(ISERROR(SEARCH("TFO",E59)))</formula>
    </cfRule>
    <cfRule type="containsText" dxfId="3630" priority="3491" operator="containsText" text="AA">
      <formula>NOT(ISERROR(SEARCH("AA",E59)))</formula>
    </cfRule>
    <cfRule type="containsText" dxfId="3629" priority="3492" operator="containsText" text="RESIGNED">
      <formula>NOT(ISERROR(SEARCH("RESIGNED",E59)))</formula>
    </cfRule>
    <cfRule type="containsText" dxfId="3628" priority="3493" operator="containsText" text="P">
      <formula>NOT(ISERROR(SEARCH("P",E59)))</formula>
    </cfRule>
    <cfRule type="containsText" dxfId="3627" priority="3494" operator="containsText" text="TARDY">
      <formula>NOT(ISERROR(SEARCH("TARDY",E59)))</formula>
    </cfRule>
    <cfRule type="containsText" dxfId="3626" priority="3495" operator="containsText" text="REST DAY">
      <formula>NOT(ISERROR(SEARCH("REST DAY",E59)))</formula>
    </cfRule>
    <cfRule type="containsText" dxfId="3625" priority="3496" operator="containsText" text="UA">
      <formula>NOT(ISERROR(SEARCH("UA",E59)))</formula>
    </cfRule>
    <cfRule type="containsText" dxfId="3624" priority="3497" operator="containsText" text="LWOP UA">
      <formula>NOT(ISERROR(SEARCH("LWOP UA",E59)))</formula>
    </cfRule>
  </conditionalFormatting>
  <conditionalFormatting sqref="E59">
    <cfRule type="containsText" dxfId="3623" priority="3484" operator="containsText" text="VL">
      <formula>NOT(ISERROR(SEARCH("VL",E59)))</formula>
    </cfRule>
    <cfRule type="containsText" dxfId="3622" priority="3485" operator="containsText" text="RD">
      <formula>NOT(ISERROR(SEARCH("RD",E59)))</formula>
    </cfRule>
    <cfRule type="containsText" dxfId="3621" priority="3486" operator="containsText" text="540">
      <formula>NOT(ISERROR(SEARCH("540",E59)))</formula>
    </cfRule>
    <cfRule type="cellIs" dxfId="3620" priority="3487" operator="between">
      <formula>1</formula>
      <formula>400</formula>
    </cfRule>
    <cfRule type="containsText" dxfId="3619" priority="3488" operator="containsText" text="LWOP UA">
      <formula>NOT(ISERROR(SEARCH("LWOP UA",E59)))</formula>
    </cfRule>
  </conditionalFormatting>
  <conditionalFormatting sqref="E59">
    <cfRule type="containsText" dxfId="3618" priority="3489" operator="containsText" text="P">
      <formula>NOT(ISERROR(SEARCH("P",E59)))</formula>
    </cfRule>
  </conditionalFormatting>
  <conditionalFormatting sqref="E76">
    <cfRule type="containsText" dxfId="3617" priority="3476" operator="containsText" text="TFO">
      <formula>NOT(ISERROR(SEARCH("TFO",E76)))</formula>
    </cfRule>
    <cfRule type="containsText" dxfId="3616" priority="3477" operator="containsText" text="AA">
      <formula>NOT(ISERROR(SEARCH("AA",E76)))</formula>
    </cfRule>
    <cfRule type="containsText" dxfId="3615" priority="3478" operator="containsText" text="RESIGNED">
      <formula>NOT(ISERROR(SEARCH("RESIGNED",E76)))</formula>
    </cfRule>
    <cfRule type="containsText" dxfId="3614" priority="3479" operator="containsText" text="P">
      <formula>NOT(ISERROR(SEARCH("P",E76)))</formula>
    </cfRule>
    <cfRule type="containsText" dxfId="3613" priority="3480" operator="containsText" text="TARDY">
      <formula>NOT(ISERROR(SEARCH("TARDY",E76)))</formula>
    </cfRule>
    <cfRule type="containsText" dxfId="3612" priority="3481" operator="containsText" text="REST DAY">
      <formula>NOT(ISERROR(SEARCH("REST DAY",E76)))</formula>
    </cfRule>
    <cfRule type="containsText" dxfId="3611" priority="3482" operator="containsText" text="UA">
      <formula>NOT(ISERROR(SEARCH("UA",E76)))</formula>
    </cfRule>
    <cfRule type="containsText" dxfId="3610" priority="3483" operator="containsText" text="LWOP UA">
      <formula>NOT(ISERROR(SEARCH("LWOP UA",E76)))</formula>
    </cfRule>
  </conditionalFormatting>
  <conditionalFormatting sqref="E76">
    <cfRule type="containsText" dxfId="3609" priority="3470" operator="containsText" text="VL">
      <formula>NOT(ISERROR(SEARCH("VL",E76)))</formula>
    </cfRule>
    <cfRule type="containsText" dxfId="3608" priority="3471" operator="containsText" text="RD">
      <formula>NOT(ISERROR(SEARCH("RD",E76)))</formula>
    </cfRule>
    <cfRule type="containsText" dxfId="3607" priority="3472" operator="containsText" text="540">
      <formula>NOT(ISERROR(SEARCH("540",E76)))</formula>
    </cfRule>
    <cfRule type="cellIs" dxfId="3606" priority="3473" operator="between">
      <formula>1</formula>
      <formula>400</formula>
    </cfRule>
    <cfRule type="containsText" dxfId="3605" priority="3474" operator="containsText" text="LWOP UA">
      <formula>NOT(ISERROR(SEARCH("LWOP UA",E76)))</formula>
    </cfRule>
  </conditionalFormatting>
  <conditionalFormatting sqref="E76">
    <cfRule type="containsText" dxfId="3604" priority="3475" operator="containsText" text="P">
      <formula>NOT(ISERROR(SEARCH("P",E76)))</formula>
    </cfRule>
  </conditionalFormatting>
  <conditionalFormatting sqref="D8:E8">
    <cfRule type="containsText" dxfId="3603" priority="3462" operator="containsText" text="TFO">
      <formula>NOT(ISERROR(SEARCH("TFO",D8)))</formula>
    </cfRule>
    <cfRule type="containsText" dxfId="3602" priority="3463" operator="containsText" text="AA">
      <formula>NOT(ISERROR(SEARCH("AA",D8)))</formula>
    </cfRule>
    <cfRule type="containsText" dxfId="3601" priority="3464" operator="containsText" text="RESIGNED">
      <formula>NOT(ISERROR(SEARCH("RESIGNED",D8)))</formula>
    </cfRule>
    <cfRule type="containsText" dxfId="3600" priority="3465" operator="containsText" text="P">
      <formula>NOT(ISERROR(SEARCH("P",D8)))</formula>
    </cfRule>
    <cfRule type="containsText" dxfId="3599" priority="3466" operator="containsText" text="TARDY">
      <formula>NOT(ISERROR(SEARCH("TARDY",D8)))</formula>
    </cfRule>
    <cfRule type="containsText" dxfId="3598" priority="3467" operator="containsText" text="REST DAY">
      <formula>NOT(ISERROR(SEARCH("REST DAY",D8)))</formula>
    </cfRule>
    <cfRule type="containsText" dxfId="3597" priority="3468" operator="containsText" text="UA">
      <formula>NOT(ISERROR(SEARCH("UA",D8)))</formula>
    </cfRule>
    <cfRule type="containsText" dxfId="3596" priority="3469" operator="containsText" text="LWOP UA">
      <formula>NOT(ISERROR(SEARCH("LWOP UA",D8)))</formula>
    </cfRule>
  </conditionalFormatting>
  <conditionalFormatting sqref="D8:E8">
    <cfRule type="containsText" dxfId="3595" priority="3456" operator="containsText" text="VL">
      <formula>NOT(ISERROR(SEARCH("VL",D8)))</formula>
    </cfRule>
    <cfRule type="containsText" dxfId="3594" priority="3457" operator="containsText" text="RD">
      <formula>NOT(ISERROR(SEARCH("RD",D8)))</formula>
    </cfRule>
    <cfRule type="containsText" dxfId="3593" priority="3458" operator="containsText" text="540">
      <formula>NOT(ISERROR(SEARCH("540",D8)))</formula>
    </cfRule>
    <cfRule type="cellIs" dxfId="3592" priority="3459" operator="between">
      <formula>1</formula>
      <formula>400</formula>
    </cfRule>
    <cfRule type="containsText" dxfId="3591" priority="3460" operator="containsText" text="LWOP UA">
      <formula>NOT(ISERROR(SEARCH("LWOP UA",D8)))</formula>
    </cfRule>
  </conditionalFormatting>
  <conditionalFormatting sqref="D8:E8">
    <cfRule type="containsText" dxfId="3590" priority="3461" operator="containsText" text="P">
      <formula>NOT(ISERROR(SEARCH("P",D8)))</formula>
    </cfRule>
  </conditionalFormatting>
  <conditionalFormatting sqref="D17:E17">
    <cfRule type="containsText" dxfId="3589" priority="3448" operator="containsText" text="TFO">
      <formula>NOT(ISERROR(SEARCH("TFO",D17)))</formula>
    </cfRule>
    <cfRule type="containsText" dxfId="3588" priority="3449" operator="containsText" text="AA">
      <formula>NOT(ISERROR(SEARCH("AA",D17)))</formula>
    </cfRule>
    <cfRule type="containsText" dxfId="3587" priority="3450" operator="containsText" text="RESIGNED">
      <formula>NOT(ISERROR(SEARCH("RESIGNED",D17)))</formula>
    </cfRule>
    <cfRule type="containsText" dxfId="3586" priority="3451" operator="containsText" text="P">
      <formula>NOT(ISERROR(SEARCH("P",D17)))</formula>
    </cfRule>
    <cfRule type="containsText" dxfId="3585" priority="3452" operator="containsText" text="TARDY">
      <formula>NOT(ISERROR(SEARCH("TARDY",D17)))</formula>
    </cfRule>
    <cfRule type="containsText" dxfId="3584" priority="3453" operator="containsText" text="REST DAY">
      <formula>NOT(ISERROR(SEARCH("REST DAY",D17)))</formula>
    </cfRule>
    <cfRule type="containsText" dxfId="3583" priority="3454" operator="containsText" text="UA">
      <formula>NOT(ISERROR(SEARCH("UA",D17)))</formula>
    </cfRule>
    <cfRule type="containsText" dxfId="3582" priority="3455" operator="containsText" text="LWOP UA">
      <formula>NOT(ISERROR(SEARCH("LWOP UA",D17)))</formula>
    </cfRule>
  </conditionalFormatting>
  <conditionalFormatting sqref="D17:E17">
    <cfRule type="containsText" dxfId="3581" priority="3442" operator="containsText" text="VL">
      <formula>NOT(ISERROR(SEARCH("VL",D17)))</formula>
    </cfRule>
    <cfRule type="containsText" dxfId="3580" priority="3443" operator="containsText" text="RD">
      <formula>NOT(ISERROR(SEARCH("RD",D17)))</formula>
    </cfRule>
    <cfRule type="containsText" dxfId="3579" priority="3444" operator="containsText" text="540">
      <formula>NOT(ISERROR(SEARCH("540",D17)))</formula>
    </cfRule>
    <cfRule type="cellIs" dxfId="3578" priority="3445" operator="between">
      <formula>1</formula>
      <formula>400</formula>
    </cfRule>
    <cfRule type="containsText" dxfId="3577" priority="3446" operator="containsText" text="LWOP UA">
      <formula>NOT(ISERROR(SEARCH("LWOP UA",D17)))</formula>
    </cfRule>
  </conditionalFormatting>
  <conditionalFormatting sqref="D17:E17">
    <cfRule type="containsText" dxfId="3576" priority="3447" operator="containsText" text="P">
      <formula>NOT(ISERROR(SEARCH("P",D17)))</formula>
    </cfRule>
  </conditionalFormatting>
  <conditionalFormatting sqref="E21">
    <cfRule type="containsText" dxfId="3575" priority="3434" operator="containsText" text="TFO">
      <formula>NOT(ISERROR(SEARCH("TFO",E21)))</formula>
    </cfRule>
    <cfRule type="containsText" dxfId="3574" priority="3435" operator="containsText" text="AA">
      <formula>NOT(ISERROR(SEARCH("AA",E21)))</formula>
    </cfRule>
    <cfRule type="containsText" dxfId="3573" priority="3436" operator="containsText" text="RESIGNED">
      <formula>NOT(ISERROR(SEARCH("RESIGNED",E21)))</formula>
    </cfRule>
    <cfRule type="containsText" dxfId="3572" priority="3437" operator="containsText" text="P">
      <formula>NOT(ISERROR(SEARCH("P",E21)))</formula>
    </cfRule>
    <cfRule type="containsText" dxfId="3571" priority="3438" operator="containsText" text="TARDY">
      <formula>NOT(ISERROR(SEARCH("TARDY",E21)))</formula>
    </cfRule>
    <cfRule type="containsText" dxfId="3570" priority="3439" operator="containsText" text="REST DAY">
      <formula>NOT(ISERROR(SEARCH("REST DAY",E21)))</formula>
    </cfRule>
    <cfRule type="containsText" dxfId="3569" priority="3440" operator="containsText" text="UA">
      <formula>NOT(ISERROR(SEARCH("UA",E21)))</formula>
    </cfRule>
    <cfRule type="containsText" dxfId="3568" priority="3441" operator="containsText" text="LWOP UA">
      <formula>NOT(ISERROR(SEARCH("LWOP UA",E21)))</formula>
    </cfRule>
  </conditionalFormatting>
  <conditionalFormatting sqref="E21">
    <cfRule type="containsText" dxfId="3567" priority="3428" operator="containsText" text="VL">
      <formula>NOT(ISERROR(SEARCH("VL",E21)))</formula>
    </cfRule>
    <cfRule type="containsText" dxfId="3566" priority="3429" operator="containsText" text="RD">
      <formula>NOT(ISERROR(SEARCH("RD",E21)))</formula>
    </cfRule>
    <cfRule type="containsText" dxfId="3565" priority="3430" operator="containsText" text="540">
      <formula>NOT(ISERROR(SEARCH("540",E21)))</formula>
    </cfRule>
    <cfRule type="cellIs" dxfId="3564" priority="3431" operator="between">
      <formula>1</formula>
      <formula>400</formula>
    </cfRule>
    <cfRule type="containsText" dxfId="3563" priority="3432" operator="containsText" text="LWOP UA">
      <formula>NOT(ISERROR(SEARCH("LWOP UA",E21)))</formula>
    </cfRule>
  </conditionalFormatting>
  <conditionalFormatting sqref="E21">
    <cfRule type="containsText" dxfId="3562" priority="3433" operator="containsText" text="P">
      <formula>NOT(ISERROR(SEARCH("P",E21)))</formula>
    </cfRule>
  </conditionalFormatting>
  <conditionalFormatting sqref="E26">
    <cfRule type="containsText" dxfId="3561" priority="3420" operator="containsText" text="TFO">
      <formula>NOT(ISERROR(SEARCH("TFO",E26)))</formula>
    </cfRule>
    <cfRule type="containsText" dxfId="3560" priority="3421" operator="containsText" text="AA">
      <formula>NOT(ISERROR(SEARCH("AA",E26)))</formula>
    </cfRule>
    <cfRule type="containsText" dxfId="3559" priority="3422" operator="containsText" text="RESIGNED">
      <formula>NOT(ISERROR(SEARCH("RESIGNED",E26)))</formula>
    </cfRule>
    <cfRule type="containsText" dxfId="3558" priority="3423" operator="containsText" text="P">
      <formula>NOT(ISERROR(SEARCH("P",E26)))</formula>
    </cfRule>
    <cfRule type="containsText" dxfId="3557" priority="3424" operator="containsText" text="TARDY">
      <formula>NOT(ISERROR(SEARCH("TARDY",E26)))</formula>
    </cfRule>
    <cfRule type="containsText" dxfId="3556" priority="3425" operator="containsText" text="REST DAY">
      <formula>NOT(ISERROR(SEARCH("REST DAY",E26)))</formula>
    </cfRule>
    <cfRule type="containsText" dxfId="3555" priority="3426" operator="containsText" text="UA">
      <formula>NOT(ISERROR(SEARCH("UA",E26)))</formula>
    </cfRule>
    <cfRule type="containsText" dxfId="3554" priority="3427" operator="containsText" text="LWOP UA">
      <formula>NOT(ISERROR(SEARCH("LWOP UA",E26)))</formula>
    </cfRule>
  </conditionalFormatting>
  <conditionalFormatting sqref="E26">
    <cfRule type="containsText" dxfId="3553" priority="3414" operator="containsText" text="VL">
      <formula>NOT(ISERROR(SEARCH("VL",E26)))</formula>
    </cfRule>
    <cfRule type="containsText" dxfId="3552" priority="3415" operator="containsText" text="RD">
      <formula>NOT(ISERROR(SEARCH("RD",E26)))</formula>
    </cfRule>
    <cfRule type="containsText" dxfId="3551" priority="3416" operator="containsText" text="540">
      <formula>NOT(ISERROR(SEARCH("540",E26)))</formula>
    </cfRule>
    <cfRule type="cellIs" dxfId="3550" priority="3417" operator="between">
      <formula>1</formula>
      <formula>400</formula>
    </cfRule>
    <cfRule type="containsText" dxfId="3549" priority="3418" operator="containsText" text="LWOP UA">
      <formula>NOT(ISERROR(SEARCH("LWOP UA",E26)))</formula>
    </cfRule>
  </conditionalFormatting>
  <conditionalFormatting sqref="E26">
    <cfRule type="containsText" dxfId="3548" priority="3419" operator="containsText" text="P">
      <formula>NOT(ISERROR(SEARCH("P",E26)))</formula>
    </cfRule>
  </conditionalFormatting>
  <conditionalFormatting sqref="D32:E32">
    <cfRule type="containsText" dxfId="3547" priority="3406" operator="containsText" text="TFO">
      <formula>NOT(ISERROR(SEARCH("TFO",D32)))</formula>
    </cfRule>
    <cfRule type="containsText" dxfId="3546" priority="3407" operator="containsText" text="AA">
      <formula>NOT(ISERROR(SEARCH("AA",D32)))</formula>
    </cfRule>
    <cfRule type="containsText" dxfId="3545" priority="3408" operator="containsText" text="RESIGNED">
      <formula>NOT(ISERROR(SEARCH("RESIGNED",D32)))</formula>
    </cfRule>
    <cfRule type="containsText" dxfId="3544" priority="3409" operator="containsText" text="P">
      <formula>NOT(ISERROR(SEARCH("P",D32)))</formula>
    </cfRule>
    <cfRule type="containsText" dxfId="3543" priority="3410" operator="containsText" text="TARDY">
      <formula>NOT(ISERROR(SEARCH("TARDY",D32)))</formula>
    </cfRule>
    <cfRule type="containsText" dxfId="3542" priority="3411" operator="containsText" text="REST DAY">
      <formula>NOT(ISERROR(SEARCH("REST DAY",D32)))</formula>
    </cfRule>
    <cfRule type="containsText" dxfId="3541" priority="3412" operator="containsText" text="UA">
      <formula>NOT(ISERROR(SEARCH("UA",D32)))</formula>
    </cfRule>
    <cfRule type="containsText" dxfId="3540" priority="3413" operator="containsText" text="LWOP UA">
      <formula>NOT(ISERROR(SEARCH("LWOP UA",D32)))</formula>
    </cfRule>
  </conditionalFormatting>
  <conditionalFormatting sqref="D32:E32">
    <cfRule type="containsText" dxfId="3539" priority="3400" operator="containsText" text="VL">
      <formula>NOT(ISERROR(SEARCH("VL",D32)))</formula>
    </cfRule>
    <cfRule type="containsText" dxfId="3538" priority="3401" operator="containsText" text="RD">
      <formula>NOT(ISERROR(SEARCH("RD",D32)))</formula>
    </cfRule>
    <cfRule type="containsText" dxfId="3537" priority="3402" operator="containsText" text="540">
      <formula>NOT(ISERROR(SEARCH("540",D32)))</formula>
    </cfRule>
    <cfRule type="cellIs" dxfId="3536" priority="3403" operator="between">
      <formula>1</formula>
      <formula>400</formula>
    </cfRule>
    <cfRule type="containsText" dxfId="3535" priority="3404" operator="containsText" text="LWOP UA">
      <formula>NOT(ISERROR(SEARCH("LWOP UA",D32)))</formula>
    </cfRule>
  </conditionalFormatting>
  <conditionalFormatting sqref="D32:E32">
    <cfRule type="containsText" dxfId="3534" priority="3405" operator="containsText" text="P">
      <formula>NOT(ISERROR(SEARCH("P",D32)))</formula>
    </cfRule>
  </conditionalFormatting>
  <conditionalFormatting sqref="D33:E33">
    <cfRule type="containsText" dxfId="3533" priority="3392" operator="containsText" text="TFO">
      <formula>NOT(ISERROR(SEARCH("TFO",D33)))</formula>
    </cfRule>
    <cfRule type="containsText" dxfId="3532" priority="3393" operator="containsText" text="AA">
      <formula>NOT(ISERROR(SEARCH("AA",D33)))</formula>
    </cfRule>
    <cfRule type="containsText" dxfId="3531" priority="3394" operator="containsText" text="RESIGNED">
      <formula>NOT(ISERROR(SEARCH("RESIGNED",D33)))</formula>
    </cfRule>
    <cfRule type="containsText" dxfId="3530" priority="3395" operator="containsText" text="P">
      <formula>NOT(ISERROR(SEARCH("P",D33)))</formula>
    </cfRule>
    <cfRule type="containsText" dxfId="3529" priority="3396" operator="containsText" text="TARDY">
      <formula>NOT(ISERROR(SEARCH("TARDY",D33)))</formula>
    </cfRule>
    <cfRule type="containsText" dxfId="3528" priority="3397" operator="containsText" text="REST DAY">
      <formula>NOT(ISERROR(SEARCH("REST DAY",D33)))</formula>
    </cfRule>
    <cfRule type="containsText" dxfId="3527" priority="3398" operator="containsText" text="UA">
      <formula>NOT(ISERROR(SEARCH("UA",D33)))</formula>
    </cfRule>
    <cfRule type="containsText" dxfId="3526" priority="3399" operator="containsText" text="LWOP UA">
      <formula>NOT(ISERROR(SEARCH("LWOP UA",D33)))</formula>
    </cfRule>
  </conditionalFormatting>
  <conditionalFormatting sqref="D33:E33">
    <cfRule type="containsText" dxfId="3525" priority="3386" operator="containsText" text="VL">
      <formula>NOT(ISERROR(SEARCH("VL",D33)))</formula>
    </cfRule>
    <cfRule type="containsText" dxfId="3524" priority="3387" operator="containsText" text="RD">
      <formula>NOT(ISERROR(SEARCH("RD",D33)))</formula>
    </cfRule>
    <cfRule type="containsText" dxfId="3523" priority="3388" operator="containsText" text="540">
      <formula>NOT(ISERROR(SEARCH("540",D33)))</formula>
    </cfRule>
    <cfRule type="cellIs" dxfId="3522" priority="3389" operator="between">
      <formula>1</formula>
      <formula>400</formula>
    </cfRule>
    <cfRule type="containsText" dxfId="3521" priority="3390" operator="containsText" text="LWOP UA">
      <formula>NOT(ISERROR(SEARCH("LWOP UA",D33)))</formula>
    </cfRule>
  </conditionalFormatting>
  <conditionalFormatting sqref="D33:E33">
    <cfRule type="containsText" dxfId="3520" priority="3391" operator="containsText" text="P">
      <formula>NOT(ISERROR(SEARCH("P",D33)))</formula>
    </cfRule>
  </conditionalFormatting>
  <conditionalFormatting sqref="D34:E34">
    <cfRule type="containsText" dxfId="3519" priority="3378" operator="containsText" text="TFO">
      <formula>NOT(ISERROR(SEARCH("TFO",D34)))</formula>
    </cfRule>
    <cfRule type="containsText" dxfId="3518" priority="3379" operator="containsText" text="AA">
      <formula>NOT(ISERROR(SEARCH("AA",D34)))</formula>
    </cfRule>
    <cfRule type="containsText" dxfId="3517" priority="3380" operator="containsText" text="RESIGNED">
      <formula>NOT(ISERROR(SEARCH("RESIGNED",D34)))</formula>
    </cfRule>
    <cfRule type="containsText" dxfId="3516" priority="3381" operator="containsText" text="P">
      <formula>NOT(ISERROR(SEARCH("P",D34)))</formula>
    </cfRule>
    <cfRule type="containsText" dxfId="3515" priority="3382" operator="containsText" text="TARDY">
      <formula>NOT(ISERROR(SEARCH("TARDY",D34)))</formula>
    </cfRule>
    <cfRule type="containsText" dxfId="3514" priority="3383" operator="containsText" text="REST DAY">
      <formula>NOT(ISERROR(SEARCH("REST DAY",D34)))</formula>
    </cfRule>
    <cfRule type="containsText" dxfId="3513" priority="3384" operator="containsText" text="UA">
      <formula>NOT(ISERROR(SEARCH("UA",D34)))</formula>
    </cfRule>
    <cfRule type="containsText" dxfId="3512" priority="3385" operator="containsText" text="LWOP UA">
      <formula>NOT(ISERROR(SEARCH("LWOP UA",D34)))</formula>
    </cfRule>
  </conditionalFormatting>
  <conditionalFormatting sqref="D34:E34">
    <cfRule type="containsText" dxfId="3511" priority="3372" operator="containsText" text="VL">
      <formula>NOT(ISERROR(SEARCH("VL",D34)))</formula>
    </cfRule>
    <cfRule type="containsText" dxfId="3510" priority="3373" operator="containsText" text="RD">
      <formula>NOT(ISERROR(SEARCH("RD",D34)))</formula>
    </cfRule>
    <cfRule type="containsText" dxfId="3509" priority="3374" operator="containsText" text="540">
      <formula>NOT(ISERROR(SEARCH("540",D34)))</formula>
    </cfRule>
    <cfRule type="cellIs" dxfId="3508" priority="3375" operator="between">
      <formula>1</formula>
      <formula>400</formula>
    </cfRule>
    <cfRule type="containsText" dxfId="3507" priority="3376" operator="containsText" text="LWOP UA">
      <formula>NOT(ISERROR(SEARCH("LWOP UA",D34)))</formula>
    </cfRule>
  </conditionalFormatting>
  <conditionalFormatting sqref="D34:E34">
    <cfRule type="containsText" dxfId="3506" priority="3377" operator="containsText" text="P">
      <formula>NOT(ISERROR(SEARCH("P",D34)))</formula>
    </cfRule>
  </conditionalFormatting>
  <conditionalFormatting sqref="D35:E35">
    <cfRule type="containsText" dxfId="3505" priority="3364" operator="containsText" text="TFO">
      <formula>NOT(ISERROR(SEARCH("TFO",D35)))</formula>
    </cfRule>
    <cfRule type="containsText" dxfId="3504" priority="3365" operator="containsText" text="AA">
      <formula>NOT(ISERROR(SEARCH("AA",D35)))</formula>
    </cfRule>
    <cfRule type="containsText" dxfId="3503" priority="3366" operator="containsText" text="RESIGNED">
      <formula>NOT(ISERROR(SEARCH("RESIGNED",D35)))</formula>
    </cfRule>
    <cfRule type="containsText" dxfId="3502" priority="3367" operator="containsText" text="P">
      <formula>NOT(ISERROR(SEARCH("P",D35)))</formula>
    </cfRule>
    <cfRule type="containsText" dxfId="3501" priority="3368" operator="containsText" text="TARDY">
      <formula>NOT(ISERROR(SEARCH("TARDY",D35)))</formula>
    </cfRule>
    <cfRule type="containsText" dxfId="3500" priority="3369" operator="containsText" text="REST DAY">
      <formula>NOT(ISERROR(SEARCH("REST DAY",D35)))</formula>
    </cfRule>
    <cfRule type="containsText" dxfId="3499" priority="3370" operator="containsText" text="UA">
      <formula>NOT(ISERROR(SEARCH("UA",D35)))</formula>
    </cfRule>
    <cfRule type="containsText" dxfId="3498" priority="3371" operator="containsText" text="LWOP UA">
      <formula>NOT(ISERROR(SEARCH("LWOP UA",D35)))</formula>
    </cfRule>
  </conditionalFormatting>
  <conditionalFormatting sqref="D35:E35">
    <cfRule type="containsText" dxfId="3497" priority="3358" operator="containsText" text="VL">
      <formula>NOT(ISERROR(SEARCH("VL",D35)))</formula>
    </cfRule>
    <cfRule type="containsText" dxfId="3496" priority="3359" operator="containsText" text="RD">
      <formula>NOT(ISERROR(SEARCH("RD",D35)))</formula>
    </cfRule>
    <cfRule type="containsText" dxfId="3495" priority="3360" operator="containsText" text="540">
      <formula>NOT(ISERROR(SEARCH("540",D35)))</formula>
    </cfRule>
    <cfRule type="cellIs" dxfId="3494" priority="3361" operator="between">
      <formula>1</formula>
      <formula>400</formula>
    </cfRule>
    <cfRule type="containsText" dxfId="3493" priority="3362" operator="containsText" text="LWOP UA">
      <formula>NOT(ISERROR(SEARCH("LWOP UA",D35)))</formula>
    </cfRule>
  </conditionalFormatting>
  <conditionalFormatting sqref="D35:E35">
    <cfRule type="containsText" dxfId="3492" priority="3363" operator="containsText" text="P">
      <formula>NOT(ISERROR(SEARCH("P",D35)))</formula>
    </cfRule>
  </conditionalFormatting>
  <conditionalFormatting sqref="D38:E38">
    <cfRule type="containsText" dxfId="3491" priority="3350" operator="containsText" text="TFO">
      <formula>NOT(ISERROR(SEARCH("TFO",D38)))</formula>
    </cfRule>
    <cfRule type="containsText" dxfId="3490" priority="3351" operator="containsText" text="AA">
      <formula>NOT(ISERROR(SEARCH("AA",D38)))</formula>
    </cfRule>
    <cfRule type="containsText" dxfId="3489" priority="3352" operator="containsText" text="RESIGNED">
      <formula>NOT(ISERROR(SEARCH("RESIGNED",D38)))</formula>
    </cfRule>
    <cfRule type="containsText" dxfId="3488" priority="3353" operator="containsText" text="P">
      <formula>NOT(ISERROR(SEARCH("P",D38)))</formula>
    </cfRule>
    <cfRule type="containsText" dxfId="3487" priority="3354" operator="containsText" text="TARDY">
      <formula>NOT(ISERROR(SEARCH("TARDY",D38)))</formula>
    </cfRule>
    <cfRule type="containsText" dxfId="3486" priority="3355" operator="containsText" text="REST DAY">
      <formula>NOT(ISERROR(SEARCH("REST DAY",D38)))</formula>
    </cfRule>
    <cfRule type="containsText" dxfId="3485" priority="3356" operator="containsText" text="UA">
      <formula>NOT(ISERROR(SEARCH("UA",D38)))</formula>
    </cfRule>
    <cfRule type="containsText" dxfId="3484" priority="3357" operator="containsText" text="LWOP UA">
      <formula>NOT(ISERROR(SEARCH("LWOP UA",D38)))</formula>
    </cfRule>
  </conditionalFormatting>
  <conditionalFormatting sqref="D38:E38">
    <cfRule type="containsText" dxfId="3483" priority="3344" operator="containsText" text="VL">
      <formula>NOT(ISERROR(SEARCH("VL",D38)))</formula>
    </cfRule>
    <cfRule type="containsText" dxfId="3482" priority="3345" operator="containsText" text="RD">
      <formula>NOT(ISERROR(SEARCH("RD",D38)))</formula>
    </cfRule>
    <cfRule type="containsText" dxfId="3481" priority="3346" operator="containsText" text="540">
      <formula>NOT(ISERROR(SEARCH("540",D38)))</formula>
    </cfRule>
    <cfRule type="cellIs" dxfId="3480" priority="3347" operator="between">
      <formula>1</formula>
      <formula>400</formula>
    </cfRule>
    <cfRule type="containsText" dxfId="3479" priority="3348" operator="containsText" text="LWOP UA">
      <formula>NOT(ISERROR(SEARCH("LWOP UA",D38)))</formula>
    </cfRule>
  </conditionalFormatting>
  <conditionalFormatting sqref="D38:E38">
    <cfRule type="containsText" dxfId="3478" priority="3349" operator="containsText" text="P">
      <formula>NOT(ISERROR(SEARCH("P",D38)))</formula>
    </cfRule>
  </conditionalFormatting>
  <conditionalFormatting sqref="D42:E42 E41">
    <cfRule type="containsText" dxfId="3477" priority="3336" operator="containsText" text="TFO">
      <formula>NOT(ISERROR(SEARCH("TFO",D41)))</formula>
    </cfRule>
    <cfRule type="containsText" dxfId="3476" priority="3337" operator="containsText" text="AA">
      <formula>NOT(ISERROR(SEARCH("AA",D41)))</formula>
    </cfRule>
    <cfRule type="containsText" dxfId="3475" priority="3338" operator="containsText" text="RESIGNED">
      <formula>NOT(ISERROR(SEARCH("RESIGNED",D41)))</formula>
    </cfRule>
    <cfRule type="containsText" dxfId="3474" priority="3339" operator="containsText" text="P">
      <formula>NOT(ISERROR(SEARCH("P",D41)))</formula>
    </cfRule>
    <cfRule type="containsText" dxfId="3473" priority="3340" operator="containsText" text="TARDY">
      <formula>NOT(ISERROR(SEARCH("TARDY",D41)))</formula>
    </cfRule>
    <cfRule type="containsText" dxfId="3472" priority="3341" operator="containsText" text="REST DAY">
      <formula>NOT(ISERROR(SEARCH("REST DAY",D41)))</formula>
    </cfRule>
    <cfRule type="containsText" dxfId="3471" priority="3342" operator="containsText" text="UA">
      <formula>NOT(ISERROR(SEARCH("UA",D41)))</formula>
    </cfRule>
    <cfRule type="containsText" dxfId="3470" priority="3343" operator="containsText" text="LWOP UA">
      <formula>NOT(ISERROR(SEARCH("LWOP UA",D41)))</formula>
    </cfRule>
  </conditionalFormatting>
  <conditionalFormatting sqref="D42:E42 E41">
    <cfRule type="containsText" dxfId="3469" priority="3330" operator="containsText" text="VL">
      <formula>NOT(ISERROR(SEARCH("VL",D41)))</formula>
    </cfRule>
    <cfRule type="containsText" dxfId="3468" priority="3331" operator="containsText" text="RD">
      <formula>NOT(ISERROR(SEARCH("RD",D41)))</formula>
    </cfRule>
    <cfRule type="containsText" dxfId="3467" priority="3332" operator="containsText" text="540">
      <formula>NOT(ISERROR(SEARCH("540",D41)))</formula>
    </cfRule>
    <cfRule type="cellIs" dxfId="3466" priority="3333" operator="between">
      <formula>1</formula>
      <formula>400</formula>
    </cfRule>
    <cfRule type="containsText" dxfId="3465" priority="3334" operator="containsText" text="LWOP UA">
      <formula>NOT(ISERROR(SEARCH("LWOP UA",D41)))</formula>
    </cfRule>
  </conditionalFormatting>
  <conditionalFormatting sqref="D42:E42 E41">
    <cfRule type="containsText" dxfId="3464" priority="3335" operator="containsText" text="P">
      <formula>NOT(ISERROR(SEARCH("P",D41)))</formula>
    </cfRule>
  </conditionalFormatting>
  <conditionalFormatting sqref="D47:E47">
    <cfRule type="containsText" dxfId="3463" priority="3322" operator="containsText" text="TFO">
      <formula>NOT(ISERROR(SEARCH("TFO",D47)))</formula>
    </cfRule>
    <cfRule type="containsText" dxfId="3462" priority="3323" operator="containsText" text="AA">
      <formula>NOT(ISERROR(SEARCH("AA",D47)))</formula>
    </cfRule>
    <cfRule type="containsText" dxfId="3461" priority="3324" operator="containsText" text="RESIGNED">
      <formula>NOT(ISERROR(SEARCH("RESIGNED",D47)))</formula>
    </cfRule>
    <cfRule type="containsText" dxfId="3460" priority="3325" operator="containsText" text="P">
      <formula>NOT(ISERROR(SEARCH("P",D47)))</formula>
    </cfRule>
    <cfRule type="containsText" dxfId="3459" priority="3326" operator="containsText" text="TARDY">
      <formula>NOT(ISERROR(SEARCH("TARDY",D47)))</formula>
    </cfRule>
    <cfRule type="containsText" dxfId="3458" priority="3327" operator="containsText" text="REST DAY">
      <formula>NOT(ISERROR(SEARCH("REST DAY",D47)))</formula>
    </cfRule>
    <cfRule type="containsText" dxfId="3457" priority="3328" operator="containsText" text="UA">
      <formula>NOT(ISERROR(SEARCH("UA",D47)))</formula>
    </cfRule>
    <cfRule type="containsText" dxfId="3456" priority="3329" operator="containsText" text="LWOP UA">
      <formula>NOT(ISERROR(SEARCH("LWOP UA",D47)))</formula>
    </cfRule>
  </conditionalFormatting>
  <conditionalFormatting sqref="D47:E47">
    <cfRule type="containsText" dxfId="3455" priority="3316" operator="containsText" text="VL">
      <formula>NOT(ISERROR(SEARCH("VL",D47)))</formula>
    </cfRule>
    <cfRule type="containsText" dxfId="3454" priority="3317" operator="containsText" text="RD">
      <formula>NOT(ISERROR(SEARCH("RD",D47)))</formula>
    </cfRule>
    <cfRule type="containsText" dxfId="3453" priority="3318" operator="containsText" text="540">
      <formula>NOT(ISERROR(SEARCH("540",D47)))</formula>
    </cfRule>
    <cfRule type="cellIs" dxfId="3452" priority="3319" operator="between">
      <formula>1</formula>
      <formula>400</formula>
    </cfRule>
    <cfRule type="containsText" dxfId="3451" priority="3320" operator="containsText" text="LWOP UA">
      <formula>NOT(ISERROR(SEARCH("LWOP UA",D47)))</formula>
    </cfRule>
  </conditionalFormatting>
  <conditionalFormatting sqref="D47:E47">
    <cfRule type="containsText" dxfId="3450" priority="3321" operator="containsText" text="P">
      <formula>NOT(ISERROR(SEARCH("P",D47)))</formula>
    </cfRule>
  </conditionalFormatting>
  <conditionalFormatting sqref="D53:E53">
    <cfRule type="containsText" dxfId="3449" priority="3308" operator="containsText" text="TFO">
      <formula>NOT(ISERROR(SEARCH("TFO",D53)))</formula>
    </cfRule>
    <cfRule type="containsText" dxfId="3448" priority="3309" operator="containsText" text="AA">
      <formula>NOT(ISERROR(SEARCH("AA",D53)))</formula>
    </cfRule>
    <cfRule type="containsText" dxfId="3447" priority="3310" operator="containsText" text="RESIGNED">
      <formula>NOT(ISERROR(SEARCH("RESIGNED",D53)))</formula>
    </cfRule>
    <cfRule type="containsText" dxfId="3446" priority="3311" operator="containsText" text="P">
      <formula>NOT(ISERROR(SEARCH("P",D53)))</formula>
    </cfRule>
    <cfRule type="containsText" dxfId="3445" priority="3312" operator="containsText" text="TARDY">
      <formula>NOT(ISERROR(SEARCH("TARDY",D53)))</formula>
    </cfRule>
    <cfRule type="containsText" dxfId="3444" priority="3313" operator="containsText" text="REST DAY">
      <formula>NOT(ISERROR(SEARCH("REST DAY",D53)))</formula>
    </cfRule>
    <cfRule type="containsText" dxfId="3443" priority="3314" operator="containsText" text="UA">
      <formula>NOT(ISERROR(SEARCH("UA",D53)))</formula>
    </cfRule>
    <cfRule type="containsText" dxfId="3442" priority="3315" operator="containsText" text="LWOP UA">
      <formula>NOT(ISERROR(SEARCH("LWOP UA",D53)))</formula>
    </cfRule>
  </conditionalFormatting>
  <conditionalFormatting sqref="D53:E53">
    <cfRule type="containsText" dxfId="3441" priority="3302" operator="containsText" text="VL">
      <formula>NOT(ISERROR(SEARCH("VL",D53)))</formula>
    </cfRule>
    <cfRule type="containsText" dxfId="3440" priority="3303" operator="containsText" text="RD">
      <formula>NOT(ISERROR(SEARCH("RD",D53)))</formula>
    </cfRule>
    <cfRule type="containsText" dxfId="3439" priority="3304" operator="containsText" text="540">
      <formula>NOT(ISERROR(SEARCH("540",D53)))</formula>
    </cfRule>
    <cfRule type="cellIs" dxfId="3438" priority="3305" operator="between">
      <formula>1</formula>
      <formula>400</formula>
    </cfRule>
    <cfRule type="containsText" dxfId="3437" priority="3306" operator="containsText" text="LWOP UA">
      <formula>NOT(ISERROR(SEARCH("LWOP UA",D53)))</formula>
    </cfRule>
  </conditionalFormatting>
  <conditionalFormatting sqref="D53:E53">
    <cfRule type="containsText" dxfId="3436" priority="3307" operator="containsText" text="P">
      <formula>NOT(ISERROR(SEARCH("P",D53)))</formula>
    </cfRule>
  </conditionalFormatting>
  <conditionalFormatting sqref="D55">
    <cfRule type="containsText" dxfId="3435" priority="3294" operator="containsText" text="TFO">
      <formula>NOT(ISERROR(SEARCH("TFO",D55)))</formula>
    </cfRule>
    <cfRule type="containsText" dxfId="3434" priority="3295" operator="containsText" text="AA">
      <formula>NOT(ISERROR(SEARCH("AA",D55)))</formula>
    </cfRule>
    <cfRule type="containsText" dxfId="3433" priority="3296" operator="containsText" text="RESIGNED">
      <formula>NOT(ISERROR(SEARCH("RESIGNED",D55)))</formula>
    </cfRule>
    <cfRule type="containsText" dxfId="3432" priority="3297" operator="containsText" text="P">
      <formula>NOT(ISERROR(SEARCH("P",D55)))</formula>
    </cfRule>
    <cfRule type="containsText" dxfId="3431" priority="3298" operator="containsText" text="TARDY">
      <formula>NOT(ISERROR(SEARCH("TARDY",D55)))</formula>
    </cfRule>
    <cfRule type="containsText" dxfId="3430" priority="3299" operator="containsText" text="REST DAY">
      <formula>NOT(ISERROR(SEARCH("REST DAY",D55)))</formula>
    </cfRule>
    <cfRule type="containsText" dxfId="3429" priority="3300" operator="containsText" text="UA">
      <formula>NOT(ISERROR(SEARCH("UA",D55)))</formula>
    </cfRule>
    <cfRule type="containsText" dxfId="3428" priority="3301" operator="containsText" text="LWOP UA">
      <formula>NOT(ISERROR(SEARCH("LWOP UA",D55)))</formula>
    </cfRule>
  </conditionalFormatting>
  <conditionalFormatting sqref="D55">
    <cfRule type="containsText" dxfId="3427" priority="3288" operator="containsText" text="VL">
      <formula>NOT(ISERROR(SEARCH("VL",D55)))</formula>
    </cfRule>
    <cfRule type="containsText" dxfId="3426" priority="3289" operator="containsText" text="RD">
      <formula>NOT(ISERROR(SEARCH("RD",D55)))</formula>
    </cfRule>
    <cfRule type="containsText" dxfId="3425" priority="3290" operator="containsText" text="540">
      <formula>NOT(ISERROR(SEARCH("540",D55)))</formula>
    </cfRule>
    <cfRule type="cellIs" dxfId="3424" priority="3291" operator="between">
      <formula>1</formula>
      <formula>400</formula>
    </cfRule>
    <cfRule type="containsText" dxfId="3423" priority="3292" operator="containsText" text="LWOP UA">
      <formula>NOT(ISERROR(SEARCH("LWOP UA",D55)))</formula>
    </cfRule>
  </conditionalFormatting>
  <conditionalFormatting sqref="D55">
    <cfRule type="containsText" dxfId="3422" priority="3293" operator="containsText" text="P">
      <formula>NOT(ISERROR(SEARCH("P",D55)))</formula>
    </cfRule>
  </conditionalFormatting>
  <conditionalFormatting sqref="D57">
    <cfRule type="containsText" dxfId="3421" priority="3280" operator="containsText" text="TFO">
      <formula>NOT(ISERROR(SEARCH("TFO",D57)))</formula>
    </cfRule>
    <cfRule type="containsText" dxfId="3420" priority="3281" operator="containsText" text="AA">
      <formula>NOT(ISERROR(SEARCH("AA",D57)))</formula>
    </cfRule>
    <cfRule type="containsText" dxfId="3419" priority="3282" operator="containsText" text="RESIGNED">
      <formula>NOT(ISERROR(SEARCH("RESIGNED",D57)))</formula>
    </cfRule>
    <cfRule type="containsText" dxfId="3418" priority="3283" operator="containsText" text="P">
      <formula>NOT(ISERROR(SEARCH("P",D57)))</formula>
    </cfRule>
    <cfRule type="containsText" dxfId="3417" priority="3284" operator="containsText" text="TARDY">
      <formula>NOT(ISERROR(SEARCH("TARDY",D57)))</formula>
    </cfRule>
    <cfRule type="containsText" dxfId="3416" priority="3285" operator="containsText" text="REST DAY">
      <formula>NOT(ISERROR(SEARCH("REST DAY",D57)))</formula>
    </cfRule>
    <cfRule type="containsText" dxfId="3415" priority="3286" operator="containsText" text="UA">
      <formula>NOT(ISERROR(SEARCH("UA",D57)))</formula>
    </cfRule>
    <cfRule type="containsText" dxfId="3414" priority="3287" operator="containsText" text="LWOP UA">
      <formula>NOT(ISERROR(SEARCH("LWOP UA",D57)))</formula>
    </cfRule>
  </conditionalFormatting>
  <conditionalFormatting sqref="D57">
    <cfRule type="containsText" dxfId="3413" priority="3274" operator="containsText" text="VL">
      <formula>NOT(ISERROR(SEARCH("VL",D57)))</formula>
    </cfRule>
    <cfRule type="containsText" dxfId="3412" priority="3275" operator="containsText" text="RD">
      <formula>NOT(ISERROR(SEARCH("RD",D57)))</formula>
    </cfRule>
    <cfRule type="containsText" dxfId="3411" priority="3276" operator="containsText" text="540">
      <formula>NOT(ISERROR(SEARCH("540",D57)))</formula>
    </cfRule>
    <cfRule type="cellIs" dxfId="3410" priority="3277" operator="between">
      <formula>1</formula>
      <formula>400</formula>
    </cfRule>
    <cfRule type="containsText" dxfId="3409" priority="3278" operator="containsText" text="LWOP UA">
      <formula>NOT(ISERROR(SEARCH("LWOP UA",D57)))</formula>
    </cfRule>
  </conditionalFormatting>
  <conditionalFormatting sqref="D57">
    <cfRule type="containsText" dxfId="3408" priority="3279" operator="containsText" text="P">
      <formula>NOT(ISERROR(SEARCH("P",D57)))</formula>
    </cfRule>
  </conditionalFormatting>
  <conditionalFormatting sqref="E60:F60">
    <cfRule type="containsText" dxfId="3407" priority="3266" operator="containsText" text="TFO">
      <formula>NOT(ISERROR(SEARCH("TFO",E60)))</formula>
    </cfRule>
    <cfRule type="containsText" dxfId="3406" priority="3267" operator="containsText" text="AA">
      <formula>NOT(ISERROR(SEARCH("AA",E60)))</formula>
    </cfRule>
    <cfRule type="containsText" dxfId="3405" priority="3268" operator="containsText" text="RESIGNED">
      <formula>NOT(ISERROR(SEARCH("RESIGNED",E60)))</formula>
    </cfRule>
    <cfRule type="containsText" dxfId="3404" priority="3269" operator="containsText" text="P">
      <formula>NOT(ISERROR(SEARCH("P",E60)))</formula>
    </cfRule>
    <cfRule type="containsText" dxfId="3403" priority="3270" operator="containsText" text="TARDY">
      <formula>NOT(ISERROR(SEARCH("TARDY",E60)))</formula>
    </cfRule>
    <cfRule type="containsText" dxfId="3402" priority="3271" operator="containsText" text="REST DAY">
      <formula>NOT(ISERROR(SEARCH("REST DAY",E60)))</formula>
    </cfRule>
    <cfRule type="containsText" dxfId="3401" priority="3272" operator="containsText" text="UA">
      <formula>NOT(ISERROR(SEARCH("UA",E60)))</formula>
    </cfRule>
    <cfRule type="containsText" dxfId="3400" priority="3273" operator="containsText" text="LWOP UA">
      <formula>NOT(ISERROR(SEARCH("LWOP UA",E60)))</formula>
    </cfRule>
  </conditionalFormatting>
  <conditionalFormatting sqref="E60:F60">
    <cfRule type="containsText" dxfId="3399" priority="3260" operator="containsText" text="VL">
      <formula>NOT(ISERROR(SEARCH("VL",E60)))</formula>
    </cfRule>
    <cfRule type="containsText" dxfId="3398" priority="3261" operator="containsText" text="RD">
      <formula>NOT(ISERROR(SEARCH("RD",E60)))</formula>
    </cfRule>
    <cfRule type="containsText" dxfId="3397" priority="3262" operator="containsText" text="540">
      <formula>NOT(ISERROR(SEARCH("540",E60)))</formula>
    </cfRule>
    <cfRule type="cellIs" dxfId="3396" priority="3263" operator="between">
      <formula>1</formula>
      <formula>400</formula>
    </cfRule>
    <cfRule type="containsText" dxfId="3395" priority="3264" operator="containsText" text="LWOP UA">
      <formula>NOT(ISERROR(SEARCH("LWOP UA",E60)))</formula>
    </cfRule>
  </conditionalFormatting>
  <conditionalFormatting sqref="E60:F60">
    <cfRule type="containsText" dxfId="3394" priority="3265" operator="containsText" text="P">
      <formula>NOT(ISERROR(SEARCH("P",E60)))</formula>
    </cfRule>
  </conditionalFormatting>
  <conditionalFormatting sqref="D64:E64">
    <cfRule type="containsText" dxfId="3393" priority="3252" operator="containsText" text="TFO">
      <formula>NOT(ISERROR(SEARCH("TFO",D64)))</formula>
    </cfRule>
    <cfRule type="containsText" dxfId="3392" priority="3253" operator="containsText" text="AA">
      <formula>NOT(ISERROR(SEARCH("AA",D64)))</formula>
    </cfRule>
    <cfRule type="containsText" dxfId="3391" priority="3254" operator="containsText" text="RESIGNED">
      <formula>NOT(ISERROR(SEARCH("RESIGNED",D64)))</formula>
    </cfRule>
    <cfRule type="containsText" dxfId="3390" priority="3255" operator="containsText" text="P">
      <formula>NOT(ISERROR(SEARCH("P",D64)))</formula>
    </cfRule>
    <cfRule type="containsText" dxfId="3389" priority="3256" operator="containsText" text="TARDY">
      <formula>NOT(ISERROR(SEARCH("TARDY",D64)))</formula>
    </cfRule>
    <cfRule type="containsText" dxfId="3388" priority="3257" operator="containsText" text="REST DAY">
      <formula>NOT(ISERROR(SEARCH("REST DAY",D64)))</formula>
    </cfRule>
    <cfRule type="containsText" dxfId="3387" priority="3258" operator="containsText" text="UA">
      <formula>NOT(ISERROR(SEARCH("UA",D64)))</formula>
    </cfRule>
    <cfRule type="containsText" dxfId="3386" priority="3259" operator="containsText" text="LWOP UA">
      <formula>NOT(ISERROR(SEARCH("LWOP UA",D64)))</formula>
    </cfRule>
  </conditionalFormatting>
  <conditionalFormatting sqref="D64:E64">
    <cfRule type="containsText" dxfId="3385" priority="3246" operator="containsText" text="VL">
      <formula>NOT(ISERROR(SEARCH("VL",D64)))</formula>
    </cfRule>
    <cfRule type="containsText" dxfId="3384" priority="3247" operator="containsText" text="RD">
      <formula>NOT(ISERROR(SEARCH("RD",D64)))</formula>
    </cfRule>
    <cfRule type="containsText" dxfId="3383" priority="3248" operator="containsText" text="540">
      <formula>NOT(ISERROR(SEARCH("540",D64)))</formula>
    </cfRule>
    <cfRule type="cellIs" dxfId="3382" priority="3249" operator="between">
      <formula>1</formula>
      <formula>400</formula>
    </cfRule>
    <cfRule type="containsText" dxfId="3381" priority="3250" operator="containsText" text="LWOP UA">
      <formula>NOT(ISERROR(SEARCH("LWOP UA",D64)))</formula>
    </cfRule>
  </conditionalFormatting>
  <conditionalFormatting sqref="D64:E64">
    <cfRule type="containsText" dxfId="3380" priority="3251" operator="containsText" text="P">
      <formula>NOT(ISERROR(SEARCH("P",D64)))</formula>
    </cfRule>
  </conditionalFormatting>
  <conditionalFormatting sqref="E68">
    <cfRule type="containsText" dxfId="3379" priority="3238" operator="containsText" text="TFO">
      <formula>NOT(ISERROR(SEARCH("TFO",E68)))</formula>
    </cfRule>
    <cfRule type="containsText" dxfId="3378" priority="3239" operator="containsText" text="AA">
      <formula>NOT(ISERROR(SEARCH("AA",E68)))</formula>
    </cfRule>
    <cfRule type="containsText" dxfId="3377" priority="3240" operator="containsText" text="RESIGNED">
      <formula>NOT(ISERROR(SEARCH("RESIGNED",E68)))</formula>
    </cfRule>
    <cfRule type="containsText" dxfId="3376" priority="3241" operator="containsText" text="P">
      <formula>NOT(ISERROR(SEARCH("P",E68)))</formula>
    </cfRule>
    <cfRule type="containsText" dxfId="3375" priority="3242" operator="containsText" text="TARDY">
      <formula>NOT(ISERROR(SEARCH("TARDY",E68)))</formula>
    </cfRule>
    <cfRule type="containsText" dxfId="3374" priority="3243" operator="containsText" text="REST DAY">
      <formula>NOT(ISERROR(SEARCH("REST DAY",E68)))</formula>
    </cfRule>
    <cfRule type="containsText" dxfId="3373" priority="3244" operator="containsText" text="UA">
      <formula>NOT(ISERROR(SEARCH("UA",E68)))</formula>
    </cfRule>
    <cfRule type="containsText" dxfId="3372" priority="3245" operator="containsText" text="LWOP UA">
      <formula>NOT(ISERROR(SEARCH("LWOP UA",E68)))</formula>
    </cfRule>
  </conditionalFormatting>
  <conditionalFormatting sqref="E68">
    <cfRule type="containsText" dxfId="3371" priority="3232" operator="containsText" text="VL">
      <formula>NOT(ISERROR(SEARCH("VL",E68)))</formula>
    </cfRule>
    <cfRule type="containsText" dxfId="3370" priority="3233" operator="containsText" text="RD">
      <formula>NOT(ISERROR(SEARCH("RD",E68)))</formula>
    </cfRule>
    <cfRule type="containsText" dxfId="3369" priority="3234" operator="containsText" text="540">
      <formula>NOT(ISERROR(SEARCH("540",E68)))</formula>
    </cfRule>
    <cfRule type="cellIs" dxfId="3368" priority="3235" operator="between">
      <formula>1</formula>
      <formula>400</formula>
    </cfRule>
    <cfRule type="containsText" dxfId="3367" priority="3236" operator="containsText" text="LWOP UA">
      <formula>NOT(ISERROR(SEARCH("LWOP UA",E68)))</formula>
    </cfRule>
  </conditionalFormatting>
  <conditionalFormatting sqref="E68">
    <cfRule type="containsText" dxfId="3366" priority="3237" operator="containsText" text="P">
      <formula>NOT(ISERROR(SEARCH("P",E68)))</formula>
    </cfRule>
  </conditionalFormatting>
  <conditionalFormatting sqref="E71">
    <cfRule type="containsText" dxfId="3365" priority="3224" operator="containsText" text="TFO">
      <formula>NOT(ISERROR(SEARCH("TFO",E71)))</formula>
    </cfRule>
    <cfRule type="containsText" dxfId="3364" priority="3225" operator="containsText" text="AA">
      <formula>NOT(ISERROR(SEARCH("AA",E71)))</formula>
    </cfRule>
    <cfRule type="containsText" dxfId="3363" priority="3226" operator="containsText" text="RESIGNED">
      <formula>NOT(ISERROR(SEARCH("RESIGNED",E71)))</formula>
    </cfRule>
    <cfRule type="containsText" dxfId="3362" priority="3227" operator="containsText" text="P">
      <formula>NOT(ISERROR(SEARCH("P",E71)))</formula>
    </cfRule>
    <cfRule type="containsText" dxfId="3361" priority="3228" operator="containsText" text="TARDY">
      <formula>NOT(ISERROR(SEARCH("TARDY",E71)))</formula>
    </cfRule>
    <cfRule type="containsText" dxfId="3360" priority="3229" operator="containsText" text="REST DAY">
      <formula>NOT(ISERROR(SEARCH("REST DAY",E71)))</formula>
    </cfRule>
    <cfRule type="containsText" dxfId="3359" priority="3230" operator="containsText" text="UA">
      <formula>NOT(ISERROR(SEARCH("UA",E71)))</formula>
    </cfRule>
    <cfRule type="containsText" dxfId="3358" priority="3231" operator="containsText" text="LWOP UA">
      <formula>NOT(ISERROR(SEARCH("LWOP UA",E71)))</formula>
    </cfRule>
  </conditionalFormatting>
  <conditionalFormatting sqref="E71">
    <cfRule type="containsText" dxfId="3357" priority="3218" operator="containsText" text="VL">
      <formula>NOT(ISERROR(SEARCH("VL",E71)))</formula>
    </cfRule>
    <cfRule type="containsText" dxfId="3356" priority="3219" operator="containsText" text="RD">
      <formula>NOT(ISERROR(SEARCH("RD",E71)))</formula>
    </cfRule>
    <cfRule type="containsText" dxfId="3355" priority="3220" operator="containsText" text="540">
      <formula>NOT(ISERROR(SEARCH("540",E71)))</formula>
    </cfRule>
    <cfRule type="cellIs" dxfId="3354" priority="3221" operator="between">
      <formula>1</formula>
      <formula>400</formula>
    </cfRule>
    <cfRule type="containsText" dxfId="3353" priority="3222" operator="containsText" text="LWOP UA">
      <formula>NOT(ISERROR(SEARCH("LWOP UA",E71)))</formula>
    </cfRule>
  </conditionalFormatting>
  <conditionalFormatting sqref="E71">
    <cfRule type="containsText" dxfId="3352" priority="3223" operator="containsText" text="P">
      <formula>NOT(ISERROR(SEARCH("P",E71)))</formula>
    </cfRule>
  </conditionalFormatting>
  <conditionalFormatting sqref="D79:E79">
    <cfRule type="containsText" dxfId="3351" priority="3210" operator="containsText" text="TFO">
      <formula>NOT(ISERROR(SEARCH("TFO",D79)))</formula>
    </cfRule>
    <cfRule type="containsText" dxfId="3350" priority="3211" operator="containsText" text="AA">
      <formula>NOT(ISERROR(SEARCH("AA",D79)))</formula>
    </cfRule>
    <cfRule type="containsText" dxfId="3349" priority="3212" operator="containsText" text="RESIGNED">
      <formula>NOT(ISERROR(SEARCH("RESIGNED",D79)))</formula>
    </cfRule>
    <cfRule type="containsText" dxfId="3348" priority="3213" operator="containsText" text="P">
      <formula>NOT(ISERROR(SEARCH("P",D79)))</formula>
    </cfRule>
    <cfRule type="containsText" dxfId="3347" priority="3214" operator="containsText" text="TARDY">
      <formula>NOT(ISERROR(SEARCH("TARDY",D79)))</formula>
    </cfRule>
    <cfRule type="containsText" dxfId="3346" priority="3215" operator="containsText" text="REST DAY">
      <formula>NOT(ISERROR(SEARCH("REST DAY",D79)))</formula>
    </cfRule>
    <cfRule type="containsText" dxfId="3345" priority="3216" operator="containsText" text="UA">
      <formula>NOT(ISERROR(SEARCH("UA",D79)))</formula>
    </cfRule>
    <cfRule type="containsText" dxfId="3344" priority="3217" operator="containsText" text="LWOP UA">
      <formula>NOT(ISERROR(SEARCH("LWOP UA",D79)))</formula>
    </cfRule>
  </conditionalFormatting>
  <conditionalFormatting sqref="D79:E79">
    <cfRule type="containsText" dxfId="3343" priority="3204" operator="containsText" text="VL">
      <formula>NOT(ISERROR(SEARCH("VL",D79)))</formula>
    </cfRule>
    <cfRule type="containsText" dxfId="3342" priority="3205" operator="containsText" text="RD">
      <formula>NOT(ISERROR(SEARCH("RD",D79)))</formula>
    </cfRule>
    <cfRule type="containsText" dxfId="3341" priority="3206" operator="containsText" text="540">
      <formula>NOT(ISERROR(SEARCH("540",D79)))</formula>
    </cfRule>
    <cfRule type="cellIs" dxfId="3340" priority="3207" operator="between">
      <formula>1</formula>
      <formula>400</formula>
    </cfRule>
    <cfRule type="containsText" dxfId="3339" priority="3208" operator="containsText" text="LWOP UA">
      <formula>NOT(ISERROR(SEARCH("LWOP UA",D79)))</formula>
    </cfRule>
  </conditionalFormatting>
  <conditionalFormatting sqref="D79:E79">
    <cfRule type="containsText" dxfId="3338" priority="3209" operator="containsText" text="P">
      <formula>NOT(ISERROR(SEARCH("P",D79)))</formula>
    </cfRule>
  </conditionalFormatting>
  <conditionalFormatting sqref="D78:E79">
    <cfRule type="containsText" dxfId="3337" priority="3196" operator="containsText" text="TFO">
      <formula>NOT(ISERROR(SEARCH("TFO",D78)))</formula>
    </cfRule>
    <cfRule type="containsText" dxfId="3336" priority="3197" operator="containsText" text="AA">
      <formula>NOT(ISERROR(SEARCH("AA",D78)))</formula>
    </cfRule>
    <cfRule type="containsText" dxfId="3335" priority="3198" operator="containsText" text="RESIGNED">
      <formula>NOT(ISERROR(SEARCH("RESIGNED",D78)))</formula>
    </cfRule>
    <cfRule type="containsText" dxfId="3334" priority="3199" operator="containsText" text="P">
      <formula>NOT(ISERROR(SEARCH("P",D78)))</formula>
    </cfRule>
    <cfRule type="containsText" dxfId="3333" priority="3200" operator="containsText" text="TARDY">
      <formula>NOT(ISERROR(SEARCH("TARDY",D78)))</formula>
    </cfRule>
    <cfRule type="containsText" dxfId="3332" priority="3201" operator="containsText" text="REST DAY">
      <formula>NOT(ISERROR(SEARCH("REST DAY",D78)))</formula>
    </cfRule>
    <cfRule type="containsText" dxfId="3331" priority="3202" operator="containsText" text="UA">
      <formula>NOT(ISERROR(SEARCH("UA",D78)))</formula>
    </cfRule>
    <cfRule type="containsText" dxfId="3330" priority="3203" operator="containsText" text="LWOP UA">
      <formula>NOT(ISERROR(SEARCH("LWOP UA",D78)))</formula>
    </cfRule>
  </conditionalFormatting>
  <conditionalFormatting sqref="D78:E79">
    <cfRule type="containsText" dxfId="3329" priority="3190" operator="containsText" text="VL">
      <formula>NOT(ISERROR(SEARCH("VL",D78)))</formula>
    </cfRule>
    <cfRule type="containsText" dxfId="3328" priority="3191" operator="containsText" text="RD">
      <formula>NOT(ISERROR(SEARCH("RD",D78)))</formula>
    </cfRule>
    <cfRule type="containsText" dxfId="3327" priority="3192" operator="containsText" text="540">
      <formula>NOT(ISERROR(SEARCH("540",D78)))</formula>
    </cfRule>
    <cfRule type="cellIs" dxfId="3326" priority="3193" operator="between">
      <formula>1</formula>
      <formula>400</formula>
    </cfRule>
    <cfRule type="containsText" dxfId="3325" priority="3194" operator="containsText" text="LWOP UA">
      <formula>NOT(ISERROR(SEARCH("LWOP UA",D78)))</formula>
    </cfRule>
  </conditionalFormatting>
  <conditionalFormatting sqref="D78:E79">
    <cfRule type="containsText" dxfId="3324" priority="3195" operator="containsText" text="P">
      <formula>NOT(ISERROR(SEARCH("P",D78)))</formula>
    </cfRule>
  </conditionalFormatting>
  <conditionalFormatting sqref="D83:E83">
    <cfRule type="containsText" dxfId="3323" priority="3182" operator="containsText" text="TFO">
      <formula>NOT(ISERROR(SEARCH("TFO",D83)))</formula>
    </cfRule>
    <cfRule type="containsText" dxfId="3322" priority="3183" operator="containsText" text="AA">
      <formula>NOT(ISERROR(SEARCH("AA",D83)))</formula>
    </cfRule>
    <cfRule type="containsText" dxfId="3321" priority="3184" operator="containsText" text="RESIGNED">
      <formula>NOT(ISERROR(SEARCH("RESIGNED",D83)))</formula>
    </cfRule>
    <cfRule type="containsText" dxfId="3320" priority="3185" operator="containsText" text="P">
      <formula>NOT(ISERROR(SEARCH("P",D83)))</formula>
    </cfRule>
    <cfRule type="containsText" dxfId="3319" priority="3186" operator="containsText" text="TARDY">
      <formula>NOT(ISERROR(SEARCH("TARDY",D83)))</formula>
    </cfRule>
    <cfRule type="containsText" dxfId="3318" priority="3187" operator="containsText" text="REST DAY">
      <formula>NOT(ISERROR(SEARCH("REST DAY",D83)))</formula>
    </cfRule>
    <cfRule type="containsText" dxfId="3317" priority="3188" operator="containsText" text="UA">
      <formula>NOT(ISERROR(SEARCH("UA",D83)))</formula>
    </cfRule>
    <cfRule type="containsText" dxfId="3316" priority="3189" operator="containsText" text="LWOP UA">
      <formula>NOT(ISERROR(SEARCH("LWOP UA",D83)))</formula>
    </cfRule>
  </conditionalFormatting>
  <conditionalFormatting sqref="D83:E83">
    <cfRule type="containsText" dxfId="3315" priority="3176" operator="containsText" text="VL">
      <formula>NOT(ISERROR(SEARCH("VL",D83)))</formula>
    </cfRule>
    <cfRule type="containsText" dxfId="3314" priority="3177" operator="containsText" text="RD">
      <formula>NOT(ISERROR(SEARCH("RD",D83)))</formula>
    </cfRule>
    <cfRule type="containsText" dxfId="3313" priority="3178" operator="containsText" text="540">
      <formula>NOT(ISERROR(SEARCH("540",D83)))</formula>
    </cfRule>
    <cfRule type="cellIs" dxfId="3312" priority="3179" operator="between">
      <formula>1</formula>
      <formula>400</formula>
    </cfRule>
    <cfRule type="containsText" dxfId="3311" priority="3180" operator="containsText" text="LWOP UA">
      <formula>NOT(ISERROR(SEARCH("LWOP UA",D83)))</formula>
    </cfRule>
  </conditionalFormatting>
  <conditionalFormatting sqref="D83:E83">
    <cfRule type="containsText" dxfId="3310" priority="3181" operator="containsText" text="P">
      <formula>NOT(ISERROR(SEARCH("P",D83)))</formula>
    </cfRule>
  </conditionalFormatting>
  <conditionalFormatting sqref="E92">
    <cfRule type="containsText" dxfId="3309" priority="3158" operator="containsText" text="P">
      <formula>NOT(ISERROR(SEARCH("P",E92)))</formula>
    </cfRule>
    <cfRule type="containsText" dxfId="3308" priority="3159" operator="containsText" text="TFO">
      <formula>NOT(ISERROR(SEARCH("TFO",E92)))</formula>
    </cfRule>
    <cfRule type="containsText" dxfId="3307" priority="3160" operator="containsText" text="AA">
      <formula>NOT(ISERROR(SEARCH("AA",E92)))</formula>
    </cfRule>
    <cfRule type="containsText" dxfId="3306" priority="3161" operator="containsText" text="RESIGNED">
      <formula>NOT(ISERROR(SEARCH("RESIGNED",E92)))</formula>
    </cfRule>
    <cfRule type="containsText" dxfId="3305" priority="3162" operator="containsText" text="P">
      <formula>NOT(ISERROR(SEARCH("P",E92)))</formula>
    </cfRule>
    <cfRule type="containsText" dxfId="3304" priority="3163" operator="containsText" text="TARDY">
      <formula>NOT(ISERROR(SEARCH("TARDY",E92)))</formula>
    </cfRule>
    <cfRule type="containsText" dxfId="3303" priority="3164" operator="containsText" text="REST DAY">
      <formula>NOT(ISERROR(SEARCH("REST DAY",E92)))</formula>
    </cfRule>
    <cfRule type="containsText" dxfId="3302" priority="3165" operator="containsText" text="UA">
      <formula>NOT(ISERROR(SEARCH("UA",E92)))</formula>
    </cfRule>
    <cfRule type="containsText" dxfId="3301" priority="3166" operator="containsText" text="LWOP UA">
      <formula>NOT(ISERROR(SEARCH("LWOP UA",E92)))</formula>
    </cfRule>
  </conditionalFormatting>
  <conditionalFormatting sqref="E91">
    <cfRule type="containsText" dxfId="3300" priority="3168" operator="containsText" text="TFO">
      <formula>NOT(ISERROR(SEARCH("TFO",E91)))</formula>
    </cfRule>
    <cfRule type="containsText" dxfId="3299" priority="3169" operator="containsText" text="AA">
      <formula>NOT(ISERROR(SEARCH("AA",E91)))</formula>
    </cfRule>
    <cfRule type="containsText" dxfId="3298" priority="3170" operator="containsText" text="RESIGNED">
      <formula>NOT(ISERROR(SEARCH("RESIGNED",E91)))</formula>
    </cfRule>
    <cfRule type="containsText" dxfId="3297" priority="3171" operator="containsText" text="P">
      <formula>NOT(ISERROR(SEARCH("P",E91)))</formula>
    </cfRule>
    <cfRule type="containsText" dxfId="3296" priority="3172" operator="containsText" text="TARDY">
      <formula>NOT(ISERROR(SEARCH("TARDY",E91)))</formula>
    </cfRule>
    <cfRule type="containsText" dxfId="3295" priority="3173" operator="containsText" text="REST DAY">
      <formula>NOT(ISERROR(SEARCH("REST DAY",E91)))</formula>
    </cfRule>
    <cfRule type="containsText" dxfId="3294" priority="3174" operator="containsText" text="UA">
      <formula>NOT(ISERROR(SEARCH("UA",E91)))</formula>
    </cfRule>
    <cfRule type="containsText" dxfId="3293" priority="3175" operator="containsText" text="LWOP UA">
      <formula>NOT(ISERROR(SEARCH("LWOP UA",E91)))</formula>
    </cfRule>
  </conditionalFormatting>
  <conditionalFormatting sqref="E91:E92">
    <cfRule type="containsText" dxfId="3292" priority="3153" operator="containsText" text="VL">
      <formula>NOT(ISERROR(SEARCH("VL",E91)))</formula>
    </cfRule>
    <cfRule type="containsText" dxfId="3291" priority="3154" operator="containsText" text="RD">
      <formula>NOT(ISERROR(SEARCH("RD",E91)))</formula>
    </cfRule>
    <cfRule type="containsText" dxfId="3290" priority="3155" operator="containsText" text="540">
      <formula>NOT(ISERROR(SEARCH("540",E91)))</formula>
    </cfRule>
    <cfRule type="cellIs" dxfId="3289" priority="3156" operator="between">
      <formula>1</formula>
      <formula>400</formula>
    </cfRule>
    <cfRule type="containsText" dxfId="3288" priority="3157" operator="containsText" text="LWOP UA">
      <formula>NOT(ISERROR(SEARCH("LWOP UA",E91)))</formula>
    </cfRule>
  </conditionalFormatting>
  <conditionalFormatting sqref="E91">
    <cfRule type="containsText" dxfId="3287" priority="3167" operator="containsText" text="P">
      <formula>NOT(ISERROR(SEARCH("P",E91)))</formula>
    </cfRule>
  </conditionalFormatting>
  <conditionalFormatting sqref="E6">
    <cfRule type="containsText" dxfId="3286" priority="3145" operator="containsText" text="TFO">
      <formula>NOT(ISERROR(SEARCH("TFO",E6)))</formula>
    </cfRule>
    <cfRule type="containsText" dxfId="3285" priority="3146" operator="containsText" text="AA">
      <formula>NOT(ISERROR(SEARCH("AA",E6)))</formula>
    </cfRule>
    <cfRule type="containsText" dxfId="3284" priority="3147" operator="containsText" text="RESIGNED">
      <formula>NOT(ISERROR(SEARCH("RESIGNED",E6)))</formula>
    </cfRule>
    <cfRule type="containsText" dxfId="3283" priority="3148" operator="containsText" text="P">
      <formula>NOT(ISERROR(SEARCH("P",E6)))</formula>
    </cfRule>
    <cfRule type="containsText" dxfId="3282" priority="3149" operator="containsText" text="TARDY">
      <formula>NOT(ISERROR(SEARCH("TARDY",E6)))</formula>
    </cfRule>
    <cfRule type="containsText" dxfId="3281" priority="3150" operator="containsText" text="REST DAY">
      <formula>NOT(ISERROR(SEARCH("REST DAY",E6)))</formula>
    </cfRule>
    <cfRule type="containsText" dxfId="3280" priority="3151" operator="containsText" text="UA">
      <formula>NOT(ISERROR(SEARCH("UA",E6)))</formula>
    </cfRule>
    <cfRule type="containsText" dxfId="3279" priority="3152" operator="containsText" text="LWOP UA">
      <formula>NOT(ISERROR(SEARCH("LWOP UA",E6)))</formula>
    </cfRule>
  </conditionalFormatting>
  <conditionalFormatting sqref="E6">
    <cfRule type="containsText" dxfId="3278" priority="3139" operator="containsText" text="VL">
      <formula>NOT(ISERROR(SEARCH("VL",E6)))</formula>
    </cfRule>
    <cfRule type="containsText" dxfId="3277" priority="3140" operator="containsText" text="RD">
      <formula>NOT(ISERROR(SEARCH("RD",E6)))</formula>
    </cfRule>
    <cfRule type="containsText" dxfId="3276" priority="3141" operator="containsText" text="540">
      <formula>NOT(ISERROR(SEARCH("540",E6)))</formula>
    </cfRule>
    <cfRule type="cellIs" dxfId="3275" priority="3142" operator="between">
      <formula>1</formula>
      <formula>400</formula>
    </cfRule>
    <cfRule type="containsText" dxfId="3274" priority="3143" operator="containsText" text="LWOP UA">
      <formula>NOT(ISERROR(SEARCH("LWOP UA",E6)))</formula>
    </cfRule>
  </conditionalFormatting>
  <conditionalFormatting sqref="E6">
    <cfRule type="containsText" dxfId="3273" priority="3144" operator="containsText" text="P">
      <formula>NOT(ISERROR(SEARCH("P",E6)))</formula>
    </cfRule>
  </conditionalFormatting>
  <conditionalFormatting sqref="E9">
    <cfRule type="containsText" dxfId="3272" priority="3131" operator="containsText" text="TFO">
      <formula>NOT(ISERROR(SEARCH("TFO",E9)))</formula>
    </cfRule>
    <cfRule type="containsText" dxfId="3271" priority="3132" operator="containsText" text="AA">
      <formula>NOT(ISERROR(SEARCH("AA",E9)))</formula>
    </cfRule>
    <cfRule type="containsText" dxfId="3270" priority="3133" operator="containsText" text="RESIGNED">
      <formula>NOT(ISERROR(SEARCH("RESIGNED",E9)))</formula>
    </cfRule>
    <cfRule type="containsText" dxfId="3269" priority="3134" operator="containsText" text="P">
      <formula>NOT(ISERROR(SEARCH("P",E9)))</formula>
    </cfRule>
    <cfRule type="containsText" dxfId="3268" priority="3135" operator="containsText" text="TARDY">
      <formula>NOT(ISERROR(SEARCH("TARDY",E9)))</formula>
    </cfRule>
    <cfRule type="containsText" dxfId="3267" priority="3136" operator="containsText" text="REST DAY">
      <formula>NOT(ISERROR(SEARCH("REST DAY",E9)))</formula>
    </cfRule>
    <cfRule type="containsText" dxfId="3266" priority="3137" operator="containsText" text="UA">
      <formula>NOT(ISERROR(SEARCH("UA",E9)))</formula>
    </cfRule>
    <cfRule type="containsText" dxfId="3265" priority="3138" operator="containsText" text="LWOP UA">
      <formula>NOT(ISERROR(SEARCH("LWOP UA",E9)))</formula>
    </cfRule>
  </conditionalFormatting>
  <conditionalFormatting sqref="E9">
    <cfRule type="containsText" dxfId="3264" priority="3125" operator="containsText" text="VL">
      <formula>NOT(ISERROR(SEARCH("VL",E9)))</formula>
    </cfRule>
    <cfRule type="containsText" dxfId="3263" priority="3126" operator="containsText" text="RD">
      <formula>NOT(ISERROR(SEARCH("RD",E9)))</formula>
    </cfRule>
    <cfRule type="containsText" dxfId="3262" priority="3127" operator="containsText" text="540">
      <formula>NOT(ISERROR(SEARCH("540",E9)))</formula>
    </cfRule>
    <cfRule type="cellIs" dxfId="3261" priority="3128" operator="between">
      <formula>1</formula>
      <formula>400</formula>
    </cfRule>
    <cfRule type="containsText" dxfId="3260" priority="3129" operator="containsText" text="LWOP UA">
      <formula>NOT(ISERROR(SEARCH("LWOP UA",E9)))</formula>
    </cfRule>
  </conditionalFormatting>
  <conditionalFormatting sqref="E9">
    <cfRule type="containsText" dxfId="3259" priority="3130" operator="containsText" text="P">
      <formula>NOT(ISERROR(SEARCH("P",E9)))</formula>
    </cfRule>
  </conditionalFormatting>
  <conditionalFormatting sqref="E14">
    <cfRule type="containsText" dxfId="3258" priority="3117" operator="containsText" text="TFO">
      <formula>NOT(ISERROR(SEARCH("TFO",E14)))</formula>
    </cfRule>
    <cfRule type="containsText" dxfId="3257" priority="3118" operator="containsText" text="AA">
      <formula>NOT(ISERROR(SEARCH("AA",E14)))</formula>
    </cfRule>
    <cfRule type="containsText" dxfId="3256" priority="3119" operator="containsText" text="RESIGNED">
      <formula>NOT(ISERROR(SEARCH("RESIGNED",E14)))</formula>
    </cfRule>
    <cfRule type="containsText" dxfId="3255" priority="3120" operator="containsText" text="P">
      <formula>NOT(ISERROR(SEARCH("P",E14)))</formula>
    </cfRule>
    <cfRule type="containsText" dxfId="3254" priority="3121" operator="containsText" text="TARDY">
      <formula>NOT(ISERROR(SEARCH("TARDY",E14)))</formula>
    </cfRule>
    <cfRule type="containsText" dxfId="3253" priority="3122" operator="containsText" text="REST DAY">
      <formula>NOT(ISERROR(SEARCH("REST DAY",E14)))</formula>
    </cfRule>
    <cfRule type="containsText" dxfId="3252" priority="3123" operator="containsText" text="UA">
      <formula>NOT(ISERROR(SEARCH("UA",E14)))</formula>
    </cfRule>
    <cfRule type="containsText" dxfId="3251" priority="3124" operator="containsText" text="LWOP UA">
      <formula>NOT(ISERROR(SEARCH("LWOP UA",E14)))</formula>
    </cfRule>
  </conditionalFormatting>
  <conditionalFormatting sqref="E14">
    <cfRule type="containsText" dxfId="3250" priority="3111" operator="containsText" text="VL">
      <formula>NOT(ISERROR(SEARCH("VL",E14)))</formula>
    </cfRule>
    <cfRule type="containsText" dxfId="3249" priority="3112" operator="containsText" text="RD">
      <formula>NOT(ISERROR(SEARCH("RD",E14)))</formula>
    </cfRule>
    <cfRule type="containsText" dxfId="3248" priority="3113" operator="containsText" text="540">
      <formula>NOT(ISERROR(SEARCH("540",E14)))</formula>
    </cfRule>
    <cfRule type="cellIs" dxfId="3247" priority="3114" operator="between">
      <formula>1</formula>
      <formula>400</formula>
    </cfRule>
    <cfRule type="containsText" dxfId="3246" priority="3115" operator="containsText" text="LWOP UA">
      <formula>NOT(ISERROR(SEARCH("LWOP UA",E14)))</formula>
    </cfRule>
  </conditionalFormatting>
  <conditionalFormatting sqref="E14">
    <cfRule type="containsText" dxfId="3245" priority="3116" operator="containsText" text="P">
      <formula>NOT(ISERROR(SEARCH("P",E14)))</formula>
    </cfRule>
  </conditionalFormatting>
  <conditionalFormatting sqref="E39">
    <cfRule type="containsText" dxfId="3244" priority="3103" operator="containsText" text="TFO">
      <formula>NOT(ISERROR(SEARCH("TFO",E39)))</formula>
    </cfRule>
    <cfRule type="containsText" dxfId="3243" priority="3104" operator="containsText" text="AA">
      <formula>NOT(ISERROR(SEARCH("AA",E39)))</formula>
    </cfRule>
    <cfRule type="containsText" dxfId="3242" priority="3105" operator="containsText" text="RESIGNED">
      <formula>NOT(ISERROR(SEARCH("RESIGNED",E39)))</formula>
    </cfRule>
    <cfRule type="containsText" dxfId="3241" priority="3106" operator="containsText" text="P">
      <formula>NOT(ISERROR(SEARCH("P",E39)))</formula>
    </cfRule>
    <cfRule type="containsText" dxfId="3240" priority="3107" operator="containsText" text="TARDY">
      <formula>NOT(ISERROR(SEARCH("TARDY",E39)))</formula>
    </cfRule>
    <cfRule type="containsText" dxfId="3239" priority="3108" operator="containsText" text="REST DAY">
      <formula>NOT(ISERROR(SEARCH("REST DAY",E39)))</formula>
    </cfRule>
    <cfRule type="containsText" dxfId="3238" priority="3109" operator="containsText" text="UA">
      <formula>NOT(ISERROR(SEARCH("UA",E39)))</formula>
    </cfRule>
    <cfRule type="containsText" dxfId="3237" priority="3110" operator="containsText" text="LWOP UA">
      <formula>NOT(ISERROR(SEARCH("LWOP UA",E39)))</formula>
    </cfRule>
  </conditionalFormatting>
  <conditionalFormatting sqref="E39">
    <cfRule type="containsText" dxfId="3236" priority="3097" operator="containsText" text="VL">
      <formula>NOT(ISERROR(SEARCH("VL",E39)))</formula>
    </cfRule>
    <cfRule type="containsText" dxfId="3235" priority="3098" operator="containsText" text="RD">
      <formula>NOT(ISERROR(SEARCH("RD",E39)))</formula>
    </cfRule>
    <cfRule type="containsText" dxfId="3234" priority="3099" operator="containsText" text="540">
      <formula>NOT(ISERROR(SEARCH("540",E39)))</formula>
    </cfRule>
    <cfRule type="cellIs" dxfId="3233" priority="3100" operator="between">
      <formula>1</formula>
      <formula>400</formula>
    </cfRule>
    <cfRule type="containsText" dxfId="3232" priority="3101" operator="containsText" text="LWOP UA">
      <formula>NOT(ISERROR(SEARCH("LWOP UA",E39)))</formula>
    </cfRule>
  </conditionalFormatting>
  <conditionalFormatting sqref="E39">
    <cfRule type="containsText" dxfId="3231" priority="3102" operator="containsText" text="P">
      <formula>NOT(ISERROR(SEARCH("P",E39)))</formula>
    </cfRule>
  </conditionalFormatting>
  <conditionalFormatting sqref="E40">
    <cfRule type="containsText" dxfId="3230" priority="3089" operator="containsText" text="TFO">
      <formula>NOT(ISERROR(SEARCH("TFO",E40)))</formula>
    </cfRule>
    <cfRule type="containsText" dxfId="3229" priority="3090" operator="containsText" text="AA">
      <formula>NOT(ISERROR(SEARCH("AA",E40)))</formula>
    </cfRule>
    <cfRule type="containsText" dxfId="3228" priority="3091" operator="containsText" text="RESIGNED">
      <formula>NOT(ISERROR(SEARCH("RESIGNED",E40)))</formula>
    </cfRule>
    <cfRule type="containsText" dxfId="3227" priority="3092" operator="containsText" text="P">
      <formula>NOT(ISERROR(SEARCH("P",E40)))</formula>
    </cfRule>
    <cfRule type="containsText" dxfId="3226" priority="3093" operator="containsText" text="TARDY">
      <formula>NOT(ISERROR(SEARCH("TARDY",E40)))</formula>
    </cfRule>
    <cfRule type="containsText" dxfId="3225" priority="3094" operator="containsText" text="REST DAY">
      <formula>NOT(ISERROR(SEARCH("REST DAY",E40)))</formula>
    </cfRule>
    <cfRule type="containsText" dxfId="3224" priority="3095" operator="containsText" text="UA">
      <formula>NOT(ISERROR(SEARCH("UA",E40)))</formula>
    </cfRule>
    <cfRule type="containsText" dxfId="3223" priority="3096" operator="containsText" text="LWOP UA">
      <formula>NOT(ISERROR(SEARCH("LWOP UA",E40)))</formula>
    </cfRule>
  </conditionalFormatting>
  <conditionalFormatting sqref="E40">
    <cfRule type="containsText" dxfId="3222" priority="3083" operator="containsText" text="VL">
      <formula>NOT(ISERROR(SEARCH("VL",E40)))</formula>
    </cfRule>
    <cfRule type="containsText" dxfId="3221" priority="3084" operator="containsText" text="RD">
      <formula>NOT(ISERROR(SEARCH("RD",E40)))</formula>
    </cfRule>
    <cfRule type="containsText" dxfId="3220" priority="3085" operator="containsText" text="540">
      <formula>NOT(ISERROR(SEARCH("540",E40)))</formula>
    </cfRule>
    <cfRule type="cellIs" dxfId="3219" priority="3086" operator="between">
      <formula>1</formula>
      <formula>400</formula>
    </cfRule>
    <cfRule type="containsText" dxfId="3218" priority="3087" operator="containsText" text="LWOP UA">
      <formula>NOT(ISERROR(SEARCH("LWOP UA",E40)))</formula>
    </cfRule>
  </conditionalFormatting>
  <conditionalFormatting sqref="E40">
    <cfRule type="containsText" dxfId="3217" priority="3088" operator="containsText" text="P">
      <formula>NOT(ISERROR(SEARCH("P",E40)))</formula>
    </cfRule>
  </conditionalFormatting>
  <conditionalFormatting sqref="E45">
    <cfRule type="containsText" dxfId="3216" priority="3075" operator="containsText" text="TFO">
      <formula>NOT(ISERROR(SEARCH("TFO",E45)))</formula>
    </cfRule>
    <cfRule type="containsText" dxfId="3215" priority="3076" operator="containsText" text="AA">
      <formula>NOT(ISERROR(SEARCH("AA",E45)))</formula>
    </cfRule>
    <cfRule type="containsText" dxfId="3214" priority="3077" operator="containsText" text="RESIGNED">
      <formula>NOT(ISERROR(SEARCH("RESIGNED",E45)))</formula>
    </cfRule>
    <cfRule type="containsText" dxfId="3213" priority="3078" operator="containsText" text="P">
      <formula>NOT(ISERROR(SEARCH("P",E45)))</formula>
    </cfRule>
    <cfRule type="containsText" dxfId="3212" priority="3079" operator="containsText" text="TARDY">
      <formula>NOT(ISERROR(SEARCH("TARDY",E45)))</formula>
    </cfRule>
    <cfRule type="containsText" dxfId="3211" priority="3080" operator="containsText" text="REST DAY">
      <formula>NOT(ISERROR(SEARCH("REST DAY",E45)))</formula>
    </cfRule>
    <cfRule type="containsText" dxfId="3210" priority="3081" operator="containsText" text="UA">
      <formula>NOT(ISERROR(SEARCH("UA",E45)))</formula>
    </cfRule>
    <cfRule type="containsText" dxfId="3209" priority="3082" operator="containsText" text="LWOP UA">
      <formula>NOT(ISERROR(SEARCH("LWOP UA",E45)))</formula>
    </cfRule>
  </conditionalFormatting>
  <conditionalFormatting sqref="E45">
    <cfRule type="containsText" dxfId="3208" priority="3069" operator="containsText" text="VL">
      <formula>NOT(ISERROR(SEARCH("VL",E45)))</formula>
    </cfRule>
    <cfRule type="containsText" dxfId="3207" priority="3070" operator="containsText" text="RD">
      <formula>NOT(ISERROR(SEARCH("RD",E45)))</formula>
    </cfRule>
    <cfRule type="containsText" dxfId="3206" priority="3071" operator="containsText" text="540">
      <formula>NOT(ISERROR(SEARCH("540",E45)))</formula>
    </cfRule>
    <cfRule type="cellIs" dxfId="3205" priority="3072" operator="between">
      <formula>1</formula>
      <formula>400</formula>
    </cfRule>
    <cfRule type="containsText" dxfId="3204" priority="3073" operator="containsText" text="LWOP UA">
      <formula>NOT(ISERROR(SEARCH("LWOP UA",E45)))</formula>
    </cfRule>
  </conditionalFormatting>
  <conditionalFormatting sqref="E45">
    <cfRule type="containsText" dxfId="3203" priority="3074" operator="containsText" text="P">
      <formula>NOT(ISERROR(SEARCH("P",E45)))</formula>
    </cfRule>
  </conditionalFormatting>
  <conditionalFormatting sqref="E50">
    <cfRule type="containsText" dxfId="3202" priority="3061" operator="containsText" text="TFO">
      <formula>NOT(ISERROR(SEARCH("TFO",E50)))</formula>
    </cfRule>
    <cfRule type="containsText" dxfId="3201" priority="3062" operator="containsText" text="AA">
      <formula>NOT(ISERROR(SEARCH("AA",E50)))</formula>
    </cfRule>
    <cfRule type="containsText" dxfId="3200" priority="3063" operator="containsText" text="RESIGNED">
      <formula>NOT(ISERROR(SEARCH("RESIGNED",E50)))</formula>
    </cfRule>
    <cfRule type="containsText" dxfId="3199" priority="3064" operator="containsText" text="P">
      <formula>NOT(ISERROR(SEARCH("P",E50)))</formula>
    </cfRule>
    <cfRule type="containsText" dxfId="3198" priority="3065" operator="containsText" text="TARDY">
      <formula>NOT(ISERROR(SEARCH("TARDY",E50)))</formula>
    </cfRule>
    <cfRule type="containsText" dxfId="3197" priority="3066" operator="containsText" text="REST DAY">
      <formula>NOT(ISERROR(SEARCH("REST DAY",E50)))</formula>
    </cfRule>
    <cfRule type="containsText" dxfId="3196" priority="3067" operator="containsText" text="UA">
      <formula>NOT(ISERROR(SEARCH("UA",E50)))</formula>
    </cfRule>
    <cfRule type="containsText" dxfId="3195" priority="3068" operator="containsText" text="LWOP UA">
      <formula>NOT(ISERROR(SEARCH("LWOP UA",E50)))</formula>
    </cfRule>
  </conditionalFormatting>
  <conditionalFormatting sqref="E50">
    <cfRule type="containsText" dxfId="3194" priority="3055" operator="containsText" text="VL">
      <formula>NOT(ISERROR(SEARCH("VL",E50)))</formula>
    </cfRule>
    <cfRule type="containsText" dxfId="3193" priority="3056" operator="containsText" text="RD">
      <formula>NOT(ISERROR(SEARCH("RD",E50)))</formula>
    </cfRule>
    <cfRule type="containsText" dxfId="3192" priority="3057" operator="containsText" text="540">
      <formula>NOT(ISERROR(SEARCH("540",E50)))</formula>
    </cfRule>
    <cfRule type="cellIs" dxfId="3191" priority="3058" operator="between">
      <formula>1</formula>
      <formula>400</formula>
    </cfRule>
    <cfRule type="containsText" dxfId="3190" priority="3059" operator="containsText" text="LWOP UA">
      <formula>NOT(ISERROR(SEARCH("LWOP UA",E50)))</formula>
    </cfRule>
  </conditionalFormatting>
  <conditionalFormatting sqref="E50">
    <cfRule type="containsText" dxfId="3189" priority="3060" operator="containsText" text="P">
      <formula>NOT(ISERROR(SEARCH("P",E50)))</formula>
    </cfRule>
  </conditionalFormatting>
  <conditionalFormatting sqref="E61:E62">
    <cfRule type="containsText" dxfId="3188" priority="3047" operator="containsText" text="TFO">
      <formula>NOT(ISERROR(SEARCH("TFO",E61)))</formula>
    </cfRule>
    <cfRule type="containsText" dxfId="3187" priority="3048" operator="containsText" text="AA">
      <formula>NOT(ISERROR(SEARCH("AA",E61)))</formula>
    </cfRule>
    <cfRule type="containsText" dxfId="3186" priority="3049" operator="containsText" text="RESIGNED">
      <formula>NOT(ISERROR(SEARCH("RESIGNED",E61)))</formula>
    </cfRule>
    <cfRule type="containsText" dxfId="3185" priority="3050" operator="containsText" text="P">
      <formula>NOT(ISERROR(SEARCH("P",E61)))</formula>
    </cfRule>
    <cfRule type="containsText" dxfId="3184" priority="3051" operator="containsText" text="TARDY">
      <formula>NOT(ISERROR(SEARCH("TARDY",E61)))</formula>
    </cfRule>
    <cfRule type="containsText" dxfId="3183" priority="3052" operator="containsText" text="REST DAY">
      <formula>NOT(ISERROR(SEARCH("REST DAY",E61)))</formula>
    </cfRule>
    <cfRule type="containsText" dxfId="3182" priority="3053" operator="containsText" text="UA">
      <formula>NOT(ISERROR(SEARCH("UA",E61)))</formula>
    </cfRule>
    <cfRule type="containsText" dxfId="3181" priority="3054" operator="containsText" text="LWOP UA">
      <formula>NOT(ISERROR(SEARCH("LWOP UA",E61)))</formula>
    </cfRule>
  </conditionalFormatting>
  <conditionalFormatting sqref="E61:E62">
    <cfRule type="containsText" dxfId="3180" priority="3041" operator="containsText" text="VL">
      <formula>NOT(ISERROR(SEARCH("VL",E61)))</formula>
    </cfRule>
    <cfRule type="containsText" dxfId="3179" priority="3042" operator="containsText" text="RD">
      <formula>NOT(ISERROR(SEARCH("RD",E61)))</formula>
    </cfRule>
    <cfRule type="containsText" dxfId="3178" priority="3043" operator="containsText" text="540">
      <formula>NOT(ISERROR(SEARCH("540",E61)))</formula>
    </cfRule>
    <cfRule type="cellIs" dxfId="3177" priority="3044" operator="between">
      <formula>1</formula>
      <formula>400</formula>
    </cfRule>
    <cfRule type="containsText" dxfId="3176" priority="3045" operator="containsText" text="LWOP UA">
      <formula>NOT(ISERROR(SEARCH("LWOP UA",E61)))</formula>
    </cfRule>
  </conditionalFormatting>
  <conditionalFormatting sqref="E61:E62">
    <cfRule type="containsText" dxfId="3175" priority="3046" operator="containsText" text="P">
      <formula>NOT(ISERROR(SEARCH("P",E61)))</formula>
    </cfRule>
  </conditionalFormatting>
  <conditionalFormatting sqref="E63">
    <cfRule type="containsText" dxfId="3174" priority="3033" operator="containsText" text="TFO">
      <formula>NOT(ISERROR(SEARCH("TFO",E63)))</formula>
    </cfRule>
    <cfRule type="containsText" dxfId="3173" priority="3034" operator="containsText" text="AA">
      <formula>NOT(ISERROR(SEARCH("AA",E63)))</formula>
    </cfRule>
    <cfRule type="containsText" dxfId="3172" priority="3035" operator="containsText" text="RESIGNED">
      <formula>NOT(ISERROR(SEARCH("RESIGNED",E63)))</formula>
    </cfRule>
    <cfRule type="containsText" dxfId="3171" priority="3036" operator="containsText" text="P">
      <formula>NOT(ISERROR(SEARCH("P",E63)))</formula>
    </cfRule>
    <cfRule type="containsText" dxfId="3170" priority="3037" operator="containsText" text="TARDY">
      <formula>NOT(ISERROR(SEARCH("TARDY",E63)))</formula>
    </cfRule>
    <cfRule type="containsText" dxfId="3169" priority="3038" operator="containsText" text="REST DAY">
      <formula>NOT(ISERROR(SEARCH("REST DAY",E63)))</formula>
    </cfRule>
    <cfRule type="containsText" dxfId="3168" priority="3039" operator="containsText" text="UA">
      <formula>NOT(ISERROR(SEARCH("UA",E63)))</formula>
    </cfRule>
    <cfRule type="containsText" dxfId="3167" priority="3040" operator="containsText" text="LWOP UA">
      <formula>NOT(ISERROR(SEARCH("LWOP UA",E63)))</formula>
    </cfRule>
  </conditionalFormatting>
  <conditionalFormatting sqref="E63">
    <cfRule type="containsText" dxfId="3166" priority="3027" operator="containsText" text="VL">
      <formula>NOT(ISERROR(SEARCH("VL",E63)))</formula>
    </cfRule>
    <cfRule type="containsText" dxfId="3165" priority="3028" operator="containsText" text="RD">
      <formula>NOT(ISERROR(SEARCH("RD",E63)))</formula>
    </cfRule>
    <cfRule type="containsText" dxfId="3164" priority="3029" operator="containsText" text="540">
      <formula>NOT(ISERROR(SEARCH("540",E63)))</formula>
    </cfRule>
    <cfRule type="cellIs" dxfId="3163" priority="3030" operator="between">
      <formula>1</formula>
      <formula>400</formula>
    </cfRule>
    <cfRule type="containsText" dxfId="3162" priority="3031" operator="containsText" text="LWOP UA">
      <formula>NOT(ISERROR(SEARCH("LWOP UA",E63)))</formula>
    </cfRule>
  </conditionalFormatting>
  <conditionalFormatting sqref="E63">
    <cfRule type="containsText" dxfId="3161" priority="3032" operator="containsText" text="P">
      <formula>NOT(ISERROR(SEARCH("P",E63)))</formula>
    </cfRule>
  </conditionalFormatting>
  <conditionalFormatting sqref="E75">
    <cfRule type="containsText" dxfId="3160" priority="3019" operator="containsText" text="TFO">
      <formula>NOT(ISERROR(SEARCH("TFO",E75)))</formula>
    </cfRule>
    <cfRule type="containsText" dxfId="3159" priority="3020" operator="containsText" text="AA">
      <formula>NOT(ISERROR(SEARCH("AA",E75)))</formula>
    </cfRule>
    <cfRule type="containsText" dxfId="3158" priority="3021" operator="containsText" text="RESIGNED">
      <formula>NOT(ISERROR(SEARCH("RESIGNED",E75)))</formula>
    </cfRule>
    <cfRule type="containsText" dxfId="3157" priority="3022" operator="containsText" text="P">
      <formula>NOT(ISERROR(SEARCH("P",E75)))</formula>
    </cfRule>
    <cfRule type="containsText" dxfId="3156" priority="3023" operator="containsText" text="TARDY">
      <formula>NOT(ISERROR(SEARCH("TARDY",E75)))</formula>
    </cfRule>
    <cfRule type="containsText" dxfId="3155" priority="3024" operator="containsText" text="REST DAY">
      <formula>NOT(ISERROR(SEARCH("REST DAY",E75)))</formula>
    </cfRule>
    <cfRule type="containsText" dxfId="3154" priority="3025" operator="containsText" text="UA">
      <formula>NOT(ISERROR(SEARCH("UA",E75)))</formula>
    </cfRule>
    <cfRule type="containsText" dxfId="3153" priority="3026" operator="containsText" text="LWOP UA">
      <formula>NOT(ISERROR(SEARCH("LWOP UA",E75)))</formula>
    </cfRule>
  </conditionalFormatting>
  <conditionalFormatting sqref="E75">
    <cfRule type="containsText" dxfId="3152" priority="3013" operator="containsText" text="VL">
      <formula>NOT(ISERROR(SEARCH("VL",E75)))</formula>
    </cfRule>
    <cfRule type="containsText" dxfId="3151" priority="3014" operator="containsText" text="RD">
      <formula>NOT(ISERROR(SEARCH("RD",E75)))</formula>
    </cfRule>
    <cfRule type="containsText" dxfId="3150" priority="3015" operator="containsText" text="540">
      <formula>NOT(ISERROR(SEARCH("540",E75)))</formula>
    </cfRule>
    <cfRule type="cellIs" dxfId="3149" priority="3016" operator="between">
      <formula>1</formula>
      <formula>400</formula>
    </cfRule>
    <cfRule type="containsText" dxfId="3148" priority="3017" operator="containsText" text="LWOP UA">
      <formula>NOT(ISERROR(SEARCH("LWOP UA",E75)))</formula>
    </cfRule>
  </conditionalFormatting>
  <conditionalFormatting sqref="E75">
    <cfRule type="containsText" dxfId="3147" priority="3018" operator="containsText" text="P">
      <formula>NOT(ISERROR(SEARCH("P",E75)))</formula>
    </cfRule>
  </conditionalFormatting>
  <conditionalFormatting sqref="E87">
    <cfRule type="containsText" dxfId="3146" priority="3005" operator="containsText" text="TFO">
      <formula>NOT(ISERROR(SEARCH("TFO",E87)))</formula>
    </cfRule>
    <cfRule type="containsText" dxfId="3145" priority="3006" operator="containsText" text="AA">
      <formula>NOT(ISERROR(SEARCH("AA",E87)))</formula>
    </cfRule>
    <cfRule type="containsText" dxfId="3144" priority="3007" operator="containsText" text="RESIGNED">
      <formula>NOT(ISERROR(SEARCH("RESIGNED",E87)))</formula>
    </cfRule>
    <cfRule type="containsText" dxfId="3143" priority="3008" operator="containsText" text="P">
      <formula>NOT(ISERROR(SEARCH("P",E87)))</formula>
    </cfRule>
    <cfRule type="containsText" dxfId="3142" priority="3009" operator="containsText" text="TARDY">
      <formula>NOT(ISERROR(SEARCH("TARDY",E87)))</formula>
    </cfRule>
    <cfRule type="containsText" dxfId="3141" priority="3010" operator="containsText" text="REST DAY">
      <formula>NOT(ISERROR(SEARCH("REST DAY",E87)))</formula>
    </cfRule>
    <cfRule type="containsText" dxfId="3140" priority="3011" operator="containsText" text="UA">
      <formula>NOT(ISERROR(SEARCH("UA",E87)))</formula>
    </cfRule>
    <cfRule type="containsText" dxfId="3139" priority="3012" operator="containsText" text="LWOP UA">
      <formula>NOT(ISERROR(SEARCH("LWOP UA",E87)))</formula>
    </cfRule>
  </conditionalFormatting>
  <conditionalFormatting sqref="E87">
    <cfRule type="containsText" dxfId="3138" priority="2999" operator="containsText" text="VL">
      <formula>NOT(ISERROR(SEARCH("VL",E87)))</formula>
    </cfRule>
    <cfRule type="containsText" dxfId="3137" priority="3000" operator="containsText" text="RD">
      <formula>NOT(ISERROR(SEARCH("RD",E87)))</formula>
    </cfRule>
    <cfRule type="containsText" dxfId="3136" priority="3001" operator="containsText" text="540">
      <formula>NOT(ISERROR(SEARCH("540",E87)))</formula>
    </cfRule>
    <cfRule type="cellIs" dxfId="3135" priority="3002" operator="between">
      <formula>1</formula>
      <formula>400</formula>
    </cfRule>
    <cfRule type="containsText" dxfId="3134" priority="3003" operator="containsText" text="LWOP UA">
      <formula>NOT(ISERROR(SEARCH("LWOP UA",E87)))</formula>
    </cfRule>
  </conditionalFormatting>
  <conditionalFormatting sqref="E87">
    <cfRule type="containsText" dxfId="3133" priority="3004" operator="containsText" text="P">
      <formula>NOT(ISERROR(SEARCH("P",E87)))</formula>
    </cfRule>
  </conditionalFormatting>
  <conditionalFormatting sqref="E88">
    <cfRule type="containsText" dxfId="3132" priority="2991" operator="containsText" text="TFO">
      <formula>NOT(ISERROR(SEARCH("TFO",E88)))</formula>
    </cfRule>
    <cfRule type="containsText" dxfId="3131" priority="2992" operator="containsText" text="AA">
      <formula>NOT(ISERROR(SEARCH("AA",E88)))</formula>
    </cfRule>
    <cfRule type="containsText" dxfId="3130" priority="2993" operator="containsText" text="RESIGNED">
      <formula>NOT(ISERROR(SEARCH("RESIGNED",E88)))</formula>
    </cfRule>
    <cfRule type="containsText" dxfId="3129" priority="2994" operator="containsText" text="P">
      <formula>NOT(ISERROR(SEARCH("P",E88)))</formula>
    </cfRule>
    <cfRule type="containsText" dxfId="3128" priority="2995" operator="containsText" text="TARDY">
      <formula>NOT(ISERROR(SEARCH("TARDY",E88)))</formula>
    </cfRule>
    <cfRule type="containsText" dxfId="3127" priority="2996" operator="containsText" text="REST DAY">
      <formula>NOT(ISERROR(SEARCH("REST DAY",E88)))</formula>
    </cfRule>
    <cfRule type="containsText" dxfId="3126" priority="2997" operator="containsText" text="UA">
      <formula>NOT(ISERROR(SEARCH("UA",E88)))</formula>
    </cfRule>
    <cfRule type="containsText" dxfId="3125" priority="2998" operator="containsText" text="LWOP UA">
      <formula>NOT(ISERROR(SEARCH("LWOP UA",E88)))</formula>
    </cfRule>
  </conditionalFormatting>
  <conditionalFormatting sqref="E88">
    <cfRule type="containsText" dxfId="3124" priority="2985" operator="containsText" text="VL">
      <formula>NOT(ISERROR(SEARCH("VL",E88)))</formula>
    </cfRule>
    <cfRule type="containsText" dxfId="3123" priority="2986" operator="containsText" text="RD">
      <formula>NOT(ISERROR(SEARCH("RD",E88)))</formula>
    </cfRule>
    <cfRule type="containsText" dxfId="3122" priority="2987" operator="containsText" text="540">
      <formula>NOT(ISERROR(SEARCH("540",E88)))</formula>
    </cfRule>
    <cfRule type="cellIs" dxfId="3121" priority="2988" operator="between">
      <formula>1</formula>
      <formula>400</formula>
    </cfRule>
    <cfRule type="containsText" dxfId="3120" priority="2989" operator="containsText" text="LWOP UA">
      <formula>NOT(ISERROR(SEARCH("LWOP UA",E88)))</formula>
    </cfRule>
  </conditionalFormatting>
  <conditionalFormatting sqref="E88">
    <cfRule type="containsText" dxfId="3119" priority="2990" operator="containsText" text="P">
      <formula>NOT(ISERROR(SEARCH("P",E88)))</formula>
    </cfRule>
  </conditionalFormatting>
  <conditionalFormatting sqref="E20">
    <cfRule type="containsText" dxfId="3118" priority="2977" operator="containsText" text="TFO">
      <formula>NOT(ISERROR(SEARCH("TFO",E20)))</formula>
    </cfRule>
    <cfRule type="containsText" dxfId="3117" priority="2978" operator="containsText" text="AA">
      <formula>NOT(ISERROR(SEARCH("AA",E20)))</formula>
    </cfRule>
    <cfRule type="containsText" dxfId="3116" priority="2979" operator="containsText" text="RESIGNED">
      <formula>NOT(ISERROR(SEARCH("RESIGNED",E20)))</formula>
    </cfRule>
    <cfRule type="containsText" dxfId="3115" priority="2980" operator="containsText" text="P">
      <formula>NOT(ISERROR(SEARCH("P",E20)))</formula>
    </cfRule>
    <cfRule type="containsText" dxfId="3114" priority="2981" operator="containsText" text="TARDY">
      <formula>NOT(ISERROR(SEARCH("TARDY",E20)))</formula>
    </cfRule>
    <cfRule type="containsText" dxfId="3113" priority="2982" operator="containsText" text="REST DAY">
      <formula>NOT(ISERROR(SEARCH("REST DAY",E20)))</formula>
    </cfRule>
    <cfRule type="containsText" dxfId="3112" priority="2983" operator="containsText" text="UA">
      <formula>NOT(ISERROR(SEARCH("UA",E20)))</formula>
    </cfRule>
    <cfRule type="containsText" dxfId="3111" priority="2984" operator="containsText" text="LWOP UA">
      <formula>NOT(ISERROR(SEARCH("LWOP UA",E20)))</formula>
    </cfRule>
  </conditionalFormatting>
  <conditionalFormatting sqref="E20">
    <cfRule type="containsText" dxfId="3110" priority="2971" operator="containsText" text="VL">
      <formula>NOT(ISERROR(SEARCH("VL",E20)))</formula>
    </cfRule>
    <cfRule type="containsText" dxfId="3109" priority="2972" operator="containsText" text="RD">
      <formula>NOT(ISERROR(SEARCH("RD",E20)))</formula>
    </cfRule>
    <cfRule type="containsText" dxfId="3108" priority="2973" operator="containsText" text="540">
      <formula>NOT(ISERROR(SEARCH("540",E20)))</formula>
    </cfRule>
    <cfRule type="cellIs" dxfId="3107" priority="2974" operator="between">
      <formula>1</formula>
      <formula>400</formula>
    </cfRule>
    <cfRule type="containsText" dxfId="3106" priority="2975" operator="containsText" text="LWOP UA">
      <formula>NOT(ISERROR(SEARCH("LWOP UA",E20)))</formula>
    </cfRule>
  </conditionalFormatting>
  <conditionalFormatting sqref="E20">
    <cfRule type="containsText" dxfId="3105" priority="2976" operator="containsText" text="P">
      <formula>NOT(ISERROR(SEARCH("P",E20)))</formula>
    </cfRule>
  </conditionalFormatting>
  <conditionalFormatting sqref="D44:E44">
    <cfRule type="containsText" dxfId="3104" priority="2963" operator="containsText" text="TFO">
      <formula>NOT(ISERROR(SEARCH("TFO",D44)))</formula>
    </cfRule>
    <cfRule type="containsText" dxfId="3103" priority="2964" operator="containsText" text="AA">
      <formula>NOT(ISERROR(SEARCH("AA",D44)))</formula>
    </cfRule>
    <cfRule type="containsText" dxfId="3102" priority="2965" operator="containsText" text="RESIGNED">
      <formula>NOT(ISERROR(SEARCH("RESIGNED",D44)))</formula>
    </cfRule>
    <cfRule type="containsText" dxfId="3101" priority="2966" operator="containsText" text="P">
      <formula>NOT(ISERROR(SEARCH("P",D44)))</formula>
    </cfRule>
    <cfRule type="containsText" dxfId="3100" priority="2967" operator="containsText" text="TARDY">
      <formula>NOT(ISERROR(SEARCH("TARDY",D44)))</formula>
    </cfRule>
    <cfRule type="containsText" dxfId="3099" priority="2968" operator="containsText" text="REST DAY">
      <formula>NOT(ISERROR(SEARCH("REST DAY",D44)))</formula>
    </cfRule>
    <cfRule type="containsText" dxfId="3098" priority="2969" operator="containsText" text="UA">
      <formula>NOT(ISERROR(SEARCH("UA",D44)))</formula>
    </cfRule>
    <cfRule type="containsText" dxfId="3097" priority="2970" operator="containsText" text="LWOP UA">
      <formula>NOT(ISERROR(SEARCH("LWOP UA",D44)))</formula>
    </cfRule>
  </conditionalFormatting>
  <conditionalFormatting sqref="D44:E44">
    <cfRule type="containsText" dxfId="3096" priority="2957" operator="containsText" text="VL">
      <formula>NOT(ISERROR(SEARCH("VL",D44)))</formula>
    </cfRule>
    <cfRule type="containsText" dxfId="3095" priority="2958" operator="containsText" text="RD">
      <formula>NOT(ISERROR(SEARCH("RD",D44)))</formula>
    </cfRule>
    <cfRule type="containsText" dxfId="3094" priority="2959" operator="containsText" text="540">
      <formula>NOT(ISERROR(SEARCH("540",D44)))</formula>
    </cfRule>
    <cfRule type="cellIs" dxfId="3093" priority="2960" operator="between">
      <formula>1</formula>
      <formula>400</formula>
    </cfRule>
    <cfRule type="containsText" dxfId="3092" priority="2961" operator="containsText" text="LWOP UA">
      <formula>NOT(ISERROR(SEARCH("LWOP UA",D44)))</formula>
    </cfRule>
  </conditionalFormatting>
  <conditionalFormatting sqref="D44:E44">
    <cfRule type="containsText" dxfId="3091" priority="2962" operator="containsText" text="P">
      <formula>NOT(ISERROR(SEARCH("P",D44)))</formula>
    </cfRule>
  </conditionalFormatting>
  <conditionalFormatting sqref="E52">
    <cfRule type="containsText" dxfId="3090" priority="2949" operator="containsText" text="TFO">
      <formula>NOT(ISERROR(SEARCH("TFO",E52)))</formula>
    </cfRule>
    <cfRule type="containsText" dxfId="3089" priority="2950" operator="containsText" text="AA">
      <formula>NOT(ISERROR(SEARCH("AA",E52)))</formula>
    </cfRule>
    <cfRule type="containsText" dxfId="3088" priority="2951" operator="containsText" text="RESIGNED">
      <formula>NOT(ISERROR(SEARCH("RESIGNED",E52)))</formula>
    </cfRule>
    <cfRule type="containsText" dxfId="3087" priority="2952" operator="containsText" text="P">
      <formula>NOT(ISERROR(SEARCH("P",E52)))</formula>
    </cfRule>
    <cfRule type="containsText" dxfId="3086" priority="2953" operator="containsText" text="TARDY">
      <formula>NOT(ISERROR(SEARCH("TARDY",E52)))</formula>
    </cfRule>
    <cfRule type="containsText" dxfId="3085" priority="2954" operator="containsText" text="REST DAY">
      <formula>NOT(ISERROR(SEARCH("REST DAY",E52)))</formula>
    </cfRule>
    <cfRule type="containsText" dxfId="3084" priority="2955" operator="containsText" text="UA">
      <formula>NOT(ISERROR(SEARCH("UA",E52)))</formula>
    </cfRule>
    <cfRule type="containsText" dxfId="3083" priority="2956" operator="containsText" text="LWOP UA">
      <formula>NOT(ISERROR(SEARCH("LWOP UA",E52)))</formula>
    </cfRule>
  </conditionalFormatting>
  <conditionalFormatting sqref="E52">
    <cfRule type="containsText" dxfId="3082" priority="2943" operator="containsText" text="VL">
      <formula>NOT(ISERROR(SEARCH("VL",E52)))</formula>
    </cfRule>
    <cfRule type="containsText" dxfId="3081" priority="2944" operator="containsText" text="RD">
      <formula>NOT(ISERROR(SEARCH("RD",E52)))</formula>
    </cfRule>
    <cfRule type="containsText" dxfId="3080" priority="2945" operator="containsText" text="540">
      <formula>NOT(ISERROR(SEARCH("540",E52)))</formula>
    </cfRule>
    <cfRule type="cellIs" dxfId="3079" priority="2946" operator="between">
      <formula>1</formula>
      <formula>400</formula>
    </cfRule>
    <cfRule type="containsText" dxfId="3078" priority="2947" operator="containsText" text="LWOP UA">
      <formula>NOT(ISERROR(SEARCH("LWOP UA",E52)))</formula>
    </cfRule>
  </conditionalFormatting>
  <conditionalFormatting sqref="E52">
    <cfRule type="containsText" dxfId="3077" priority="2948" operator="containsText" text="P">
      <formula>NOT(ISERROR(SEARCH("P",E52)))</formula>
    </cfRule>
  </conditionalFormatting>
  <conditionalFormatting sqref="E56">
    <cfRule type="containsText" dxfId="3076" priority="2935" operator="containsText" text="TFO">
      <formula>NOT(ISERROR(SEARCH("TFO",E56)))</formula>
    </cfRule>
    <cfRule type="containsText" dxfId="3075" priority="2936" operator="containsText" text="AA">
      <formula>NOT(ISERROR(SEARCH("AA",E56)))</formula>
    </cfRule>
    <cfRule type="containsText" dxfId="3074" priority="2937" operator="containsText" text="RESIGNED">
      <formula>NOT(ISERROR(SEARCH("RESIGNED",E56)))</formula>
    </cfRule>
    <cfRule type="containsText" dxfId="3073" priority="2938" operator="containsText" text="P">
      <formula>NOT(ISERROR(SEARCH("P",E56)))</formula>
    </cfRule>
    <cfRule type="containsText" dxfId="3072" priority="2939" operator="containsText" text="TARDY">
      <formula>NOT(ISERROR(SEARCH("TARDY",E56)))</formula>
    </cfRule>
    <cfRule type="containsText" dxfId="3071" priority="2940" operator="containsText" text="REST DAY">
      <formula>NOT(ISERROR(SEARCH("REST DAY",E56)))</formula>
    </cfRule>
    <cfRule type="containsText" dxfId="3070" priority="2941" operator="containsText" text="UA">
      <formula>NOT(ISERROR(SEARCH("UA",E56)))</formula>
    </cfRule>
    <cfRule type="containsText" dxfId="3069" priority="2942" operator="containsText" text="LWOP UA">
      <formula>NOT(ISERROR(SEARCH("LWOP UA",E56)))</formula>
    </cfRule>
  </conditionalFormatting>
  <conditionalFormatting sqref="E56">
    <cfRule type="containsText" dxfId="3068" priority="2929" operator="containsText" text="VL">
      <formula>NOT(ISERROR(SEARCH("VL",E56)))</formula>
    </cfRule>
    <cfRule type="containsText" dxfId="3067" priority="2930" operator="containsText" text="RD">
      <formula>NOT(ISERROR(SEARCH("RD",E56)))</formula>
    </cfRule>
    <cfRule type="containsText" dxfId="3066" priority="2931" operator="containsText" text="540">
      <formula>NOT(ISERROR(SEARCH("540",E56)))</formula>
    </cfRule>
    <cfRule type="cellIs" dxfId="3065" priority="2932" operator="between">
      <formula>1</formula>
      <formula>400</formula>
    </cfRule>
    <cfRule type="containsText" dxfId="3064" priority="2933" operator="containsText" text="LWOP UA">
      <formula>NOT(ISERROR(SEARCH("LWOP UA",E56)))</formula>
    </cfRule>
  </conditionalFormatting>
  <conditionalFormatting sqref="E56">
    <cfRule type="containsText" dxfId="3063" priority="2934" operator="containsText" text="P">
      <formula>NOT(ISERROR(SEARCH("P",E56)))</formula>
    </cfRule>
  </conditionalFormatting>
  <conditionalFormatting sqref="E66">
    <cfRule type="containsText" dxfId="3062" priority="2921" operator="containsText" text="TFO">
      <formula>NOT(ISERROR(SEARCH("TFO",E66)))</formula>
    </cfRule>
    <cfRule type="containsText" dxfId="3061" priority="2922" operator="containsText" text="AA">
      <formula>NOT(ISERROR(SEARCH("AA",E66)))</formula>
    </cfRule>
    <cfRule type="containsText" dxfId="3060" priority="2923" operator="containsText" text="RESIGNED">
      <formula>NOT(ISERROR(SEARCH("RESIGNED",E66)))</formula>
    </cfRule>
    <cfRule type="containsText" dxfId="3059" priority="2924" operator="containsText" text="P">
      <formula>NOT(ISERROR(SEARCH("P",E66)))</formula>
    </cfRule>
    <cfRule type="containsText" dxfId="3058" priority="2925" operator="containsText" text="TARDY">
      <formula>NOT(ISERROR(SEARCH("TARDY",E66)))</formula>
    </cfRule>
    <cfRule type="containsText" dxfId="3057" priority="2926" operator="containsText" text="REST DAY">
      <formula>NOT(ISERROR(SEARCH("REST DAY",E66)))</formula>
    </cfRule>
    <cfRule type="containsText" dxfId="3056" priority="2927" operator="containsText" text="UA">
      <formula>NOT(ISERROR(SEARCH("UA",E66)))</formula>
    </cfRule>
    <cfRule type="containsText" dxfId="3055" priority="2928" operator="containsText" text="LWOP UA">
      <formula>NOT(ISERROR(SEARCH("LWOP UA",E66)))</formula>
    </cfRule>
  </conditionalFormatting>
  <conditionalFormatting sqref="E66">
    <cfRule type="containsText" dxfId="3054" priority="2915" operator="containsText" text="VL">
      <formula>NOT(ISERROR(SEARCH("VL",E66)))</formula>
    </cfRule>
    <cfRule type="containsText" dxfId="3053" priority="2916" operator="containsText" text="RD">
      <formula>NOT(ISERROR(SEARCH("RD",E66)))</formula>
    </cfRule>
    <cfRule type="containsText" dxfId="3052" priority="2917" operator="containsText" text="540">
      <formula>NOT(ISERROR(SEARCH("540",E66)))</formula>
    </cfRule>
    <cfRule type="cellIs" dxfId="3051" priority="2918" operator="between">
      <formula>1</formula>
      <formula>400</formula>
    </cfRule>
    <cfRule type="containsText" dxfId="3050" priority="2919" operator="containsText" text="LWOP UA">
      <formula>NOT(ISERROR(SEARCH("LWOP UA",E66)))</formula>
    </cfRule>
  </conditionalFormatting>
  <conditionalFormatting sqref="E66">
    <cfRule type="containsText" dxfId="3049" priority="2920" operator="containsText" text="P">
      <formula>NOT(ISERROR(SEARCH("P",E66)))</formula>
    </cfRule>
  </conditionalFormatting>
  <conditionalFormatting sqref="E89">
    <cfRule type="containsText" dxfId="3048" priority="2907" operator="containsText" text="TFO">
      <formula>NOT(ISERROR(SEARCH("TFO",E89)))</formula>
    </cfRule>
    <cfRule type="containsText" dxfId="3047" priority="2908" operator="containsText" text="AA">
      <formula>NOT(ISERROR(SEARCH("AA",E89)))</formula>
    </cfRule>
    <cfRule type="containsText" dxfId="3046" priority="2909" operator="containsText" text="RESIGNED">
      <formula>NOT(ISERROR(SEARCH("RESIGNED",E89)))</formula>
    </cfRule>
    <cfRule type="containsText" dxfId="3045" priority="2910" operator="containsText" text="P">
      <formula>NOT(ISERROR(SEARCH("P",E89)))</formula>
    </cfRule>
    <cfRule type="containsText" dxfId="3044" priority="2911" operator="containsText" text="TARDY">
      <formula>NOT(ISERROR(SEARCH("TARDY",E89)))</formula>
    </cfRule>
    <cfRule type="containsText" dxfId="3043" priority="2912" operator="containsText" text="REST DAY">
      <formula>NOT(ISERROR(SEARCH("REST DAY",E89)))</formula>
    </cfRule>
    <cfRule type="containsText" dxfId="3042" priority="2913" operator="containsText" text="UA">
      <formula>NOT(ISERROR(SEARCH("UA",E89)))</formula>
    </cfRule>
    <cfRule type="containsText" dxfId="3041" priority="2914" operator="containsText" text="LWOP UA">
      <formula>NOT(ISERROR(SEARCH("LWOP UA",E89)))</formula>
    </cfRule>
  </conditionalFormatting>
  <conditionalFormatting sqref="E89">
    <cfRule type="containsText" dxfId="3040" priority="2901" operator="containsText" text="VL">
      <formula>NOT(ISERROR(SEARCH("VL",E89)))</formula>
    </cfRule>
    <cfRule type="containsText" dxfId="3039" priority="2902" operator="containsText" text="RD">
      <formula>NOT(ISERROR(SEARCH("RD",E89)))</formula>
    </cfRule>
    <cfRule type="containsText" dxfId="3038" priority="2903" operator="containsText" text="540">
      <formula>NOT(ISERROR(SEARCH("540",E89)))</formula>
    </cfRule>
    <cfRule type="cellIs" dxfId="3037" priority="2904" operator="between">
      <formula>1</formula>
      <formula>400</formula>
    </cfRule>
    <cfRule type="containsText" dxfId="3036" priority="2905" operator="containsText" text="LWOP UA">
      <formula>NOT(ISERROR(SEARCH("LWOP UA",E89)))</formula>
    </cfRule>
  </conditionalFormatting>
  <conditionalFormatting sqref="E89">
    <cfRule type="containsText" dxfId="3035" priority="2906" operator="containsText" text="P">
      <formula>NOT(ISERROR(SEARCH("P",E89)))</formula>
    </cfRule>
  </conditionalFormatting>
  <conditionalFormatting sqref="E93:E100">
    <cfRule type="containsText" dxfId="3034" priority="2883" operator="containsText" text="P">
      <formula>NOT(ISERROR(SEARCH("P",E93)))</formula>
    </cfRule>
    <cfRule type="containsText" dxfId="3033" priority="2884" operator="containsText" text="TFO">
      <formula>NOT(ISERROR(SEARCH("TFO",E93)))</formula>
    </cfRule>
    <cfRule type="containsText" dxfId="3032" priority="2885" operator="containsText" text="AA">
      <formula>NOT(ISERROR(SEARCH("AA",E93)))</formula>
    </cfRule>
    <cfRule type="containsText" dxfId="3031" priority="2886" operator="containsText" text="RESIGNED">
      <formula>NOT(ISERROR(SEARCH("RESIGNED",E93)))</formula>
    </cfRule>
    <cfRule type="containsText" dxfId="3030" priority="2887" operator="containsText" text="P">
      <formula>NOT(ISERROR(SEARCH("P",E93)))</formula>
    </cfRule>
    <cfRule type="containsText" dxfId="3029" priority="2888" operator="containsText" text="TARDY">
      <formula>NOT(ISERROR(SEARCH("TARDY",E93)))</formula>
    </cfRule>
    <cfRule type="containsText" dxfId="3028" priority="2889" operator="containsText" text="REST DAY">
      <formula>NOT(ISERROR(SEARCH("REST DAY",E93)))</formula>
    </cfRule>
    <cfRule type="containsText" dxfId="3027" priority="2890" operator="containsText" text="UA">
      <formula>NOT(ISERROR(SEARCH("UA",E93)))</formula>
    </cfRule>
    <cfRule type="containsText" dxfId="3026" priority="2891" operator="containsText" text="LWOP UA">
      <formula>NOT(ISERROR(SEARCH("LWOP UA",E93)))</formula>
    </cfRule>
  </conditionalFormatting>
  <conditionalFormatting sqref="E93:E100">
    <cfRule type="containsText" dxfId="3025" priority="2893" operator="containsText" text="TFO">
      <formula>NOT(ISERROR(SEARCH("TFO",E93)))</formula>
    </cfRule>
    <cfRule type="containsText" dxfId="3024" priority="2894" operator="containsText" text="AA">
      <formula>NOT(ISERROR(SEARCH("AA",E93)))</formula>
    </cfRule>
    <cfRule type="containsText" dxfId="3023" priority="2895" operator="containsText" text="RESIGNED">
      <formula>NOT(ISERROR(SEARCH("RESIGNED",E93)))</formula>
    </cfRule>
    <cfRule type="containsText" dxfId="3022" priority="2896" operator="containsText" text="P">
      <formula>NOT(ISERROR(SEARCH("P",E93)))</formula>
    </cfRule>
    <cfRule type="containsText" dxfId="3021" priority="2897" operator="containsText" text="TARDY">
      <formula>NOT(ISERROR(SEARCH("TARDY",E93)))</formula>
    </cfRule>
    <cfRule type="containsText" dxfId="3020" priority="2898" operator="containsText" text="REST DAY">
      <formula>NOT(ISERROR(SEARCH("REST DAY",E93)))</formula>
    </cfRule>
    <cfRule type="containsText" dxfId="3019" priority="2899" operator="containsText" text="UA">
      <formula>NOT(ISERROR(SEARCH("UA",E93)))</formula>
    </cfRule>
    <cfRule type="containsText" dxfId="3018" priority="2900" operator="containsText" text="LWOP UA">
      <formula>NOT(ISERROR(SEARCH("LWOP UA",E93)))</formula>
    </cfRule>
  </conditionalFormatting>
  <conditionalFormatting sqref="E93:E100">
    <cfRule type="containsText" dxfId="3017" priority="2878" operator="containsText" text="VL">
      <formula>NOT(ISERROR(SEARCH("VL",E93)))</formula>
    </cfRule>
    <cfRule type="containsText" dxfId="3016" priority="2879" operator="containsText" text="RD">
      <formula>NOT(ISERROR(SEARCH("RD",E93)))</formula>
    </cfRule>
    <cfRule type="containsText" dxfId="3015" priority="2880" operator="containsText" text="540">
      <formula>NOT(ISERROR(SEARCH("540",E93)))</formula>
    </cfRule>
    <cfRule type="cellIs" dxfId="3014" priority="2881" operator="between">
      <formula>1</formula>
      <formula>400</formula>
    </cfRule>
    <cfRule type="containsText" dxfId="3013" priority="2882" operator="containsText" text="LWOP UA">
      <formula>NOT(ISERROR(SEARCH("LWOP UA",E93)))</formula>
    </cfRule>
  </conditionalFormatting>
  <conditionalFormatting sqref="E93:E100">
    <cfRule type="containsText" dxfId="3012" priority="2892" operator="containsText" text="P">
      <formula>NOT(ISERROR(SEARCH("P",E93)))</formula>
    </cfRule>
  </conditionalFormatting>
  <conditionalFormatting sqref="E37">
    <cfRule type="containsText" dxfId="3011" priority="2870" operator="containsText" text="TFO">
      <formula>NOT(ISERROR(SEARCH("TFO",E37)))</formula>
    </cfRule>
    <cfRule type="containsText" dxfId="3010" priority="2871" operator="containsText" text="AA">
      <formula>NOT(ISERROR(SEARCH("AA",E37)))</formula>
    </cfRule>
    <cfRule type="containsText" dxfId="3009" priority="2872" operator="containsText" text="RESIGNED">
      <formula>NOT(ISERROR(SEARCH("RESIGNED",E37)))</formula>
    </cfRule>
    <cfRule type="containsText" dxfId="3008" priority="2873" operator="containsText" text="P">
      <formula>NOT(ISERROR(SEARCH("P",E37)))</formula>
    </cfRule>
    <cfRule type="containsText" dxfId="3007" priority="2874" operator="containsText" text="TARDY">
      <formula>NOT(ISERROR(SEARCH("TARDY",E37)))</formula>
    </cfRule>
    <cfRule type="containsText" dxfId="3006" priority="2875" operator="containsText" text="REST DAY">
      <formula>NOT(ISERROR(SEARCH("REST DAY",E37)))</formula>
    </cfRule>
    <cfRule type="containsText" dxfId="3005" priority="2876" operator="containsText" text="UA">
      <formula>NOT(ISERROR(SEARCH("UA",E37)))</formula>
    </cfRule>
    <cfRule type="containsText" dxfId="3004" priority="2877" operator="containsText" text="LWOP UA">
      <formula>NOT(ISERROR(SEARCH("LWOP UA",E37)))</formula>
    </cfRule>
  </conditionalFormatting>
  <conditionalFormatting sqref="E37">
    <cfRule type="containsText" dxfId="3003" priority="2864" operator="containsText" text="VL">
      <formula>NOT(ISERROR(SEARCH("VL",E37)))</formula>
    </cfRule>
    <cfRule type="containsText" dxfId="3002" priority="2865" operator="containsText" text="RD">
      <formula>NOT(ISERROR(SEARCH("RD",E37)))</formula>
    </cfRule>
    <cfRule type="containsText" dxfId="3001" priority="2866" operator="containsText" text="540">
      <formula>NOT(ISERROR(SEARCH("540",E37)))</formula>
    </cfRule>
    <cfRule type="cellIs" dxfId="3000" priority="2867" operator="between">
      <formula>1</formula>
      <formula>400</formula>
    </cfRule>
    <cfRule type="containsText" dxfId="2999" priority="2868" operator="containsText" text="LWOP UA">
      <formula>NOT(ISERROR(SEARCH("LWOP UA",E37)))</formula>
    </cfRule>
  </conditionalFormatting>
  <conditionalFormatting sqref="E37">
    <cfRule type="containsText" dxfId="2998" priority="2869" operator="containsText" text="P">
      <formula>NOT(ISERROR(SEARCH("P",E37)))</formula>
    </cfRule>
  </conditionalFormatting>
  <conditionalFormatting sqref="F37:I37">
    <cfRule type="containsText" dxfId="2997" priority="2863" operator="containsText" text="LWOP UA">
      <formula>NOT(ISERROR(SEARCH("LWOP UA",F37)))</formula>
    </cfRule>
  </conditionalFormatting>
  <conditionalFormatting sqref="F37:I37">
    <cfRule type="containsText" dxfId="2996" priority="2850" operator="containsText" text="VL">
      <formula>NOT(ISERROR(SEARCH("VL",F37)))</formula>
    </cfRule>
    <cfRule type="containsText" dxfId="2995" priority="2851" operator="containsText" text="RD">
      <formula>NOT(ISERROR(SEARCH("RD",F37)))</formula>
    </cfRule>
    <cfRule type="containsText" dxfId="2994" priority="2852" operator="containsText" text="540">
      <formula>NOT(ISERROR(SEARCH("540",F37)))</formula>
    </cfRule>
    <cfRule type="cellIs" dxfId="2993" priority="2853" operator="between">
      <formula>1</formula>
      <formula>400</formula>
    </cfRule>
  </conditionalFormatting>
  <conditionalFormatting sqref="F37:I37">
    <cfRule type="containsText" dxfId="2992" priority="2855" operator="containsText" text="P">
      <formula>NOT(ISERROR(SEARCH("P",F37)))</formula>
    </cfRule>
    <cfRule type="containsText" dxfId="2991" priority="2856" operator="containsText" text="TFO">
      <formula>NOT(ISERROR(SEARCH("TFO",F37)))</formula>
    </cfRule>
    <cfRule type="containsText" dxfId="2990" priority="2857" operator="containsText" text="AA">
      <formula>NOT(ISERROR(SEARCH("AA",F37)))</formula>
    </cfRule>
    <cfRule type="containsText" dxfId="2989" priority="2858" operator="containsText" text="RESIGNED">
      <formula>NOT(ISERROR(SEARCH("RESIGNED",F37)))</formula>
    </cfRule>
    <cfRule type="containsText" dxfId="2988" priority="2859" operator="containsText" text="P">
      <formula>NOT(ISERROR(SEARCH("P",F37)))</formula>
    </cfRule>
    <cfRule type="containsText" dxfId="2987" priority="2860" operator="containsText" text="TARDY">
      <formula>NOT(ISERROR(SEARCH("TARDY",F37)))</formula>
    </cfRule>
    <cfRule type="containsText" dxfId="2986" priority="2861" operator="containsText" text="REST DAY">
      <formula>NOT(ISERROR(SEARCH("REST DAY",F37)))</formula>
    </cfRule>
    <cfRule type="containsText" dxfId="2985" priority="2862" operator="containsText" text="UA">
      <formula>NOT(ISERROR(SEARCH("UA",F37)))</formula>
    </cfRule>
  </conditionalFormatting>
  <conditionalFormatting sqref="F37:I37">
    <cfRule type="containsText" dxfId="2984" priority="2854" operator="containsText" text="LWOP UA">
      <formula>NOT(ISERROR(SEARCH("LWOP UA",F37)))</formula>
    </cfRule>
  </conditionalFormatting>
  <conditionalFormatting sqref="F3:I3">
    <cfRule type="containsText" dxfId="2983" priority="2841" operator="containsText" text="P">
      <formula>NOT(ISERROR(SEARCH("P",F3)))</formula>
    </cfRule>
  </conditionalFormatting>
  <conditionalFormatting sqref="F3:I3">
    <cfRule type="containsText" dxfId="2982" priority="2849" operator="containsText" text="LWOP UA">
      <formula>NOT(ISERROR(SEARCH("LWOP UA",F3)))</formula>
    </cfRule>
  </conditionalFormatting>
  <conditionalFormatting sqref="F3:I3">
    <cfRule type="containsText" dxfId="2981" priority="2842" operator="containsText" text="TFO">
      <formula>NOT(ISERROR(SEARCH("TFO",F3)))</formula>
    </cfRule>
    <cfRule type="containsText" dxfId="2980" priority="2843" operator="containsText" text="AA">
      <formula>NOT(ISERROR(SEARCH("AA",F3)))</formula>
    </cfRule>
    <cfRule type="containsText" dxfId="2979" priority="2844" operator="containsText" text="RESIGNED">
      <formula>NOT(ISERROR(SEARCH("RESIGNED",F3)))</formula>
    </cfRule>
    <cfRule type="containsText" dxfId="2978" priority="2845" operator="containsText" text="P">
      <formula>NOT(ISERROR(SEARCH("P",F3)))</formula>
    </cfRule>
    <cfRule type="containsText" dxfId="2977" priority="2846" operator="containsText" text="TARDY">
      <formula>NOT(ISERROR(SEARCH("TARDY",F3)))</formula>
    </cfRule>
    <cfRule type="containsText" dxfId="2976" priority="2847" operator="containsText" text="REST DAY">
      <formula>NOT(ISERROR(SEARCH("REST DAY",F3)))</formula>
    </cfRule>
    <cfRule type="containsText" dxfId="2975" priority="2848" operator="containsText" text="UA">
      <formula>NOT(ISERROR(SEARCH("UA",F3)))</formula>
    </cfRule>
  </conditionalFormatting>
  <conditionalFormatting sqref="F3:I3">
    <cfRule type="containsText" dxfId="2974" priority="2840" operator="containsText" text="LWOP UA">
      <formula>NOT(ISERROR(SEARCH("LWOP UA",F3)))</formula>
    </cfRule>
  </conditionalFormatting>
  <conditionalFormatting sqref="F3:I3">
    <cfRule type="containsText" dxfId="2973" priority="2836" operator="containsText" text="VL">
      <formula>NOT(ISERROR(SEARCH("VL",F3)))</formula>
    </cfRule>
    <cfRule type="containsText" dxfId="2972" priority="2837" operator="containsText" text="RD">
      <formula>NOT(ISERROR(SEARCH("RD",F3)))</formula>
    </cfRule>
    <cfRule type="containsText" dxfId="2971" priority="2838" operator="containsText" text="540">
      <formula>NOT(ISERROR(SEARCH("540",F3)))</formula>
    </cfRule>
    <cfRule type="cellIs" dxfId="2970" priority="2839" operator="between">
      <formula>1</formula>
      <formula>400</formula>
    </cfRule>
  </conditionalFormatting>
  <conditionalFormatting sqref="J4 F4:G4">
    <cfRule type="containsText" dxfId="2969" priority="2827" operator="containsText" text="P">
      <formula>NOT(ISERROR(SEARCH("P",F4)))</formula>
    </cfRule>
  </conditionalFormatting>
  <conditionalFormatting sqref="J4 F4:G4">
    <cfRule type="containsText" dxfId="2968" priority="2835" operator="containsText" text="LWOP UA">
      <formula>NOT(ISERROR(SEARCH("LWOP UA",F4)))</formula>
    </cfRule>
  </conditionalFormatting>
  <conditionalFormatting sqref="J4 F4:G4">
    <cfRule type="containsText" dxfId="2967" priority="2828" operator="containsText" text="TFO">
      <formula>NOT(ISERROR(SEARCH("TFO",F4)))</formula>
    </cfRule>
    <cfRule type="containsText" dxfId="2966" priority="2829" operator="containsText" text="AA">
      <formula>NOT(ISERROR(SEARCH("AA",F4)))</formula>
    </cfRule>
    <cfRule type="containsText" dxfId="2965" priority="2830" operator="containsText" text="RESIGNED">
      <formula>NOT(ISERROR(SEARCH("RESIGNED",F4)))</formula>
    </cfRule>
    <cfRule type="containsText" dxfId="2964" priority="2831" operator="containsText" text="P">
      <formula>NOT(ISERROR(SEARCH("P",F4)))</formula>
    </cfRule>
    <cfRule type="containsText" dxfId="2963" priority="2832" operator="containsText" text="TARDY">
      <formula>NOT(ISERROR(SEARCH("TARDY",F4)))</formula>
    </cfRule>
    <cfRule type="containsText" dxfId="2962" priority="2833" operator="containsText" text="REST DAY">
      <formula>NOT(ISERROR(SEARCH("REST DAY",F4)))</formula>
    </cfRule>
    <cfRule type="containsText" dxfId="2961" priority="2834" operator="containsText" text="UA">
      <formula>NOT(ISERROR(SEARCH("UA",F4)))</formula>
    </cfRule>
  </conditionalFormatting>
  <conditionalFormatting sqref="F4:J4">
    <cfRule type="containsText" dxfId="2960" priority="2826" operator="containsText" text="LWOP UA">
      <formula>NOT(ISERROR(SEARCH("LWOP UA",F4)))</formula>
    </cfRule>
  </conditionalFormatting>
  <conditionalFormatting sqref="F4:J4">
    <cfRule type="containsText" dxfId="2959" priority="2813" operator="containsText" text="VL">
      <formula>NOT(ISERROR(SEARCH("VL",F4)))</formula>
    </cfRule>
    <cfRule type="containsText" dxfId="2958" priority="2814" operator="containsText" text="RD">
      <formula>NOT(ISERROR(SEARCH("RD",F4)))</formula>
    </cfRule>
    <cfRule type="containsText" dxfId="2957" priority="2815" operator="containsText" text="540">
      <formula>NOT(ISERROR(SEARCH("540",F4)))</formula>
    </cfRule>
    <cfRule type="cellIs" dxfId="2956" priority="2816" operator="between">
      <formula>1</formula>
      <formula>400</formula>
    </cfRule>
  </conditionalFormatting>
  <conditionalFormatting sqref="H4:I4">
    <cfRule type="containsText" dxfId="2955" priority="2817" operator="containsText" text="LWOP UA">
      <formula>NOT(ISERROR(SEARCH("LWOP UA",H4)))</formula>
    </cfRule>
    <cfRule type="containsText" dxfId="2954" priority="2818" operator="containsText" text="P">
      <formula>NOT(ISERROR(SEARCH("P",H4)))</formula>
    </cfRule>
    <cfRule type="containsText" dxfId="2953" priority="2819" operator="containsText" text="TFO">
      <formula>NOT(ISERROR(SEARCH("TFO",H4)))</formula>
    </cfRule>
    <cfRule type="containsText" dxfId="2952" priority="2820" operator="containsText" text="AA">
      <formula>NOT(ISERROR(SEARCH("AA",H4)))</formula>
    </cfRule>
    <cfRule type="containsText" dxfId="2951" priority="2821" operator="containsText" text="RESIGNED">
      <formula>NOT(ISERROR(SEARCH("RESIGNED",H4)))</formula>
    </cfRule>
    <cfRule type="containsText" dxfId="2950" priority="2822" operator="containsText" text="P">
      <formula>NOT(ISERROR(SEARCH("P",H4)))</formula>
    </cfRule>
    <cfRule type="containsText" dxfId="2949" priority="2823" operator="containsText" text="TARDY">
      <formula>NOT(ISERROR(SEARCH("TARDY",H4)))</formula>
    </cfRule>
    <cfRule type="containsText" dxfId="2948" priority="2824" operator="containsText" text="REST DAY">
      <formula>NOT(ISERROR(SEARCH("REST DAY",H4)))</formula>
    </cfRule>
    <cfRule type="containsText" dxfId="2947" priority="2825" operator="containsText" text="UA">
      <formula>NOT(ISERROR(SEARCH("UA",H4)))</formula>
    </cfRule>
  </conditionalFormatting>
  <conditionalFormatting sqref="F10:I11">
    <cfRule type="containsText" dxfId="2946" priority="2804" operator="containsText" text="P">
      <formula>NOT(ISERROR(SEARCH("P",F10)))</formula>
    </cfRule>
  </conditionalFormatting>
  <conditionalFormatting sqref="F10:I11">
    <cfRule type="containsText" dxfId="2945" priority="2812" operator="containsText" text="LWOP UA">
      <formula>NOT(ISERROR(SEARCH("LWOP UA",F10)))</formula>
    </cfRule>
  </conditionalFormatting>
  <conditionalFormatting sqref="F10:I11">
    <cfRule type="containsText" dxfId="2944" priority="2805" operator="containsText" text="TFO">
      <formula>NOT(ISERROR(SEARCH("TFO",F10)))</formula>
    </cfRule>
    <cfRule type="containsText" dxfId="2943" priority="2806" operator="containsText" text="AA">
      <formula>NOT(ISERROR(SEARCH("AA",F10)))</formula>
    </cfRule>
    <cfRule type="containsText" dxfId="2942" priority="2807" operator="containsText" text="RESIGNED">
      <formula>NOT(ISERROR(SEARCH("RESIGNED",F10)))</formula>
    </cfRule>
    <cfRule type="containsText" dxfId="2941" priority="2808" operator="containsText" text="P">
      <formula>NOT(ISERROR(SEARCH("P",F10)))</formula>
    </cfRule>
    <cfRule type="containsText" dxfId="2940" priority="2809" operator="containsText" text="TARDY">
      <formula>NOT(ISERROR(SEARCH("TARDY",F10)))</formula>
    </cfRule>
    <cfRule type="containsText" dxfId="2939" priority="2810" operator="containsText" text="REST DAY">
      <formula>NOT(ISERROR(SEARCH("REST DAY",F10)))</formula>
    </cfRule>
    <cfRule type="containsText" dxfId="2938" priority="2811" operator="containsText" text="UA">
      <formula>NOT(ISERROR(SEARCH("UA",F10)))</formula>
    </cfRule>
  </conditionalFormatting>
  <conditionalFormatting sqref="F10:I11">
    <cfRule type="containsText" dxfId="2937" priority="2799" operator="containsText" text="VL">
      <formula>NOT(ISERROR(SEARCH("VL",F10)))</formula>
    </cfRule>
    <cfRule type="containsText" dxfId="2936" priority="2800" operator="containsText" text="RD">
      <formula>NOT(ISERROR(SEARCH("RD",F10)))</formula>
    </cfRule>
    <cfRule type="containsText" dxfId="2935" priority="2801" operator="containsText" text="540">
      <formula>NOT(ISERROR(SEARCH("540",F10)))</formula>
    </cfRule>
    <cfRule type="cellIs" dxfId="2934" priority="2802" operator="between">
      <formula>1</formula>
      <formula>400</formula>
    </cfRule>
  </conditionalFormatting>
  <conditionalFormatting sqref="F10:I11">
    <cfRule type="containsText" dxfId="2933" priority="2803" operator="containsText" text="LWOP UA">
      <formula>NOT(ISERROR(SEARCH("LWOP UA",F10)))</formula>
    </cfRule>
  </conditionalFormatting>
  <conditionalFormatting sqref="F16:J16">
    <cfRule type="containsText" dxfId="2932" priority="2790" operator="containsText" text="P">
      <formula>NOT(ISERROR(SEARCH("P",F16)))</formula>
    </cfRule>
  </conditionalFormatting>
  <conditionalFormatting sqref="F16:J16">
    <cfRule type="containsText" dxfId="2931" priority="2798" operator="containsText" text="LWOP UA">
      <formula>NOT(ISERROR(SEARCH("LWOP UA",F16)))</formula>
    </cfRule>
  </conditionalFormatting>
  <conditionalFormatting sqref="F16:J16">
    <cfRule type="containsText" dxfId="2930" priority="2791" operator="containsText" text="TFO">
      <formula>NOT(ISERROR(SEARCH("TFO",F16)))</formula>
    </cfRule>
    <cfRule type="containsText" dxfId="2929" priority="2792" operator="containsText" text="AA">
      <formula>NOT(ISERROR(SEARCH("AA",F16)))</formula>
    </cfRule>
    <cfRule type="containsText" dxfId="2928" priority="2793" operator="containsText" text="RESIGNED">
      <formula>NOT(ISERROR(SEARCH("RESIGNED",F16)))</formula>
    </cfRule>
    <cfRule type="containsText" dxfId="2927" priority="2794" operator="containsText" text="P">
      <formula>NOT(ISERROR(SEARCH("P",F16)))</formula>
    </cfRule>
    <cfRule type="containsText" dxfId="2926" priority="2795" operator="containsText" text="TARDY">
      <formula>NOT(ISERROR(SEARCH("TARDY",F16)))</formula>
    </cfRule>
    <cfRule type="containsText" dxfId="2925" priority="2796" operator="containsText" text="REST DAY">
      <formula>NOT(ISERROR(SEARCH("REST DAY",F16)))</formula>
    </cfRule>
    <cfRule type="containsText" dxfId="2924" priority="2797" operator="containsText" text="UA">
      <formula>NOT(ISERROR(SEARCH("UA",F16)))</formula>
    </cfRule>
  </conditionalFormatting>
  <conditionalFormatting sqref="F16:J16">
    <cfRule type="containsText" dxfId="2923" priority="2785" operator="containsText" text="VL">
      <formula>NOT(ISERROR(SEARCH("VL",F16)))</formula>
    </cfRule>
    <cfRule type="containsText" dxfId="2922" priority="2786" operator="containsText" text="RD">
      <formula>NOT(ISERROR(SEARCH("RD",F16)))</formula>
    </cfRule>
    <cfRule type="containsText" dxfId="2921" priority="2787" operator="containsText" text="540">
      <formula>NOT(ISERROR(SEARCH("540",F16)))</formula>
    </cfRule>
    <cfRule type="cellIs" dxfId="2920" priority="2788" operator="between">
      <formula>1</formula>
      <formula>400</formula>
    </cfRule>
  </conditionalFormatting>
  <conditionalFormatting sqref="F16:J16">
    <cfRule type="containsText" dxfId="2919" priority="2789" operator="containsText" text="LWOP UA">
      <formula>NOT(ISERROR(SEARCH("LWOP UA",F16)))</formula>
    </cfRule>
  </conditionalFormatting>
  <conditionalFormatting sqref="F18:H18">
    <cfRule type="containsText" dxfId="2918" priority="2776" operator="containsText" text="P">
      <formula>NOT(ISERROR(SEARCH("P",F18)))</formula>
    </cfRule>
  </conditionalFormatting>
  <conditionalFormatting sqref="F18:H18">
    <cfRule type="containsText" dxfId="2917" priority="2784" operator="containsText" text="LWOP UA">
      <formula>NOT(ISERROR(SEARCH("LWOP UA",F18)))</formula>
    </cfRule>
  </conditionalFormatting>
  <conditionalFormatting sqref="F18:H18">
    <cfRule type="containsText" dxfId="2916" priority="2777" operator="containsText" text="TFO">
      <formula>NOT(ISERROR(SEARCH("TFO",F18)))</formula>
    </cfRule>
    <cfRule type="containsText" dxfId="2915" priority="2778" operator="containsText" text="AA">
      <formula>NOT(ISERROR(SEARCH("AA",F18)))</formula>
    </cfRule>
    <cfRule type="containsText" dxfId="2914" priority="2779" operator="containsText" text="RESIGNED">
      <formula>NOT(ISERROR(SEARCH("RESIGNED",F18)))</formula>
    </cfRule>
    <cfRule type="containsText" dxfId="2913" priority="2780" operator="containsText" text="P">
      <formula>NOT(ISERROR(SEARCH("P",F18)))</formula>
    </cfRule>
    <cfRule type="containsText" dxfId="2912" priority="2781" operator="containsText" text="TARDY">
      <formula>NOT(ISERROR(SEARCH("TARDY",F18)))</formula>
    </cfRule>
    <cfRule type="containsText" dxfId="2911" priority="2782" operator="containsText" text="REST DAY">
      <formula>NOT(ISERROR(SEARCH("REST DAY",F18)))</formula>
    </cfRule>
    <cfRule type="containsText" dxfId="2910" priority="2783" operator="containsText" text="UA">
      <formula>NOT(ISERROR(SEARCH("UA",F18)))</formula>
    </cfRule>
  </conditionalFormatting>
  <conditionalFormatting sqref="F18:H18">
    <cfRule type="containsText" dxfId="2909" priority="2771" operator="containsText" text="VL">
      <formula>NOT(ISERROR(SEARCH("VL",F18)))</formula>
    </cfRule>
    <cfRule type="containsText" dxfId="2908" priority="2772" operator="containsText" text="RD">
      <formula>NOT(ISERROR(SEARCH("RD",F18)))</formula>
    </cfRule>
    <cfRule type="containsText" dxfId="2907" priority="2773" operator="containsText" text="540">
      <formula>NOT(ISERROR(SEARCH("540",F18)))</formula>
    </cfRule>
    <cfRule type="cellIs" dxfId="2906" priority="2774" operator="between">
      <formula>1</formula>
      <formula>400</formula>
    </cfRule>
  </conditionalFormatting>
  <conditionalFormatting sqref="F18:H18">
    <cfRule type="containsText" dxfId="2905" priority="2775" operator="containsText" text="LWOP UA">
      <formula>NOT(ISERROR(SEARCH("LWOP UA",F18)))</formula>
    </cfRule>
  </conditionalFormatting>
  <conditionalFormatting sqref="F29:I29">
    <cfRule type="containsText" dxfId="2904" priority="2762" operator="containsText" text="P">
      <formula>NOT(ISERROR(SEARCH("P",F29)))</formula>
    </cfRule>
  </conditionalFormatting>
  <conditionalFormatting sqref="F29:I29">
    <cfRule type="containsText" dxfId="2903" priority="2770" operator="containsText" text="LWOP UA">
      <formula>NOT(ISERROR(SEARCH("LWOP UA",F29)))</formula>
    </cfRule>
  </conditionalFormatting>
  <conditionalFormatting sqref="F29:I29">
    <cfRule type="containsText" dxfId="2902" priority="2763" operator="containsText" text="TFO">
      <formula>NOT(ISERROR(SEARCH("TFO",F29)))</formula>
    </cfRule>
    <cfRule type="containsText" dxfId="2901" priority="2764" operator="containsText" text="AA">
      <formula>NOT(ISERROR(SEARCH("AA",F29)))</formula>
    </cfRule>
    <cfRule type="containsText" dxfId="2900" priority="2765" operator="containsText" text="RESIGNED">
      <formula>NOT(ISERROR(SEARCH("RESIGNED",F29)))</formula>
    </cfRule>
    <cfRule type="containsText" dxfId="2899" priority="2766" operator="containsText" text="P">
      <formula>NOT(ISERROR(SEARCH("P",F29)))</formula>
    </cfRule>
    <cfRule type="containsText" dxfId="2898" priority="2767" operator="containsText" text="TARDY">
      <formula>NOT(ISERROR(SEARCH("TARDY",F29)))</formula>
    </cfRule>
    <cfRule type="containsText" dxfId="2897" priority="2768" operator="containsText" text="REST DAY">
      <formula>NOT(ISERROR(SEARCH("REST DAY",F29)))</formula>
    </cfRule>
    <cfRule type="containsText" dxfId="2896" priority="2769" operator="containsText" text="UA">
      <formula>NOT(ISERROR(SEARCH("UA",F29)))</formula>
    </cfRule>
  </conditionalFormatting>
  <conditionalFormatting sqref="F29:I29">
    <cfRule type="containsText" dxfId="2895" priority="2758" operator="containsText" text="RD">
      <formula>NOT(ISERROR(SEARCH("RD",F29)))</formula>
    </cfRule>
    <cfRule type="containsText" dxfId="2894" priority="2759" operator="containsText" text="540">
      <formula>NOT(ISERROR(SEARCH("540",F29)))</formula>
    </cfRule>
    <cfRule type="cellIs" dxfId="2893" priority="2760" operator="between">
      <formula>1</formula>
      <formula>400</formula>
    </cfRule>
  </conditionalFormatting>
  <conditionalFormatting sqref="F29:I29">
    <cfRule type="containsText" dxfId="2892" priority="2761" operator="containsText" text="LWOP UA">
      <formula>NOT(ISERROR(SEARCH("LWOP UA",F29)))</formula>
    </cfRule>
  </conditionalFormatting>
  <conditionalFormatting sqref="F29:I29">
    <cfRule type="containsText" dxfId="2891" priority="2757" operator="containsText" text="VL">
      <formula>NOT(ISERROR(SEARCH("VL",F29)))</formula>
    </cfRule>
  </conditionalFormatting>
  <conditionalFormatting sqref="F31:H31">
    <cfRule type="containsText" dxfId="2890" priority="2748" operator="containsText" text="P">
      <formula>NOT(ISERROR(SEARCH("P",F31)))</formula>
    </cfRule>
  </conditionalFormatting>
  <conditionalFormatting sqref="F31:H31">
    <cfRule type="containsText" dxfId="2889" priority="2756" operator="containsText" text="LWOP UA">
      <formula>NOT(ISERROR(SEARCH("LWOP UA",F31)))</formula>
    </cfRule>
  </conditionalFormatting>
  <conditionalFormatting sqref="F31:H31">
    <cfRule type="containsText" dxfId="2888" priority="2749" operator="containsText" text="TFO">
      <formula>NOT(ISERROR(SEARCH("TFO",F31)))</formula>
    </cfRule>
    <cfRule type="containsText" dxfId="2887" priority="2750" operator="containsText" text="AA">
      <formula>NOT(ISERROR(SEARCH("AA",F31)))</formula>
    </cfRule>
    <cfRule type="containsText" dxfId="2886" priority="2751" operator="containsText" text="RESIGNED">
      <formula>NOT(ISERROR(SEARCH("RESIGNED",F31)))</formula>
    </cfRule>
    <cfRule type="containsText" dxfId="2885" priority="2752" operator="containsText" text="P">
      <formula>NOT(ISERROR(SEARCH("P",F31)))</formula>
    </cfRule>
    <cfRule type="containsText" dxfId="2884" priority="2753" operator="containsText" text="TARDY">
      <formula>NOT(ISERROR(SEARCH("TARDY",F31)))</formula>
    </cfRule>
    <cfRule type="containsText" dxfId="2883" priority="2754" operator="containsText" text="REST DAY">
      <formula>NOT(ISERROR(SEARCH("REST DAY",F31)))</formula>
    </cfRule>
    <cfRule type="containsText" dxfId="2882" priority="2755" operator="containsText" text="UA">
      <formula>NOT(ISERROR(SEARCH("UA",F31)))</formula>
    </cfRule>
  </conditionalFormatting>
  <conditionalFormatting sqref="F31:H31">
    <cfRule type="containsText" dxfId="2881" priority="2744" operator="containsText" text="RD">
      <formula>NOT(ISERROR(SEARCH("RD",F31)))</formula>
    </cfRule>
    <cfRule type="containsText" dxfId="2880" priority="2745" operator="containsText" text="540">
      <formula>NOT(ISERROR(SEARCH("540",F31)))</formula>
    </cfRule>
    <cfRule type="cellIs" dxfId="2879" priority="2746" operator="between">
      <formula>1</formula>
      <formula>400</formula>
    </cfRule>
  </conditionalFormatting>
  <conditionalFormatting sqref="F31:H31">
    <cfRule type="containsText" dxfId="2878" priority="2747" operator="containsText" text="LWOP UA">
      <formula>NOT(ISERROR(SEARCH("LWOP UA",F31)))</formula>
    </cfRule>
  </conditionalFormatting>
  <conditionalFormatting sqref="F31:H31">
    <cfRule type="containsText" dxfId="2877" priority="2743" operator="containsText" text="VL">
      <formula>NOT(ISERROR(SEARCH("VL",F31)))</formula>
    </cfRule>
  </conditionalFormatting>
  <conditionalFormatting sqref="F46:H46">
    <cfRule type="containsText" dxfId="2876" priority="2734" operator="containsText" text="P">
      <formula>NOT(ISERROR(SEARCH("P",F46)))</formula>
    </cfRule>
  </conditionalFormatting>
  <conditionalFormatting sqref="F46:H46">
    <cfRule type="containsText" dxfId="2875" priority="2742" operator="containsText" text="LWOP UA">
      <formula>NOT(ISERROR(SEARCH("LWOP UA",F46)))</formula>
    </cfRule>
  </conditionalFormatting>
  <conditionalFormatting sqref="F46:H46">
    <cfRule type="containsText" dxfId="2874" priority="2735" operator="containsText" text="TFO">
      <formula>NOT(ISERROR(SEARCH("TFO",F46)))</formula>
    </cfRule>
    <cfRule type="containsText" dxfId="2873" priority="2736" operator="containsText" text="AA">
      <formula>NOT(ISERROR(SEARCH("AA",F46)))</formula>
    </cfRule>
    <cfRule type="containsText" dxfId="2872" priority="2737" operator="containsText" text="RESIGNED">
      <formula>NOT(ISERROR(SEARCH("RESIGNED",F46)))</formula>
    </cfRule>
    <cfRule type="containsText" dxfId="2871" priority="2738" operator="containsText" text="P">
      <formula>NOT(ISERROR(SEARCH("P",F46)))</formula>
    </cfRule>
    <cfRule type="containsText" dxfId="2870" priority="2739" operator="containsText" text="TARDY">
      <formula>NOT(ISERROR(SEARCH("TARDY",F46)))</formula>
    </cfRule>
    <cfRule type="containsText" dxfId="2869" priority="2740" operator="containsText" text="REST DAY">
      <formula>NOT(ISERROR(SEARCH("REST DAY",F46)))</formula>
    </cfRule>
    <cfRule type="containsText" dxfId="2868" priority="2741" operator="containsText" text="UA">
      <formula>NOT(ISERROR(SEARCH("UA",F46)))</formula>
    </cfRule>
  </conditionalFormatting>
  <conditionalFormatting sqref="F46:H46">
    <cfRule type="containsText" dxfId="2867" priority="2729" operator="containsText" text="VL">
      <formula>NOT(ISERROR(SEARCH("VL",F46)))</formula>
    </cfRule>
    <cfRule type="containsText" dxfId="2866" priority="2730" operator="containsText" text="RD">
      <formula>NOT(ISERROR(SEARCH("RD",F46)))</formula>
    </cfRule>
    <cfRule type="containsText" dxfId="2865" priority="2731" operator="containsText" text="540">
      <formula>NOT(ISERROR(SEARCH("540",F46)))</formula>
    </cfRule>
    <cfRule type="cellIs" dxfId="2864" priority="2732" operator="between">
      <formula>1</formula>
      <formula>400</formula>
    </cfRule>
  </conditionalFormatting>
  <conditionalFormatting sqref="F46:H46">
    <cfRule type="containsText" dxfId="2863" priority="2733" operator="containsText" text="LWOP UA">
      <formula>NOT(ISERROR(SEARCH("LWOP UA",F46)))</formula>
    </cfRule>
  </conditionalFormatting>
  <conditionalFormatting sqref="F54:I54">
    <cfRule type="containsText" dxfId="2862" priority="2720" operator="containsText" text="P">
      <formula>NOT(ISERROR(SEARCH("P",F54)))</formula>
    </cfRule>
  </conditionalFormatting>
  <conditionalFormatting sqref="F54:I54">
    <cfRule type="containsText" dxfId="2861" priority="2728" operator="containsText" text="LWOP UA">
      <formula>NOT(ISERROR(SEARCH("LWOP UA",F54)))</formula>
    </cfRule>
  </conditionalFormatting>
  <conditionalFormatting sqref="F54:I54">
    <cfRule type="containsText" dxfId="2860" priority="2721" operator="containsText" text="TFO">
      <formula>NOT(ISERROR(SEARCH("TFO",F54)))</formula>
    </cfRule>
    <cfRule type="containsText" dxfId="2859" priority="2722" operator="containsText" text="AA">
      <formula>NOT(ISERROR(SEARCH("AA",F54)))</formula>
    </cfRule>
    <cfRule type="containsText" dxfId="2858" priority="2723" operator="containsText" text="RESIGNED">
      <formula>NOT(ISERROR(SEARCH("RESIGNED",F54)))</formula>
    </cfRule>
    <cfRule type="containsText" dxfId="2857" priority="2724" operator="containsText" text="P">
      <formula>NOT(ISERROR(SEARCH("P",F54)))</formula>
    </cfRule>
    <cfRule type="containsText" dxfId="2856" priority="2725" operator="containsText" text="TARDY">
      <formula>NOT(ISERROR(SEARCH("TARDY",F54)))</formula>
    </cfRule>
    <cfRule type="containsText" dxfId="2855" priority="2726" operator="containsText" text="REST DAY">
      <formula>NOT(ISERROR(SEARCH("REST DAY",F54)))</formula>
    </cfRule>
    <cfRule type="containsText" dxfId="2854" priority="2727" operator="containsText" text="UA">
      <formula>NOT(ISERROR(SEARCH("UA",F54)))</formula>
    </cfRule>
  </conditionalFormatting>
  <conditionalFormatting sqref="F54:I54">
    <cfRule type="containsText" dxfId="2853" priority="2715" operator="containsText" text="VL">
      <formula>NOT(ISERROR(SEARCH("VL",F54)))</formula>
    </cfRule>
    <cfRule type="containsText" dxfId="2852" priority="2716" operator="containsText" text="RD">
      <formula>NOT(ISERROR(SEARCH("RD",F54)))</formula>
    </cfRule>
    <cfRule type="containsText" dxfId="2851" priority="2717" operator="containsText" text="540">
      <formula>NOT(ISERROR(SEARCH("540",F54)))</formula>
    </cfRule>
    <cfRule type="cellIs" dxfId="2850" priority="2718" operator="between">
      <formula>1</formula>
      <formula>400</formula>
    </cfRule>
  </conditionalFormatting>
  <conditionalFormatting sqref="F54:I54">
    <cfRule type="containsText" dxfId="2849" priority="2719" operator="containsText" text="LWOP UA">
      <formula>NOT(ISERROR(SEARCH("LWOP UA",F54)))</formula>
    </cfRule>
  </conditionalFormatting>
  <conditionalFormatting sqref="F65:I65">
    <cfRule type="containsText" dxfId="2848" priority="2706" operator="containsText" text="P">
      <formula>NOT(ISERROR(SEARCH("P",F65)))</formula>
    </cfRule>
  </conditionalFormatting>
  <conditionalFormatting sqref="F65:I65">
    <cfRule type="containsText" dxfId="2847" priority="2714" operator="containsText" text="LWOP UA">
      <formula>NOT(ISERROR(SEARCH("LWOP UA",F65)))</formula>
    </cfRule>
  </conditionalFormatting>
  <conditionalFormatting sqref="F65:I65">
    <cfRule type="containsText" dxfId="2846" priority="2707" operator="containsText" text="TFO">
      <formula>NOT(ISERROR(SEARCH("TFO",F65)))</formula>
    </cfRule>
    <cfRule type="containsText" dxfId="2845" priority="2708" operator="containsText" text="AA">
      <formula>NOT(ISERROR(SEARCH("AA",F65)))</formula>
    </cfRule>
    <cfRule type="containsText" dxfId="2844" priority="2709" operator="containsText" text="RESIGNED">
      <formula>NOT(ISERROR(SEARCH("RESIGNED",F65)))</formula>
    </cfRule>
    <cfRule type="containsText" dxfId="2843" priority="2710" operator="containsText" text="P">
      <formula>NOT(ISERROR(SEARCH("P",F65)))</formula>
    </cfRule>
    <cfRule type="containsText" dxfId="2842" priority="2711" operator="containsText" text="TARDY">
      <formula>NOT(ISERROR(SEARCH("TARDY",F65)))</formula>
    </cfRule>
    <cfRule type="containsText" dxfId="2841" priority="2712" operator="containsText" text="REST DAY">
      <formula>NOT(ISERROR(SEARCH("REST DAY",F65)))</formula>
    </cfRule>
    <cfRule type="containsText" dxfId="2840" priority="2713" operator="containsText" text="UA">
      <formula>NOT(ISERROR(SEARCH("UA",F65)))</formula>
    </cfRule>
  </conditionalFormatting>
  <conditionalFormatting sqref="F65:I65">
    <cfRule type="containsText" dxfId="2839" priority="2702" operator="containsText" text="RD">
      <formula>NOT(ISERROR(SEARCH("RD",F65)))</formula>
    </cfRule>
    <cfRule type="containsText" dxfId="2838" priority="2703" operator="containsText" text="540">
      <formula>NOT(ISERROR(SEARCH("540",F65)))</formula>
    </cfRule>
    <cfRule type="cellIs" dxfId="2837" priority="2704" operator="between">
      <formula>1</formula>
      <formula>400</formula>
    </cfRule>
  </conditionalFormatting>
  <conditionalFormatting sqref="F65:I65">
    <cfRule type="containsText" dxfId="2836" priority="2705" operator="containsText" text="LWOP UA">
      <formula>NOT(ISERROR(SEARCH("LWOP UA",F65)))</formula>
    </cfRule>
  </conditionalFormatting>
  <conditionalFormatting sqref="F65:I65">
    <cfRule type="containsText" dxfId="2835" priority="2701" operator="containsText" text="VL">
      <formula>NOT(ISERROR(SEARCH("VL",F65)))</formula>
    </cfRule>
  </conditionalFormatting>
  <conditionalFormatting sqref="F72:I72">
    <cfRule type="containsText" dxfId="2834" priority="2692" operator="containsText" text="P">
      <formula>NOT(ISERROR(SEARCH("P",F72)))</formula>
    </cfRule>
  </conditionalFormatting>
  <conditionalFormatting sqref="F72:I72">
    <cfRule type="containsText" dxfId="2833" priority="2700" operator="containsText" text="LWOP UA">
      <formula>NOT(ISERROR(SEARCH("LWOP UA",F72)))</formula>
    </cfRule>
  </conditionalFormatting>
  <conditionalFormatting sqref="F72:I72">
    <cfRule type="containsText" dxfId="2832" priority="2693" operator="containsText" text="TFO">
      <formula>NOT(ISERROR(SEARCH("TFO",F72)))</formula>
    </cfRule>
    <cfRule type="containsText" dxfId="2831" priority="2694" operator="containsText" text="AA">
      <formula>NOT(ISERROR(SEARCH("AA",F72)))</formula>
    </cfRule>
    <cfRule type="containsText" dxfId="2830" priority="2695" operator="containsText" text="RESIGNED">
      <formula>NOT(ISERROR(SEARCH("RESIGNED",F72)))</formula>
    </cfRule>
    <cfRule type="containsText" dxfId="2829" priority="2696" operator="containsText" text="P">
      <formula>NOT(ISERROR(SEARCH("P",F72)))</formula>
    </cfRule>
    <cfRule type="containsText" dxfId="2828" priority="2697" operator="containsText" text="TARDY">
      <formula>NOT(ISERROR(SEARCH("TARDY",F72)))</formula>
    </cfRule>
    <cfRule type="containsText" dxfId="2827" priority="2698" operator="containsText" text="REST DAY">
      <formula>NOT(ISERROR(SEARCH("REST DAY",F72)))</formula>
    </cfRule>
    <cfRule type="containsText" dxfId="2826" priority="2699" operator="containsText" text="UA">
      <formula>NOT(ISERROR(SEARCH("UA",F72)))</formula>
    </cfRule>
  </conditionalFormatting>
  <conditionalFormatting sqref="F72:I72">
    <cfRule type="containsText" dxfId="2825" priority="2688" operator="containsText" text="RD">
      <formula>NOT(ISERROR(SEARCH("RD",F72)))</formula>
    </cfRule>
    <cfRule type="containsText" dxfId="2824" priority="2689" operator="containsText" text="540">
      <formula>NOT(ISERROR(SEARCH("540",F72)))</formula>
    </cfRule>
    <cfRule type="cellIs" dxfId="2823" priority="2690" operator="between">
      <formula>1</formula>
      <formula>400</formula>
    </cfRule>
  </conditionalFormatting>
  <conditionalFormatting sqref="F72:I72">
    <cfRule type="containsText" dxfId="2822" priority="2691" operator="containsText" text="LWOP UA">
      <formula>NOT(ISERROR(SEARCH("LWOP UA",F72)))</formula>
    </cfRule>
  </conditionalFormatting>
  <conditionalFormatting sqref="F72:I72">
    <cfRule type="containsText" dxfId="2821" priority="2687" operator="containsText" text="VL">
      <formula>NOT(ISERROR(SEARCH("VL",F72)))</formula>
    </cfRule>
  </conditionalFormatting>
  <conditionalFormatting sqref="J80">
    <cfRule type="containsText" dxfId="2820" priority="2678" operator="containsText" text="P">
      <formula>NOT(ISERROR(SEARCH("P",J80)))</formula>
    </cfRule>
  </conditionalFormatting>
  <conditionalFormatting sqref="J80">
    <cfRule type="containsText" dxfId="2819" priority="2686" operator="containsText" text="LWOP UA">
      <formula>NOT(ISERROR(SEARCH("LWOP UA",J80)))</formula>
    </cfRule>
  </conditionalFormatting>
  <conditionalFormatting sqref="J80">
    <cfRule type="containsText" dxfId="2818" priority="2679" operator="containsText" text="TFO">
      <formula>NOT(ISERROR(SEARCH("TFO",J80)))</formula>
    </cfRule>
    <cfRule type="containsText" dxfId="2817" priority="2680" operator="containsText" text="AA">
      <formula>NOT(ISERROR(SEARCH("AA",J80)))</formula>
    </cfRule>
    <cfRule type="containsText" dxfId="2816" priority="2681" operator="containsText" text="RESIGNED">
      <formula>NOT(ISERROR(SEARCH("RESIGNED",J80)))</formula>
    </cfRule>
    <cfRule type="containsText" dxfId="2815" priority="2682" operator="containsText" text="P">
      <formula>NOT(ISERROR(SEARCH("P",J80)))</formula>
    </cfRule>
    <cfRule type="containsText" dxfId="2814" priority="2683" operator="containsText" text="TARDY">
      <formula>NOT(ISERROR(SEARCH("TARDY",J80)))</formula>
    </cfRule>
    <cfRule type="containsText" dxfId="2813" priority="2684" operator="containsText" text="REST DAY">
      <formula>NOT(ISERROR(SEARCH("REST DAY",J80)))</formula>
    </cfRule>
    <cfRule type="containsText" dxfId="2812" priority="2685" operator="containsText" text="UA">
      <formula>NOT(ISERROR(SEARCH("UA",J80)))</formula>
    </cfRule>
  </conditionalFormatting>
  <conditionalFormatting sqref="H80:J80">
    <cfRule type="containsText" dxfId="2811" priority="2664" operator="containsText" text="VL">
      <formula>NOT(ISERROR(SEARCH("VL",H80)))</formula>
    </cfRule>
    <cfRule type="containsText" dxfId="2810" priority="2665" operator="containsText" text="RD">
      <formula>NOT(ISERROR(SEARCH("RD",H80)))</formula>
    </cfRule>
    <cfRule type="containsText" dxfId="2809" priority="2666" operator="containsText" text="540">
      <formula>NOT(ISERROR(SEARCH("540",H80)))</formula>
    </cfRule>
    <cfRule type="cellIs" dxfId="2808" priority="2667" operator="between">
      <formula>1</formula>
      <formula>400</formula>
    </cfRule>
  </conditionalFormatting>
  <conditionalFormatting sqref="H80:J80">
    <cfRule type="containsText" dxfId="2807" priority="2677" operator="containsText" text="LWOP UA">
      <formula>NOT(ISERROR(SEARCH("LWOP UA",H80)))</formula>
    </cfRule>
  </conditionalFormatting>
  <conditionalFormatting sqref="H80:I80">
    <cfRule type="containsText" dxfId="2806" priority="2668" operator="containsText" text="LWOP UA">
      <formula>NOT(ISERROR(SEARCH("LWOP UA",H80)))</formula>
    </cfRule>
    <cfRule type="containsText" dxfId="2805" priority="2669" operator="containsText" text="P">
      <formula>NOT(ISERROR(SEARCH("P",H80)))</formula>
    </cfRule>
    <cfRule type="containsText" dxfId="2804" priority="2670" operator="containsText" text="TFO">
      <formula>NOT(ISERROR(SEARCH("TFO",H80)))</formula>
    </cfRule>
    <cfRule type="containsText" dxfId="2803" priority="2671" operator="containsText" text="AA">
      <formula>NOT(ISERROR(SEARCH("AA",H80)))</formula>
    </cfRule>
    <cfRule type="containsText" dxfId="2802" priority="2672" operator="containsText" text="RESIGNED">
      <formula>NOT(ISERROR(SEARCH("RESIGNED",H80)))</formula>
    </cfRule>
    <cfRule type="containsText" dxfId="2801" priority="2673" operator="containsText" text="P">
      <formula>NOT(ISERROR(SEARCH("P",H80)))</formula>
    </cfRule>
    <cfRule type="containsText" dxfId="2800" priority="2674" operator="containsText" text="TARDY">
      <formula>NOT(ISERROR(SEARCH("TARDY",H80)))</formula>
    </cfRule>
    <cfRule type="containsText" dxfId="2799" priority="2675" operator="containsText" text="REST DAY">
      <formula>NOT(ISERROR(SEARCH("REST DAY",H80)))</formula>
    </cfRule>
    <cfRule type="containsText" dxfId="2798" priority="2676" operator="containsText" text="UA">
      <formula>NOT(ISERROR(SEARCH("UA",H80)))</formula>
    </cfRule>
  </conditionalFormatting>
  <conditionalFormatting sqref="F85:H85">
    <cfRule type="containsText" dxfId="2797" priority="2655" operator="containsText" text="P">
      <formula>NOT(ISERROR(SEARCH("P",F85)))</formula>
    </cfRule>
  </conditionalFormatting>
  <conditionalFormatting sqref="F85:H85">
    <cfRule type="containsText" dxfId="2796" priority="2663" operator="containsText" text="LWOP UA">
      <formula>NOT(ISERROR(SEARCH("LWOP UA",F85)))</formula>
    </cfRule>
  </conditionalFormatting>
  <conditionalFormatting sqref="F85:H85">
    <cfRule type="containsText" dxfId="2795" priority="2656" operator="containsText" text="TFO">
      <formula>NOT(ISERROR(SEARCH("TFO",F85)))</formula>
    </cfRule>
    <cfRule type="containsText" dxfId="2794" priority="2657" operator="containsText" text="AA">
      <formula>NOT(ISERROR(SEARCH("AA",F85)))</formula>
    </cfRule>
    <cfRule type="containsText" dxfId="2793" priority="2658" operator="containsText" text="RESIGNED">
      <formula>NOT(ISERROR(SEARCH("RESIGNED",F85)))</formula>
    </cfRule>
    <cfRule type="containsText" dxfId="2792" priority="2659" operator="containsText" text="P">
      <formula>NOT(ISERROR(SEARCH("P",F85)))</formula>
    </cfRule>
    <cfRule type="containsText" dxfId="2791" priority="2660" operator="containsText" text="TARDY">
      <formula>NOT(ISERROR(SEARCH("TARDY",F85)))</formula>
    </cfRule>
    <cfRule type="containsText" dxfId="2790" priority="2661" operator="containsText" text="REST DAY">
      <formula>NOT(ISERROR(SEARCH("REST DAY",F85)))</formula>
    </cfRule>
    <cfRule type="containsText" dxfId="2789" priority="2662" operator="containsText" text="UA">
      <formula>NOT(ISERROR(SEARCH("UA",F85)))</formula>
    </cfRule>
  </conditionalFormatting>
  <conditionalFormatting sqref="F85:H85">
    <cfRule type="containsText" dxfId="2788" priority="2651" operator="containsText" text="RD">
      <formula>NOT(ISERROR(SEARCH("RD",F85)))</formula>
    </cfRule>
    <cfRule type="containsText" dxfId="2787" priority="2652" operator="containsText" text="540">
      <formula>NOT(ISERROR(SEARCH("540",F85)))</formula>
    </cfRule>
    <cfRule type="cellIs" dxfId="2786" priority="2653" operator="between">
      <formula>1</formula>
      <formula>400</formula>
    </cfRule>
  </conditionalFormatting>
  <conditionalFormatting sqref="F85:H85">
    <cfRule type="containsText" dxfId="2785" priority="2654" operator="containsText" text="LWOP UA">
      <formula>NOT(ISERROR(SEARCH("LWOP UA",F85)))</formula>
    </cfRule>
  </conditionalFormatting>
  <conditionalFormatting sqref="F85:H85">
    <cfRule type="containsText" dxfId="2784" priority="2650" operator="containsText" text="VL">
      <formula>NOT(ISERROR(SEARCH("VL",F85)))</formula>
    </cfRule>
  </conditionalFormatting>
  <conditionalFormatting sqref="F7:I7">
    <cfRule type="containsText" dxfId="2783" priority="2641" operator="containsText" text="P">
      <formula>NOT(ISERROR(SEARCH("P",F7)))</formula>
    </cfRule>
  </conditionalFormatting>
  <conditionalFormatting sqref="F7:I7">
    <cfRule type="containsText" dxfId="2782" priority="2649" operator="containsText" text="LWOP UA">
      <formula>NOT(ISERROR(SEARCH("LWOP UA",F7)))</formula>
    </cfRule>
  </conditionalFormatting>
  <conditionalFormatting sqref="F7:I7">
    <cfRule type="containsText" dxfId="2781" priority="2642" operator="containsText" text="TFO">
      <formula>NOT(ISERROR(SEARCH("TFO",F7)))</formula>
    </cfRule>
    <cfRule type="containsText" dxfId="2780" priority="2643" operator="containsText" text="AA">
      <formula>NOT(ISERROR(SEARCH("AA",F7)))</formula>
    </cfRule>
    <cfRule type="containsText" dxfId="2779" priority="2644" operator="containsText" text="RESIGNED">
      <formula>NOT(ISERROR(SEARCH("RESIGNED",F7)))</formula>
    </cfRule>
    <cfRule type="containsText" dxfId="2778" priority="2645" operator="containsText" text="P">
      <formula>NOT(ISERROR(SEARCH("P",F7)))</formula>
    </cfRule>
    <cfRule type="containsText" dxfId="2777" priority="2646" operator="containsText" text="TARDY">
      <formula>NOT(ISERROR(SEARCH("TARDY",F7)))</formula>
    </cfRule>
    <cfRule type="containsText" dxfId="2776" priority="2647" operator="containsText" text="REST DAY">
      <formula>NOT(ISERROR(SEARCH("REST DAY",F7)))</formula>
    </cfRule>
    <cfRule type="containsText" dxfId="2775" priority="2648" operator="containsText" text="UA">
      <formula>NOT(ISERROR(SEARCH("UA",F7)))</formula>
    </cfRule>
  </conditionalFormatting>
  <conditionalFormatting sqref="F7:I7">
    <cfRule type="containsText" dxfId="2774" priority="2636" operator="containsText" text="VL">
      <formula>NOT(ISERROR(SEARCH("VL",F7)))</formula>
    </cfRule>
    <cfRule type="containsText" dxfId="2773" priority="2637" operator="containsText" text="RD">
      <formula>NOT(ISERROR(SEARCH("RD",F7)))</formula>
    </cfRule>
    <cfRule type="containsText" dxfId="2772" priority="2638" operator="containsText" text="540">
      <formula>NOT(ISERROR(SEARCH("540",F7)))</formula>
    </cfRule>
    <cfRule type="cellIs" dxfId="2771" priority="2639" operator="between">
      <formula>1</formula>
      <formula>400</formula>
    </cfRule>
  </conditionalFormatting>
  <conditionalFormatting sqref="F7:I7">
    <cfRule type="containsText" dxfId="2770" priority="2640" operator="containsText" text="LWOP UA">
      <formula>NOT(ISERROR(SEARCH("LWOP UA",F7)))</formula>
    </cfRule>
  </conditionalFormatting>
  <conditionalFormatting sqref="F70:I70">
    <cfRule type="containsText" dxfId="2769" priority="2627" operator="containsText" text="P">
      <formula>NOT(ISERROR(SEARCH("P",F70)))</formula>
    </cfRule>
  </conditionalFormatting>
  <conditionalFormatting sqref="F70:I70">
    <cfRule type="containsText" dxfId="2768" priority="2635" operator="containsText" text="LWOP UA">
      <formula>NOT(ISERROR(SEARCH("LWOP UA",F70)))</formula>
    </cfRule>
  </conditionalFormatting>
  <conditionalFormatting sqref="F70:I70">
    <cfRule type="containsText" dxfId="2767" priority="2628" operator="containsText" text="TFO">
      <formula>NOT(ISERROR(SEARCH("TFO",F70)))</formula>
    </cfRule>
    <cfRule type="containsText" dxfId="2766" priority="2629" operator="containsText" text="AA">
      <formula>NOT(ISERROR(SEARCH("AA",F70)))</formula>
    </cfRule>
    <cfRule type="containsText" dxfId="2765" priority="2630" operator="containsText" text="RESIGNED">
      <formula>NOT(ISERROR(SEARCH("RESIGNED",F70)))</formula>
    </cfRule>
    <cfRule type="containsText" dxfId="2764" priority="2631" operator="containsText" text="P">
      <formula>NOT(ISERROR(SEARCH("P",F70)))</formula>
    </cfRule>
    <cfRule type="containsText" dxfId="2763" priority="2632" operator="containsText" text="TARDY">
      <formula>NOT(ISERROR(SEARCH("TARDY",F70)))</formula>
    </cfRule>
    <cfRule type="containsText" dxfId="2762" priority="2633" operator="containsText" text="REST DAY">
      <formula>NOT(ISERROR(SEARCH("REST DAY",F70)))</formula>
    </cfRule>
    <cfRule type="containsText" dxfId="2761" priority="2634" operator="containsText" text="UA">
      <formula>NOT(ISERROR(SEARCH("UA",F70)))</formula>
    </cfRule>
  </conditionalFormatting>
  <conditionalFormatting sqref="F70:I70">
    <cfRule type="containsText" dxfId="2760" priority="2622" operator="containsText" text="VL">
      <formula>NOT(ISERROR(SEARCH("VL",F70)))</formula>
    </cfRule>
    <cfRule type="containsText" dxfId="2759" priority="2623" operator="containsText" text="RD">
      <formula>NOT(ISERROR(SEARCH("RD",F70)))</formula>
    </cfRule>
    <cfRule type="containsText" dxfId="2758" priority="2624" operator="containsText" text="540">
      <formula>NOT(ISERROR(SEARCH("540",F70)))</formula>
    </cfRule>
    <cfRule type="cellIs" dxfId="2757" priority="2625" operator="between">
      <formula>1</formula>
      <formula>400</formula>
    </cfRule>
  </conditionalFormatting>
  <conditionalFormatting sqref="F70:I70">
    <cfRule type="containsText" dxfId="2756" priority="2626" operator="containsText" text="LWOP UA">
      <formula>NOT(ISERROR(SEARCH("LWOP UA",F70)))</formula>
    </cfRule>
  </conditionalFormatting>
  <conditionalFormatting sqref="F84:I84">
    <cfRule type="containsText" dxfId="2755" priority="2613" operator="containsText" text="P">
      <formula>NOT(ISERROR(SEARCH("P",F84)))</formula>
    </cfRule>
  </conditionalFormatting>
  <conditionalFormatting sqref="F84:I84">
    <cfRule type="containsText" dxfId="2754" priority="2621" operator="containsText" text="LWOP UA">
      <formula>NOT(ISERROR(SEARCH("LWOP UA",F84)))</formula>
    </cfRule>
  </conditionalFormatting>
  <conditionalFormatting sqref="F84:I84">
    <cfRule type="containsText" dxfId="2753" priority="2614" operator="containsText" text="TFO">
      <formula>NOT(ISERROR(SEARCH("TFO",F84)))</formula>
    </cfRule>
    <cfRule type="containsText" dxfId="2752" priority="2615" operator="containsText" text="AA">
      <formula>NOT(ISERROR(SEARCH("AA",F84)))</formula>
    </cfRule>
    <cfRule type="containsText" dxfId="2751" priority="2616" operator="containsText" text="RESIGNED">
      <formula>NOT(ISERROR(SEARCH("RESIGNED",F84)))</formula>
    </cfRule>
    <cfRule type="containsText" dxfId="2750" priority="2617" operator="containsText" text="P">
      <formula>NOT(ISERROR(SEARCH("P",F84)))</formula>
    </cfRule>
    <cfRule type="containsText" dxfId="2749" priority="2618" operator="containsText" text="TARDY">
      <formula>NOT(ISERROR(SEARCH("TARDY",F84)))</formula>
    </cfRule>
    <cfRule type="containsText" dxfId="2748" priority="2619" operator="containsText" text="REST DAY">
      <formula>NOT(ISERROR(SEARCH("REST DAY",F84)))</formula>
    </cfRule>
    <cfRule type="containsText" dxfId="2747" priority="2620" operator="containsText" text="UA">
      <formula>NOT(ISERROR(SEARCH("UA",F84)))</formula>
    </cfRule>
  </conditionalFormatting>
  <conditionalFormatting sqref="F84:I84">
    <cfRule type="containsText" dxfId="2746" priority="2608" operator="containsText" text="VL">
      <formula>NOT(ISERROR(SEARCH("VL",F84)))</formula>
    </cfRule>
    <cfRule type="containsText" dxfId="2745" priority="2609" operator="containsText" text="RD">
      <formula>NOT(ISERROR(SEARCH("RD",F84)))</formula>
    </cfRule>
    <cfRule type="containsText" dxfId="2744" priority="2610" operator="containsText" text="540">
      <formula>NOT(ISERROR(SEARCH("540",F84)))</formula>
    </cfRule>
    <cfRule type="cellIs" dxfId="2743" priority="2611" operator="between">
      <formula>1</formula>
      <formula>400</formula>
    </cfRule>
  </conditionalFormatting>
  <conditionalFormatting sqref="F84:I84">
    <cfRule type="containsText" dxfId="2742" priority="2612" operator="containsText" text="LWOP UA">
      <formula>NOT(ISERROR(SEARCH("LWOP UA",F84)))</formula>
    </cfRule>
  </conditionalFormatting>
  <conditionalFormatting sqref="F22:H22">
    <cfRule type="containsText" dxfId="2741" priority="2599" operator="containsText" text="P">
      <formula>NOT(ISERROR(SEARCH("P",F22)))</formula>
    </cfRule>
  </conditionalFormatting>
  <conditionalFormatting sqref="F22:H22">
    <cfRule type="containsText" dxfId="2740" priority="2607" operator="containsText" text="LWOP UA">
      <formula>NOT(ISERROR(SEARCH("LWOP UA",F22)))</formula>
    </cfRule>
  </conditionalFormatting>
  <conditionalFormatting sqref="F22:H22">
    <cfRule type="containsText" dxfId="2739" priority="2600" operator="containsText" text="TFO">
      <formula>NOT(ISERROR(SEARCH("TFO",F22)))</formula>
    </cfRule>
    <cfRule type="containsText" dxfId="2738" priority="2601" operator="containsText" text="AA">
      <formula>NOT(ISERROR(SEARCH("AA",F22)))</formula>
    </cfRule>
    <cfRule type="containsText" dxfId="2737" priority="2602" operator="containsText" text="RESIGNED">
      <formula>NOT(ISERROR(SEARCH("RESIGNED",F22)))</formula>
    </cfRule>
    <cfRule type="containsText" dxfId="2736" priority="2603" operator="containsText" text="P">
      <formula>NOT(ISERROR(SEARCH("P",F22)))</formula>
    </cfRule>
    <cfRule type="containsText" dxfId="2735" priority="2604" operator="containsText" text="TARDY">
      <formula>NOT(ISERROR(SEARCH("TARDY",F22)))</formula>
    </cfRule>
    <cfRule type="containsText" dxfId="2734" priority="2605" operator="containsText" text="REST DAY">
      <formula>NOT(ISERROR(SEARCH("REST DAY",F22)))</formula>
    </cfRule>
    <cfRule type="containsText" dxfId="2733" priority="2606" operator="containsText" text="UA">
      <formula>NOT(ISERROR(SEARCH("UA",F22)))</formula>
    </cfRule>
  </conditionalFormatting>
  <conditionalFormatting sqref="F22:H22">
    <cfRule type="containsText" dxfId="2732" priority="2595" operator="containsText" text="RD">
      <formula>NOT(ISERROR(SEARCH("RD",F22)))</formula>
    </cfRule>
    <cfRule type="containsText" dxfId="2731" priority="2596" operator="containsText" text="540">
      <formula>NOT(ISERROR(SEARCH("540",F22)))</formula>
    </cfRule>
    <cfRule type="cellIs" dxfId="2730" priority="2597" operator="between">
      <formula>1</formula>
      <formula>400</formula>
    </cfRule>
  </conditionalFormatting>
  <conditionalFormatting sqref="F22:H22">
    <cfRule type="containsText" dxfId="2729" priority="2598" operator="containsText" text="LWOP UA">
      <formula>NOT(ISERROR(SEARCH("LWOP UA",F22)))</formula>
    </cfRule>
  </conditionalFormatting>
  <conditionalFormatting sqref="F22:H22">
    <cfRule type="containsText" dxfId="2728" priority="2594" operator="containsText" text="VL">
      <formula>NOT(ISERROR(SEARCH("VL",F22)))</formula>
    </cfRule>
  </conditionalFormatting>
  <conditionalFormatting sqref="F23:I23">
    <cfRule type="containsText" dxfId="2727" priority="2585" operator="containsText" text="P">
      <formula>NOT(ISERROR(SEARCH("P",F23)))</formula>
    </cfRule>
  </conditionalFormatting>
  <conditionalFormatting sqref="F23:I23">
    <cfRule type="containsText" dxfId="2726" priority="2593" operator="containsText" text="LWOP UA">
      <formula>NOT(ISERROR(SEARCH("LWOP UA",F23)))</formula>
    </cfRule>
  </conditionalFormatting>
  <conditionalFormatting sqref="F23:I23">
    <cfRule type="containsText" dxfId="2725" priority="2586" operator="containsText" text="TFO">
      <formula>NOT(ISERROR(SEARCH("TFO",F23)))</formula>
    </cfRule>
    <cfRule type="containsText" dxfId="2724" priority="2587" operator="containsText" text="AA">
      <formula>NOT(ISERROR(SEARCH("AA",F23)))</formula>
    </cfRule>
    <cfRule type="containsText" dxfId="2723" priority="2588" operator="containsText" text="RESIGNED">
      <formula>NOT(ISERROR(SEARCH("RESIGNED",F23)))</formula>
    </cfRule>
    <cfRule type="containsText" dxfId="2722" priority="2589" operator="containsText" text="P">
      <formula>NOT(ISERROR(SEARCH("P",F23)))</formula>
    </cfRule>
    <cfRule type="containsText" dxfId="2721" priority="2590" operator="containsText" text="TARDY">
      <formula>NOT(ISERROR(SEARCH("TARDY",F23)))</formula>
    </cfRule>
    <cfRule type="containsText" dxfId="2720" priority="2591" operator="containsText" text="REST DAY">
      <formula>NOT(ISERROR(SEARCH("REST DAY",F23)))</formula>
    </cfRule>
    <cfRule type="containsText" dxfId="2719" priority="2592" operator="containsText" text="UA">
      <formula>NOT(ISERROR(SEARCH("UA",F23)))</formula>
    </cfRule>
  </conditionalFormatting>
  <conditionalFormatting sqref="F23:I23">
    <cfRule type="containsText" dxfId="2718" priority="2581" operator="containsText" text="RD">
      <formula>NOT(ISERROR(SEARCH("RD",F23)))</formula>
    </cfRule>
    <cfRule type="containsText" dxfId="2717" priority="2582" operator="containsText" text="540">
      <formula>NOT(ISERROR(SEARCH("540",F23)))</formula>
    </cfRule>
    <cfRule type="cellIs" dxfId="2716" priority="2583" operator="between">
      <formula>1</formula>
      <formula>400</formula>
    </cfRule>
  </conditionalFormatting>
  <conditionalFormatting sqref="F23:I23">
    <cfRule type="containsText" dxfId="2715" priority="2584" operator="containsText" text="LWOP UA">
      <formula>NOT(ISERROR(SEARCH("LWOP UA",F23)))</formula>
    </cfRule>
  </conditionalFormatting>
  <conditionalFormatting sqref="F23:I23">
    <cfRule type="containsText" dxfId="2714" priority="2580" operator="containsText" text="VL">
      <formula>NOT(ISERROR(SEARCH("VL",F23)))</formula>
    </cfRule>
  </conditionalFormatting>
  <conditionalFormatting sqref="F28:I28">
    <cfRule type="containsText" dxfId="2713" priority="2571" operator="containsText" text="P">
      <formula>NOT(ISERROR(SEARCH("P",F28)))</formula>
    </cfRule>
  </conditionalFormatting>
  <conditionalFormatting sqref="F28:I28">
    <cfRule type="containsText" dxfId="2712" priority="2579" operator="containsText" text="LWOP UA">
      <formula>NOT(ISERROR(SEARCH("LWOP UA",F28)))</formula>
    </cfRule>
  </conditionalFormatting>
  <conditionalFormatting sqref="F28:I28">
    <cfRule type="containsText" dxfId="2711" priority="2572" operator="containsText" text="TFO">
      <formula>NOT(ISERROR(SEARCH("TFO",F28)))</formula>
    </cfRule>
    <cfRule type="containsText" dxfId="2710" priority="2573" operator="containsText" text="AA">
      <formula>NOT(ISERROR(SEARCH("AA",F28)))</formula>
    </cfRule>
    <cfRule type="containsText" dxfId="2709" priority="2574" operator="containsText" text="RESIGNED">
      <formula>NOT(ISERROR(SEARCH("RESIGNED",F28)))</formula>
    </cfRule>
    <cfRule type="containsText" dxfId="2708" priority="2575" operator="containsText" text="P">
      <formula>NOT(ISERROR(SEARCH("P",F28)))</formula>
    </cfRule>
    <cfRule type="containsText" dxfId="2707" priority="2576" operator="containsText" text="TARDY">
      <formula>NOT(ISERROR(SEARCH("TARDY",F28)))</formula>
    </cfRule>
    <cfRule type="containsText" dxfId="2706" priority="2577" operator="containsText" text="REST DAY">
      <formula>NOT(ISERROR(SEARCH("REST DAY",F28)))</formula>
    </cfRule>
    <cfRule type="containsText" dxfId="2705" priority="2578" operator="containsText" text="UA">
      <formula>NOT(ISERROR(SEARCH("UA",F28)))</formula>
    </cfRule>
  </conditionalFormatting>
  <conditionalFormatting sqref="F28:I28">
    <cfRule type="containsText" dxfId="2704" priority="2567" operator="containsText" text="RD">
      <formula>NOT(ISERROR(SEARCH("RD",F28)))</formula>
    </cfRule>
    <cfRule type="containsText" dxfId="2703" priority="2568" operator="containsText" text="540">
      <formula>NOT(ISERROR(SEARCH("540",F28)))</formula>
    </cfRule>
    <cfRule type="cellIs" dxfId="2702" priority="2569" operator="between">
      <formula>1</formula>
      <formula>400</formula>
    </cfRule>
  </conditionalFormatting>
  <conditionalFormatting sqref="F28:I28">
    <cfRule type="containsText" dxfId="2701" priority="2570" operator="containsText" text="LWOP UA">
      <formula>NOT(ISERROR(SEARCH("LWOP UA",F28)))</formula>
    </cfRule>
  </conditionalFormatting>
  <conditionalFormatting sqref="F28:I28">
    <cfRule type="containsText" dxfId="2700" priority="2566" operator="containsText" text="VL">
      <formula>NOT(ISERROR(SEARCH("VL",F28)))</formula>
    </cfRule>
  </conditionalFormatting>
  <conditionalFormatting sqref="F42:I42">
    <cfRule type="containsText" dxfId="2699" priority="2557" operator="containsText" text="P">
      <formula>NOT(ISERROR(SEARCH("P",F42)))</formula>
    </cfRule>
  </conditionalFormatting>
  <conditionalFormatting sqref="F42:I42">
    <cfRule type="containsText" dxfId="2698" priority="2565" operator="containsText" text="LWOP UA">
      <formula>NOT(ISERROR(SEARCH("LWOP UA",F42)))</formula>
    </cfRule>
  </conditionalFormatting>
  <conditionalFormatting sqref="F42:I42">
    <cfRule type="containsText" dxfId="2697" priority="2558" operator="containsText" text="TFO">
      <formula>NOT(ISERROR(SEARCH("TFO",F42)))</formula>
    </cfRule>
    <cfRule type="containsText" dxfId="2696" priority="2559" operator="containsText" text="AA">
      <formula>NOT(ISERROR(SEARCH("AA",F42)))</formula>
    </cfRule>
    <cfRule type="containsText" dxfId="2695" priority="2560" operator="containsText" text="RESIGNED">
      <formula>NOT(ISERROR(SEARCH("RESIGNED",F42)))</formula>
    </cfRule>
    <cfRule type="containsText" dxfId="2694" priority="2561" operator="containsText" text="P">
      <formula>NOT(ISERROR(SEARCH("P",F42)))</formula>
    </cfRule>
    <cfRule type="containsText" dxfId="2693" priority="2562" operator="containsText" text="TARDY">
      <formula>NOT(ISERROR(SEARCH("TARDY",F42)))</formula>
    </cfRule>
    <cfRule type="containsText" dxfId="2692" priority="2563" operator="containsText" text="REST DAY">
      <formula>NOT(ISERROR(SEARCH("REST DAY",F42)))</formula>
    </cfRule>
    <cfRule type="containsText" dxfId="2691" priority="2564" operator="containsText" text="UA">
      <formula>NOT(ISERROR(SEARCH("UA",F42)))</formula>
    </cfRule>
  </conditionalFormatting>
  <conditionalFormatting sqref="F42:I42">
    <cfRule type="containsText" dxfId="2690" priority="2553" operator="containsText" text="RD">
      <formula>NOT(ISERROR(SEARCH("RD",F42)))</formula>
    </cfRule>
    <cfRule type="containsText" dxfId="2689" priority="2554" operator="containsText" text="540">
      <formula>NOT(ISERROR(SEARCH("540",F42)))</formula>
    </cfRule>
    <cfRule type="cellIs" dxfId="2688" priority="2555" operator="between">
      <formula>1</formula>
      <formula>400</formula>
    </cfRule>
  </conditionalFormatting>
  <conditionalFormatting sqref="F42:I42">
    <cfRule type="containsText" dxfId="2687" priority="2556" operator="containsText" text="LWOP UA">
      <formula>NOT(ISERROR(SEARCH("LWOP UA",F42)))</formula>
    </cfRule>
  </conditionalFormatting>
  <conditionalFormatting sqref="F42:I42">
    <cfRule type="containsText" dxfId="2686" priority="2552" operator="containsText" text="VL">
      <formula>NOT(ISERROR(SEARCH("VL",F42)))</formula>
    </cfRule>
  </conditionalFormatting>
  <conditionalFormatting sqref="G43:I43">
    <cfRule type="containsText" dxfId="2685" priority="2543" operator="containsText" text="P">
      <formula>NOT(ISERROR(SEARCH("P",G43)))</formula>
    </cfRule>
  </conditionalFormatting>
  <conditionalFormatting sqref="G43:I43">
    <cfRule type="containsText" dxfId="2684" priority="2551" operator="containsText" text="LWOP UA">
      <formula>NOT(ISERROR(SEARCH("LWOP UA",G43)))</formula>
    </cfRule>
  </conditionalFormatting>
  <conditionalFormatting sqref="G43:I43">
    <cfRule type="containsText" dxfId="2683" priority="2544" operator="containsText" text="TFO">
      <formula>NOT(ISERROR(SEARCH("TFO",G43)))</formula>
    </cfRule>
    <cfRule type="containsText" dxfId="2682" priority="2545" operator="containsText" text="AA">
      <formula>NOT(ISERROR(SEARCH("AA",G43)))</formula>
    </cfRule>
    <cfRule type="containsText" dxfId="2681" priority="2546" operator="containsText" text="RESIGNED">
      <formula>NOT(ISERROR(SEARCH("RESIGNED",G43)))</formula>
    </cfRule>
    <cfRule type="containsText" dxfId="2680" priority="2547" operator="containsText" text="P">
      <formula>NOT(ISERROR(SEARCH("P",G43)))</formula>
    </cfRule>
    <cfRule type="containsText" dxfId="2679" priority="2548" operator="containsText" text="TARDY">
      <formula>NOT(ISERROR(SEARCH("TARDY",G43)))</formula>
    </cfRule>
    <cfRule type="containsText" dxfId="2678" priority="2549" operator="containsText" text="REST DAY">
      <formula>NOT(ISERROR(SEARCH("REST DAY",G43)))</formula>
    </cfRule>
    <cfRule type="containsText" dxfId="2677" priority="2550" operator="containsText" text="UA">
      <formula>NOT(ISERROR(SEARCH("UA",G43)))</formula>
    </cfRule>
  </conditionalFormatting>
  <conditionalFormatting sqref="G43:I43">
    <cfRule type="containsText" dxfId="2676" priority="2539" operator="containsText" text="RD">
      <formula>NOT(ISERROR(SEARCH("RD",G43)))</formula>
    </cfRule>
    <cfRule type="containsText" dxfId="2675" priority="2540" operator="containsText" text="540">
      <formula>NOT(ISERROR(SEARCH("540",G43)))</formula>
    </cfRule>
    <cfRule type="cellIs" dxfId="2674" priority="2541" operator="between">
      <formula>1</formula>
      <formula>400</formula>
    </cfRule>
  </conditionalFormatting>
  <conditionalFormatting sqref="G43:I43">
    <cfRule type="containsText" dxfId="2673" priority="2542" operator="containsText" text="LWOP UA">
      <formula>NOT(ISERROR(SEARCH("LWOP UA",G43)))</formula>
    </cfRule>
  </conditionalFormatting>
  <conditionalFormatting sqref="G43:I43">
    <cfRule type="containsText" dxfId="2672" priority="2538" operator="containsText" text="VL">
      <formula>NOT(ISERROR(SEARCH("VL",G43)))</formula>
    </cfRule>
  </conditionalFormatting>
  <conditionalFormatting sqref="F51:I51">
    <cfRule type="containsText" dxfId="2671" priority="2529" operator="containsText" text="P">
      <formula>NOT(ISERROR(SEARCH("P",F51)))</formula>
    </cfRule>
  </conditionalFormatting>
  <conditionalFormatting sqref="F51:I51">
    <cfRule type="containsText" dxfId="2670" priority="2537" operator="containsText" text="LWOP UA">
      <formula>NOT(ISERROR(SEARCH("LWOP UA",F51)))</formula>
    </cfRule>
  </conditionalFormatting>
  <conditionalFormatting sqref="F51:I51">
    <cfRule type="containsText" dxfId="2669" priority="2530" operator="containsText" text="TFO">
      <formula>NOT(ISERROR(SEARCH("TFO",F51)))</formula>
    </cfRule>
    <cfRule type="containsText" dxfId="2668" priority="2531" operator="containsText" text="AA">
      <formula>NOT(ISERROR(SEARCH("AA",F51)))</formula>
    </cfRule>
    <cfRule type="containsText" dxfId="2667" priority="2532" operator="containsText" text="RESIGNED">
      <formula>NOT(ISERROR(SEARCH("RESIGNED",F51)))</formula>
    </cfRule>
    <cfRule type="containsText" dxfId="2666" priority="2533" operator="containsText" text="P">
      <formula>NOT(ISERROR(SEARCH("P",F51)))</formula>
    </cfRule>
    <cfRule type="containsText" dxfId="2665" priority="2534" operator="containsText" text="TARDY">
      <formula>NOT(ISERROR(SEARCH("TARDY",F51)))</formula>
    </cfRule>
    <cfRule type="containsText" dxfId="2664" priority="2535" operator="containsText" text="REST DAY">
      <formula>NOT(ISERROR(SEARCH("REST DAY",F51)))</formula>
    </cfRule>
    <cfRule type="containsText" dxfId="2663" priority="2536" operator="containsText" text="UA">
      <formula>NOT(ISERROR(SEARCH("UA",F51)))</formula>
    </cfRule>
  </conditionalFormatting>
  <conditionalFormatting sqref="F51:I51">
    <cfRule type="containsText" dxfId="2662" priority="2525" operator="containsText" text="RD">
      <formula>NOT(ISERROR(SEARCH("RD",F51)))</formula>
    </cfRule>
    <cfRule type="containsText" dxfId="2661" priority="2526" operator="containsText" text="540">
      <formula>NOT(ISERROR(SEARCH("540",F51)))</formula>
    </cfRule>
    <cfRule type="cellIs" dxfId="2660" priority="2527" operator="between">
      <formula>1</formula>
      <formula>400</formula>
    </cfRule>
  </conditionalFormatting>
  <conditionalFormatting sqref="F51:I51">
    <cfRule type="containsText" dxfId="2659" priority="2528" operator="containsText" text="LWOP UA">
      <formula>NOT(ISERROR(SEARCH("LWOP UA",F51)))</formula>
    </cfRule>
  </conditionalFormatting>
  <conditionalFormatting sqref="F51:I51">
    <cfRule type="containsText" dxfId="2658" priority="2524" operator="containsText" text="VL">
      <formula>NOT(ISERROR(SEARCH("VL",F51)))</formula>
    </cfRule>
  </conditionalFormatting>
  <conditionalFormatting sqref="F58:I58">
    <cfRule type="containsText" dxfId="2657" priority="2515" operator="containsText" text="P">
      <formula>NOT(ISERROR(SEARCH("P",F58)))</formula>
    </cfRule>
  </conditionalFormatting>
  <conditionalFormatting sqref="F58:I58">
    <cfRule type="containsText" dxfId="2656" priority="2523" operator="containsText" text="LWOP UA">
      <formula>NOT(ISERROR(SEARCH("LWOP UA",F58)))</formula>
    </cfRule>
  </conditionalFormatting>
  <conditionalFormatting sqref="F58:I58">
    <cfRule type="containsText" dxfId="2655" priority="2516" operator="containsText" text="TFO">
      <formula>NOT(ISERROR(SEARCH("TFO",F58)))</formula>
    </cfRule>
    <cfRule type="containsText" dxfId="2654" priority="2517" operator="containsText" text="AA">
      <formula>NOT(ISERROR(SEARCH("AA",F58)))</formula>
    </cfRule>
    <cfRule type="containsText" dxfId="2653" priority="2518" operator="containsText" text="RESIGNED">
      <formula>NOT(ISERROR(SEARCH("RESIGNED",F58)))</formula>
    </cfRule>
    <cfRule type="containsText" dxfId="2652" priority="2519" operator="containsText" text="P">
      <formula>NOT(ISERROR(SEARCH("P",F58)))</formula>
    </cfRule>
    <cfRule type="containsText" dxfId="2651" priority="2520" operator="containsText" text="TARDY">
      <formula>NOT(ISERROR(SEARCH("TARDY",F58)))</formula>
    </cfRule>
    <cfRule type="containsText" dxfId="2650" priority="2521" operator="containsText" text="REST DAY">
      <formula>NOT(ISERROR(SEARCH("REST DAY",F58)))</formula>
    </cfRule>
    <cfRule type="containsText" dxfId="2649" priority="2522" operator="containsText" text="UA">
      <formula>NOT(ISERROR(SEARCH("UA",F58)))</formula>
    </cfRule>
  </conditionalFormatting>
  <conditionalFormatting sqref="F58:I58">
    <cfRule type="containsText" dxfId="2648" priority="2511" operator="containsText" text="RD">
      <formula>NOT(ISERROR(SEARCH("RD",F58)))</formula>
    </cfRule>
    <cfRule type="containsText" dxfId="2647" priority="2512" operator="containsText" text="540">
      <formula>NOT(ISERROR(SEARCH("540",F58)))</formula>
    </cfRule>
    <cfRule type="cellIs" dxfId="2646" priority="2513" operator="between">
      <formula>1</formula>
      <formula>400</formula>
    </cfRule>
  </conditionalFormatting>
  <conditionalFormatting sqref="F58:I58">
    <cfRule type="containsText" dxfId="2645" priority="2514" operator="containsText" text="LWOP UA">
      <formula>NOT(ISERROR(SEARCH("LWOP UA",F58)))</formula>
    </cfRule>
  </conditionalFormatting>
  <conditionalFormatting sqref="F58:I58">
    <cfRule type="containsText" dxfId="2644" priority="2510" operator="containsText" text="VL">
      <formula>NOT(ISERROR(SEARCH("VL",F58)))</formula>
    </cfRule>
  </conditionalFormatting>
  <conditionalFormatting sqref="F59:I59">
    <cfRule type="containsText" dxfId="2643" priority="2501" operator="containsText" text="P">
      <formula>NOT(ISERROR(SEARCH("P",F59)))</formula>
    </cfRule>
  </conditionalFormatting>
  <conditionalFormatting sqref="F59:I59">
    <cfRule type="containsText" dxfId="2642" priority="2509" operator="containsText" text="LWOP UA">
      <formula>NOT(ISERROR(SEARCH("LWOP UA",F59)))</formula>
    </cfRule>
  </conditionalFormatting>
  <conditionalFormatting sqref="F59:I59">
    <cfRule type="containsText" dxfId="2641" priority="2502" operator="containsText" text="TFO">
      <formula>NOT(ISERROR(SEARCH("TFO",F59)))</formula>
    </cfRule>
    <cfRule type="containsText" dxfId="2640" priority="2503" operator="containsText" text="AA">
      <formula>NOT(ISERROR(SEARCH("AA",F59)))</formula>
    </cfRule>
    <cfRule type="containsText" dxfId="2639" priority="2504" operator="containsText" text="RESIGNED">
      <formula>NOT(ISERROR(SEARCH("RESIGNED",F59)))</formula>
    </cfRule>
    <cfRule type="containsText" dxfId="2638" priority="2505" operator="containsText" text="P">
      <formula>NOT(ISERROR(SEARCH("P",F59)))</formula>
    </cfRule>
    <cfRule type="containsText" dxfId="2637" priority="2506" operator="containsText" text="TARDY">
      <formula>NOT(ISERROR(SEARCH("TARDY",F59)))</formula>
    </cfRule>
    <cfRule type="containsText" dxfId="2636" priority="2507" operator="containsText" text="REST DAY">
      <formula>NOT(ISERROR(SEARCH("REST DAY",F59)))</formula>
    </cfRule>
    <cfRule type="containsText" dxfId="2635" priority="2508" operator="containsText" text="UA">
      <formula>NOT(ISERROR(SEARCH("UA",F59)))</formula>
    </cfRule>
  </conditionalFormatting>
  <conditionalFormatting sqref="F59:I59">
    <cfRule type="containsText" dxfId="2634" priority="2496" operator="containsText" text="VL">
      <formula>NOT(ISERROR(SEARCH("VL",F59)))</formula>
    </cfRule>
    <cfRule type="containsText" dxfId="2633" priority="2497" operator="containsText" text="RD">
      <formula>NOT(ISERROR(SEARCH("RD",F59)))</formula>
    </cfRule>
    <cfRule type="containsText" dxfId="2632" priority="2498" operator="containsText" text="540">
      <formula>NOT(ISERROR(SEARCH("540",F59)))</formula>
    </cfRule>
    <cfRule type="cellIs" dxfId="2631" priority="2499" operator="between">
      <formula>1</formula>
      <formula>400</formula>
    </cfRule>
  </conditionalFormatting>
  <conditionalFormatting sqref="F59:I59">
    <cfRule type="containsText" dxfId="2630" priority="2500" operator="containsText" text="LWOP UA">
      <formula>NOT(ISERROR(SEARCH("LWOP UA",F59)))</formula>
    </cfRule>
  </conditionalFormatting>
  <conditionalFormatting sqref="F76:I76">
    <cfRule type="containsText" dxfId="2629" priority="2487" operator="containsText" text="P">
      <formula>NOT(ISERROR(SEARCH("P",F76)))</formula>
    </cfRule>
  </conditionalFormatting>
  <conditionalFormatting sqref="F76:I76">
    <cfRule type="containsText" dxfId="2628" priority="2495" operator="containsText" text="LWOP UA">
      <formula>NOT(ISERROR(SEARCH("LWOP UA",F76)))</formula>
    </cfRule>
  </conditionalFormatting>
  <conditionalFormatting sqref="F76:I76">
    <cfRule type="containsText" dxfId="2627" priority="2488" operator="containsText" text="TFO">
      <formula>NOT(ISERROR(SEARCH("TFO",F76)))</formula>
    </cfRule>
    <cfRule type="containsText" dxfId="2626" priority="2489" operator="containsText" text="AA">
      <formula>NOT(ISERROR(SEARCH("AA",F76)))</formula>
    </cfRule>
    <cfRule type="containsText" dxfId="2625" priority="2490" operator="containsText" text="RESIGNED">
      <formula>NOT(ISERROR(SEARCH("RESIGNED",F76)))</formula>
    </cfRule>
    <cfRule type="containsText" dxfId="2624" priority="2491" operator="containsText" text="P">
      <formula>NOT(ISERROR(SEARCH("P",F76)))</formula>
    </cfRule>
    <cfRule type="containsText" dxfId="2623" priority="2492" operator="containsText" text="TARDY">
      <formula>NOT(ISERROR(SEARCH("TARDY",F76)))</formula>
    </cfRule>
    <cfRule type="containsText" dxfId="2622" priority="2493" operator="containsText" text="REST DAY">
      <formula>NOT(ISERROR(SEARCH("REST DAY",F76)))</formula>
    </cfRule>
    <cfRule type="containsText" dxfId="2621" priority="2494" operator="containsText" text="UA">
      <formula>NOT(ISERROR(SEARCH("UA",F76)))</formula>
    </cfRule>
  </conditionalFormatting>
  <conditionalFormatting sqref="F76:I76">
    <cfRule type="containsText" dxfId="2620" priority="2483" operator="containsText" text="RD">
      <formula>NOT(ISERROR(SEARCH("RD",F76)))</formula>
    </cfRule>
    <cfRule type="containsText" dxfId="2619" priority="2484" operator="containsText" text="540">
      <formula>NOT(ISERROR(SEARCH("540",F76)))</formula>
    </cfRule>
    <cfRule type="cellIs" dxfId="2618" priority="2485" operator="between">
      <formula>1</formula>
      <formula>400</formula>
    </cfRule>
  </conditionalFormatting>
  <conditionalFormatting sqref="F76:I76">
    <cfRule type="containsText" dxfId="2617" priority="2486" operator="containsText" text="LWOP UA">
      <formula>NOT(ISERROR(SEARCH("LWOP UA",F76)))</formula>
    </cfRule>
  </conditionalFormatting>
  <conditionalFormatting sqref="F76:I76">
    <cfRule type="containsText" dxfId="2616" priority="2482" operator="containsText" text="VL">
      <formula>NOT(ISERROR(SEARCH("VL",F76)))</formula>
    </cfRule>
  </conditionalFormatting>
  <conditionalFormatting sqref="F6:I6">
    <cfRule type="containsText" dxfId="2615" priority="2473" operator="containsText" text="P">
      <formula>NOT(ISERROR(SEARCH("P",F6)))</formula>
    </cfRule>
  </conditionalFormatting>
  <conditionalFormatting sqref="F6:I6">
    <cfRule type="containsText" dxfId="2614" priority="2481" operator="containsText" text="LWOP UA">
      <formula>NOT(ISERROR(SEARCH("LWOP UA",F6)))</formula>
    </cfRule>
  </conditionalFormatting>
  <conditionalFormatting sqref="F6:I6">
    <cfRule type="containsText" dxfId="2613" priority="2474" operator="containsText" text="TFO">
      <formula>NOT(ISERROR(SEARCH("TFO",F6)))</formula>
    </cfRule>
    <cfRule type="containsText" dxfId="2612" priority="2475" operator="containsText" text="AA">
      <formula>NOT(ISERROR(SEARCH("AA",F6)))</formula>
    </cfRule>
    <cfRule type="containsText" dxfId="2611" priority="2476" operator="containsText" text="RESIGNED">
      <formula>NOT(ISERROR(SEARCH("RESIGNED",F6)))</formula>
    </cfRule>
    <cfRule type="containsText" dxfId="2610" priority="2477" operator="containsText" text="P">
      <formula>NOT(ISERROR(SEARCH("P",F6)))</formula>
    </cfRule>
    <cfRule type="containsText" dxfId="2609" priority="2478" operator="containsText" text="TARDY">
      <formula>NOT(ISERROR(SEARCH("TARDY",F6)))</formula>
    </cfRule>
    <cfRule type="containsText" dxfId="2608" priority="2479" operator="containsText" text="REST DAY">
      <formula>NOT(ISERROR(SEARCH("REST DAY",F6)))</formula>
    </cfRule>
    <cfRule type="containsText" dxfId="2607" priority="2480" operator="containsText" text="UA">
      <formula>NOT(ISERROR(SEARCH("UA",F6)))</formula>
    </cfRule>
  </conditionalFormatting>
  <conditionalFormatting sqref="F6:I6">
    <cfRule type="containsText" dxfId="2606" priority="2468" operator="containsText" text="VL">
      <formula>NOT(ISERROR(SEARCH("VL",F6)))</formula>
    </cfRule>
    <cfRule type="containsText" dxfId="2605" priority="2469" operator="containsText" text="RD">
      <formula>NOT(ISERROR(SEARCH("RD",F6)))</formula>
    </cfRule>
    <cfRule type="containsText" dxfId="2604" priority="2470" operator="containsText" text="540">
      <formula>NOT(ISERROR(SEARCH("540",F6)))</formula>
    </cfRule>
    <cfRule type="cellIs" dxfId="2603" priority="2471" operator="between">
      <formula>1</formula>
      <formula>400</formula>
    </cfRule>
  </conditionalFormatting>
  <conditionalFormatting sqref="F6:I6">
    <cfRule type="containsText" dxfId="2602" priority="2472" operator="containsText" text="LWOP UA">
      <formula>NOT(ISERROR(SEARCH("LWOP UA",F6)))</formula>
    </cfRule>
  </conditionalFormatting>
  <conditionalFormatting sqref="F9:I9">
    <cfRule type="containsText" dxfId="2601" priority="2459" operator="containsText" text="P">
      <formula>NOT(ISERROR(SEARCH("P",F9)))</formula>
    </cfRule>
  </conditionalFormatting>
  <conditionalFormatting sqref="F9:I9">
    <cfRule type="containsText" dxfId="2600" priority="2467" operator="containsText" text="LWOP UA">
      <formula>NOT(ISERROR(SEARCH("LWOP UA",F9)))</formula>
    </cfRule>
  </conditionalFormatting>
  <conditionalFormatting sqref="F9:I9">
    <cfRule type="containsText" dxfId="2599" priority="2460" operator="containsText" text="TFO">
      <formula>NOT(ISERROR(SEARCH("TFO",F9)))</formula>
    </cfRule>
    <cfRule type="containsText" dxfId="2598" priority="2461" operator="containsText" text="AA">
      <formula>NOT(ISERROR(SEARCH("AA",F9)))</formula>
    </cfRule>
    <cfRule type="containsText" dxfId="2597" priority="2462" operator="containsText" text="RESIGNED">
      <formula>NOT(ISERROR(SEARCH("RESIGNED",F9)))</formula>
    </cfRule>
    <cfRule type="containsText" dxfId="2596" priority="2463" operator="containsText" text="P">
      <formula>NOT(ISERROR(SEARCH("P",F9)))</formula>
    </cfRule>
    <cfRule type="containsText" dxfId="2595" priority="2464" operator="containsText" text="TARDY">
      <formula>NOT(ISERROR(SEARCH("TARDY",F9)))</formula>
    </cfRule>
    <cfRule type="containsText" dxfId="2594" priority="2465" operator="containsText" text="REST DAY">
      <formula>NOT(ISERROR(SEARCH("REST DAY",F9)))</formula>
    </cfRule>
    <cfRule type="containsText" dxfId="2593" priority="2466" operator="containsText" text="UA">
      <formula>NOT(ISERROR(SEARCH("UA",F9)))</formula>
    </cfRule>
  </conditionalFormatting>
  <conditionalFormatting sqref="F9:I9">
    <cfRule type="containsText" dxfId="2592" priority="2454" operator="containsText" text="VL">
      <formula>NOT(ISERROR(SEARCH("VL",F9)))</formula>
    </cfRule>
    <cfRule type="containsText" dxfId="2591" priority="2455" operator="containsText" text="RD">
      <formula>NOT(ISERROR(SEARCH("RD",F9)))</formula>
    </cfRule>
    <cfRule type="containsText" dxfId="2590" priority="2456" operator="containsText" text="540">
      <formula>NOT(ISERROR(SEARCH("540",F9)))</formula>
    </cfRule>
    <cfRule type="cellIs" dxfId="2589" priority="2457" operator="between">
      <formula>1</formula>
      <formula>400</formula>
    </cfRule>
  </conditionalFormatting>
  <conditionalFormatting sqref="F9:I9">
    <cfRule type="containsText" dxfId="2588" priority="2458" operator="containsText" text="LWOP UA">
      <formula>NOT(ISERROR(SEARCH("LWOP UA",F9)))</formula>
    </cfRule>
  </conditionalFormatting>
  <conditionalFormatting sqref="F15:I15 F14:H14">
    <cfRule type="containsText" dxfId="2587" priority="2445" operator="containsText" text="P">
      <formula>NOT(ISERROR(SEARCH("P",F14)))</formula>
    </cfRule>
  </conditionalFormatting>
  <conditionalFormatting sqref="F15:I15 F14:H14">
    <cfRule type="containsText" dxfId="2586" priority="2453" operator="containsText" text="LWOP UA">
      <formula>NOT(ISERROR(SEARCH("LWOP UA",F14)))</formula>
    </cfRule>
  </conditionalFormatting>
  <conditionalFormatting sqref="F15:I15 F14:H14">
    <cfRule type="containsText" dxfId="2585" priority="2446" operator="containsText" text="TFO">
      <formula>NOT(ISERROR(SEARCH("TFO",F14)))</formula>
    </cfRule>
    <cfRule type="containsText" dxfId="2584" priority="2447" operator="containsText" text="AA">
      <formula>NOT(ISERROR(SEARCH("AA",F14)))</formula>
    </cfRule>
    <cfRule type="containsText" dxfId="2583" priority="2448" operator="containsText" text="RESIGNED">
      <formula>NOT(ISERROR(SEARCH("RESIGNED",F14)))</formula>
    </cfRule>
    <cfRule type="containsText" dxfId="2582" priority="2449" operator="containsText" text="P">
      <formula>NOT(ISERROR(SEARCH("P",F14)))</formula>
    </cfRule>
    <cfRule type="containsText" dxfId="2581" priority="2450" operator="containsText" text="TARDY">
      <formula>NOT(ISERROR(SEARCH("TARDY",F14)))</formula>
    </cfRule>
    <cfRule type="containsText" dxfId="2580" priority="2451" operator="containsText" text="REST DAY">
      <formula>NOT(ISERROR(SEARCH("REST DAY",F14)))</formula>
    </cfRule>
    <cfRule type="containsText" dxfId="2579" priority="2452" operator="containsText" text="UA">
      <formula>NOT(ISERROR(SEARCH("UA",F14)))</formula>
    </cfRule>
  </conditionalFormatting>
  <conditionalFormatting sqref="F15:I15 F14:H14">
    <cfRule type="containsText" dxfId="2578" priority="2440" operator="containsText" text="VL">
      <formula>NOT(ISERROR(SEARCH("VL",F14)))</formula>
    </cfRule>
    <cfRule type="containsText" dxfId="2577" priority="2441" operator="containsText" text="RD">
      <formula>NOT(ISERROR(SEARCH("RD",F14)))</formula>
    </cfRule>
    <cfRule type="containsText" dxfId="2576" priority="2442" operator="containsText" text="540">
      <formula>NOT(ISERROR(SEARCH("540",F14)))</formula>
    </cfRule>
    <cfRule type="cellIs" dxfId="2575" priority="2443" operator="between">
      <formula>1</formula>
      <formula>400</formula>
    </cfRule>
  </conditionalFormatting>
  <conditionalFormatting sqref="F15:I15 F14:H14">
    <cfRule type="containsText" dxfId="2574" priority="2444" operator="containsText" text="LWOP UA">
      <formula>NOT(ISERROR(SEARCH("LWOP UA",F14)))</formula>
    </cfRule>
  </conditionalFormatting>
  <conditionalFormatting sqref="F39:J39">
    <cfRule type="containsText" dxfId="2573" priority="2431" operator="containsText" text="P">
      <formula>NOT(ISERROR(SEARCH("P",F39)))</formula>
    </cfRule>
  </conditionalFormatting>
  <conditionalFormatting sqref="F39:J39">
    <cfRule type="containsText" dxfId="2572" priority="2439" operator="containsText" text="LWOP UA">
      <formula>NOT(ISERROR(SEARCH("LWOP UA",F39)))</formula>
    </cfRule>
  </conditionalFormatting>
  <conditionalFormatting sqref="F39:J39">
    <cfRule type="containsText" dxfId="2571" priority="2432" operator="containsText" text="TFO">
      <formula>NOT(ISERROR(SEARCH("TFO",F39)))</formula>
    </cfRule>
    <cfRule type="containsText" dxfId="2570" priority="2433" operator="containsText" text="AA">
      <formula>NOT(ISERROR(SEARCH("AA",F39)))</formula>
    </cfRule>
    <cfRule type="containsText" dxfId="2569" priority="2434" operator="containsText" text="RESIGNED">
      <formula>NOT(ISERROR(SEARCH("RESIGNED",F39)))</formula>
    </cfRule>
    <cfRule type="containsText" dxfId="2568" priority="2435" operator="containsText" text="P">
      <formula>NOT(ISERROR(SEARCH("P",F39)))</formula>
    </cfRule>
    <cfRule type="containsText" dxfId="2567" priority="2436" operator="containsText" text="TARDY">
      <formula>NOT(ISERROR(SEARCH("TARDY",F39)))</formula>
    </cfRule>
    <cfRule type="containsText" dxfId="2566" priority="2437" operator="containsText" text="REST DAY">
      <formula>NOT(ISERROR(SEARCH("REST DAY",F39)))</formula>
    </cfRule>
    <cfRule type="containsText" dxfId="2565" priority="2438" operator="containsText" text="UA">
      <formula>NOT(ISERROR(SEARCH("UA",F39)))</formula>
    </cfRule>
  </conditionalFormatting>
  <conditionalFormatting sqref="F39:J39">
    <cfRule type="containsText" dxfId="2564" priority="2426" operator="containsText" text="VL">
      <formula>NOT(ISERROR(SEARCH("VL",F39)))</formula>
    </cfRule>
    <cfRule type="containsText" dxfId="2563" priority="2427" operator="containsText" text="RD">
      <formula>NOT(ISERROR(SEARCH("RD",F39)))</formula>
    </cfRule>
    <cfRule type="containsText" dxfId="2562" priority="2428" operator="containsText" text="540">
      <formula>NOT(ISERROR(SEARCH("540",F39)))</formula>
    </cfRule>
    <cfRule type="cellIs" dxfId="2561" priority="2429" operator="between">
      <formula>1</formula>
      <formula>400</formula>
    </cfRule>
  </conditionalFormatting>
  <conditionalFormatting sqref="F39:J39">
    <cfRule type="containsText" dxfId="2560" priority="2430" operator="containsText" text="LWOP UA">
      <formula>NOT(ISERROR(SEARCH("LWOP UA",F39)))</formula>
    </cfRule>
  </conditionalFormatting>
  <conditionalFormatting sqref="F40:I40">
    <cfRule type="containsText" dxfId="2559" priority="2417" operator="containsText" text="P">
      <formula>NOT(ISERROR(SEARCH("P",F40)))</formula>
    </cfRule>
  </conditionalFormatting>
  <conditionalFormatting sqref="F40:I40">
    <cfRule type="containsText" dxfId="2558" priority="2425" operator="containsText" text="LWOP UA">
      <formula>NOT(ISERROR(SEARCH("LWOP UA",F40)))</formula>
    </cfRule>
  </conditionalFormatting>
  <conditionalFormatting sqref="F40:I40">
    <cfRule type="containsText" dxfId="2557" priority="2418" operator="containsText" text="TFO">
      <formula>NOT(ISERROR(SEARCH("TFO",F40)))</formula>
    </cfRule>
    <cfRule type="containsText" dxfId="2556" priority="2419" operator="containsText" text="AA">
      <formula>NOT(ISERROR(SEARCH("AA",F40)))</formula>
    </cfRule>
    <cfRule type="containsText" dxfId="2555" priority="2420" operator="containsText" text="RESIGNED">
      <formula>NOT(ISERROR(SEARCH("RESIGNED",F40)))</formula>
    </cfRule>
    <cfRule type="containsText" dxfId="2554" priority="2421" operator="containsText" text="P">
      <formula>NOT(ISERROR(SEARCH("P",F40)))</formula>
    </cfRule>
    <cfRule type="containsText" dxfId="2553" priority="2422" operator="containsText" text="TARDY">
      <formula>NOT(ISERROR(SEARCH("TARDY",F40)))</formula>
    </cfRule>
    <cfRule type="containsText" dxfId="2552" priority="2423" operator="containsText" text="REST DAY">
      <formula>NOT(ISERROR(SEARCH("REST DAY",F40)))</formula>
    </cfRule>
    <cfRule type="containsText" dxfId="2551" priority="2424" operator="containsText" text="UA">
      <formula>NOT(ISERROR(SEARCH("UA",F40)))</formula>
    </cfRule>
  </conditionalFormatting>
  <conditionalFormatting sqref="F40:I40">
    <cfRule type="containsText" dxfId="2550" priority="2412" operator="containsText" text="VL">
      <formula>NOT(ISERROR(SEARCH("VL",F40)))</formula>
    </cfRule>
    <cfRule type="containsText" dxfId="2549" priority="2413" operator="containsText" text="RD">
      <formula>NOT(ISERROR(SEARCH("RD",F40)))</formula>
    </cfRule>
    <cfRule type="containsText" dxfId="2548" priority="2414" operator="containsText" text="540">
      <formula>NOT(ISERROR(SEARCH("540",F40)))</formula>
    </cfRule>
    <cfRule type="cellIs" dxfId="2547" priority="2415" operator="between">
      <formula>1</formula>
      <formula>400</formula>
    </cfRule>
  </conditionalFormatting>
  <conditionalFormatting sqref="F40:I40">
    <cfRule type="containsText" dxfId="2546" priority="2416" operator="containsText" text="LWOP UA">
      <formula>NOT(ISERROR(SEARCH("LWOP UA",F40)))</formula>
    </cfRule>
  </conditionalFormatting>
  <conditionalFormatting sqref="F45:I45">
    <cfRule type="containsText" dxfId="2545" priority="2403" operator="containsText" text="P">
      <formula>NOT(ISERROR(SEARCH("P",F45)))</formula>
    </cfRule>
  </conditionalFormatting>
  <conditionalFormatting sqref="F45:I45">
    <cfRule type="containsText" dxfId="2544" priority="2411" operator="containsText" text="LWOP UA">
      <formula>NOT(ISERROR(SEARCH("LWOP UA",F45)))</formula>
    </cfRule>
  </conditionalFormatting>
  <conditionalFormatting sqref="F45:I45">
    <cfRule type="containsText" dxfId="2543" priority="2404" operator="containsText" text="TFO">
      <formula>NOT(ISERROR(SEARCH("TFO",F45)))</formula>
    </cfRule>
    <cfRule type="containsText" dxfId="2542" priority="2405" operator="containsText" text="AA">
      <formula>NOT(ISERROR(SEARCH("AA",F45)))</formula>
    </cfRule>
    <cfRule type="containsText" dxfId="2541" priority="2406" operator="containsText" text="RESIGNED">
      <formula>NOT(ISERROR(SEARCH("RESIGNED",F45)))</formula>
    </cfRule>
    <cfRule type="containsText" dxfId="2540" priority="2407" operator="containsText" text="P">
      <formula>NOT(ISERROR(SEARCH("P",F45)))</formula>
    </cfRule>
    <cfRule type="containsText" dxfId="2539" priority="2408" operator="containsText" text="TARDY">
      <formula>NOT(ISERROR(SEARCH("TARDY",F45)))</formula>
    </cfRule>
    <cfRule type="containsText" dxfId="2538" priority="2409" operator="containsText" text="REST DAY">
      <formula>NOT(ISERROR(SEARCH("REST DAY",F45)))</formula>
    </cfRule>
    <cfRule type="containsText" dxfId="2537" priority="2410" operator="containsText" text="UA">
      <formula>NOT(ISERROR(SEARCH("UA",F45)))</formula>
    </cfRule>
  </conditionalFormatting>
  <conditionalFormatting sqref="F45:I45">
    <cfRule type="containsText" dxfId="2536" priority="2398" operator="containsText" text="VL">
      <formula>NOT(ISERROR(SEARCH("VL",F45)))</formula>
    </cfRule>
    <cfRule type="containsText" dxfId="2535" priority="2399" operator="containsText" text="RD">
      <formula>NOT(ISERROR(SEARCH("RD",F45)))</formula>
    </cfRule>
    <cfRule type="containsText" dxfId="2534" priority="2400" operator="containsText" text="540">
      <formula>NOT(ISERROR(SEARCH("540",F45)))</formula>
    </cfRule>
    <cfRule type="cellIs" dxfId="2533" priority="2401" operator="between">
      <formula>1</formula>
      <formula>400</formula>
    </cfRule>
  </conditionalFormatting>
  <conditionalFormatting sqref="F45:I45">
    <cfRule type="containsText" dxfId="2532" priority="2402" operator="containsText" text="LWOP UA">
      <formula>NOT(ISERROR(SEARCH("LWOP UA",F45)))</formula>
    </cfRule>
  </conditionalFormatting>
  <conditionalFormatting sqref="H50">
    <cfRule type="containsText" dxfId="2531" priority="2389" operator="containsText" text="P">
      <formula>NOT(ISERROR(SEARCH("P",H50)))</formula>
    </cfRule>
  </conditionalFormatting>
  <conditionalFormatting sqref="F50:G50">
    <cfRule type="containsText" dxfId="2530" priority="2379" operator="containsText" text="LWOP UA">
      <formula>NOT(ISERROR(SEARCH("LWOP UA",F50)))</formula>
    </cfRule>
    <cfRule type="containsText" dxfId="2529" priority="2380" operator="containsText" text="P">
      <formula>NOT(ISERROR(SEARCH("P",F50)))</formula>
    </cfRule>
    <cfRule type="containsText" dxfId="2528" priority="2381" operator="containsText" text="TFO">
      <formula>NOT(ISERROR(SEARCH("TFO",F50)))</formula>
    </cfRule>
    <cfRule type="containsText" dxfId="2527" priority="2382" operator="containsText" text="AA">
      <formula>NOT(ISERROR(SEARCH("AA",F50)))</formula>
    </cfRule>
    <cfRule type="containsText" dxfId="2526" priority="2383" operator="containsText" text="RESIGNED">
      <formula>NOT(ISERROR(SEARCH("RESIGNED",F50)))</formula>
    </cfRule>
    <cfRule type="containsText" dxfId="2525" priority="2384" operator="containsText" text="P">
      <formula>NOT(ISERROR(SEARCH("P",F50)))</formula>
    </cfRule>
    <cfRule type="containsText" dxfId="2524" priority="2385" operator="containsText" text="TARDY">
      <formula>NOT(ISERROR(SEARCH("TARDY",F50)))</formula>
    </cfRule>
    <cfRule type="containsText" dxfId="2523" priority="2386" operator="containsText" text="REST DAY">
      <formula>NOT(ISERROR(SEARCH("REST DAY",F50)))</formula>
    </cfRule>
    <cfRule type="containsText" dxfId="2522" priority="2387" operator="containsText" text="UA">
      <formula>NOT(ISERROR(SEARCH("UA",F50)))</formula>
    </cfRule>
  </conditionalFormatting>
  <conditionalFormatting sqref="H50">
    <cfRule type="containsText" dxfId="2521" priority="2397" operator="containsText" text="LWOP UA">
      <formula>NOT(ISERROR(SEARCH("LWOP UA",H50)))</formula>
    </cfRule>
  </conditionalFormatting>
  <conditionalFormatting sqref="H50">
    <cfRule type="containsText" dxfId="2520" priority="2390" operator="containsText" text="TFO">
      <formula>NOT(ISERROR(SEARCH("TFO",H50)))</formula>
    </cfRule>
    <cfRule type="containsText" dxfId="2519" priority="2391" operator="containsText" text="AA">
      <formula>NOT(ISERROR(SEARCH("AA",H50)))</formula>
    </cfRule>
    <cfRule type="containsText" dxfId="2518" priority="2392" operator="containsText" text="RESIGNED">
      <formula>NOT(ISERROR(SEARCH("RESIGNED",H50)))</formula>
    </cfRule>
    <cfRule type="containsText" dxfId="2517" priority="2393" operator="containsText" text="P">
      <formula>NOT(ISERROR(SEARCH("P",H50)))</formula>
    </cfRule>
    <cfRule type="containsText" dxfId="2516" priority="2394" operator="containsText" text="TARDY">
      <formula>NOT(ISERROR(SEARCH("TARDY",H50)))</formula>
    </cfRule>
    <cfRule type="containsText" dxfId="2515" priority="2395" operator="containsText" text="REST DAY">
      <formula>NOT(ISERROR(SEARCH("REST DAY",H50)))</formula>
    </cfRule>
    <cfRule type="containsText" dxfId="2514" priority="2396" operator="containsText" text="UA">
      <formula>NOT(ISERROR(SEARCH("UA",H50)))</formula>
    </cfRule>
  </conditionalFormatting>
  <conditionalFormatting sqref="F50:H50">
    <cfRule type="containsText" dxfId="2513" priority="2375" operator="containsText" text="VL">
      <formula>NOT(ISERROR(SEARCH("VL",F50)))</formula>
    </cfRule>
    <cfRule type="containsText" dxfId="2512" priority="2376" operator="containsText" text="RD">
      <formula>NOT(ISERROR(SEARCH("RD",F50)))</formula>
    </cfRule>
    <cfRule type="containsText" dxfId="2511" priority="2377" operator="containsText" text="540">
      <formula>NOT(ISERROR(SEARCH("540",F50)))</formula>
    </cfRule>
    <cfRule type="cellIs" dxfId="2510" priority="2378" operator="between">
      <formula>1</formula>
      <formula>400</formula>
    </cfRule>
  </conditionalFormatting>
  <conditionalFormatting sqref="F50:H50">
    <cfRule type="containsText" dxfId="2509" priority="2388" operator="containsText" text="LWOP UA">
      <formula>NOT(ISERROR(SEARCH("LWOP UA",F50)))</formula>
    </cfRule>
  </conditionalFormatting>
  <conditionalFormatting sqref="F61:I62">
    <cfRule type="containsText" dxfId="2508" priority="2366" operator="containsText" text="P">
      <formula>NOT(ISERROR(SEARCH("P",F61)))</formula>
    </cfRule>
  </conditionalFormatting>
  <conditionalFormatting sqref="F61:I62">
    <cfRule type="containsText" dxfId="2507" priority="2374" operator="containsText" text="LWOP UA">
      <formula>NOT(ISERROR(SEARCH("LWOP UA",F61)))</formula>
    </cfRule>
  </conditionalFormatting>
  <conditionalFormatting sqref="F61:I62">
    <cfRule type="containsText" dxfId="2506" priority="2367" operator="containsText" text="TFO">
      <formula>NOT(ISERROR(SEARCH("TFO",F61)))</formula>
    </cfRule>
    <cfRule type="containsText" dxfId="2505" priority="2368" operator="containsText" text="AA">
      <formula>NOT(ISERROR(SEARCH("AA",F61)))</formula>
    </cfRule>
    <cfRule type="containsText" dxfId="2504" priority="2369" operator="containsText" text="RESIGNED">
      <formula>NOT(ISERROR(SEARCH("RESIGNED",F61)))</formula>
    </cfRule>
    <cfRule type="containsText" dxfId="2503" priority="2370" operator="containsText" text="P">
      <formula>NOT(ISERROR(SEARCH("P",F61)))</formula>
    </cfRule>
    <cfRule type="containsText" dxfId="2502" priority="2371" operator="containsText" text="TARDY">
      <formula>NOT(ISERROR(SEARCH("TARDY",F61)))</formula>
    </cfRule>
    <cfRule type="containsText" dxfId="2501" priority="2372" operator="containsText" text="REST DAY">
      <formula>NOT(ISERROR(SEARCH("REST DAY",F61)))</formula>
    </cfRule>
    <cfRule type="containsText" dxfId="2500" priority="2373" operator="containsText" text="UA">
      <formula>NOT(ISERROR(SEARCH("UA",F61)))</formula>
    </cfRule>
  </conditionalFormatting>
  <conditionalFormatting sqref="F61:I62">
    <cfRule type="containsText" dxfId="2499" priority="2361" operator="containsText" text="VL">
      <formula>NOT(ISERROR(SEARCH("VL",F61)))</formula>
    </cfRule>
    <cfRule type="containsText" dxfId="2498" priority="2362" operator="containsText" text="RD">
      <formula>NOT(ISERROR(SEARCH("RD",F61)))</formula>
    </cfRule>
    <cfRule type="containsText" dxfId="2497" priority="2363" operator="containsText" text="540">
      <formula>NOT(ISERROR(SEARCH("540",F61)))</formula>
    </cfRule>
    <cfRule type="cellIs" dxfId="2496" priority="2364" operator="between">
      <formula>1</formula>
      <formula>400</formula>
    </cfRule>
  </conditionalFormatting>
  <conditionalFormatting sqref="F61:I62">
    <cfRule type="containsText" dxfId="2495" priority="2365" operator="containsText" text="LWOP UA">
      <formula>NOT(ISERROR(SEARCH("LWOP UA",F61)))</formula>
    </cfRule>
  </conditionalFormatting>
  <conditionalFormatting sqref="F63:H63">
    <cfRule type="containsText" dxfId="2494" priority="2352" operator="containsText" text="P">
      <formula>NOT(ISERROR(SEARCH("P",F63)))</formula>
    </cfRule>
  </conditionalFormatting>
  <conditionalFormatting sqref="F63:H63">
    <cfRule type="containsText" dxfId="2493" priority="2360" operator="containsText" text="LWOP UA">
      <formula>NOT(ISERROR(SEARCH("LWOP UA",F63)))</formula>
    </cfRule>
  </conditionalFormatting>
  <conditionalFormatting sqref="F63:H63">
    <cfRule type="containsText" dxfId="2492" priority="2353" operator="containsText" text="TFO">
      <formula>NOT(ISERROR(SEARCH("TFO",F63)))</formula>
    </cfRule>
    <cfRule type="containsText" dxfId="2491" priority="2354" operator="containsText" text="AA">
      <formula>NOT(ISERROR(SEARCH("AA",F63)))</formula>
    </cfRule>
    <cfRule type="containsText" dxfId="2490" priority="2355" operator="containsText" text="RESIGNED">
      <formula>NOT(ISERROR(SEARCH("RESIGNED",F63)))</formula>
    </cfRule>
    <cfRule type="containsText" dxfId="2489" priority="2356" operator="containsText" text="P">
      <formula>NOT(ISERROR(SEARCH("P",F63)))</formula>
    </cfRule>
    <cfRule type="containsText" dxfId="2488" priority="2357" operator="containsText" text="TARDY">
      <formula>NOT(ISERROR(SEARCH("TARDY",F63)))</formula>
    </cfRule>
    <cfRule type="containsText" dxfId="2487" priority="2358" operator="containsText" text="REST DAY">
      <formula>NOT(ISERROR(SEARCH("REST DAY",F63)))</formula>
    </cfRule>
    <cfRule type="containsText" dxfId="2486" priority="2359" operator="containsText" text="UA">
      <formula>NOT(ISERROR(SEARCH("UA",F63)))</formula>
    </cfRule>
  </conditionalFormatting>
  <conditionalFormatting sqref="F63:H63">
    <cfRule type="containsText" dxfId="2485" priority="2347" operator="containsText" text="VL">
      <formula>NOT(ISERROR(SEARCH("VL",F63)))</formula>
    </cfRule>
    <cfRule type="containsText" dxfId="2484" priority="2348" operator="containsText" text="RD">
      <formula>NOT(ISERROR(SEARCH("RD",F63)))</formula>
    </cfRule>
    <cfRule type="containsText" dxfId="2483" priority="2349" operator="containsText" text="540">
      <formula>NOT(ISERROR(SEARCH("540",F63)))</formula>
    </cfRule>
    <cfRule type="cellIs" dxfId="2482" priority="2350" operator="between">
      <formula>1</formula>
      <formula>400</formula>
    </cfRule>
  </conditionalFormatting>
  <conditionalFormatting sqref="F63:H63">
    <cfRule type="containsText" dxfId="2481" priority="2351" operator="containsText" text="LWOP UA">
      <formula>NOT(ISERROR(SEARCH("LWOP UA",F63)))</formula>
    </cfRule>
  </conditionalFormatting>
  <conditionalFormatting sqref="H75:I75">
    <cfRule type="containsText" dxfId="2480" priority="2338" operator="containsText" text="P">
      <formula>NOT(ISERROR(SEARCH("P",H75)))</formula>
    </cfRule>
  </conditionalFormatting>
  <conditionalFormatting sqref="F75:I75">
    <cfRule type="containsText" dxfId="2479" priority="2337" operator="containsText" text="LWOP UA">
      <formula>NOT(ISERROR(SEARCH("LWOP UA",F75)))</formula>
    </cfRule>
  </conditionalFormatting>
  <conditionalFormatting sqref="H75:I75">
    <cfRule type="containsText" dxfId="2478" priority="2346" operator="containsText" text="LWOP UA">
      <formula>NOT(ISERROR(SEARCH("LWOP UA",H75)))</formula>
    </cfRule>
  </conditionalFormatting>
  <conditionalFormatting sqref="H75:I75">
    <cfRule type="containsText" dxfId="2477" priority="2339" operator="containsText" text="TFO">
      <formula>NOT(ISERROR(SEARCH("TFO",H75)))</formula>
    </cfRule>
    <cfRule type="containsText" dxfId="2476" priority="2340" operator="containsText" text="AA">
      <formula>NOT(ISERROR(SEARCH("AA",H75)))</formula>
    </cfRule>
    <cfRule type="containsText" dxfId="2475" priority="2341" operator="containsText" text="RESIGNED">
      <formula>NOT(ISERROR(SEARCH("RESIGNED",H75)))</formula>
    </cfRule>
    <cfRule type="containsText" dxfId="2474" priority="2342" operator="containsText" text="P">
      <formula>NOT(ISERROR(SEARCH("P",H75)))</formula>
    </cfRule>
    <cfRule type="containsText" dxfId="2473" priority="2343" operator="containsText" text="TARDY">
      <formula>NOT(ISERROR(SEARCH("TARDY",H75)))</formula>
    </cfRule>
    <cfRule type="containsText" dxfId="2472" priority="2344" operator="containsText" text="REST DAY">
      <formula>NOT(ISERROR(SEARCH("REST DAY",H75)))</formula>
    </cfRule>
    <cfRule type="containsText" dxfId="2471" priority="2345" operator="containsText" text="UA">
      <formula>NOT(ISERROR(SEARCH("UA",H75)))</formula>
    </cfRule>
  </conditionalFormatting>
  <conditionalFormatting sqref="F75:I75">
    <cfRule type="containsText" dxfId="2470" priority="2324" operator="containsText" text="VL">
      <formula>NOT(ISERROR(SEARCH("VL",F75)))</formula>
    </cfRule>
    <cfRule type="containsText" dxfId="2469" priority="2325" operator="containsText" text="RD">
      <formula>NOT(ISERROR(SEARCH("RD",F75)))</formula>
    </cfRule>
    <cfRule type="containsText" dxfId="2468" priority="2326" operator="containsText" text="540">
      <formula>NOT(ISERROR(SEARCH("540",F75)))</formula>
    </cfRule>
    <cfRule type="cellIs" dxfId="2467" priority="2327" operator="between">
      <formula>1</formula>
      <formula>400</formula>
    </cfRule>
  </conditionalFormatting>
  <conditionalFormatting sqref="F75:G75">
    <cfRule type="containsText" dxfId="2466" priority="2328" operator="containsText" text="LWOP UA">
      <formula>NOT(ISERROR(SEARCH("LWOP UA",F75)))</formula>
    </cfRule>
    <cfRule type="containsText" dxfId="2465" priority="2329" operator="containsText" text="P">
      <formula>NOT(ISERROR(SEARCH("P",F75)))</formula>
    </cfRule>
    <cfRule type="containsText" dxfId="2464" priority="2330" operator="containsText" text="TFO">
      <formula>NOT(ISERROR(SEARCH("TFO",F75)))</formula>
    </cfRule>
    <cfRule type="containsText" dxfId="2463" priority="2331" operator="containsText" text="AA">
      <formula>NOT(ISERROR(SEARCH("AA",F75)))</formula>
    </cfRule>
    <cfRule type="containsText" dxfId="2462" priority="2332" operator="containsText" text="RESIGNED">
      <formula>NOT(ISERROR(SEARCH("RESIGNED",F75)))</formula>
    </cfRule>
    <cfRule type="containsText" dxfId="2461" priority="2333" operator="containsText" text="P">
      <formula>NOT(ISERROR(SEARCH("P",F75)))</formula>
    </cfRule>
    <cfRule type="containsText" dxfId="2460" priority="2334" operator="containsText" text="TARDY">
      <formula>NOT(ISERROR(SEARCH("TARDY",F75)))</formula>
    </cfRule>
    <cfRule type="containsText" dxfId="2459" priority="2335" operator="containsText" text="REST DAY">
      <formula>NOT(ISERROR(SEARCH("REST DAY",F75)))</formula>
    </cfRule>
    <cfRule type="containsText" dxfId="2458" priority="2336" operator="containsText" text="UA">
      <formula>NOT(ISERROR(SEARCH("UA",F75)))</formula>
    </cfRule>
  </conditionalFormatting>
  <conditionalFormatting sqref="F88:I88">
    <cfRule type="containsText" dxfId="2457" priority="2315" operator="containsText" text="P">
      <formula>NOT(ISERROR(SEARCH("P",F88)))</formula>
    </cfRule>
  </conditionalFormatting>
  <conditionalFormatting sqref="F88:I88">
    <cfRule type="containsText" dxfId="2456" priority="2323" operator="containsText" text="LWOP UA">
      <formula>NOT(ISERROR(SEARCH("LWOP UA",F88)))</formula>
    </cfRule>
  </conditionalFormatting>
  <conditionalFormatting sqref="F88:I88">
    <cfRule type="containsText" dxfId="2455" priority="2316" operator="containsText" text="TFO">
      <formula>NOT(ISERROR(SEARCH("TFO",F88)))</formula>
    </cfRule>
    <cfRule type="containsText" dxfId="2454" priority="2317" operator="containsText" text="AA">
      <formula>NOT(ISERROR(SEARCH("AA",F88)))</formula>
    </cfRule>
    <cfRule type="containsText" dxfId="2453" priority="2318" operator="containsText" text="RESIGNED">
      <formula>NOT(ISERROR(SEARCH("RESIGNED",F88)))</formula>
    </cfRule>
    <cfRule type="containsText" dxfId="2452" priority="2319" operator="containsText" text="P">
      <formula>NOT(ISERROR(SEARCH("P",F88)))</formula>
    </cfRule>
    <cfRule type="containsText" dxfId="2451" priority="2320" operator="containsText" text="TARDY">
      <formula>NOT(ISERROR(SEARCH("TARDY",F88)))</formula>
    </cfRule>
    <cfRule type="containsText" dxfId="2450" priority="2321" operator="containsText" text="REST DAY">
      <formula>NOT(ISERROR(SEARCH("REST DAY",F88)))</formula>
    </cfRule>
    <cfRule type="containsText" dxfId="2449" priority="2322" operator="containsText" text="UA">
      <formula>NOT(ISERROR(SEARCH("UA",F88)))</formula>
    </cfRule>
  </conditionalFormatting>
  <conditionalFormatting sqref="F88:I88">
    <cfRule type="containsText" dxfId="2448" priority="2311" operator="containsText" text="RD">
      <formula>NOT(ISERROR(SEARCH("RD",F88)))</formula>
    </cfRule>
    <cfRule type="containsText" dxfId="2447" priority="2312" operator="containsText" text="540">
      <formula>NOT(ISERROR(SEARCH("540",F88)))</formula>
    </cfRule>
    <cfRule type="cellIs" dxfId="2446" priority="2313" operator="between">
      <formula>1</formula>
      <formula>400</formula>
    </cfRule>
  </conditionalFormatting>
  <conditionalFormatting sqref="F88:I88">
    <cfRule type="containsText" dxfId="2445" priority="2314" operator="containsText" text="LWOP UA">
      <formula>NOT(ISERROR(SEARCH("LWOP UA",F88)))</formula>
    </cfRule>
  </conditionalFormatting>
  <conditionalFormatting sqref="F88:I88">
    <cfRule type="containsText" dxfId="2444" priority="2310" operator="containsText" text="VL">
      <formula>NOT(ISERROR(SEARCH("VL",F88)))</formula>
    </cfRule>
  </conditionalFormatting>
  <conditionalFormatting sqref="F90:I90">
    <cfRule type="containsText" dxfId="2443" priority="2301" operator="containsText" text="P">
      <formula>NOT(ISERROR(SEARCH("P",F90)))</formula>
    </cfRule>
  </conditionalFormatting>
  <conditionalFormatting sqref="F90:I90">
    <cfRule type="containsText" dxfId="2442" priority="2309" operator="containsText" text="LWOP UA">
      <formula>NOT(ISERROR(SEARCH("LWOP UA",F90)))</formula>
    </cfRule>
  </conditionalFormatting>
  <conditionalFormatting sqref="F90:I90">
    <cfRule type="containsText" dxfId="2441" priority="2302" operator="containsText" text="TFO">
      <formula>NOT(ISERROR(SEARCH("TFO",F90)))</formula>
    </cfRule>
    <cfRule type="containsText" dxfId="2440" priority="2303" operator="containsText" text="AA">
      <formula>NOT(ISERROR(SEARCH("AA",F90)))</formula>
    </cfRule>
    <cfRule type="containsText" dxfId="2439" priority="2304" operator="containsText" text="RESIGNED">
      <formula>NOT(ISERROR(SEARCH("RESIGNED",F90)))</formula>
    </cfRule>
    <cfRule type="containsText" dxfId="2438" priority="2305" operator="containsText" text="P">
      <formula>NOT(ISERROR(SEARCH("P",F90)))</formula>
    </cfRule>
    <cfRule type="containsText" dxfId="2437" priority="2306" operator="containsText" text="TARDY">
      <formula>NOT(ISERROR(SEARCH("TARDY",F90)))</formula>
    </cfRule>
    <cfRule type="containsText" dxfId="2436" priority="2307" operator="containsText" text="REST DAY">
      <formula>NOT(ISERROR(SEARCH("REST DAY",F90)))</formula>
    </cfRule>
    <cfRule type="containsText" dxfId="2435" priority="2308" operator="containsText" text="UA">
      <formula>NOT(ISERROR(SEARCH("UA",F90)))</formula>
    </cfRule>
  </conditionalFormatting>
  <conditionalFormatting sqref="F90:I90">
    <cfRule type="containsText" dxfId="2434" priority="2297" operator="containsText" text="RD">
      <formula>NOT(ISERROR(SEARCH("RD",F90)))</formula>
    </cfRule>
    <cfRule type="containsText" dxfId="2433" priority="2298" operator="containsText" text="540">
      <formula>NOT(ISERROR(SEARCH("540",F90)))</formula>
    </cfRule>
    <cfRule type="cellIs" dxfId="2432" priority="2299" operator="between">
      <formula>1</formula>
      <formula>400</formula>
    </cfRule>
  </conditionalFormatting>
  <conditionalFormatting sqref="F90:I90">
    <cfRule type="containsText" dxfId="2431" priority="2300" operator="containsText" text="LWOP UA">
      <formula>NOT(ISERROR(SEARCH("LWOP UA",F90)))</formula>
    </cfRule>
  </conditionalFormatting>
  <conditionalFormatting sqref="F90:I90">
    <cfRule type="containsText" dxfId="2430" priority="2296" operator="containsText" text="VL">
      <formula>NOT(ISERROR(SEARCH("VL",F90)))</formula>
    </cfRule>
  </conditionalFormatting>
  <conditionalFormatting sqref="F20">
    <cfRule type="containsText" dxfId="2429" priority="2273" operator="containsText" text="P">
      <formula>NOT(ISERROR(SEARCH("P",F20)))</formula>
    </cfRule>
    <cfRule type="containsText" dxfId="2428" priority="2274" operator="containsText" text="TFO">
      <formula>NOT(ISERROR(SEARCH("TFO",F20)))</formula>
    </cfRule>
    <cfRule type="containsText" dxfId="2427" priority="2275" operator="containsText" text="AA">
      <formula>NOT(ISERROR(SEARCH("AA",F20)))</formula>
    </cfRule>
    <cfRule type="containsText" dxfId="2426" priority="2276" operator="containsText" text="RESIGNED">
      <formula>NOT(ISERROR(SEARCH("RESIGNED",F20)))</formula>
    </cfRule>
    <cfRule type="containsText" dxfId="2425" priority="2277" operator="containsText" text="P">
      <formula>NOT(ISERROR(SEARCH("P",F20)))</formula>
    </cfRule>
    <cfRule type="containsText" dxfId="2424" priority="2278" operator="containsText" text="TARDY">
      <formula>NOT(ISERROR(SEARCH("TARDY",F20)))</formula>
    </cfRule>
    <cfRule type="containsText" dxfId="2423" priority="2279" operator="containsText" text="REST DAY">
      <formula>NOT(ISERROR(SEARCH("REST DAY",F20)))</formula>
    </cfRule>
    <cfRule type="containsText" dxfId="2422" priority="2280" operator="containsText" text="UA">
      <formula>NOT(ISERROR(SEARCH("UA",F20)))</formula>
    </cfRule>
    <cfRule type="containsText" dxfId="2421" priority="2281" operator="containsText" text="LWOP UA">
      <formula>NOT(ISERROR(SEARCH("LWOP UA",F20)))</formula>
    </cfRule>
  </conditionalFormatting>
  <conditionalFormatting sqref="F20:I20">
    <cfRule type="containsText" dxfId="2420" priority="2287" operator="containsText" text="P">
      <formula>NOT(ISERROR(SEARCH("P",F20)))</formula>
    </cfRule>
  </conditionalFormatting>
  <conditionalFormatting sqref="F20:I20">
    <cfRule type="containsText" dxfId="2419" priority="2295" operator="containsText" text="LWOP UA">
      <formula>NOT(ISERROR(SEARCH("LWOP UA",F20)))</formula>
    </cfRule>
  </conditionalFormatting>
  <conditionalFormatting sqref="F20:I20">
    <cfRule type="containsText" dxfId="2418" priority="2288" operator="containsText" text="TFO">
      <formula>NOT(ISERROR(SEARCH("TFO",F20)))</formula>
    </cfRule>
    <cfRule type="containsText" dxfId="2417" priority="2289" operator="containsText" text="AA">
      <formula>NOT(ISERROR(SEARCH("AA",F20)))</formula>
    </cfRule>
    <cfRule type="containsText" dxfId="2416" priority="2290" operator="containsText" text="RESIGNED">
      <formula>NOT(ISERROR(SEARCH("RESIGNED",F20)))</formula>
    </cfRule>
    <cfRule type="containsText" dxfId="2415" priority="2291" operator="containsText" text="P">
      <formula>NOT(ISERROR(SEARCH("P",F20)))</formula>
    </cfRule>
    <cfRule type="containsText" dxfId="2414" priority="2292" operator="containsText" text="TARDY">
      <formula>NOT(ISERROR(SEARCH("TARDY",F20)))</formula>
    </cfRule>
    <cfRule type="containsText" dxfId="2413" priority="2293" operator="containsText" text="REST DAY">
      <formula>NOT(ISERROR(SEARCH("REST DAY",F20)))</formula>
    </cfRule>
    <cfRule type="containsText" dxfId="2412" priority="2294" operator="containsText" text="UA">
      <formula>NOT(ISERROR(SEARCH("UA",F20)))</formula>
    </cfRule>
  </conditionalFormatting>
  <conditionalFormatting sqref="F20:I20">
    <cfRule type="containsText" dxfId="2411" priority="2283" operator="containsText" text="RD">
      <formula>NOT(ISERROR(SEARCH("RD",F20)))</formula>
    </cfRule>
    <cfRule type="containsText" dxfId="2410" priority="2284" operator="containsText" text="540">
      <formula>NOT(ISERROR(SEARCH("540",F20)))</formula>
    </cfRule>
    <cfRule type="cellIs" dxfId="2409" priority="2285" operator="between">
      <formula>1</formula>
      <formula>400</formula>
    </cfRule>
  </conditionalFormatting>
  <conditionalFormatting sqref="F20:I20">
    <cfRule type="containsText" dxfId="2408" priority="2286" operator="containsText" text="LWOP UA">
      <formula>NOT(ISERROR(SEARCH("LWOP UA",F20)))</formula>
    </cfRule>
  </conditionalFormatting>
  <conditionalFormatting sqref="F20:I20">
    <cfRule type="containsText" dxfId="2407" priority="2282" operator="containsText" text="VL">
      <formula>NOT(ISERROR(SEARCH("VL",F20)))</formula>
    </cfRule>
  </conditionalFormatting>
  <conditionalFormatting sqref="F24:I24">
    <cfRule type="containsText" dxfId="2406" priority="2264" operator="containsText" text="P">
      <formula>NOT(ISERROR(SEARCH("P",F24)))</formula>
    </cfRule>
  </conditionalFormatting>
  <conditionalFormatting sqref="F24:I24">
    <cfRule type="containsText" dxfId="2405" priority="2272" operator="containsText" text="LWOP UA">
      <formula>NOT(ISERROR(SEARCH("LWOP UA",F24)))</formula>
    </cfRule>
  </conditionalFormatting>
  <conditionalFormatting sqref="F24:I24">
    <cfRule type="containsText" dxfId="2404" priority="2265" operator="containsText" text="TFO">
      <formula>NOT(ISERROR(SEARCH("TFO",F24)))</formula>
    </cfRule>
    <cfRule type="containsText" dxfId="2403" priority="2266" operator="containsText" text="AA">
      <formula>NOT(ISERROR(SEARCH("AA",F24)))</formula>
    </cfRule>
    <cfRule type="containsText" dxfId="2402" priority="2267" operator="containsText" text="RESIGNED">
      <formula>NOT(ISERROR(SEARCH("RESIGNED",F24)))</formula>
    </cfRule>
    <cfRule type="containsText" dxfId="2401" priority="2268" operator="containsText" text="P">
      <formula>NOT(ISERROR(SEARCH("P",F24)))</formula>
    </cfRule>
    <cfRule type="containsText" dxfId="2400" priority="2269" operator="containsText" text="TARDY">
      <formula>NOT(ISERROR(SEARCH("TARDY",F24)))</formula>
    </cfRule>
    <cfRule type="containsText" dxfId="2399" priority="2270" operator="containsText" text="REST DAY">
      <formula>NOT(ISERROR(SEARCH("REST DAY",F24)))</formula>
    </cfRule>
    <cfRule type="containsText" dxfId="2398" priority="2271" operator="containsText" text="UA">
      <formula>NOT(ISERROR(SEARCH("UA",F24)))</formula>
    </cfRule>
  </conditionalFormatting>
  <conditionalFormatting sqref="F24:I24">
    <cfRule type="containsText" dxfId="2397" priority="2260" operator="containsText" text="RD">
      <formula>NOT(ISERROR(SEARCH("RD",F24)))</formula>
    </cfRule>
    <cfRule type="containsText" dxfId="2396" priority="2261" operator="containsText" text="540">
      <formula>NOT(ISERROR(SEARCH("540",F24)))</formula>
    </cfRule>
    <cfRule type="cellIs" dxfId="2395" priority="2262" operator="between">
      <formula>1</formula>
      <formula>400</formula>
    </cfRule>
  </conditionalFormatting>
  <conditionalFormatting sqref="F24:I24">
    <cfRule type="containsText" dxfId="2394" priority="2263" operator="containsText" text="LWOP UA">
      <formula>NOT(ISERROR(SEARCH("LWOP UA",F24)))</formula>
    </cfRule>
  </conditionalFormatting>
  <conditionalFormatting sqref="F24:I24">
    <cfRule type="containsText" dxfId="2393" priority="2259" operator="containsText" text="VL">
      <formula>NOT(ISERROR(SEARCH("VL",F24)))</formula>
    </cfRule>
  </conditionalFormatting>
  <conditionalFormatting sqref="F44:J44">
    <cfRule type="containsText" dxfId="2392" priority="2250" operator="containsText" text="P">
      <formula>NOT(ISERROR(SEARCH("P",F44)))</formula>
    </cfRule>
  </conditionalFormatting>
  <conditionalFormatting sqref="F44:J44">
    <cfRule type="containsText" dxfId="2391" priority="2258" operator="containsText" text="LWOP UA">
      <formula>NOT(ISERROR(SEARCH("LWOP UA",F44)))</formula>
    </cfRule>
  </conditionalFormatting>
  <conditionalFormatting sqref="F44:J44">
    <cfRule type="containsText" dxfId="2390" priority="2251" operator="containsText" text="TFO">
      <formula>NOT(ISERROR(SEARCH("TFO",F44)))</formula>
    </cfRule>
    <cfRule type="containsText" dxfId="2389" priority="2252" operator="containsText" text="AA">
      <formula>NOT(ISERROR(SEARCH("AA",F44)))</formula>
    </cfRule>
    <cfRule type="containsText" dxfId="2388" priority="2253" operator="containsText" text="RESIGNED">
      <formula>NOT(ISERROR(SEARCH("RESIGNED",F44)))</formula>
    </cfRule>
    <cfRule type="containsText" dxfId="2387" priority="2254" operator="containsText" text="P">
      <formula>NOT(ISERROR(SEARCH("P",F44)))</formula>
    </cfRule>
    <cfRule type="containsText" dxfId="2386" priority="2255" operator="containsText" text="TARDY">
      <formula>NOT(ISERROR(SEARCH("TARDY",F44)))</formula>
    </cfRule>
    <cfRule type="containsText" dxfId="2385" priority="2256" operator="containsText" text="REST DAY">
      <formula>NOT(ISERROR(SEARCH("REST DAY",F44)))</formula>
    </cfRule>
    <cfRule type="containsText" dxfId="2384" priority="2257" operator="containsText" text="UA">
      <formula>NOT(ISERROR(SEARCH("UA",F44)))</formula>
    </cfRule>
  </conditionalFormatting>
  <conditionalFormatting sqref="F44:J44">
    <cfRule type="containsText" dxfId="2383" priority="2245" operator="containsText" text="VL">
      <formula>NOT(ISERROR(SEARCH("VL",F44)))</formula>
    </cfRule>
    <cfRule type="containsText" dxfId="2382" priority="2246" operator="containsText" text="RD">
      <formula>NOT(ISERROR(SEARCH("RD",F44)))</formula>
    </cfRule>
    <cfRule type="containsText" dxfId="2381" priority="2247" operator="containsText" text="540">
      <formula>NOT(ISERROR(SEARCH("540",F44)))</formula>
    </cfRule>
    <cfRule type="cellIs" dxfId="2380" priority="2248" operator="between">
      <formula>1</formula>
      <formula>400</formula>
    </cfRule>
  </conditionalFormatting>
  <conditionalFormatting sqref="F44:J44">
    <cfRule type="containsText" dxfId="2379" priority="2249" operator="containsText" text="LWOP UA">
      <formula>NOT(ISERROR(SEARCH("LWOP UA",F44)))</formula>
    </cfRule>
  </conditionalFormatting>
  <conditionalFormatting sqref="F52:I52">
    <cfRule type="containsText" dxfId="2378" priority="2236" operator="containsText" text="P">
      <formula>NOT(ISERROR(SEARCH("P",F52)))</formula>
    </cfRule>
  </conditionalFormatting>
  <conditionalFormatting sqref="F52:I52">
    <cfRule type="containsText" dxfId="2377" priority="2244" operator="containsText" text="LWOP UA">
      <formula>NOT(ISERROR(SEARCH("LWOP UA",F52)))</formula>
    </cfRule>
  </conditionalFormatting>
  <conditionalFormatting sqref="F52:I52">
    <cfRule type="containsText" dxfId="2376" priority="2237" operator="containsText" text="TFO">
      <formula>NOT(ISERROR(SEARCH("TFO",F52)))</formula>
    </cfRule>
    <cfRule type="containsText" dxfId="2375" priority="2238" operator="containsText" text="AA">
      <formula>NOT(ISERROR(SEARCH("AA",F52)))</formula>
    </cfRule>
    <cfRule type="containsText" dxfId="2374" priority="2239" operator="containsText" text="RESIGNED">
      <formula>NOT(ISERROR(SEARCH("RESIGNED",F52)))</formula>
    </cfRule>
    <cfRule type="containsText" dxfId="2373" priority="2240" operator="containsText" text="P">
      <formula>NOT(ISERROR(SEARCH("P",F52)))</formula>
    </cfRule>
    <cfRule type="containsText" dxfId="2372" priority="2241" operator="containsText" text="TARDY">
      <formula>NOT(ISERROR(SEARCH("TARDY",F52)))</formula>
    </cfRule>
    <cfRule type="containsText" dxfId="2371" priority="2242" operator="containsText" text="REST DAY">
      <formula>NOT(ISERROR(SEARCH("REST DAY",F52)))</formula>
    </cfRule>
    <cfRule type="containsText" dxfId="2370" priority="2243" operator="containsText" text="UA">
      <formula>NOT(ISERROR(SEARCH("UA",F52)))</formula>
    </cfRule>
  </conditionalFormatting>
  <conditionalFormatting sqref="F52:I52">
    <cfRule type="containsText" dxfId="2369" priority="2231" operator="containsText" text="VL">
      <formula>NOT(ISERROR(SEARCH("VL",F52)))</formula>
    </cfRule>
    <cfRule type="containsText" dxfId="2368" priority="2232" operator="containsText" text="RD">
      <formula>NOT(ISERROR(SEARCH("RD",F52)))</formula>
    </cfRule>
    <cfRule type="containsText" dxfId="2367" priority="2233" operator="containsText" text="540">
      <formula>NOT(ISERROR(SEARCH("540",F52)))</formula>
    </cfRule>
    <cfRule type="cellIs" dxfId="2366" priority="2234" operator="between">
      <formula>1</formula>
      <formula>400</formula>
    </cfRule>
  </conditionalFormatting>
  <conditionalFormatting sqref="F52:I52">
    <cfRule type="containsText" dxfId="2365" priority="2235" operator="containsText" text="LWOP UA">
      <formula>NOT(ISERROR(SEARCH("LWOP UA",F52)))</formula>
    </cfRule>
  </conditionalFormatting>
  <conditionalFormatting sqref="F56">
    <cfRule type="containsText" dxfId="2364" priority="2202" operator="containsText" text="LWOP UA">
      <formula>NOT(ISERROR(SEARCH("LWOP UA",F56)))</formula>
    </cfRule>
    <cfRule type="containsText" dxfId="2363" priority="2203" operator="containsText" text="P">
      <formula>NOT(ISERROR(SEARCH("P",F56)))</formula>
    </cfRule>
    <cfRule type="containsText" dxfId="2362" priority="2204" operator="containsText" text="TFO">
      <formula>NOT(ISERROR(SEARCH("TFO",F56)))</formula>
    </cfRule>
    <cfRule type="containsText" dxfId="2361" priority="2205" operator="containsText" text="AA">
      <formula>NOT(ISERROR(SEARCH("AA",F56)))</formula>
    </cfRule>
    <cfRule type="containsText" dxfId="2360" priority="2206" operator="containsText" text="RESIGNED">
      <formula>NOT(ISERROR(SEARCH("RESIGNED",F56)))</formula>
    </cfRule>
    <cfRule type="containsText" dxfId="2359" priority="2207" operator="containsText" text="P">
      <formula>NOT(ISERROR(SEARCH("P",F56)))</formula>
    </cfRule>
    <cfRule type="containsText" dxfId="2358" priority="2208" operator="containsText" text="TARDY">
      <formula>NOT(ISERROR(SEARCH("TARDY",F56)))</formula>
    </cfRule>
    <cfRule type="containsText" dxfId="2357" priority="2209" operator="containsText" text="REST DAY">
      <formula>NOT(ISERROR(SEARCH("REST DAY",F56)))</formula>
    </cfRule>
    <cfRule type="containsText" dxfId="2356" priority="2210" operator="containsText" text="UA">
      <formula>NOT(ISERROR(SEARCH("UA",F56)))</formula>
    </cfRule>
  </conditionalFormatting>
  <conditionalFormatting sqref="H56:I56">
    <cfRule type="containsText" dxfId="2355" priority="2222" operator="containsText" text="P">
      <formula>NOT(ISERROR(SEARCH("P",H56)))</formula>
    </cfRule>
  </conditionalFormatting>
  <conditionalFormatting sqref="G56">
    <cfRule type="containsText" dxfId="2354" priority="2212" operator="containsText" text="P">
      <formula>NOT(ISERROR(SEARCH("P",G56)))</formula>
    </cfRule>
    <cfRule type="containsText" dxfId="2353" priority="2213" operator="containsText" text="TFO">
      <formula>NOT(ISERROR(SEARCH("TFO",G56)))</formula>
    </cfRule>
    <cfRule type="containsText" dxfId="2352" priority="2214" operator="containsText" text="AA">
      <formula>NOT(ISERROR(SEARCH("AA",G56)))</formula>
    </cfRule>
    <cfRule type="containsText" dxfId="2351" priority="2215" operator="containsText" text="RESIGNED">
      <formula>NOT(ISERROR(SEARCH("RESIGNED",G56)))</formula>
    </cfRule>
    <cfRule type="containsText" dxfId="2350" priority="2216" operator="containsText" text="P">
      <formula>NOT(ISERROR(SEARCH("P",G56)))</formula>
    </cfRule>
    <cfRule type="containsText" dxfId="2349" priority="2217" operator="containsText" text="TARDY">
      <formula>NOT(ISERROR(SEARCH("TARDY",G56)))</formula>
    </cfRule>
    <cfRule type="containsText" dxfId="2348" priority="2218" operator="containsText" text="REST DAY">
      <formula>NOT(ISERROR(SEARCH("REST DAY",G56)))</formula>
    </cfRule>
    <cfRule type="containsText" dxfId="2347" priority="2219" operator="containsText" text="UA">
      <formula>NOT(ISERROR(SEARCH("UA",G56)))</formula>
    </cfRule>
    <cfRule type="containsText" dxfId="2346" priority="2220" operator="containsText" text="LWOP UA">
      <formula>NOT(ISERROR(SEARCH("LWOP UA",G56)))</formula>
    </cfRule>
  </conditionalFormatting>
  <conditionalFormatting sqref="F56:G56">
    <cfRule type="containsText" dxfId="2345" priority="2211" operator="containsText" text="LWOP UA">
      <formula>NOT(ISERROR(SEARCH("LWOP UA",F56)))</formula>
    </cfRule>
  </conditionalFormatting>
  <conditionalFormatting sqref="H56:I56">
    <cfRule type="containsText" dxfId="2344" priority="2230" operator="containsText" text="LWOP UA">
      <formula>NOT(ISERROR(SEARCH("LWOP UA",H56)))</formula>
    </cfRule>
  </conditionalFormatting>
  <conditionalFormatting sqref="H56:I56">
    <cfRule type="containsText" dxfId="2343" priority="2223" operator="containsText" text="TFO">
      <formula>NOT(ISERROR(SEARCH("TFO",H56)))</formula>
    </cfRule>
    <cfRule type="containsText" dxfId="2342" priority="2224" operator="containsText" text="AA">
      <formula>NOT(ISERROR(SEARCH("AA",H56)))</formula>
    </cfRule>
    <cfRule type="containsText" dxfId="2341" priority="2225" operator="containsText" text="RESIGNED">
      <formula>NOT(ISERROR(SEARCH("RESIGNED",H56)))</formula>
    </cfRule>
    <cfRule type="containsText" dxfId="2340" priority="2226" operator="containsText" text="P">
      <formula>NOT(ISERROR(SEARCH("P",H56)))</formula>
    </cfRule>
    <cfRule type="containsText" dxfId="2339" priority="2227" operator="containsText" text="TARDY">
      <formula>NOT(ISERROR(SEARCH("TARDY",H56)))</formula>
    </cfRule>
    <cfRule type="containsText" dxfId="2338" priority="2228" operator="containsText" text="REST DAY">
      <formula>NOT(ISERROR(SEARCH("REST DAY",H56)))</formula>
    </cfRule>
    <cfRule type="containsText" dxfId="2337" priority="2229" operator="containsText" text="UA">
      <formula>NOT(ISERROR(SEARCH("UA",H56)))</formula>
    </cfRule>
  </conditionalFormatting>
  <conditionalFormatting sqref="F56:I56">
    <cfRule type="containsText" dxfId="2336" priority="2198" operator="containsText" text="VL">
      <formula>NOT(ISERROR(SEARCH("VL",F56)))</formula>
    </cfRule>
    <cfRule type="containsText" dxfId="2335" priority="2199" operator="containsText" text="RD">
      <formula>NOT(ISERROR(SEARCH("RD",F56)))</formula>
    </cfRule>
    <cfRule type="containsText" dxfId="2334" priority="2200" operator="containsText" text="540">
      <formula>NOT(ISERROR(SEARCH("540",F56)))</formula>
    </cfRule>
    <cfRule type="cellIs" dxfId="2333" priority="2201" operator="between">
      <formula>1</formula>
      <formula>400</formula>
    </cfRule>
  </conditionalFormatting>
  <conditionalFormatting sqref="H56:I56">
    <cfRule type="containsText" dxfId="2332" priority="2221" operator="containsText" text="LWOP UA">
      <formula>NOT(ISERROR(SEARCH("LWOP UA",H56)))</formula>
    </cfRule>
  </conditionalFormatting>
  <conditionalFormatting sqref="F66">
    <cfRule type="containsText" dxfId="2331" priority="2175" operator="containsText" text="P">
      <formula>NOT(ISERROR(SEARCH("P",F66)))</formula>
    </cfRule>
    <cfRule type="containsText" dxfId="2330" priority="2176" operator="containsText" text="TFO">
      <formula>NOT(ISERROR(SEARCH("TFO",F66)))</formula>
    </cfRule>
    <cfRule type="containsText" dxfId="2329" priority="2177" operator="containsText" text="AA">
      <formula>NOT(ISERROR(SEARCH("AA",F66)))</formula>
    </cfRule>
    <cfRule type="containsText" dxfId="2328" priority="2178" operator="containsText" text="RESIGNED">
      <formula>NOT(ISERROR(SEARCH("RESIGNED",F66)))</formula>
    </cfRule>
    <cfRule type="containsText" dxfId="2327" priority="2179" operator="containsText" text="P">
      <formula>NOT(ISERROR(SEARCH("P",F66)))</formula>
    </cfRule>
    <cfRule type="containsText" dxfId="2326" priority="2180" operator="containsText" text="TARDY">
      <formula>NOT(ISERROR(SEARCH("TARDY",F66)))</formula>
    </cfRule>
    <cfRule type="containsText" dxfId="2325" priority="2181" operator="containsText" text="REST DAY">
      <formula>NOT(ISERROR(SEARCH("REST DAY",F66)))</formula>
    </cfRule>
    <cfRule type="containsText" dxfId="2324" priority="2182" operator="containsText" text="UA">
      <formula>NOT(ISERROR(SEARCH("UA",F66)))</formula>
    </cfRule>
    <cfRule type="containsText" dxfId="2323" priority="2183" operator="containsText" text="LWOP UA">
      <formula>NOT(ISERROR(SEARCH("LWOP UA",F66)))</formula>
    </cfRule>
  </conditionalFormatting>
  <conditionalFormatting sqref="F66:I66">
    <cfRule type="containsText" dxfId="2322" priority="2189" operator="containsText" text="P">
      <formula>NOT(ISERROR(SEARCH("P",F66)))</formula>
    </cfRule>
  </conditionalFormatting>
  <conditionalFormatting sqref="F66:I66">
    <cfRule type="containsText" dxfId="2321" priority="2197" operator="containsText" text="LWOP UA">
      <formula>NOT(ISERROR(SEARCH("LWOP UA",F66)))</formula>
    </cfRule>
  </conditionalFormatting>
  <conditionalFormatting sqref="F66:I66">
    <cfRule type="containsText" dxfId="2320" priority="2190" operator="containsText" text="TFO">
      <formula>NOT(ISERROR(SEARCH("TFO",F66)))</formula>
    </cfRule>
    <cfRule type="containsText" dxfId="2319" priority="2191" operator="containsText" text="AA">
      <formula>NOT(ISERROR(SEARCH("AA",F66)))</formula>
    </cfRule>
    <cfRule type="containsText" dxfId="2318" priority="2192" operator="containsText" text="RESIGNED">
      <formula>NOT(ISERROR(SEARCH("RESIGNED",F66)))</formula>
    </cfRule>
    <cfRule type="containsText" dxfId="2317" priority="2193" operator="containsText" text="P">
      <formula>NOT(ISERROR(SEARCH("P",F66)))</formula>
    </cfRule>
    <cfRule type="containsText" dxfId="2316" priority="2194" operator="containsText" text="TARDY">
      <formula>NOT(ISERROR(SEARCH("TARDY",F66)))</formula>
    </cfRule>
    <cfRule type="containsText" dxfId="2315" priority="2195" operator="containsText" text="REST DAY">
      <formula>NOT(ISERROR(SEARCH("REST DAY",F66)))</formula>
    </cfRule>
    <cfRule type="containsText" dxfId="2314" priority="2196" operator="containsText" text="UA">
      <formula>NOT(ISERROR(SEARCH("UA",F66)))</formula>
    </cfRule>
  </conditionalFormatting>
  <conditionalFormatting sqref="F66:I66">
    <cfRule type="containsText" dxfId="2313" priority="2185" operator="containsText" text="RD">
      <formula>NOT(ISERROR(SEARCH("RD",F66)))</formula>
    </cfRule>
    <cfRule type="containsText" dxfId="2312" priority="2186" operator="containsText" text="540">
      <formula>NOT(ISERROR(SEARCH("540",F66)))</formula>
    </cfRule>
    <cfRule type="cellIs" dxfId="2311" priority="2187" operator="between">
      <formula>1</formula>
      <formula>400</formula>
    </cfRule>
  </conditionalFormatting>
  <conditionalFormatting sqref="F66:I66">
    <cfRule type="containsText" dxfId="2310" priority="2188" operator="containsText" text="LWOP UA">
      <formula>NOT(ISERROR(SEARCH("LWOP UA",F66)))</formula>
    </cfRule>
  </conditionalFormatting>
  <conditionalFormatting sqref="F66:I66">
    <cfRule type="containsText" dxfId="2309" priority="2184" operator="containsText" text="VL">
      <formula>NOT(ISERROR(SEARCH("VL",F66)))</formula>
    </cfRule>
  </conditionalFormatting>
  <conditionalFormatting sqref="F89">
    <cfRule type="containsText" dxfId="2308" priority="2152" operator="containsText" text="P">
      <formula>NOT(ISERROR(SEARCH("P",F89)))</formula>
    </cfRule>
    <cfRule type="containsText" dxfId="2307" priority="2153" operator="containsText" text="TFO">
      <formula>NOT(ISERROR(SEARCH("TFO",F89)))</formula>
    </cfRule>
    <cfRule type="containsText" dxfId="2306" priority="2154" operator="containsText" text="AA">
      <formula>NOT(ISERROR(SEARCH("AA",F89)))</formula>
    </cfRule>
    <cfRule type="containsText" dxfId="2305" priority="2155" operator="containsText" text="RESIGNED">
      <formula>NOT(ISERROR(SEARCH("RESIGNED",F89)))</formula>
    </cfRule>
    <cfRule type="containsText" dxfId="2304" priority="2156" operator="containsText" text="P">
      <formula>NOT(ISERROR(SEARCH("P",F89)))</formula>
    </cfRule>
    <cfRule type="containsText" dxfId="2303" priority="2157" operator="containsText" text="TARDY">
      <formula>NOT(ISERROR(SEARCH("TARDY",F89)))</formula>
    </cfRule>
    <cfRule type="containsText" dxfId="2302" priority="2158" operator="containsText" text="REST DAY">
      <formula>NOT(ISERROR(SEARCH("REST DAY",F89)))</formula>
    </cfRule>
    <cfRule type="containsText" dxfId="2301" priority="2159" operator="containsText" text="UA">
      <formula>NOT(ISERROR(SEARCH("UA",F89)))</formula>
    </cfRule>
    <cfRule type="containsText" dxfId="2300" priority="2160" operator="containsText" text="LWOP UA">
      <formula>NOT(ISERROR(SEARCH("LWOP UA",F89)))</formula>
    </cfRule>
  </conditionalFormatting>
  <conditionalFormatting sqref="F89:I89">
    <cfRule type="containsText" dxfId="2299" priority="2166" operator="containsText" text="P">
      <formula>NOT(ISERROR(SEARCH("P",F89)))</formula>
    </cfRule>
  </conditionalFormatting>
  <conditionalFormatting sqref="F89:I89">
    <cfRule type="containsText" dxfId="2298" priority="2174" operator="containsText" text="LWOP UA">
      <formula>NOT(ISERROR(SEARCH("LWOP UA",F89)))</formula>
    </cfRule>
  </conditionalFormatting>
  <conditionalFormatting sqref="F89:I89">
    <cfRule type="containsText" dxfId="2297" priority="2167" operator="containsText" text="TFO">
      <formula>NOT(ISERROR(SEARCH("TFO",F89)))</formula>
    </cfRule>
    <cfRule type="containsText" dxfId="2296" priority="2168" operator="containsText" text="AA">
      <formula>NOT(ISERROR(SEARCH("AA",F89)))</formula>
    </cfRule>
    <cfRule type="containsText" dxfId="2295" priority="2169" operator="containsText" text="RESIGNED">
      <formula>NOT(ISERROR(SEARCH("RESIGNED",F89)))</formula>
    </cfRule>
    <cfRule type="containsText" dxfId="2294" priority="2170" operator="containsText" text="P">
      <formula>NOT(ISERROR(SEARCH("P",F89)))</formula>
    </cfRule>
    <cfRule type="containsText" dxfId="2293" priority="2171" operator="containsText" text="TARDY">
      <formula>NOT(ISERROR(SEARCH("TARDY",F89)))</formula>
    </cfRule>
    <cfRule type="containsText" dxfId="2292" priority="2172" operator="containsText" text="REST DAY">
      <formula>NOT(ISERROR(SEARCH("REST DAY",F89)))</formula>
    </cfRule>
    <cfRule type="containsText" dxfId="2291" priority="2173" operator="containsText" text="UA">
      <formula>NOT(ISERROR(SEARCH("UA",F89)))</formula>
    </cfRule>
  </conditionalFormatting>
  <conditionalFormatting sqref="F89:I89">
    <cfRule type="containsText" dxfId="2290" priority="2162" operator="containsText" text="RD">
      <formula>NOT(ISERROR(SEARCH("RD",F89)))</formula>
    </cfRule>
    <cfRule type="containsText" dxfId="2289" priority="2163" operator="containsText" text="540">
      <formula>NOT(ISERROR(SEARCH("540",F89)))</formula>
    </cfRule>
    <cfRule type="cellIs" dxfId="2288" priority="2164" operator="between">
      <formula>1</formula>
      <formula>400</formula>
    </cfRule>
  </conditionalFormatting>
  <conditionalFormatting sqref="F89:I89">
    <cfRule type="containsText" dxfId="2287" priority="2165" operator="containsText" text="LWOP UA">
      <formula>NOT(ISERROR(SEARCH("LWOP UA",F89)))</formula>
    </cfRule>
  </conditionalFormatting>
  <conditionalFormatting sqref="F89:I89">
    <cfRule type="containsText" dxfId="2286" priority="2161" operator="containsText" text="VL">
      <formula>NOT(ISERROR(SEARCH("VL",F89)))</formula>
    </cfRule>
  </conditionalFormatting>
  <conditionalFormatting sqref="F93:F100">
    <cfRule type="containsText" dxfId="2285" priority="2143" operator="containsText" text="P">
      <formula>NOT(ISERROR(SEARCH("P",F93)))</formula>
    </cfRule>
  </conditionalFormatting>
  <conditionalFormatting sqref="F93:I100">
    <cfRule type="containsText" dxfId="2284" priority="2134" operator="containsText" text="P">
      <formula>NOT(ISERROR(SEARCH("P",F93)))</formula>
    </cfRule>
    <cfRule type="containsText" dxfId="2283" priority="2135" operator="containsText" text="TFO">
      <formula>NOT(ISERROR(SEARCH("TFO",F93)))</formula>
    </cfRule>
    <cfRule type="containsText" dxfId="2282" priority="2136" operator="containsText" text="AA">
      <formula>NOT(ISERROR(SEARCH("AA",F93)))</formula>
    </cfRule>
    <cfRule type="containsText" dxfId="2281" priority="2137" operator="containsText" text="RESIGNED">
      <formula>NOT(ISERROR(SEARCH("RESIGNED",F93)))</formula>
    </cfRule>
    <cfRule type="containsText" dxfId="2280" priority="2138" operator="containsText" text="P">
      <formula>NOT(ISERROR(SEARCH("P",F93)))</formula>
    </cfRule>
    <cfRule type="containsText" dxfId="2279" priority="2139" operator="containsText" text="TARDY">
      <formula>NOT(ISERROR(SEARCH("TARDY",F93)))</formula>
    </cfRule>
    <cfRule type="containsText" dxfId="2278" priority="2140" operator="containsText" text="REST DAY">
      <formula>NOT(ISERROR(SEARCH("REST DAY",F93)))</formula>
    </cfRule>
    <cfRule type="containsText" dxfId="2277" priority="2141" operator="containsText" text="UA">
      <formula>NOT(ISERROR(SEARCH("UA",F93)))</formula>
    </cfRule>
    <cfRule type="containsText" dxfId="2276" priority="2142" operator="containsText" text="LWOP UA">
      <formula>NOT(ISERROR(SEARCH("LWOP UA",F93)))</formula>
    </cfRule>
  </conditionalFormatting>
  <conditionalFormatting sqref="F93:F100">
    <cfRule type="containsText" dxfId="2275" priority="2151" operator="containsText" text="LWOP UA">
      <formula>NOT(ISERROR(SEARCH("LWOP UA",F93)))</formula>
    </cfRule>
  </conditionalFormatting>
  <conditionalFormatting sqref="F93:F100">
    <cfRule type="containsText" dxfId="2274" priority="2144" operator="containsText" text="TFO">
      <formula>NOT(ISERROR(SEARCH("TFO",F93)))</formula>
    </cfRule>
    <cfRule type="containsText" dxfId="2273" priority="2145" operator="containsText" text="AA">
      <formula>NOT(ISERROR(SEARCH("AA",F93)))</formula>
    </cfRule>
    <cfRule type="containsText" dxfId="2272" priority="2146" operator="containsText" text="RESIGNED">
      <formula>NOT(ISERROR(SEARCH("RESIGNED",F93)))</formula>
    </cfRule>
    <cfRule type="containsText" dxfId="2271" priority="2147" operator="containsText" text="P">
      <formula>NOT(ISERROR(SEARCH("P",F93)))</formula>
    </cfRule>
    <cfRule type="containsText" dxfId="2270" priority="2148" operator="containsText" text="TARDY">
      <formula>NOT(ISERROR(SEARCH("TARDY",F93)))</formula>
    </cfRule>
    <cfRule type="containsText" dxfId="2269" priority="2149" operator="containsText" text="REST DAY">
      <formula>NOT(ISERROR(SEARCH("REST DAY",F93)))</formula>
    </cfRule>
    <cfRule type="containsText" dxfId="2268" priority="2150" operator="containsText" text="UA">
      <formula>NOT(ISERROR(SEARCH("UA",F93)))</formula>
    </cfRule>
  </conditionalFormatting>
  <conditionalFormatting sqref="F93:I100">
    <cfRule type="containsText" dxfId="2267" priority="2130" operator="containsText" text="RD">
      <formula>NOT(ISERROR(SEARCH("RD",F93)))</formula>
    </cfRule>
    <cfRule type="containsText" dxfId="2266" priority="2131" operator="containsText" text="540">
      <formula>NOT(ISERROR(SEARCH("540",F93)))</formula>
    </cfRule>
    <cfRule type="cellIs" dxfId="2265" priority="2132" operator="between">
      <formula>1</formula>
      <formula>400</formula>
    </cfRule>
  </conditionalFormatting>
  <conditionalFormatting sqref="F93:I100">
    <cfRule type="containsText" dxfId="2264" priority="2133" operator="containsText" text="LWOP UA">
      <formula>NOT(ISERROR(SEARCH("LWOP UA",F93)))</formula>
    </cfRule>
  </conditionalFormatting>
  <conditionalFormatting sqref="F93:I100">
    <cfRule type="containsText" dxfId="2263" priority="2129" operator="containsText" text="VL">
      <formula>NOT(ISERROR(SEARCH("VL",F93)))</formula>
    </cfRule>
  </conditionalFormatting>
  <conditionalFormatting sqref="F8:H8">
    <cfRule type="containsText" dxfId="2262" priority="2120" operator="containsText" text="P">
      <formula>NOT(ISERROR(SEARCH("P",F8)))</formula>
    </cfRule>
  </conditionalFormatting>
  <conditionalFormatting sqref="F8:H8">
    <cfRule type="containsText" dxfId="2261" priority="2128" operator="containsText" text="LWOP UA">
      <formula>NOT(ISERROR(SEARCH("LWOP UA",F8)))</formula>
    </cfRule>
  </conditionalFormatting>
  <conditionalFormatting sqref="F8:H8">
    <cfRule type="containsText" dxfId="2260" priority="2121" operator="containsText" text="TFO">
      <formula>NOT(ISERROR(SEARCH("TFO",F8)))</formula>
    </cfRule>
    <cfRule type="containsText" dxfId="2259" priority="2122" operator="containsText" text="AA">
      <formula>NOT(ISERROR(SEARCH("AA",F8)))</formula>
    </cfRule>
    <cfRule type="containsText" dxfId="2258" priority="2123" operator="containsText" text="RESIGNED">
      <formula>NOT(ISERROR(SEARCH("RESIGNED",F8)))</formula>
    </cfRule>
    <cfRule type="containsText" dxfId="2257" priority="2124" operator="containsText" text="P">
      <formula>NOT(ISERROR(SEARCH("P",F8)))</formula>
    </cfRule>
    <cfRule type="containsText" dxfId="2256" priority="2125" operator="containsText" text="TARDY">
      <formula>NOT(ISERROR(SEARCH("TARDY",F8)))</formula>
    </cfRule>
    <cfRule type="containsText" dxfId="2255" priority="2126" operator="containsText" text="REST DAY">
      <formula>NOT(ISERROR(SEARCH("REST DAY",F8)))</formula>
    </cfRule>
    <cfRule type="containsText" dxfId="2254" priority="2127" operator="containsText" text="UA">
      <formula>NOT(ISERROR(SEARCH("UA",F8)))</formula>
    </cfRule>
  </conditionalFormatting>
  <conditionalFormatting sqref="F8:H8">
    <cfRule type="containsText" dxfId="2253" priority="2115" operator="containsText" text="VL">
      <formula>NOT(ISERROR(SEARCH("VL",F8)))</formula>
    </cfRule>
    <cfRule type="containsText" dxfId="2252" priority="2116" operator="containsText" text="RD">
      <formula>NOT(ISERROR(SEARCH("RD",F8)))</formula>
    </cfRule>
    <cfRule type="containsText" dxfId="2251" priority="2117" operator="containsText" text="540">
      <formula>NOT(ISERROR(SEARCH("540",F8)))</formula>
    </cfRule>
    <cfRule type="cellIs" dxfId="2250" priority="2118" operator="between">
      <formula>1</formula>
      <formula>400</formula>
    </cfRule>
  </conditionalFormatting>
  <conditionalFormatting sqref="F8:H8">
    <cfRule type="containsText" dxfId="2249" priority="2119" operator="containsText" text="LWOP UA">
      <formula>NOT(ISERROR(SEARCH("LWOP UA",F8)))</formula>
    </cfRule>
  </conditionalFormatting>
  <conditionalFormatting sqref="H12 J12">
    <cfRule type="containsText" dxfId="2248" priority="2106" operator="containsText" text="P">
      <formula>NOT(ISERROR(SEARCH("P",H12)))</formula>
    </cfRule>
  </conditionalFormatting>
  <conditionalFormatting sqref="F12:G12">
    <cfRule type="containsText" dxfId="2247" priority="2096" operator="containsText" text="LWOP UA">
      <formula>NOT(ISERROR(SEARCH("LWOP UA",F12)))</formula>
    </cfRule>
    <cfRule type="containsText" dxfId="2246" priority="2097" operator="containsText" text="P">
      <formula>NOT(ISERROR(SEARCH("P",F12)))</formula>
    </cfRule>
    <cfRule type="containsText" dxfId="2245" priority="2098" operator="containsText" text="TFO">
      <formula>NOT(ISERROR(SEARCH("TFO",F12)))</formula>
    </cfRule>
    <cfRule type="containsText" dxfId="2244" priority="2099" operator="containsText" text="AA">
      <formula>NOT(ISERROR(SEARCH("AA",F12)))</formula>
    </cfRule>
    <cfRule type="containsText" dxfId="2243" priority="2100" operator="containsText" text="RESIGNED">
      <formula>NOT(ISERROR(SEARCH("RESIGNED",F12)))</formula>
    </cfRule>
    <cfRule type="containsText" dxfId="2242" priority="2101" operator="containsText" text="P">
      <formula>NOT(ISERROR(SEARCH("P",F12)))</formula>
    </cfRule>
    <cfRule type="containsText" dxfId="2241" priority="2102" operator="containsText" text="TARDY">
      <formula>NOT(ISERROR(SEARCH("TARDY",F12)))</formula>
    </cfRule>
    <cfRule type="containsText" dxfId="2240" priority="2103" operator="containsText" text="REST DAY">
      <formula>NOT(ISERROR(SEARCH("REST DAY",F12)))</formula>
    </cfRule>
    <cfRule type="containsText" dxfId="2239" priority="2104" operator="containsText" text="UA">
      <formula>NOT(ISERROR(SEARCH("UA",F12)))</formula>
    </cfRule>
  </conditionalFormatting>
  <conditionalFormatting sqref="H12 J12">
    <cfRule type="containsText" dxfId="2238" priority="2114" operator="containsText" text="LWOP UA">
      <formula>NOT(ISERROR(SEARCH("LWOP UA",H12)))</formula>
    </cfRule>
  </conditionalFormatting>
  <conditionalFormatting sqref="H12 J12">
    <cfRule type="containsText" dxfId="2237" priority="2107" operator="containsText" text="TFO">
      <formula>NOT(ISERROR(SEARCH("TFO",H12)))</formula>
    </cfRule>
    <cfRule type="containsText" dxfId="2236" priority="2108" operator="containsText" text="AA">
      <formula>NOT(ISERROR(SEARCH("AA",H12)))</formula>
    </cfRule>
    <cfRule type="containsText" dxfId="2235" priority="2109" operator="containsText" text="RESIGNED">
      <formula>NOT(ISERROR(SEARCH("RESIGNED",H12)))</formula>
    </cfRule>
    <cfRule type="containsText" dxfId="2234" priority="2110" operator="containsText" text="P">
      <formula>NOT(ISERROR(SEARCH("P",H12)))</formula>
    </cfRule>
    <cfRule type="containsText" dxfId="2233" priority="2111" operator="containsText" text="TARDY">
      <formula>NOT(ISERROR(SEARCH("TARDY",H12)))</formula>
    </cfRule>
    <cfRule type="containsText" dxfId="2232" priority="2112" operator="containsText" text="REST DAY">
      <formula>NOT(ISERROR(SEARCH("REST DAY",H12)))</formula>
    </cfRule>
    <cfRule type="containsText" dxfId="2231" priority="2113" operator="containsText" text="UA">
      <formula>NOT(ISERROR(SEARCH("UA",H12)))</formula>
    </cfRule>
  </conditionalFormatting>
  <conditionalFormatting sqref="F12:H12 J12">
    <cfRule type="containsText" dxfId="2230" priority="2092" operator="containsText" text="VL">
      <formula>NOT(ISERROR(SEARCH("VL",F12)))</formula>
    </cfRule>
    <cfRule type="containsText" dxfId="2229" priority="2093" operator="containsText" text="RD">
      <formula>NOT(ISERROR(SEARCH("RD",F12)))</formula>
    </cfRule>
    <cfRule type="containsText" dxfId="2228" priority="2094" operator="containsText" text="540">
      <formula>NOT(ISERROR(SEARCH("540",F12)))</formula>
    </cfRule>
    <cfRule type="cellIs" dxfId="2227" priority="2095" operator="between">
      <formula>1</formula>
      <formula>400</formula>
    </cfRule>
  </conditionalFormatting>
  <conditionalFormatting sqref="F12:H12 J12">
    <cfRule type="containsText" dxfId="2226" priority="2105" operator="containsText" text="LWOP UA">
      <formula>NOT(ISERROR(SEARCH("LWOP UA",F12)))</formula>
    </cfRule>
  </conditionalFormatting>
  <conditionalFormatting sqref="F17:H17">
    <cfRule type="containsText" dxfId="2225" priority="2083" operator="containsText" text="P">
      <formula>NOT(ISERROR(SEARCH("P",F17)))</formula>
    </cfRule>
  </conditionalFormatting>
  <conditionalFormatting sqref="F17:H17">
    <cfRule type="containsText" dxfId="2224" priority="2091" operator="containsText" text="LWOP UA">
      <formula>NOT(ISERROR(SEARCH("LWOP UA",F17)))</formula>
    </cfRule>
  </conditionalFormatting>
  <conditionalFormatting sqref="F17:H17">
    <cfRule type="containsText" dxfId="2223" priority="2084" operator="containsText" text="TFO">
      <formula>NOT(ISERROR(SEARCH("TFO",F17)))</formula>
    </cfRule>
    <cfRule type="containsText" dxfId="2222" priority="2085" operator="containsText" text="AA">
      <formula>NOT(ISERROR(SEARCH("AA",F17)))</formula>
    </cfRule>
    <cfRule type="containsText" dxfId="2221" priority="2086" operator="containsText" text="RESIGNED">
      <formula>NOT(ISERROR(SEARCH("RESIGNED",F17)))</formula>
    </cfRule>
    <cfRule type="containsText" dxfId="2220" priority="2087" operator="containsText" text="P">
      <formula>NOT(ISERROR(SEARCH("P",F17)))</formula>
    </cfRule>
    <cfRule type="containsText" dxfId="2219" priority="2088" operator="containsText" text="TARDY">
      <formula>NOT(ISERROR(SEARCH("TARDY",F17)))</formula>
    </cfRule>
    <cfRule type="containsText" dxfId="2218" priority="2089" operator="containsText" text="REST DAY">
      <formula>NOT(ISERROR(SEARCH("REST DAY",F17)))</formula>
    </cfRule>
    <cfRule type="containsText" dxfId="2217" priority="2090" operator="containsText" text="UA">
      <formula>NOT(ISERROR(SEARCH("UA",F17)))</formula>
    </cfRule>
  </conditionalFormatting>
  <conditionalFormatting sqref="F17:H17">
    <cfRule type="containsText" dxfId="2216" priority="2078" operator="containsText" text="VL">
      <formula>NOT(ISERROR(SEARCH("VL",F17)))</formula>
    </cfRule>
    <cfRule type="containsText" dxfId="2215" priority="2079" operator="containsText" text="RD">
      <formula>NOT(ISERROR(SEARCH("RD",F17)))</formula>
    </cfRule>
    <cfRule type="containsText" dxfId="2214" priority="2080" operator="containsText" text="540">
      <formula>NOT(ISERROR(SEARCH("540",F17)))</formula>
    </cfRule>
    <cfRule type="cellIs" dxfId="2213" priority="2081" operator="between">
      <formula>1</formula>
      <formula>400</formula>
    </cfRule>
  </conditionalFormatting>
  <conditionalFormatting sqref="F17:H17">
    <cfRule type="containsText" dxfId="2212" priority="2082" operator="containsText" text="LWOP UA">
      <formula>NOT(ISERROR(SEARCH("LWOP UA",F17)))</formula>
    </cfRule>
  </conditionalFormatting>
  <conditionalFormatting sqref="H19">
    <cfRule type="containsText" dxfId="2211" priority="2069" operator="containsText" text="P">
      <formula>NOT(ISERROR(SEARCH("P",H19)))</formula>
    </cfRule>
  </conditionalFormatting>
  <conditionalFormatting sqref="H19">
    <cfRule type="containsText" dxfId="2210" priority="2077" operator="containsText" text="LWOP UA">
      <formula>NOT(ISERROR(SEARCH("LWOP UA",H19)))</formula>
    </cfRule>
  </conditionalFormatting>
  <conditionalFormatting sqref="H19">
    <cfRule type="containsText" dxfId="2209" priority="2070" operator="containsText" text="TFO">
      <formula>NOT(ISERROR(SEARCH("TFO",H19)))</formula>
    </cfRule>
    <cfRule type="containsText" dxfId="2208" priority="2071" operator="containsText" text="AA">
      <formula>NOT(ISERROR(SEARCH("AA",H19)))</formula>
    </cfRule>
    <cfRule type="containsText" dxfId="2207" priority="2072" operator="containsText" text="RESIGNED">
      <formula>NOT(ISERROR(SEARCH("RESIGNED",H19)))</formula>
    </cfRule>
    <cfRule type="containsText" dxfId="2206" priority="2073" operator="containsText" text="P">
      <formula>NOT(ISERROR(SEARCH("P",H19)))</formula>
    </cfRule>
    <cfRule type="containsText" dxfId="2205" priority="2074" operator="containsText" text="TARDY">
      <formula>NOT(ISERROR(SEARCH("TARDY",H19)))</formula>
    </cfRule>
    <cfRule type="containsText" dxfId="2204" priority="2075" operator="containsText" text="REST DAY">
      <formula>NOT(ISERROR(SEARCH("REST DAY",H19)))</formula>
    </cfRule>
    <cfRule type="containsText" dxfId="2203" priority="2076" operator="containsText" text="UA">
      <formula>NOT(ISERROR(SEARCH("UA",H19)))</formula>
    </cfRule>
  </conditionalFormatting>
  <conditionalFormatting sqref="H19:J19">
    <cfRule type="containsText" dxfId="2202" priority="2055" operator="containsText" text="VL">
      <formula>NOT(ISERROR(SEARCH("VL",H19)))</formula>
    </cfRule>
    <cfRule type="containsText" dxfId="2201" priority="2056" operator="containsText" text="RD">
      <formula>NOT(ISERROR(SEARCH("RD",H19)))</formula>
    </cfRule>
    <cfRule type="containsText" dxfId="2200" priority="2057" operator="containsText" text="540">
      <formula>NOT(ISERROR(SEARCH("540",H19)))</formula>
    </cfRule>
    <cfRule type="cellIs" dxfId="2199" priority="2058" operator="between">
      <formula>1</formula>
      <formula>400</formula>
    </cfRule>
  </conditionalFormatting>
  <conditionalFormatting sqref="H19:J19">
    <cfRule type="containsText" dxfId="2198" priority="2068" operator="containsText" text="LWOP UA">
      <formula>NOT(ISERROR(SEARCH("LWOP UA",H19)))</formula>
    </cfRule>
  </conditionalFormatting>
  <conditionalFormatting sqref="I19:J19">
    <cfRule type="containsText" dxfId="2197" priority="2059" operator="containsText" text="LWOP UA">
      <formula>NOT(ISERROR(SEARCH("LWOP UA",I19)))</formula>
    </cfRule>
    <cfRule type="containsText" dxfId="2196" priority="2060" operator="containsText" text="P">
      <formula>NOT(ISERROR(SEARCH("P",I19)))</formula>
    </cfRule>
    <cfRule type="containsText" dxfId="2195" priority="2061" operator="containsText" text="TFO">
      <formula>NOT(ISERROR(SEARCH("TFO",I19)))</formula>
    </cfRule>
    <cfRule type="containsText" dxfId="2194" priority="2062" operator="containsText" text="AA">
      <formula>NOT(ISERROR(SEARCH("AA",I19)))</formula>
    </cfRule>
    <cfRule type="containsText" dxfId="2193" priority="2063" operator="containsText" text="RESIGNED">
      <formula>NOT(ISERROR(SEARCH("RESIGNED",I19)))</formula>
    </cfRule>
    <cfRule type="containsText" dxfId="2192" priority="2064" operator="containsText" text="P">
      <formula>NOT(ISERROR(SEARCH("P",I19)))</formula>
    </cfRule>
    <cfRule type="containsText" dxfId="2191" priority="2065" operator="containsText" text="TARDY">
      <formula>NOT(ISERROR(SEARCH("TARDY",I19)))</formula>
    </cfRule>
    <cfRule type="containsText" dxfId="2190" priority="2066" operator="containsText" text="REST DAY">
      <formula>NOT(ISERROR(SEARCH("REST DAY",I19)))</formula>
    </cfRule>
    <cfRule type="containsText" dxfId="2189" priority="2067" operator="containsText" text="UA">
      <formula>NOT(ISERROR(SEARCH("UA",I19)))</formula>
    </cfRule>
  </conditionalFormatting>
  <conditionalFormatting sqref="F21:I21">
    <cfRule type="containsText" dxfId="2188" priority="2046" operator="containsText" text="P">
      <formula>NOT(ISERROR(SEARCH("P",F21)))</formula>
    </cfRule>
  </conditionalFormatting>
  <conditionalFormatting sqref="F21:I21">
    <cfRule type="containsText" dxfId="2187" priority="2054" operator="containsText" text="LWOP UA">
      <formula>NOT(ISERROR(SEARCH("LWOP UA",F21)))</formula>
    </cfRule>
  </conditionalFormatting>
  <conditionalFormatting sqref="F21:I21">
    <cfRule type="containsText" dxfId="2186" priority="2047" operator="containsText" text="TFO">
      <formula>NOT(ISERROR(SEARCH("TFO",F21)))</formula>
    </cfRule>
    <cfRule type="containsText" dxfId="2185" priority="2048" operator="containsText" text="AA">
      <formula>NOT(ISERROR(SEARCH("AA",F21)))</formula>
    </cfRule>
    <cfRule type="containsText" dxfId="2184" priority="2049" operator="containsText" text="RESIGNED">
      <formula>NOT(ISERROR(SEARCH("RESIGNED",F21)))</formula>
    </cfRule>
    <cfRule type="containsText" dxfId="2183" priority="2050" operator="containsText" text="P">
      <formula>NOT(ISERROR(SEARCH("P",F21)))</formula>
    </cfRule>
    <cfRule type="containsText" dxfId="2182" priority="2051" operator="containsText" text="TARDY">
      <formula>NOT(ISERROR(SEARCH("TARDY",F21)))</formula>
    </cfRule>
    <cfRule type="containsText" dxfId="2181" priority="2052" operator="containsText" text="REST DAY">
      <formula>NOT(ISERROR(SEARCH("REST DAY",F21)))</formula>
    </cfRule>
    <cfRule type="containsText" dxfId="2180" priority="2053" operator="containsText" text="UA">
      <formula>NOT(ISERROR(SEARCH("UA",F21)))</formula>
    </cfRule>
  </conditionalFormatting>
  <conditionalFormatting sqref="F21:I21">
    <cfRule type="containsText" dxfId="2179" priority="2042" operator="containsText" text="RD">
      <formula>NOT(ISERROR(SEARCH("RD",F21)))</formula>
    </cfRule>
    <cfRule type="containsText" dxfId="2178" priority="2043" operator="containsText" text="540">
      <formula>NOT(ISERROR(SEARCH("540",F21)))</formula>
    </cfRule>
    <cfRule type="cellIs" dxfId="2177" priority="2044" operator="between">
      <formula>1</formula>
      <formula>400</formula>
    </cfRule>
  </conditionalFormatting>
  <conditionalFormatting sqref="F21:I21">
    <cfRule type="containsText" dxfId="2176" priority="2045" operator="containsText" text="LWOP UA">
      <formula>NOT(ISERROR(SEARCH("LWOP UA",F21)))</formula>
    </cfRule>
  </conditionalFormatting>
  <conditionalFormatting sqref="F21:I21">
    <cfRule type="containsText" dxfId="2175" priority="2041" operator="containsText" text="VL">
      <formula>NOT(ISERROR(SEARCH("VL",F21)))</formula>
    </cfRule>
  </conditionalFormatting>
  <conditionalFormatting sqref="F26:I26">
    <cfRule type="containsText" dxfId="2174" priority="2032" operator="containsText" text="P">
      <formula>NOT(ISERROR(SEARCH("P",F26)))</formula>
    </cfRule>
  </conditionalFormatting>
  <conditionalFormatting sqref="F26:I26">
    <cfRule type="containsText" dxfId="2173" priority="2040" operator="containsText" text="LWOP UA">
      <formula>NOT(ISERROR(SEARCH("LWOP UA",F26)))</formula>
    </cfRule>
  </conditionalFormatting>
  <conditionalFormatting sqref="F26:I26">
    <cfRule type="containsText" dxfId="2172" priority="2033" operator="containsText" text="TFO">
      <formula>NOT(ISERROR(SEARCH("TFO",F26)))</formula>
    </cfRule>
    <cfRule type="containsText" dxfId="2171" priority="2034" operator="containsText" text="AA">
      <formula>NOT(ISERROR(SEARCH("AA",F26)))</formula>
    </cfRule>
    <cfRule type="containsText" dxfId="2170" priority="2035" operator="containsText" text="RESIGNED">
      <formula>NOT(ISERROR(SEARCH("RESIGNED",F26)))</formula>
    </cfRule>
    <cfRule type="containsText" dxfId="2169" priority="2036" operator="containsText" text="P">
      <formula>NOT(ISERROR(SEARCH("P",F26)))</formula>
    </cfRule>
    <cfRule type="containsText" dxfId="2168" priority="2037" operator="containsText" text="TARDY">
      <formula>NOT(ISERROR(SEARCH("TARDY",F26)))</formula>
    </cfRule>
    <cfRule type="containsText" dxfId="2167" priority="2038" operator="containsText" text="REST DAY">
      <formula>NOT(ISERROR(SEARCH("REST DAY",F26)))</formula>
    </cfRule>
    <cfRule type="containsText" dxfId="2166" priority="2039" operator="containsText" text="UA">
      <formula>NOT(ISERROR(SEARCH("UA",F26)))</formula>
    </cfRule>
  </conditionalFormatting>
  <conditionalFormatting sqref="F26:I26">
    <cfRule type="containsText" dxfId="2165" priority="2028" operator="containsText" text="RD">
      <formula>NOT(ISERROR(SEARCH("RD",F26)))</formula>
    </cfRule>
    <cfRule type="containsText" dxfId="2164" priority="2029" operator="containsText" text="540">
      <formula>NOT(ISERROR(SEARCH("540",F26)))</formula>
    </cfRule>
    <cfRule type="cellIs" dxfId="2163" priority="2030" operator="between">
      <formula>1</formula>
      <formula>400</formula>
    </cfRule>
  </conditionalFormatting>
  <conditionalFormatting sqref="F26:I26">
    <cfRule type="containsText" dxfId="2162" priority="2031" operator="containsText" text="LWOP UA">
      <formula>NOT(ISERROR(SEARCH("LWOP UA",F26)))</formula>
    </cfRule>
  </conditionalFormatting>
  <conditionalFormatting sqref="F26:I26">
    <cfRule type="containsText" dxfId="2161" priority="2027" operator="containsText" text="VL">
      <formula>NOT(ISERROR(SEARCH("VL",F26)))</formula>
    </cfRule>
  </conditionalFormatting>
  <conditionalFormatting sqref="F32:I32">
    <cfRule type="containsText" dxfId="2160" priority="2018" operator="containsText" text="P">
      <formula>NOT(ISERROR(SEARCH("P",F32)))</formula>
    </cfRule>
  </conditionalFormatting>
  <conditionalFormatting sqref="F32:I32">
    <cfRule type="containsText" dxfId="2159" priority="2026" operator="containsText" text="LWOP UA">
      <formula>NOT(ISERROR(SEARCH("LWOP UA",F32)))</formula>
    </cfRule>
  </conditionalFormatting>
  <conditionalFormatting sqref="F32:I32">
    <cfRule type="containsText" dxfId="2158" priority="2019" operator="containsText" text="TFO">
      <formula>NOT(ISERROR(SEARCH("TFO",F32)))</formula>
    </cfRule>
    <cfRule type="containsText" dxfId="2157" priority="2020" operator="containsText" text="AA">
      <formula>NOT(ISERROR(SEARCH("AA",F32)))</formula>
    </cfRule>
    <cfRule type="containsText" dxfId="2156" priority="2021" operator="containsText" text="RESIGNED">
      <formula>NOT(ISERROR(SEARCH("RESIGNED",F32)))</formula>
    </cfRule>
    <cfRule type="containsText" dxfId="2155" priority="2022" operator="containsText" text="P">
      <formula>NOT(ISERROR(SEARCH("P",F32)))</formula>
    </cfRule>
    <cfRule type="containsText" dxfId="2154" priority="2023" operator="containsText" text="TARDY">
      <formula>NOT(ISERROR(SEARCH("TARDY",F32)))</formula>
    </cfRule>
    <cfRule type="containsText" dxfId="2153" priority="2024" operator="containsText" text="REST DAY">
      <formula>NOT(ISERROR(SEARCH("REST DAY",F32)))</formula>
    </cfRule>
    <cfRule type="containsText" dxfId="2152" priority="2025" operator="containsText" text="UA">
      <formula>NOT(ISERROR(SEARCH("UA",F32)))</formula>
    </cfRule>
  </conditionalFormatting>
  <conditionalFormatting sqref="F32:I32">
    <cfRule type="containsText" dxfId="2151" priority="2014" operator="containsText" text="RD">
      <formula>NOT(ISERROR(SEARCH("RD",F32)))</formula>
    </cfRule>
    <cfRule type="containsText" dxfId="2150" priority="2015" operator="containsText" text="540">
      <formula>NOT(ISERROR(SEARCH("540",F32)))</formula>
    </cfRule>
    <cfRule type="cellIs" dxfId="2149" priority="2016" operator="between">
      <formula>1</formula>
      <formula>400</formula>
    </cfRule>
  </conditionalFormatting>
  <conditionalFormatting sqref="F32:I32">
    <cfRule type="containsText" dxfId="2148" priority="2017" operator="containsText" text="LWOP UA">
      <formula>NOT(ISERROR(SEARCH("LWOP UA",F32)))</formula>
    </cfRule>
  </conditionalFormatting>
  <conditionalFormatting sqref="F32:I32">
    <cfRule type="containsText" dxfId="2147" priority="2013" operator="containsText" text="VL">
      <formula>NOT(ISERROR(SEARCH("VL",F32)))</formula>
    </cfRule>
  </conditionalFormatting>
  <conditionalFormatting sqref="H33">
    <cfRule type="containsText" dxfId="2146" priority="2012" operator="containsText" text="LWOP UA">
      <formula>NOT(ISERROR(SEARCH("LWOP UA",H33)))</formula>
    </cfRule>
  </conditionalFormatting>
  <conditionalFormatting sqref="H33">
    <cfRule type="containsText" dxfId="2145" priority="1999" operator="containsText" text="VL">
      <formula>NOT(ISERROR(SEARCH("VL",H33)))</formula>
    </cfRule>
    <cfRule type="containsText" dxfId="2144" priority="2000" operator="containsText" text="RD">
      <formula>NOT(ISERROR(SEARCH("RD",H33)))</formula>
    </cfRule>
    <cfRule type="containsText" dxfId="2143" priority="2001" operator="containsText" text="540">
      <formula>NOT(ISERROR(SEARCH("540",H33)))</formula>
    </cfRule>
    <cfRule type="cellIs" dxfId="2142" priority="2002" operator="between">
      <formula>1</formula>
      <formula>400</formula>
    </cfRule>
  </conditionalFormatting>
  <conditionalFormatting sqref="H33">
    <cfRule type="containsText" dxfId="2141" priority="2003" operator="containsText" text="LWOP UA">
      <formula>NOT(ISERROR(SEARCH("LWOP UA",H33)))</formula>
    </cfRule>
    <cfRule type="containsText" dxfId="2140" priority="2004" operator="containsText" text="P">
      <formula>NOT(ISERROR(SEARCH("P",H33)))</formula>
    </cfRule>
    <cfRule type="containsText" dxfId="2139" priority="2005" operator="containsText" text="TFO">
      <formula>NOT(ISERROR(SEARCH("TFO",H33)))</formula>
    </cfRule>
    <cfRule type="containsText" dxfId="2138" priority="2006" operator="containsText" text="AA">
      <formula>NOT(ISERROR(SEARCH("AA",H33)))</formula>
    </cfRule>
    <cfRule type="containsText" dxfId="2137" priority="2007" operator="containsText" text="RESIGNED">
      <formula>NOT(ISERROR(SEARCH("RESIGNED",H33)))</formula>
    </cfRule>
    <cfRule type="containsText" dxfId="2136" priority="2008" operator="containsText" text="P">
      <formula>NOT(ISERROR(SEARCH("P",H33)))</formula>
    </cfRule>
    <cfRule type="containsText" dxfId="2135" priority="2009" operator="containsText" text="TARDY">
      <formula>NOT(ISERROR(SEARCH("TARDY",H33)))</formula>
    </cfRule>
    <cfRule type="containsText" dxfId="2134" priority="2010" operator="containsText" text="REST DAY">
      <formula>NOT(ISERROR(SEARCH("REST DAY",H33)))</formula>
    </cfRule>
    <cfRule type="containsText" dxfId="2133" priority="2011" operator="containsText" text="UA">
      <formula>NOT(ISERROR(SEARCH("UA",H33)))</formula>
    </cfRule>
  </conditionalFormatting>
  <conditionalFormatting sqref="F34">
    <cfRule type="containsText" dxfId="2132" priority="1990" operator="containsText" text="P">
      <formula>NOT(ISERROR(SEARCH("P",F34)))</formula>
    </cfRule>
  </conditionalFormatting>
  <conditionalFormatting sqref="F34 I34:J34">
    <cfRule type="containsText" dxfId="2131" priority="1989" operator="containsText" text="LWOP UA">
      <formula>NOT(ISERROR(SEARCH("LWOP UA",F34)))</formula>
    </cfRule>
  </conditionalFormatting>
  <conditionalFormatting sqref="F34">
    <cfRule type="containsText" dxfId="2130" priority="1998" operator="containsText" text="LWOP UA">
      <formula>NOT(ISERROR(SEARCH("LWOP UA",F34)))</formula>
    </cfRule>
  </conditionalFormatting>
  <conditionalFormatting sqref="F34">
    <cfRule type="containsText" dxfId="2129" priority="1991" operator="containsText" text="TFO">
      <formula>NOT(ISERROR(SEARCH("TFO",F34)))</formula>
    </cfRule>
    <cfRule type="containsText" dxfId="2128" priority="1992" operator="containsText" text="AA">
      <formula>NOT(ISERROR(SEARCH("AA",F34)))</formula>
    </cfRule>
    <cfRule type="containsText" dxfId="2127" priority="1993" operator="containsText" text="RESIGNED">
      <formula>NOT(ISERROR(SEARCH("RESIGNED",F34)))</formula>
    </cfRule>
    <cfRule type="containsText" dxfId="2126" priority="1994" operator="containsText" text="P">
      <formula>NOT(ISERROR(SEARCH("P",F34)))</formula>
    </cfRule>
    <cfRule type="containsText" dxfId="2125" priority="1995" operator="containsText" text="TARDY">
      <formula>NOT(ISERROR(SEARCH("TARDY",F34)))</formula>
    </cfRule>
    <cfRule type="containsText" dxfId="2124" priority="1996" operator="containsText" text="REST DAY">
      <formula>NOT(ISERROR(SEARCH("REST DAY",F34)))</formula>
    </cfRule>
    <cfRule type="containsText" dxfId="2123" priority="1997" operator="containsText" text="UA">
      <formula>NOT(ISERROR(SEARCH("UA",F34)))</formula>
    </cfRule>
  </conditionalFormatting>
  <conditionalFormatting sqref="F34 I34:J34">
    <cfRule type="containsText" dxfId="2122" priority="1976" operator="containsText" text="VL">
      <formula>NOT(ISERROR(SEARCH("VL",F34)))</formula>
    </cfRule>
    <cfRule type="containsText" dxfId="2121" priority="1977" operator="containsText" text="RD">
      <formula>NOT(ISERROR(SEARCH("RD",F34)))</formula>
    </cfRule>
    <cfRule type="containsText" dxfId="2120" priority="1978" operator="containsText" text="540">
      <formula>NOT(ISERROR(SEARCH("540",F34)))</formula>
    </cfRule>
    <cfRule type="cellIs" dxfId="2119" priority="1979" operator="between">
      <formula>1</formula>
      <formula>400</formula>
    </cfRule>
  </conditionalFormatting>
  <conditionalFormatting sqref="I34:J34">
    <cfRule type="containsText" dxfId="2118" priority="1980" operator="containsText" text="LWOP UA">
      <formula>NOT(ISERROR(SEARCH("LWOP UA",I34)))</formula>
    </cfRule>
    <cfRule type="containsText" dxfId="2117" priority="1981" operator="containsText" text="P">
      <formula>NOT(ISERROR(SEARCH("P",I34)))</formula>
    </cfRule>
    <cfRule type="containsText" dxfId="2116" priority="1982" operator="containsText" text="TFO">
      <formula>NOT(ISERROR(SEARCH("TFO",I34)))</formula>
    </cfRule>
    <cfRule type="containsText" dxfId="2115" priority="1983" operator="containsText" text="AA">
      <formula>NOT(ISERROR(SEARCH("AA",I34)))</formula>
    </cfRule>
    <cfRule type="containsText" dxfId="2114" priority="1984" operator="containsText" text="RESIGNED">
      <formula>NOT(ISERROR(SEARCH("RESIGNED",I34)))</formula>
    </cfRule>
    <cfRule type="containsText" dxfId="2113" priority="1985" operator="containsText" text="P">
      <formula>NOT(ISERROR(SEARCH("P",I34)))</formula>
    </cfRule>
    <cfRule type="containsText" dxfId="2112" priority="1986" operator="containsText" text="TARDY">
      <formula>NOT(ISERROR(SEARCH("TARDY",I34)))</formula>
    </cfRule>
    <cfRule type="containsText" dxfId="2111" priority="1987" operator="containsText" text="REST DAY">
      <formula>NOT(ISERROR(SEARCH("REST DAY",I34)))</formula>
    </cfRule>
    <cfRule type="containsText" dxfId="2110" priority="1988" operator="containsText" text="UA">
      <formula>NOT(ISERROR(SEARCH("UA",I34)))</formula>
    </cfRule>
  </conditionalFormatting>
  <conditionalFormatting sqref="F35:H35">
    <cfRule type="containsText" dxfId="2109" priority="1975" operator="containsText" text="LWOP UA">
      <formula>NOT(ISERROR(SEARCH("LWOP UA",F35)))</formula>
    </cfRule>
  </conditionalFormatting>
  <conditionalFormatting sqref="F35:H35">
    <cfRule type="containsText" dxfId="2108" priority="1962" operator="containsText" text="VL">
      <formula>NOT(ISERROR(SEARCH("VL",F35)))</formula>
    </cfRule>
    <cfRule type="containsText" dxfId="2107" priority="1963" operator="containsText" text="RD">
      <formula>NOT(ISERROR(SEARCH("RD",F35)))</formula>
    </cfRule>
    <cfRule type="containsText" dxfId="2106" priority="1964" operator="containsText" text="540">
      <formula>NOT(ISERROR(SEARCH("540",F35)))</formula>
    </cfRule>
    <cfRule type="cellIs" dxfId="2105" priority="1965" operator="between">
      <formula>1</formula>
      <formula>400</formula>
    </cfRule>
  </conditionalFormatting>
  <conditionalFormatting sqref="F35:H35">
    <cfRule type="containsText" dxfId="2104" priority="1967" operator="containsText" text="P">
      <formula>NOT(ISERROR(SEARCH("P",F35)))</formula>
    </cfRule>
    <cfRule type="containsText" dxfId="2103" priority="1968" operator="containsText" text="TFO">
      <formula>NOT(ISERROR(SEARCH("TFO",F35)))</formula>
    </cfRule>
    <cfRule type="containsText" dxfId="2102" priority="1969" operator="containsText" text="AA">
      <formula>NOT(ISERROR(SEARCH("AA",F35)))</formula>
    </cfRule>
    <cfRule type="containsText" dxfId="2101" priority="1970" operator="containsText" text="RESIGNED">
      <formula>NOT(ISERROR(SEARCH("RESIGNED",F35)))</formula>
    </cfRule>
    <cfRule type="containsText" dxfId="2100" priority="1971" operator="containsText" text="P">
      <formula>NOT(ISERROR(SEARCH("P",F35)))</formula>
    </cfRule>
    <cfRule type="containsText" dxfId="2099" priority="1972" operator="containsText" text="TARDY">
      <formula>NOT(ISERROR(SEARCH("TARDY",F35)))</formula>
    </cfRule>
    <cfRule type="containsText" dxfId="2098" priority="1973" operator="containsText" text="REST DAY">
      <formula>NOT(ISERROR(SEARCH("REST DAY",F35)))</formula>
    </cfRule>
    <cfRule type="containsText" dxfId="2097" priority="1974" operator="containsText" text="UA">
      <formula>NOT(ISERROR(SEARCH("UA",F35)))</formula>
    </cfRule>
  </conditionalFormatting>
  <conditionalFormatting sqref="F35:H35">
    <cfRule type="containsText" dxfId="2096" priority="1966" operator="containsText" text="LWOP UA">
      <formula>NOT(ISERROR(SEARCH("LWOP UA",F35)))</formula>
    </cfRule>
  </conditionalFormatting>
  <conditionalFormatting sqref="F38:G38 J38">
    <cfRule type="containsText" dxfId="2095" priority="1953" operator="containsText" text="P">
      <formula>NOT(ISERROR(SEARCH("P",F38)))</formula>
    </cfRule>
  </conditionalFormatting>
  <conditionalFormatting sqref="F38:G38 J38">
    <cfRule type="containsText" dxfId="2094" priority="1961" operator="containsText" text="LWOP UA">
      <formula>NOT(ISERROR(SEARCH("LWOP UA",F38)))</formula>
    </cfRule>
  </conditionalFormatting>
  <conditionalFormatting sqref="F38:G38 J38">
    <cfRule type="containsText" dxfId="2093" priority="1954" operator="containsText" text="TFO">
      <formula>NOT(ISERROR(SEARCH("TFO",F38)))</formula>
    </cfRule>
    <cfRule type="containsText" dxfId="2092" priority="1955" operator="containsText" text="AA">
      <formula>NOT(ISERROR(SEARCH("AA",F38)))</formula>
    </cfRule>
    <cfRule type="containsText" dxfId="2091" priority="1956" operator="containsText" text="RESIGNED">
      <formula>NOT(ISERROR(SEARCH("RESIGNED",F38)))</formula>
    </cfRule>
    <cfRule type="containsText" dxfId="2090" priority="1957" operator="containsText" text="P">
      <formula>NOT(ISERROR(SEARCH("P",F38)))</formula>
    </cfRule>
    <cfRule type="containsText" dxfId="2089" priority="1958" operator="containsText" text="TARDY">
      <formula>NOT(ISERROR(SEARCH("TARDY",F38)))</formula>
    </cfRule>
    <cfRule type="containsText" dxfId="2088" priority="1959" operator="containsText" text="REST DAY">
      <formula>NOT(ISERROR(SEARCH("REST DAY",F38)))</formula>
    </cfRule>
    <cfRule type="containsText" dxfId="2087" priority="1960" operator="containsText" text="UA">
      <formula>NOT(ISERROR(SEARCH("UA",F38)))</formula>
    </cfRule>
  </conditionalFormatting>
  <conditionalFormatting sqref="F38:J38">
    <cfRule type="containsText" dxfId="2086" priority="1939" operator="containsText" text="VL">
      <formula>NOT(ISERROR(SEARCH("VL",F38)))</formula>
    </cfRule>
    <cfRule type="containsText" dxfId="2085" priority="1940" operator="containsText" text="RD">
      <formula>NOT(ISERROR(SEARCH("RD",F38)))</formula>
    </cfRule>
    <cfRule type="containsText" dxfId="2084" priority="1941" operator="containsText" text="540">
      <formula>NOT(ISERROR(SEARCH("540",F38)))</formula>
    </cfRule>
    <cfRule type="cellIs" dxfId="2083" priority="1942" operator="between">
      <formula>1</formula>
      <formula>400</formula>
    </cfRule>
  </conditionalFormatting>
  <conditionalFormatting sqref="F38:J38">
    <cfRule type="containsText" dxfId="2082" priority="1952" operator="containsText" text="LWOP UA">
      <formula>NOT(ISERROR(SEARCH("LWOP UA",F38)))</formula>
    </cfRule>
  </conditionalFormatting>
  <conditionalFormatting sqref="H38:J38">
    <cfRule type="containsText" dxfId="2081" priority="1943" operator="containsText" text="LWOP UA">
      <formula>NOT(ISERROR(SEARCH("LWOP UA",H38)))</formula>
    </cfRule>
    <cfRule type="containsText" dxfId="2080" priority="1944" operator="containsText" text="P">
      <formula>NOT(ISERROR(SEARCH("P",H38)))</formula>
    </cfRule>
    <cfRule type="containsText" dxfId="2079" priority="1945" operator="containsText" text="TFO">
      <formula>NOT(ISERROR(SEARCH("TFO",H38)))</formula>
    </cfRule>
    <cfRule type="containsText" dxfId="2078" priority="1946" operator="containsText" text="AA">
      <formula>NOT(ISERROR(SEARCH("AA",H38)))</formula>
    </cfRule>
    <cfRule type="containsText" dxfId="2077" priority="1947" operator="containsText" text="RESIGNED">
      <formula>NOT(ISERROR(SEARCH("RESIGNED",H38)))</formula>
    </cfRule>
    <cfRule type="containsText" dxfId="2076" priority="1948" operator="containsText" text="P">
      <formula>NOT(ISERROR(SEARCH("P",H38)))</formula>
    </cfRule>
    <cfRule type="containsText" dxfId="2075" priority="1949" operator="containsText" text="TARDY">
      <formula>NOT(ISERROR(SEARCH("TARDY",H38)))</formula>
    </cfRule>
    <cfRule type="containsText" dxfId="2074" priority="1950" operator="containsText" text="REST DAY">
      <formula>NOT(ISERROR(SEARCH("REST DAY",H38)))</formula>
    </cfRule>
    <cfRule type="containsText" dxfId="2073" priority="1951" operator="containsText" text="UA">
      <formula>NOT(ISERROR(SEARCH("UA",H38)))</formula>
    </cfRule>
  </conditionalFormatting>
  <conditionalFormatting sqref="F42:J42 F41:I41">
    <cfRule type="containsText" dxfId="2072" priority="1930" operator="containsText" text="P">
      <formula>NOT(ISERROR(SEARCH("P",F41)))</formula>
    </cfRule>
  </conditionalFormatting>
  <conditionalFormatting sqref="F42:J42 F41:I41">
    <cfRule type="containsText" dxfId="2071" priority="1938" operator="containsText" text="LWOP UA">
      <formula>NOT(ISERROR(SEARCH("LWOP UA",F41)))</formula>
    </cfRule>
  </conditionalFormatting>
  <conditionalFormatting sqref="F42:J42 F41:I41">
    <cfRule type="containsText" dxfId="2070" priority="1931" operator="containsText" text="TFO">
      <formula>NOT(ISERROR(SEARCH("TFO",F41)))</formula>
    </cfRule>
    <cfRule type="containsText" dxfId="2069" priority="1932" operator="containsText" text="AA">
      <formula>NOT(ISERROR(SEARCH("AA",F41)))</formula>
    </cfRule>
    <cfRule type="containsText" dxfId="2068" priority="1933" operator="containsText" text="RESIGNED">
      <formula>NOT(ISERROR(SEARCH("RESIGNED",F41)))</formula>
    </cfRule>
    <cfRule type="containsText" dxfId="2067" priority="1934" operator="containsText" text="P">
      <formula>NOT(ISERROR(SEARCH("P",F41)))</formula>
    </cfRule>
    <cfRule type="containsText" dxfId="2066" priority="1935" operator="containsText" text="TARDY">
      <formula>NOT(ISERROR(SEARCH("TARDY",F41)))</formula>
    </cfRule>
    <cfRule type="containsText" dxfId="2065" priority="1936" operator="containsText" text="REST DAY">
      <formula>NOT(ISERROR(SEARCH("REST DAY",F41)))</formula>
    </cfRule>
    <cfRule type="containsText" dxfId="2064" priority="1937" operator="containsText" text="UA">
      <formula>NOT(ISERROR(SEARCH("UA",F41)))</formula>
    </cfRule>
  </conditionalFormatting>
  <conditionalFormatting sqref="F42:J42 F41:I41">
    <cfRule type="containsText" dxfId="2063" priority="1925" operator="containsText" text="VL">
      <formula>NOT(ISERROR(SEARCH("VL",F41)))</formula>
    </cfRule>
    <cfRule type="containsText" dxfId="2062" priority="1926" operator="containsText" text="RD">
      <formula>NOT(ISERROR(SEARCH("RD",F41)))</formula>
    </cfRule>
    <cfRule type="containsText" dxfId="2061" priority="1927" operator="containsText" text="540">
      <formula>NOT(ISERROR(SEARCH("540",F41)))</formula>
    </cfRule>
    <cfRule type="cellIs" dxfId="2060" priority="1928" operator="between">
      <formula>1</formula>
      <formula>400</formula>
    </cfRule>
  </conditionalFormatting>
  <conditionalFormatting sqref="F42:J42 F41:I41">
    <cfRule type="containsText" dxfId="2059" priority="1929" operator="containsText" text="LWOP UA">
      <formula>NOT(ISERROR(SEARCH("LWOP UA",F41)))</formula>
    </cfRule>
  </conditionalFormatting>
  <conditionalFormatting sqref="F47:J47">
    <cfRule type="containsText" dxfId="2058" priority="1916" operator="containsText" text="P">
      <formula>NOT(ISERROR(SEARCH("P",F47)))</formula>
    </cfRule>
  </conditionalFormatting>
  <conditionalFormatting sqref="F47:J47">
    <cfRule type="containsText" dxfId="2057" priority="1924" operator="containsText" text="LWOP UA">
      <formula>NOT(ISERROR(SEARCH("LWOP UA",F47)))</formula>
    </cfRule>
  </conditionalFormatting>
  <conditionalFormatting sqref="F47:J47">
    <cfRule type="containsText" dxfId="2056" priority="1917" operator="containsText" text="TFO">
      <formula>NOT(ISERROR(SEARCH("TFO",F47)))</formula>
    </cfRule>
    <cfRule type="containsText" dxfId="2055" priority="1918" operator="containsText" text="AA">
      <formula>NOT(ISERROR(SEARCH("AA",F47)))</formula>
    </cfRule>
    <cfRule type="containsText" dxfId="2054" priority="1919" operator="containsText" text="RESIGNED">
      <formula>NOT(ISERROR(SEARCH("RESIGNED",F47)))</formula>
    </cfRule>
    <cfRule type="containsText" dxfId="2053" priority="1920" operator="containsText" text="P">
      <formula>NOT(ISERROR(SEARCH("P",F47)))</formula>
    </cfRule>
    <cfRule type="containsText" dxfId="2052" priority="1921" operator="containsText" text="TARDY">
      <formula>NOT(ISERROR(SEARCH("TARDY",F47)))</formula>
    </cfRule>
    <cfRule type="containsText" dxfId="2051" priority="1922" operator="containsText" text="REST DAY">
      <formula>NOT(ISERROR(SEARCH("REST DAY",F47)))</formula>
    </cfRule>
    <cfRule type="containsText" dxfId="2050" priority="1923" operator="containsText" text="UA">
      <formula>NOT(ISERROR(SEARCH("UA",F47)))</formula>
    </cfRule>
  </conditionalFormatting>
  <conditionalFormatting sqref="F47:J47">
    <cfRule type="containsText" dxfId="2049" priority="1911" operator="containsText" text="VL">
      <formula>NOT(ISERROR(SEARCH("VL",F47)))</formula>
    </cfRule>
    <cfRule type="containsText" dxfId="2048" priority="1912" operator="containsText" text="RD">
      <formula>NOT(ISERROR(SEARCH("RD",F47)))</formula>
    </cfRule>
    <cfRule type="containsText" dxfId="2047" priority="1913" operator="containsText" text="540">
      <formula>NOT(ISERROR(SEARCH("540",F47)))</formula>
    </cfRule>
    <cfRule type="cellIs" dxfId="2046" priority="1914" operator="between">
      <formula>1</formula>
      <formula>400</formula>
    </cfRule>
  </conditionalFormatting>
  <conditionalFormatting sqref="F47:J47">
    <cfRule type="containsText" dxfId="2045" priority="1915" operator="containsText" text="LWOP UA">
      <formula>NOT(ISERROR(SEARCH("LWOP UA",F47)))</formula>
    </cfRule>
  </conditionalFormatting>
  <conditionalFormatting sqref="H48:J48">
    <cfRule type="containsText" dxfId="2044" priority="1902" operator="containsText" text="P">
      <formula>NOT(ISERROR(SEARCH("P",H48)))</formula>
    </cfRule>
  </conditionalFormatting>
  <conditionalFormatting sqref="F48:G48">
    <cfRule type="containsText" dxfId="2043" priority="1892" operator="containsText" text="LWOP UA">
      <formula>NOT(ISERROR(SEARCH("LWOP UA",F48)))</formula>
    </cfRule>
    <cfRule type="containsText" dxfId="2042" priority="1893" operator="containsText" text="P">
      <formula>NOT(ISERROR(SEARCH("P",F48)))</formula>
    </cfRule>
    <cfRule type="containsText" dxfId="2041" priority="1894" operator="containsText" text="TFO">
      <formula>NOT(ISERROR(SEARCH("TFO",F48)))</formula>
    </cfRule>
    <cfRule type="containsText" dxfId="2040" priority="1895" operator="containsText" text="AA">
      <formula>NOT(ISERROR(SEARCH("AA",F48)))</formula>
    </cfRule>
    <cfRule type="containsText" dxfId="2039" priority="1896" operator="containsText" text="RESIGNED">
      <formula>NOT(ISERROR(SEARCH("RESIGNED",F48)))</formula>
    </cfRule>
    <cfRule type="containsText" dxfId="2038" priority="1897" operator="containsText" text="P">
      <formula>NOT(ISERROR(SEARCH("P",F48)))</formula>
    </cfRule>
    <cfRule type="containsText" dxfId="2037" priority="1898" operator="containsText" text="TARDY">
      <formula>NOT(ISERROR(SEARCH("TARDY",F48)))</formula>
    </cfRule>
    <cfRule type="containsText" dxfId="2036" priority="1899" operator="containsText" text="REST DAY">
      <formula>NOT(ISERROR(SEARCH("REST DAY",F48)))</formula>
    </cfRule>
    <cfRule type="containsText" dxfId="2035" priority="1900" operator="containsText" text="UA">
      <formula>NOT(ISERROR(SEARCH("UA",F48)))</formula>
    </cfRule>
  </conditionalFormatting>
  <conditionalFormatting sqref="H48:J48">
    <cfRule type="containsText" dxfId="2034" priority="1910" operator="containsText" text="LWOP UA">
      <formula>NOT(ISERROR(SEARCH("LWOP UA",H48)))</formula>
    </cfRule>
  </conditionalFormatting>
  <conditionalFormatting sqref="H48:J48">
    <cfRule type="containsText" dxfId="2033" priority="1903" operator="containsText" text="TFO">
      <formula>NOT(ISERROR(SEARCH("TFO",H48)))</formula>
    </cfRule>
    <cfRule type="containsText" dxfId="2032" priority="1904" operator="containsText" text="AA">
      <formula>NOT(ISERROR(SEARCH("AA",H48)))</formula>
    </cfRule>
    <cfRule type="containsText" dxfId="2031" priority="1905" operator="containsText" text="RESIGNED">
      <formula>NOT(ISERROR(SEARCH("RESIGNED",H48)))</formula>
    </cfRule>
    <cfRule type="containsText" dxfId="2030" priority="1906" operator="containsText" text="P">
      <formula>NOT(ISERROR(SEARCH("P",H48)))</formula>
    </cfRule>
    <cfRule type="containsText" dxfId="2029" priority="1907" operator="containsText" text="TARDY">
      <formula>NOT(ISERROR(SEARCH("TARDY",H48)))</formula>
    </cfRule>
    <cfRule type="containsText" dxfId="2028" priority="1908" operator="containsText" text="REST DAY">
      <formula>NOT(ISERROR(SEARCH("REST DAY",H48)))</formula>
    </cfRule>
    <cfRule type="containsText" dxfId="2027" priority="1909" operator="containsText" text="UA">
      <formula>NOT(ISERROR(SEARCH("UA",H48)))</formula>
    </cfRule>
  </conditionalFormatting>
  <conditionalFormatting sqref="F48:J48">
    <cfRule type="containsText" dxfId="2026" priority="1888" operator="containsText" text="VL">
      <formula>NOT(ISERROR(SEARCH("VL",F48)))</formula>
    </cfRule>
    <cfRule type="containsText" dxfId="2025" priority="1889" operator="containsText" text="RD">
      <formula>NOT(ISERROR(SEARCH("RD",F48)))</formula>
    </cfRule>
    <cfRule type="containsText" dxfId="2024" priority="1890" operator="containsText" text="540">
      <formula>NOT(ISERROR(SEARCH("540",F48)))</formula>
    </cfRule>
    <cfRule type="cellIs" dxfId="2023" priority="1891" operator="between">
      <formula>1</formula>
      <formula>400</formula>
    </cfRule>
  </conditionalFormatting>
  <conditionalFormatting sqref="F48:J48">
    <cfRule type="containsText" dxfId="2022" priority="1901" operator="containsText" text="LWOP UA">
      <formula>NOT(ISERROR(SEARCH("LWOP UA",F48)))</formula>
    </cfRule>
  </conditionalFormatting>
  <conditionalFormatting sqref="F53:I53">
    <cfRule type="containsText" dxfId="2021" priority="1879" operator="containsText" text="P">
      <formula>NOT(ISERROR(SEARCH("P",F53)))</formula>
    </cfRule>
  </conditionalFormatting>
  <conditionalFormatting sqref="F53:I53">
    <cfRule type="containsText" dxfId="2020" priority="1887" operator="containsText" text="LWOP UA">
      <formula>NOT(ISERROR(SEARCH("LWOP UA",F53)))</formula>
    </cfRule>
  </conditionalFormatting>
  <conditionalFormatting sqref="F53:I53">
    <cfRule type="containsText" dxfId="2019" priority="1880" operator="containsText" text="TFO">
      <formula>NOT(ISERROR(SEARCH("TFO",F53)))</formula>
    </cfRule>
    <cfRule type="containsText" dxfId="2018" priority="1881" operator="containsText" text="AA">
      <formula>NOT(ISERROR(SEARCH("AA",F53)))</formula>
    </cfRule>
    <cfRule type="containsText" dxfId="2017" priority="1882" operator="containsText" text="RESIGNED">
      <formula>NOT(ISERROR(SEARCH("RESIGNED",F53)))</formula>
    </cfRule>
    <cfRule type="containsText" dxfId="2016" priority="1883" operator="containsText" text="P">
      <formula>NOT(ISERROR(SEARCH("P",F53)))</formula>
    </cfRule>
    <cfRule type="containsText" dxfId="2015" priority="1884" operator="containsText" text="TARDY">
      <formula>NOT(ISERROR(SEARCH("TARDY",F53)))</formula>
    </cfRule>
    <cfRule type="containsText" dxfId="2014" priority="1885" operator="containsText" text="REST DAY">
      <formula>NOT(ISERROR(SEARCH("REST DAY",F53)))</formula>
    </cfRule>
    <cfRule type="containsText" dxfId="2013" priority="1886" operator="containsText" text="UA">
      <formula>NOT(ISERROR(SEARCH("UA",F53)))</formula>
    </cfRule>
  </conditionalFormatting>
  <conditionalFormatting sqref="F53:I53">
    <cfRule type="containsText" dxfId="2012" priority="1874" operator="containsText" text="VL">
      <formula>NOT(ISERROR(SEARCH("VL",F53)))</formula>
    </cfRule>
    <cfRule type="containsText" dxfId="2011" priority="1875" operator="containsText" text="RD">
      <formula>NOT(ISERROR(SEARCH("RD",F53)))</formula>
    </cfRule>
    <cfRule type="containsText" dxfId="2010" priority="1876" operator="containsText" text="540">
      <formula>NOT(ISERROR(SEARCH("540",F53)))</formula>
    </cfRule>
    <cfRule type="cellIs" dxfId="2009" priority="1877" operator="between">
      <formula>1</formula>
      <formula>400</formula>
    </cfRule>
  </conditionalFormatting>
  <conditionalFormatting sqref="F53:I53">
    <cfRule type="containsText" dxfId="2008" priority="1878" operator="containsText" text="LWOP UA">
      <formula>NOT(ISERROR(SEARCH("LWOP UA",F53)))</formula>
    </cfRule>
  </conditionalFormatting>
  <conditionalFormatting sqref="H55:J55">
    <cfRule type="containsText" dxfId="2007" priority="1865" operator="containsText" text="P">
      <formula>NOT(ISERROR(SEARCH("P",H55)))</formula>
    </cfRule>
  </conditionalFormatting>
  <conditionalFormatting sqref="F55:G55">
    <cfRule type="containsText" dxfId="2006" priority="1855" operator="containsText" text="P">
      <formula>NOT(ISERROR(SEARCH("P",F55)))</formula>
    </cfRule>
    <cfRule type="containsText" dxfId="2005" priority="1856" operator="containsText" text="TFO">
      <formula>NOT(ISERROR(SEARCH("TFO",F55)))</formula>
    </cfRule>
    <cfRule type="containsText" dxfId="2004" priority="1857" operator="containsText" text="AA">
      <formula>NOT(ISERROR(SEARCH("AA",F55)))</formula>
    </cfRule>
    <cfRule type="containsText" dxfId="2003" priority="1858" operator="containsText" text="RESIGNED">
      <formula>NOT(ISERROR(SEARCH("RESIGNED",F55)))</formula>
    </cfRule>
    <cfRule type="containsText" dxfId="2002" priority="1859" operator="containsText" text="P">
      <formula>NOT(ISERROR(SEARCH("P",F55)))</formula>
    </cfRule>
    <cfRule type="containsText" dxfId="2001" priority="1860" operator="containsText" text="TARDY">
      <formula>NOT(ISERROR(SEARCH("TARDY",F55)))</formula>
    </cfRule>
    <cfRule type="containsText" dxfId="2000" priority="1861" operator="containsText" text="REST DAY">
      <formula>NOT(ISERROR(SEARCH("REST DAY",F55)))</formula>
    </cfRule>
    <cfRule type="containsText" dxfId="1999" priority="1862" operator="containsText" text="UA">
      <formula>NOT(ISERROR(SEARCH("UA",F55)))</formula>
    </cfRule>
    <cfRule type="containsText" dxfId="1998" priority="1863" operator="containsText" text="LWOP UA">
      <formula>NOT(ISERROR(SEARCH("LWOP UA",F55)))</formula>
    </cfRule>
  </conditionalFormatting>
  <conditionalFormatting sqref="F55:G55">
    <cfRule type="containsText" dxfId="1997" priority="1854" operator="containsText" text="LWOP UA">
      <formula>NOT(ISERROR(SEARCH("LWOP UA",F55)))</formula>
    </cfRule>
  </conditionalFormatting>
  <conditionalFormatting sqref="H55:J55">
    <cfRule type="containsText" dxfId="1996" priority="1873" operator="containsText" text="LWOP UA">
      <formula>NOT(ISERROR(SEARCH("LWOP UA",H55)))</formula>
    </cfRule>
  </conditionalFormatting>
  <conditionalFormatting sqref="H55:J55">
    <cfRule type="containsText" dxfId="1995" priority="1866" operator="containsText" text="TFO">
      <formula>NOT(ISERROR(SEARCH("TFO",H55)))</formula>
    </cfRule>
    <cfRule type="containsText" dxfId="1994" priority="1867" operator="containsText" text="AA">
      <formula>NOT(ISERROR(SEARCH("AA",H55)))</formula>
    </cfRule>
    <cfRule type="containsText" dxfId="1993" priority="1868" operator="containsText" text="RESIGNED">
      <formula>NOT(ISERROR(SEARCH("RESIGNED",H55)))</formula>
    </cfRule>
    <cfRule type="containsText" dxfId="1992" priority="1869" operator="containsText" text="P">
      <formula>NOT(ISERROR(SEARCH("P",H55)))</formula>
    </cfRule>
    <cfRule type="containsText" dxfId="1991" priority="1870" operator="containsText" text="TARDY">
      <formula>NOT(ISERROR(SEARCH("TARDY",H55)))</formula>
    </cfRule>
    <cfRule type="containsText" dxfId="1990" priority="1871" operator="containsText" text="REST DAY">
      <formula>NOT(ISERROR(SEARCH("REST DAY",H55)))</formula>
    </cfRule>
    <cfRule type="containsText" dxfId="1989" priority="1872" operator="containsText" text="UA">
      <formula>NOT(ISERROR(SEARCH("UA",H55)))</formula>
    </cfRule>
  </conditionalFormatting>
  <conditionalFormatting sqref="F55:J55">
    <cfRule type="containsText" dxfId="1988" priority="1850" operator="containsText" text="VL">
      <formula>NOT(ISERROR(SEARCH("VL",F55)))</formula>
    </cfRule>
    <cfRule type="containsText" dxfId="1987" priority="1851" operator="containsText" text="RD">
      <formula>NOT(ISERROR(SEARCH("RD",F55)))</formula>
    </cfRule>
    <cfRule type="containsText" dxfId="1986" priority="1852" operator="containsText" text="540">
      <formula>NOT(ISERROR(SEARCH("540",F55)))</formula>
    </cfRule>
    <cfRule type="cellIs" dxfId="1985" priority="1853" operator="between">
      <formula>1</formula>
      <formula>400</formula>
    </cfRule>
  </conditionalFormatting>
  <conditionalFormatting sqref="H55:J55">
    <cfRule type="containsText" dxfId="1984" priority="1864" operator="containsText" text="LWOP UA">
      <formula>NOT(ISERROR(SEARCH("LWOP UA",H55)))</formula>
    </cfRule>
  </conditionalFormatting>
  <conditionalFormatting sqref="H57:J57">
    <cfRule type="containsText" dxfId="1983" priority="1841" operator="containsText" text="P">
      <formula>NOT(ISERROR(SEARCH("P",H57)))</formula>
    </cfRule>
  </conditionalFormatting>
  <conditionalFormatting sqref="G57">
    <cfRule type="containsText" dxfId="1982" priority="1831" operator="containsText" text="P">
      <formula>NOT(ISERROR(SEARCH("P",G57)))</formula>
    </cfRule>
    <cfRule type="containsText" dxfId="1981" priority="1832" operator="containsText" text="TFO">
      <formula>NOT(ISERROR(SEARCH("TFO",G57)))</formula>
    </cfRule>
    <cfRule type="containsText" dxfId="1980" priority="1833" operator="containsText" text="AA">
      <formula>NOT(ISERROR(SEARCH("AA",G57)))</formula>
    </cfRule>
    <cfRule type="containsText" dxfId="1979" priority="1834" operator="containsText" text="RESIGNED">
      <formula>NOT(ISERROR(SEARCH("RESIGNED",G57)))</formula>
    </cfRule>
    <cfRule type="containsText" dxfId="1978" priority="1835" operator="containsText" text="P">
      <formula>NOT(ISERROR(SEARCH("P",G57)))</formula>
    </cfRule>
    <cfRule type="containsText" dxfId="1977" priority="1836" operator="containsText" text="TARDY">
      <formula>NOT(ISERROR(SEARCH("TARDY",G57)))</formula>
    </cfRule>
    <cfRule type="containsText" dxfId="1976" priority="1837" operator="containsText" text="REST DAY">
      <formula>NOT(ISERROR(SEARCH("REST DAY",G57)))</formula>
    </cfRule>
    <cfRule type="containsText" dxfId="1975" priority="1838" operator="containsText" text="UA">
      <formula>NOT(ISERROR(SEARCH("UA",G57)))</formula>
    </cfRule>
    <cfRule type="containsText" dxfId="1974" priority="1839" operator="containsText" text="LWOP UA">
      <formula>NOT(ISERROR(SEARCH("LWOP UA",G57)))</formula>
    </cfRule>
  </conditionalFormatting>
  <conditionalFormatting sqref="G57">
    <cfRule type="containsText" dxfId="1973" priority="1830" operator="containsText" text="LWOP UA">
      <formula>NOT(ISERROR(SEARCH("LWOP UA",G57)))</formula>
    </cfRule>
  </conditionalFormatting>
  <conditionalFormatting sqref="H57:J57">
    <cfRule type="containsText" dxfId="1972" priority="1849" operator="containsText" text="LWOP UA">
      <formula>NOT(ISERROR(SEARCH("LWOP UA",H57)))</formula>
    </cfRule>
  </conditionalFormatting>
  <conditionalFormatting sqref="H57:J57">
    <cfRule type="containsText" dxfId="1971" priority="1842" operator="containsText" text="TFO">
      <formula>NOT(ISERROR(SEARCH("TFO",H57)))</formula>
    </cfRule>
    <cfRule type="containsText" dxfId="1970" priority="1843" operator="containsText" text="AA">
      <formula>NOT(ISERROR(SEARCH("AA",H57)))</formula>
    </cfRule>
    <cfRule type="containsText" dxfId="1969" priority="1844" operator="containsText" text="RESIGNED">
      <formula>NOT(ISERROR(SEARCH("RESIGNED",H57)))</formula>
    </cfRule>
    <cfRule type="containsText" dxfId="1968" priority="1845" operator="containsText" text="P">
      <formula>NOT(ISERROR(SEARCH("P",H57)))</formula>
    </cfRule>
    <cfRule type="containsText" dxfId="1967" priority="1846" operator="containsText" text="TARDY">
      <formula>NOT(ISERROR(SEARCH("TARDY",H57)))</formula>
    </cfRule>
    <cfRule type="containsText" dxfId="1966" priority="1847" operator="containsText" text="REST DAY">
      <formula>NOT(ISERROR(SEARCH("REST DAY",H57)))</formula>
    </cfRule>
    <cfRule type="containsText" dxfId="1965" priority="1848" operator="containsText" text="UA">
      <formula>NOT(ISERROR(SEARCH("UA",H57)))</formula>
    </cfRule>
  </conditionalFormatting>
  <conditionalFormatting sqref="G57:J57">
    <cfRule type="containsText" dxfId="1964" priority="1826" operator="containsText" text="VL">
      <formula>NOT(ISERROR(SEARCH("VL",G57)))</formula>
    </cfRule>
    <cfRule type="containsText" dxfId="1963" priority="1827" operator="containsText" text="RD">
      <formula>NOT(ISERROR(SEARCH("RD",G57)))</formula>
    </cfRule>
    <cfRule type="containsText" dxfId="1962" priority="1828" operator="containsText" text="540">
      <formula>NOT(ISERROR(SEARCH("540",G57)))</formula>
    </cfRule>
    <cfRule type="cellIs" dxfId="1961" priority="1829" operator="between">
      <formula>1</formula>
      <formula>400</formula>
    </cfRule>
  </conditionalFormatting>
  <conditionalFormatting sqref="H57:J57">
    <cfRule type="containsText" dxfId="1960" priority="1840" operator="containsText" text="LWOP UA">
      <formula>NOT(ISERROR(SEARCH("LWOP UA",H57)))</formula>
    </cfRule>
  </conditionalFormatting>
  <conditionalFormatting sqref="G60:I60">
    <cfRule type="containsText" dxfId="1959" priority="1817" operator="containsText" text="P">
      <formula>NOT(ISERROR(SEARCH("P",G60)))</formula>
    </cfRule>
  </conditionalFormatting>
  <conditionalFormatting sqref="G60:I60">
    <cfRule type="containsText" dxfId="1958" priority="1825" operator="containsText" text="LWOP UA">
      <formula>NOT(ISERROR(SEARCH("LWOP UA",G60)))</formula>
    </cfRule>
  </conditionalFormatting>
  <conditionalFormatting sqref="G60:I60">
    <cfRule type="containsText" dxfId="1957" priority="1818" operator="containsText" text="TFO">
      <formula>NOT(ISERROR(SEARCH("TFO",G60)))</formula>
    </cfRule>
    <cfRule type="containsText" dxfId="1956" priority="1819" operator="containsText" text="AA">
      <formula>NOT(ISERROR(SEARCH("AA",G60)))</formula>
    </cfRule>
    <cfRule type="containsText" dxfId="1955" priority="1820" operator="containsText" text="RESIGNED">
      <formula>NOT(ISERROR(SEARCH("RESIGNED",G60)))</formula>
    </cfRule>
    <cfRule type="containsText" dxfId="1954" priority="1821" operator="containsText" text="P">
      <formula>NOT(ISERROR(SEARCH("P",G60)))</formula>
    </cfRule>
    <cfRule type="containsText" dxfId="1953" priority="1822" operator="containsText" text="TARDY">
      <formula>NOT(ISERROR(SEARCH("TARDY",G60)))</formula>
    </cfRule>
    <cfRule type="containsText" dxfId="1952" priority="1823" operator="containsText" text="REST DAY">
      <formula>NOT(ISERROR(SEARCH("REST DAY",G60)))</formula>
    </cfRule>
    <cfRule type="containsText" dxfId="1951" priority="1824" operator="containsText" text="UA">
      <formula>NOT(ISERROR(SEARCH("UA",G60)))</formula>
    </cfRule>
  </conditionalFormatting>
  <conditionalFormatting sqref="G60:I60">
    <cfRule type="containsText" dxfId="1950" priority="1812" operator="containsText" text="VL">
      <formula>NOT(ISERROR(SEARCH("VL",G60)))</formula>
    </cfRule>
    <cfRule type="containsText" dxfId="1949" priority="1813" operator="containsText" text="RD">
      <formula>NOT(ISERROR(SEARCH("RD",G60)))</formula>
    </cfRule>
    <cfRule type="containsText" dxfId="1948" priority="1814" operator="containsText" text="540">
      <formula>NOT(ISERROR(SEARCH("540",G60)))</formula>
    </cfRule>
    <cfRule type="cellIs" dxfId="1947" priority="1815" operator="between">
      <formula>1</formula>
      <formula>400</formula>
    </cfRule>
  </conditionalFormatting>
  <conditionalFormatting sqref="G60:I60">
    <cfRule type="containsText" dxfId="1946" priority="1816" operator="containsText" text="LWOP UA">
      <formula>NOT(ISERROR(SEARCH("LWOP UA",G60)))</formula>
    </cfRule>
  </conditionalFormatting>
  <conditionalFormatting sqref="J64">
    <cfRule type="containsText" dxfId="1945" priority="1803" operator="containsText" text="P">
      <formula>NOT(ISERROR(SEARCH("P",J64)))</formula>
    </cfRule>
  </conditionalFormatting>
  <conditionalFormatting sqref="J64">
    <cfRule type="containsText" dxfId="1944" priority="1811" operator="containsText" text="LWOP UA">
      <formula>NOT(ISERROR(SEARCH("LWOP UA",J64)))</formula>
    </cfRule>
  </conditionalFormatting>
  <conditionalFormatting sqref="J64">
    <cfRule type="containsText" dxfId="1943" priority="1804" operator="containsText" text="TFO">
      <formula>NOT(ISERROR(SEARCH("TFO",J64)))</formula>
    </cfRule>
    <cfRule type="containsText" dxfId="1942" priority="1805" operator="containsText" text="AA">
      <formula>NOT(ISERROR(SEARCH("AA",J64)))</formula>
    </cfRule>
    <cfRule type="containsText" dxfId="1941" priority="1806" operator="containsText" text="RESIGNED">
      <formula>NOT(ISERROR(SEARCH("RESIGNED",J64)))</formula>
    </cfRule>
    <cfRule type="containsText" dxfId="1940" priority="1807" operator="containsText" text="P">
      <formula>NOT(ISERROR(SEARCH("P",J64)))</formula>
    </cfRule>
    <cfRule type="containsText" dxfId="1939" priority="1808" operator="containsText" text="TARDY">
      <formula>NOT(ISERROR(SEARCH("TARDY",J64)))</formula>
    </cfRule>
    <cfRule type="containsText" dxfId="1938" priority="1809" operator="containsText" text="REST DAY">
      <formula>NOT(ISERROR(SEARCH("REST DAY",J64)))</formula>
    </cfRule>
    <cfRule type="containsText" dxfId="1937" priority="1810" operator="containsText" text="UA">
      <formula>NOT(ISERROR(SEARCH("UA",J64)))</formula>
    </cfRule>
  </conditionalFormatting>
  <conditionalFormatting sqref="H64:J64">
    <cfRule type="containsText" dxfId="1936" priority="1789" operator="containsText" text="VL">
      <formula>NOT(ISERROR(SEARCH("VL",H64)))</formula>
    </cfRule>
    <cfRule type="containsText" dxfId="1935" priority="1790" operator="containsText" text="RD">
      <formula>NOT(ISERROR(SEARCH("RD",H64)))</formula>
    </cfRule>
    <cfRule type="containsText" dxfId="1934" priority="1791" operator="containsText" text="540">
      <formula>NOT(ISERROR(SEARCH("540",H64)))</formula>
    </cfRule>
    <cfRule type="cellIs" dxfId="1933" priority="1792" operator="between">
      <formula>1</formula>
      <formula>400</formula>
    </cfRule>
  </conditionalFormatting>
  <conditionalFormatting sqref="H64:J64">
    <cfRule type="containsText" dxfId="1932" priority="1802" operator="containsText" text="LWOP UA">
      <formula>NOT(ISERROR(SEARCH("LWOP UA",H64)))</formula>
    </cfRule>
  </conditionalFormatting>
  <conditionalFormatting sqref="H64:I64">
    <cfRule type="containsText" dxfId="1931" priority="1793" operator="containsText" text="LWOP UA">
      <formula>NOT(ISERROR(SEARCH("LWOP UA",H64)))</formula>
    </cfRule>
    <cfRule type="containsText" dxfId="1930" priority="1794" operator="containsText" text="P">
      <formula>NOT(ISERROR(SEARCH("P",H64)))</formula>
    </cfRule>
    <cfRule type="containsText" dxfId="1929" priority="1795" operator="containsText" text="TFO">
      <formula>NOT(ISERROR(SEARCH("TFO",H64)))</formula>
    </cfRule>
    <cfRule type="containsText" dxfId="1928" priority="1796" operator="containsText" text="AA">
      <formula>NOT(ISERROR(SEARCH("AA",H64)))</formula>
    </cfRule>
    <cfRule type="containsText" dxfId="1927" priority="1797" operator="containsText" text="RESIGNED">
      <formula>NOT(ISERROR(SEARCH("RESIGNED",H64)))</formula>
    </cfRule>
    <cfRule type="containsText" dxfId="1926" priority="1798" operator="containsText" text="P">
      <formula>NOT(ISERROR(SEARCH("P",H64)))</formula>
    </cfRule>
    <cfRule type="containsText" dxfId="1925" priority="1799" operator="containsText" text="TARDY">
      <formula>NOT(ISERROR(SEARCH("TARDY",H64)))</formula>
    </cfRule>
    <cfRule type="containsText" dxfId="1924" priority="1800" operator="containsText" text="REST DAY">
      <formula>NOT(ISERROR(SEARCH("REST DAY",H64)))</formula>
    </cfRule>
    <cfRule type="containsText" dxfId="1923" priority="1801" operator="containsText" text="UA">
      <formula>NOT(ISERROR(SEARCH("UA",H64)))</formula>
    </cfRule>
  </conditionalFormatting>
  <conditionalFormatting sqref="F68:I68">
    <cfRule type="containsText" dxfId="1922" priority="1780" operator="containsText" text="P">
      <formula>NOT(ISERROR(SEARCH("P",F68)))</formula>
    </cfRule>
  </conditionalFormatting>
  <conditionalFormatting sqref="F68:I68">
    <cfRule type="containsText" dxfId="1921" priority="1788" operator="containsText" text="LWOP UA">
      <formula>NOT(ISERROR(SEARCH("LWOP UA",F68)))</formula>
    </cfRule>
  </conditionalFormatting>
  <conditionalFormatting sqref="F68:I68">
    <cfRule type="containsText" dxfId="1920" priority="1781" operator="containsText" text="TFO">
      <formula>NOT(ISERROR(SEARCH("TFO",F68)))</formula>
    </cfRule>
    <cfRule type="containsText" dxfId="1919" priority="1782" operator="containsText" text="AA">
      <formula>NOT(ISERROR(SEARCH("AA",F68)))</formula>
    </cfRule>
    <cfRule type="containsText" dxfId="1918" priority="1783" operator="containsText" text="RESIGNED">
      <formula>NOT(ISERROR(SEARCH("RESIGNED",F68)))</formula>
    </cfRule>
    <cfRule type="containsText" dxfId="1917" priority="1784" operator="containsText" text="P">
      <formula>NOT(ISERROR(SEARCH("P",F68)))</formula>
    </cfRule>
    <cfRule type="containsText" dxfId="1916" priority="1785" operator="containsText" text="TARDY">
      <formula>NOT(ISERROR(SEARCH("TARDY",F68)))</formula>
    </cfRule>
    <cfRule type="containsText" dxfId="1915" priority="1786" operator="containsText" text="REST DAY">
      <formula>NOT(ISERROR(SEARCH("REST DAY",F68)))</formula>
    </cfRule>
    <cfRule type="containsText" dxfId="1914" priority="1787" operator="containsText" text="UA">
      <formula>NOT(ISERROR(SEARCH("UA",F68)))</formula>
    </cfRule>
  </conditionalFormatting>
  <conditionalFormatting sqref="F68:I68">
    <cfRule type="containsText" dxfId="1913" priority="1776" operator="containsText" text="RD">
      <formula>NOT(ISERROR(SEARCH("RD",F68)))</formula>
    </cfRule>
    <cfRule type="containsText" dxfId="1912" priority="1777" operator="containsText" text="540">
      <formula>NOT(ISERROR(SEARCH("540",F68)))</formula>
    </cfRule>
    <cfRule type="cellIs" dxfId="1911" priority="1778" operator="between">
      <formula>1</formula>
      <formula>400</formula>
    </cfRule>
  </conditionalFormatting>
  <conditionalFormatting sqref="F68:I68">
    <cfRule type="containsText" dxfId="1910" priority="1779" operator="containsText" text="LWOP UA">
      <formula>NOT(ISERROR(SEARCH("LWOP UA",F68)))</formula>
    </cfRule>
  </conditionalFormatting>
  <conditionalFormatting sqref="F68:I68">
    <cfRule type="containsText" dxfId="1909" priority="1775" operator="containsText" text="VL">
      <formula>NOT(ISERROR(SEARCH("VL",F68)))</formula>
    </cfRule>
  </conditionalFormatting>
  <conditionalFormatting sqref="F71:I71">
    <cfRule type="containsText" dxfId="1908" priority="1766" operator="containsText" text="P">
      <formula>NOT(ISERROR(SEARCH("P",F71)))</formula>
    </cfRule>
  </conditionalFormatting>
  <conditionalFormatting sqref="F71:I71">
    <cfRule type="containsText" dxfId="1907" priority="1774" operator="containsText" text="LWOP UA">
      <formula>NOT(ISERROR(SEARCH("LWOP UA",F71)))</formula>
    </cfRule>
  </conditionalFormatting>
  <conditionalFormatting sqref="F71:I71">
    <cfRule type="containsText" dxfId="1906" priority="1767" operator="containsText" text="TFO">
      <formula>NOT(ISERROR(SEARCH("TFO",F71)))</formula>
    </cfRule>
    <cfRule type="containsText" dxfId="1905" priority="1768" operator="containsText" text="AA">
      <formula>NOT(ISERROR(SEARCH("AA",F71)))</formula>
    </cfRule>
    <cfRule type="containsText" dxfId="1904" priority="1769" operator="containsText" text="RESIGNED">
      <formula>NOT(ISERROR(SEARCH("RESIGNED",F71)))</formula>
    </cfRule>
    <cfRule type="containsText" dxfId="1903" priority="1770" operator="containsText" text="P">
      <formula>NOT(ISERROR(SEARCH("P",F71)))</formula>
    </cfRule>
    <cfRule type="containsText" dxfId="1902" priority="1771" operator="containsText" text="TARDY">
      <formula>NOT(ISERROR(SEARCH("TARDY",F71)))</formula>
    </cfRule>
    <cfRule type="containsText" dxfId="1901" priority="1772" operator="containsText" text="REST DAY">
      <formula>NOT(ISERROR(SEARCH("REST DAY",F71)))</formula>
    </cfRule>
    <cfRule type="containsText" dxfId="1900" priority="1773" operator="containsText" text="UA">
      <formula>NOT(ISERROR(SEARCH("UA",F71)))</formula>
    </cfRule>
  </conditionalFormatting>
  <conditionalFormatting sqref="F71:I71">
    <cfRule type="containsText" dxfId="1899" priority="1762" operator="containsText" text="RD">
      <formula>NOT(ISERROR(SEARCH("RD",F71)))</formula>
    </cfRule>
    <cfRule type="containsText" dxfId="1898" priority="1763" operator="containsText" text="540">
      <formula>NOT(ISERROR(SEARCH("540",F71)))</formula>
    </cfRule>
    <cfRule type="cellIs" dxfId="1897" priority="1764" operator="between">
      <formula>1</formula>
      <formula>400</formula>
    </cfRule>
  </conditionalFormatting>
  <conditionalFormatting sqref="F71:I71">
    <cfRule type="containsText" dxfId="1896" priority="1765" operator="containsText" text="LWOP UA">
      <formula>NOT(ISERROR(SEARCH("LWOP UA",F71)))</formula>
    </cfRule>
  </conditionalFormatting>
  <conditionalFormatting sqref="F71:I71">
    <cfRule type="containsText" dxfId="1895" priority="1761" operator="containsText" text="VL">
      <formula>NOT(ISERROR(SEARCH("VL",F71)))</formula>
    </cfRule>
  </conditionalFormatting>
  <conditionalFormatting sqref="J79">
    <cfRule type="containsText" dxfId="1894" priority="1752" operator="containsText" text="P">
      <formula>NOT(ISERROR(SEARCH("P",J79)))</formula>
    </cfRule>
  </conditionalFormatting>
  <conditionalFormatting sqref="J79">
    <cfRule type="containsText" dxfId="1893" priority="1760" operator="containsText" text="LWOP UA">
      <formula>NOT(ISERROR(SEARCH("LWOP UA",J79)))</formula>
    </cfRule>
  </conditionalFormatting>
  <conditionalFormatting sqref="J79">
    <cfRule type="containsText" dxfId="1892" priority="1753" operator="containsText" text="TFO">
      <formula>NOT(ISERROR(SEARCH("TFO",J79)))</formula>
    </cfRule>
    <cfRule type="containsText" dxfId="1891" priority="1754" operator="containsText" text="AA">
      <formula>NOT(ISERROR(SEARCH("AA",J79)))</formula>
    </cfRule>
    <cfRule type="containsText" dxfId="1890" priority="1755" operator="containsText" text="RESIGNED">
      <formula>NOT(ISERROR(SEARCH("RESIGNED",J79)))</formula>
    </cfRule>
    <cfRule type="containsText" dxfId="1889" priority="1756" operator="containsText" text="P">
      <formula>NOT(ISERROR(SEARCH("P",J79)))</formula>
    </cfRule>
    <cfRule type="containsText" dxfId="1888" priority="1757" operator="containsText" text="TARDY">
      <formula>NOT(ISERROR(SEARCH("TARDY",J79)))</formula>
    </cfRule>
    <cfRule type="containsText" dxfId="1887" priority="1758" operator="containsText" text="REST DAY">
      <formula>NOT(ISERROR(SEARCH("REST DAY",J79)))</formula>
    </cfRule>
    <cfRule type="containsText" dxfId="1886" priority="1759" operator="containsText" text="UA">
      <formula>NOT(ISERROR(SEARCH("UA",J79)))</formula>
    </cfRule>
  </conditionalFormatting>
  <conditionalFormatting sqref="H79:J79">
    <cfRule type="containsText" dxfId="1885" priority="1738" operator="containsText" text="VL">
      <formula>NOT(ISERROR(SEARCH("VL",H79)))</formula>
    </cfRule>
    <cfRule type="containsText" dxfId="1884" priority="1739" operator="containsText" text="RD">
      <formula>NOT(ISERROR(SEARCH("RD",H79)))</formula>
    </cfRule>
    <cfRule type="containsText" dxfId="1883" priority="1740" operator="containsText" text="540">
      <formula>NOT(ISERROR(SEARCH("540",H79)))</formula>
    </cfRule>
    <cfRule type="cellIs" dxfId="1882" priority="1741" operator="between">
      <formula>1</formula>
      <formula>400</formula>
    </cfRule>
  </conditionalFormatting>
  <conditionalFormatting sqref="H79:I79">
    <cfRule type="containsText" dxfId="1881" priority="1742" operator="containsText" text="LWOP UA">
      <formula>NOT(ISERROR(SEARCH("LWOP UA",H79)))</formula>
    </cfRule>
    <cfRule type="containsText" dxfId="1880" priority="1743" operator="containsText" text="P">
      <formula>NOT(ISERROR(SEARCH("P",H79)))</formula>
    </cfRule>
    <cfRule type="containsText" dxfId="1879" priority="1744" operator="containsText" text="TFO">
      <formula>NOT(ISERROR(SEARCH("TFO",H79)))</formula>
    </cfRule>
    <cfRule type="containsText" dxfId="1878" priority="1745" operator="containsText" text="AA">
      <formula>NOT(ISERROR(SEARCH("AA",H79)))</formula>
    </cfRule>
    <cfRule type="containsText" dxfId="1877" priority="1746" operator="containsText" text="RESIGNED">
      <formula>NOT(ISERROR(SEARCH("RESIGNED",H79)))</formula>
    </cfRule>
    <cfRule type="containsText" dxfId="1876" priority="1747" operator="containsText" text="P">
      <formula>NOT(ISERROR(SEARCH("P",H79)))</formula>
    </cfRule>
    <cfRule type="containsText" dxfId="1875" priority="1748" operator="containsText" text="TARDY">
      <formula>NOT(ISERROR(SEARCH("TARDY",H79)))</formula>
    </cfRule>
    <cfRule type="containsText" dxfId="1874" priority="1749" operator="containsText" text="REST DAY">
      <formula>NOT(ISERROR(SEARCH("REST DAY",H79)))</formula>
    </cfRule>
    <cfRule type="containsText" dxfId="1873" priority="1750" operator="containsText" text="UA">
      <formula>NOT(ISERROR(SEARCH("UA",H79)))</formula>
    </cfRule>
  </conditionalFormatting>
  <conditionalFormatting sqref="H79:J79">
    <cfRule type="containsText" dxfId="1872" priority="1751" operator="containsText" text="LWOP UA">
      <formula>NOT(ISERROR(SEARCH("LWOP UA",H79)))</formula>
    </cfRule>
  </conditionalFormatting>
  <conditionalFormatting sqref="F73:G73">
    <cfRule type="containsText" dxfId="1871" priority="1736" operator="containsText" text="LWOP UA">
      <formula>NOT(ISERROR(SEARCH("LWOP UA",F73)))</formula>
    </cfRule>
  </conditionalFormatting>
  <conditionalFormatting sqref="H73">
    <cfRule type="containsText" dxfId="1870" priority="1737" operator="containsText" text="LWOP UA">
      <formula>NOT(ISERROR(SEARCH("LWOP UA",H73)))</formula>
    </cfRule>
  </conditionalFormatting>
  <conditionalFormatting sqref="F73:H73">
    <cfRule type="containsText" dxfId="1869" priority="1723" operator="containsText" text="VL">
      <formula>NOT(ISERROR(SEARCH("VL",F73)))</formula>
    </cfRule>
    <cfRule type="containsText" dxfId="1868" priority="1724" operator="containsText" text="RD">
      <formula>NOT(ISERROR(SEARCH("RD",F73)))</formula>
    </cfRule>
    <cfRule type="containsText" dxfId="1867" priority="1725" operator="containsText" text="540">
      <formula>NOT(ISERROR(SEARCH("540",F73)))</formula>
    </cfRule>
    <cfRule type="cellIs" dxfId="1866" priority="1726" operator="between">
      <formula>1</formula>
      <formula>400</formula>
    </cfRule>
  </conditionalFormatting>
  <conditionalFormatting sqref="F73:H73">
    <cfRule type="containsText" dxfId="1865" priority="1727" operator="containsText" text="LWOP UA">
      <formula>NOT(ISERROR(SEARCH("LWOP UA",F73)))</formula>
    </cfRule>
    <cfRule type="containsText" dxfId="1864" priority="1728" operator="containsText" text="P">
      <formula>NOT(ISERROR(SEARCH("P",F73)))</formula>
    </cfRule>
    <cfRule type="containsText" dxfId="1863" priority="1729" operator="containsText" text="TFO">
      <formula>NOT(ISERROR(SEARCH("TFO",F73)))</formula>
    </cfRule>
    <cfRule type="containsText" dxfId="1862" priority="1730" operator="containsText" text="AA">
      <formula>NOT(ISERROR(SEARCH("AA",F73)))</formula>
    </cfRule>
    <cfRule type="containsText" dxfId="1861" priority="1731" operator="containsText" text="RESIGNED">
      <formula>NOT(ISERROR(SEARCH("RESIGNED",F73)))</formula>
    </cfRule>
    <cfRule type="containsText" dxfId="1860" priority="1732" operator="containsText" text="P">
      <formula>NOT(ISERROR(SEARCH("P",F73)))</formula>
    </cfRule>
    <cfRule type="containsText" dxfId="1859" priority="1733" operator="containsText" text="TARDY">
      <formula>NOT(ISERROR(SEARCH("TARDY",F73)))</formula>
    </cfRule>
    <cfRule type="containsText" dxfId="1858" priority="1734" operator="containsText" text="REST DAY">
      <formula>NOT(ISERROR(SEARCH("REST DAY",F73)))</formula>
    </cfRule>
    <cfRule type="containsText" dxfId="1857" priority="1735" operator="containsText" text="UA">
      <formula>NOT(ISERROR(SEARCH("UA",F73)))</formula>
    </cfRule>
  </conditionalFormatting>
  <conditionalFormatting sqref="F78:H78 H79:J79">
    <cfRule type="containsText" dxfId="1856" priority="1714" operator="containsText" text="P">
      <formula>NOT(ISERROR(SEARCH("P",F78)))</formula>
    </cfRule>
  </conditionalFormatting>
  <conditionalFormatting sqref="F78:H78 H79:J79">
    <cfRule type="containsText" dxfId="1855" priority="1713" operator="containsText" text="LWOP UA">
      <formula>NOT(ISERROR(SEARCH("LWOP UA",F78)))</formula>
    </cfRule>
  </conditionalFormatting>
  <conditionalFormatting sqref="F78:H78 H79:J79">
    <cfRule type="containsText" dxfId="1854" priority="1722" operator="containsText" text="LWOP UA">
      <formula>NOT(ISERROR(SEARCH("LWOP UA",F78)))</formula>
    </cfRule>
  </conditionalFormatting>
  <conditionalFormatting sqref="F78:H78 H79:J79">
    <cfRule type="containsText" dxfId="1853" priority="1715" operator="containsText" text="TFO">
      <formula>NOT(ISERROR(SEARCH("TFO",F78)))</formula>
    </cfRule>
    <cfRule type="containsText" dxfId="1852" priority="1716" operator="containsText" text="AA">
      <formula>NOT(ISERROR(SEARCH("AA",F78)))</formula>
    </cfRule>
    <cfRule type="containsText" dxfId="1851" priority="1717" operator="containsText" text="RESIGNED">
      <formula>NOT(ISERROR(SEARCH("RESIGNED",F78)))</formula>
    </cfRule>
    <cfRule type="containsText" dxfId="1850" priority="1718" operator="containsText" text="P">
      <formula>NOT(ISERROR(SEARCH("P",F78)))</formula>
    </cfRule>
    <cfRule type="containsText" dxfId="1849" priority="1719" operator="containsText" text="TARDY">
      <formula>NOT(ISERROR(SEARCH("TARDY",F78)))</formula>
    </cfRule>
    <cfRule type="containsText" dxfId="1848" priority="1720" operator="containsText" text="REST DAY">
      <formula>NOT(ISERROR(SEARCH("REST DAY",F78)))</formula>
    </cfRule>
    <cfRule type="containsText" dxfId="1847" priority="1721" operator="containsText" text="UA">
      <formula>NOT(ISERROR(SEARCH("UA",F78)))</formula>
    </cfRule>
  </conditionalFormatting>
  <conditionalFormatting sqref="F78:H78 H79:J79">
    <cfRule type="containsText" dxfId="1846" priority="1709" operator="containsText" text="VL">
      <formula>NOT(ISERROR(SEARCH("VL",F78)))</formula>
    </cfRule>
    <cfRule type="containsText" dxfId="1845" priority="1710" operator="containsText" text="RD">
      <formula>NOT(ISERROR(SEARCH("RD",F78)))</formula>
    </cfRule>
    <cfRule type="containsText" dxfId="1844" priority="1711" operator="containsText" text="540">
      <formula>NOT(ISERROR(SEARCH("540",F78)))</formula>
    </cfRule>
    <cfRule type="cellIs" dxfId="1843" priority="1712" operator="between">
      <formula>1</formula>
      <formula>400</formula>
    </cfRule>
  </conditionalFormatting>
  <conditionalFormatting sqref="F83:I83">
    <cfRule type="containsText" dxfId="1842" priority="1700" operator="containsText" text="P">
      <formula>NOT(ISERROR(SEARCH("P",F83)))</formula>
    </cfRule>
  </conditionalFormatting>
  <conditionalFormatting sqref="F83:I83">
    <cfRule type="containsText" dxfId="1841" priority="1699" operator="containsText" text="LWOP UA">
      <formula>NOT(ISERROR(SEARCH("LWOP UA",F83)))</formula>
    </cfRule>
  </conditionalFormatting>
  <conditionalFormatting sqref="F83:I83">
    <cfRule type="containsText" dxfId="1840" priority="1708" operator="containsText" text="LWOP UA">
      <formula>NOT(ISERROR(SEARCH("LWOP UA",F83)))</formula>
    </cfRule>
  </conditionalFormatting>
  <conditionalFormatting sqref="F83:I83">
    <cfRule type="containsText" dxfId="1839" priority="1701" operator="containsText" text="TFO">
      <formula>NOT(ISERROR(SEARCH("TFO",F83)))</formula>
    </cfRule>
    <cfRule type="containsText" dxfId="1838" priority="1702" operator="containsText" text="AA">
      <formula>NOT(ISERROR(SEARCH("AA",F83)))</formula>
    </cfRule>
    <cfRule type="containsText" dxfId="1837" priority="1703" operator="containsText" text="RESIGNED">
      <formula>NOT(ISERROR(SEARCH("RESIGNED",F83)))</formula>
    </cfRule>
    <cfRule type="containsText" dxfId="1836" priority="1704" operator="containsText" text="P">
      <formula>NOT(ISERROR(SEARCH("P",F83)))</formula>
    </cfRule>
    <cfRule type="containsText" dxfId="1835" priority="1705" operator="containsText" text="TARDY">
      <formula>NOT(ISERROR(SEARCH("TARDY",F83)))</formula>
    </cfRule>
    <cfRule type="containsText" dxfId="1834" priority="1706" operator="containsText" text="REST DAY">
      <formula>NOT(ISERROR(SEARCH("REST DAY",F83)))</formula>
    </cfRule>
    <cfRule type="containsText" dxfId="1833" priority="1707" operator="containsText" text="UA">
      <formula>NOT(ISERROR(SEARCH("UA",F83)))</formula>
    </cfRule>
  </conditionalFormatting>
  <conditionalFormatting sqref="F83:I83">
    <cfRule type="containsText" dxfId="1832" priority="1695" operator="containsText" text="VL">
      <formula>NOT(ISERROR(SEARCH("VL",F83)))</formula>
    </cfRule>
    <cfRule type="containsText" dxfId="1831" priority="1696" operator="containsText" text="RD">
      <formula>NOT(ISERROR(SEARCH("RD",F83)))</formula>
    </cfRule>
    <cfRule type="containsText" dxfId="1830" priority="1697" operator="containsText" text="540">
      <formula>NOT(ISERROR(SEARCH("540",F83)))</formula>
    </cfRule>
    <cfRule type="cellIs" dxfId="1829" priority="1698" operator="between">
      <formula>1</formula>
      <formula>400</formula>
    </cfRule>
  </conditionalFormatting>
  <conditionalFormatting sqref="F91:H91">
    <cfRule type="containsText" dxfId="1828" priority="1686" operator="containsText" text="P">
      <formula>NOT(ISERROR(SEARCH("P",F91)))</formula>
    </cfRule>
  </conditionalFormatting>
  <conditionalFormatting sqref="F91:H91">
    <cfRule type="containsText" dxfId="1827" priority="1694" operator="containsText" text="LWOP UA">
      <formula>NOT(ISERROR(SEARCH("LWOP UA",F91)))</formula>
    </cfRule>
  </conditionalFormatting>
  <conditionalFormatting sqref="F91:H91">
    <cfRule type="containsText" dxfId="1826" priority="1687" operator="containsText" text="TFO">
      <formula>NOT(ISERROR(SEARCH("TFO",F91)))</formula>
    </cfRule>
    <cfRule type="containsText" dxfId="1825" priority="1688" operator="containsText" text="AA">
      <formula>NOT(ISERROR(SEARCH("AA",F91)))</formula>
    </cfRule>
    <cfRule type="containsText" dxfId="1824" priority="1689" operator="containsText" text="RESIGNED">
      <formula>NOT(ISERROR(SEARCH("RESIGNED",F91)))</formula>
    </cfRule>
    <cfRule type="containsText" dxfId="1823" priority="1690" operator="containsText" text="P">
      <formula>NOT(ISERROR(SEARCH("P",F91)))</formula>
    </cfRule>
    <cfRule type="containsText" dxfId="1822" priority="1691" operator="containsText" text="TARDY">
      <formula>NOT(ISERROR(SEARCH("TARDY",F91)))</formula>
    </cfRule>
    <cfRule type="containsText" dxfId="1821" priority="1692" operator="containsText" text="REST DAY">
      <formula>NOT(ISERROR(SEARCH("REST DAY",F91)))</formula>
    </cfRule>
    <cfRule type="containsText" dxfId="1820" priority="1693" operator="containsText" text="UA">
      <formula>NOT(ISERROR(SEARCH("UA",F91)))</formula>
    </cfRule>
  </conditionalFormatting>
  <conditionalFormatting sqref="F91:H91">
    <cfRule type="containsText" dxfId="1819" priority="1682" operator="containsText" text="RD">
      <formula>NOT(ISERROR(SEARCH("RD",F91)))</formula>
    </cfRule>
    <cfRule type="containsText" dxfId="1818" priority="1683" operator="containsText" text="540">
      <formula>NOT(ISERROR(SEARCH("540",F91)))</formula>
    </cfRule>
    <cfRule type="cellIs" dxfId="1817" priority="1684" operator="between">
      <formula>1</formula>
      <formula>400</formula>
    </cfRule>
  </conditionalFormatting>
  <conditionalFormatting sqref="F91:H91">
    <cfRule type="containsText" dxfId="1816" priority="1685" operator="containsText" text="LWOP UA">
      <formula>NOT(ISERROR(SEARCH("LWOP UA",F91)))</formula>
    </cfRule>
  </conditionalFormatting>
  <conditionalFormatting sqref="F91:H91">
    <cfRule type="containsText" dxfId="1815" priority="1681" operator="containsText" text="VL">
      <formula>NOT(ISERROR(SEARCH("VL",F91)))</formula>
    </cfRule>
  </conditionalFormatting>
  <conditionalFormatting sqref="F92">
    <cfRule type="containsText" dxfId="1814" priority="1639" operator="containsText" text="LWOP UA">
      <formula>NOT(ISERROR(SEARCH("LWOP UA",F92)))</formula>
    </cfRule>
    <cfRule type="containsText" dxfId="1813" priority="1640" operator="containsText" text="P">
      <formula>NOT(ISERROR(SEARCH("P",F92)))</formula>
    </cfRule>
    <cfRule type="containsText" dxfId="1812" priority="1641" operator="containsText" text="TFO">
      <formula>NOT(ISERROR(SEARCH("TFO",F92)))</formula>
    </cfRule>
    <cfRule type="containsText" dxfId="1811" priority="1642" operator="containsText" text="AA">
      <formula>NOT(ISERROR(SEARCH("AA",F92)))</formula>
    </cfRule>
    <cfRule type="containsText" dxfId="1810" priority="1643" operator="containsText" text="RESIGNED">
      <formula>NOT(ISERROR(SEARCH("RESIGNED",F92)))</formula>
    </cfRule>
    <cfRule type="containsText" dxfId="1809" priority="1644" operator="containsText" text="P">
      <formula>NOT(ISERROR(SEARCH("P",F92)))</formula>
    </cfRule>
    <cfRule type="containsText" dxfId="1808" priority="1645" operator="containsText" text="TARDY">
      <formula>NOT(ISERROR(SEARCH("TARDY",F92)))</formula>
    </cfRule>
    <cfRule type="containsText" dxfId="1807" priority="1646" operator="containsText" text="REST DAY">
      <formula>NOT(ISERROR(SEARCH("REST DAY",F92)))</formula>
    </cfRule>
    <cfRule type="containsText" dxfId="1806" priority="1647" operator="containsText" text="UA">
      <formula>NOT(ISERROR(SEARCH("UA",F92)))</formula>
    </cfRule>
    <cfRule type="containsText" dxfId="1805" priority="1648" operator="containsText" text="LWOP UA">
      <formula>NOT(ISERROR(SEARCH("LWOP UA",F92)))</formula>
    </cfRule>
  </conditionalFormatting>
  <conditionalFormatting sqref="F92">
    <cfRule type="containsText" dxfId="1804" priority="1672" operator="containsText" text="P">
      <formula>NOT(ISERROR(SEARCH("P",F92)))</formula>
    </cfRule>
  </conditionalFormatting>
  <conditionalFormatting sqref="F92:G92">
    <cfRule type="containsText" dxfId="1803" priority="1663" operator="containsText" text="P">
      <formula>NOT(ISERROR(SEARCH("P",F92)))</formula>
    </cfRule>
    <cfRule type="containsText" dxfId="1802" priority="1664" operator="containsText" text="TFO">
      <formula>NOT(ISERROR(SEARCH("TFO",F92)))</formula>
    </cfRule>
    <cfRule type="containsText" dxfId="1801" priority="1665" operator="containsText" text="AA">
      <formula>NOT(ISERROR(SEARCH("AA",F92)))</formula>
    </cfRule>
    <cfRule type="containsText" dxfId="1800" priority="1666" operator="containsText" text="RESIGNED">
      <formula>NOT(ISERROR(SEARCH("RESIGNED",F92)))</formula>
    </cfRule>
    <cfRule type="containsText" dxfId="1799" priority="1667" operator="containsText" text="P">
      <formula>NOT(ISERROR(SEARCH("P",F92)))</formula>
    </cfRule>
    <cfRule type="containsText" dxfId="1798" priority="1668" operator="containsText" text="TARDY">
      <formula>NOT(ISERROR(SEARCH("TARDY",F92)))</formula>
    </cfRule>
    <cfRule type="containsText" dxfId="1797" priority="1669" operator="containsText" text="REST DAY">
      <formula>NOT(ISERROR(SEARCH("REST DAY",F92)))</formula>
    </cfRule>
    <cfRule type="containsText" dxfId="1796" priority="1670" operator="containsText" text="UA">
      <formula>NOT(ISERROR(SEARCH("UA",F92)))</formula>
    </cfRule>
    <cfRule type="containsText" dxfId="1795" priority="1671" operator="containsText" text="LWOP UA">
      <formula>NOT(ISERROR(SEARCH("LWOP UA",F92)))</formula>
    </cfRule>
  </conditionalFormatting>
  <conditionalFormatting sqref="F92">
    <cfRule type="containsText" dxfId="1794" priority="1680" operator="containsText" text="LWOP UA">
      <formula>NOT(ISERROR(SEARCH("LWOP UA",F92)))</formula>
    </cfRule>
  </conditionalFormatting>
  <conditionalFormatting sqref="F92">
    <cfRule type="containsText" dxfId="1793" priority="1673" operator="containsText" text="TFO">
      <formula>NOT(ISERROR(SEARCH("TFO",F92)))</formula>
    </cfRule>
    <cfRule type="containsText" dxfId="1792" priority="1674" operator="containsText" text="AA">
      <formula>NOT(ISERROR(SEARCH("AA",F92)))</formula>
    </cfRule>
    <cfRule type="containsText" dxfId="1791" priority="1675" operator="containsText" text="RESIGNED">
      <formula>NOT(ISERROR(SEARCH("RESIGNED",F92)))</formula>
    </cfRule>
    <cfRule type="containsText" dxfId="1790" priority="1676" operator="containsText" text="P">
      <formula>NOT(ISERROR(SEARCH("P",F92)))</formula>
    </cfRule>
    <cfRule type="containsText" dxfId="1789" priority="1677" operator="containsText" text="TARDY">
      <formula>NOT(ISERROR(SEARCH("TARDY",F92)))</formula>
    </cfRule>
    <cfRule type="containsText" dxfId="1788" priority="1678" operator="containsText" text="REST DAY">
      <formula>NOT(ISERROR(SEARCH("REST DAY",F92)))</formula>
    </cfRule>
    <cfRule type="containsText" dxfId="1787" priority="1679" operator="containsText" text="UA">
      <formula>NOT(ISERROR(SEARCH("UA",F92)))</formula>
    </cfRule>
  </conditionalFormatting>
  <conditionalFormatting sqref="F92:I92">
    <cfRule type="containsText" dxfId="1786" priority="1650" operator="containsText" text="RD">
      <formula>NOT(ISERROR(SEARCH("RD",F92)))</formula>
    </cfRule>
    <cfRule type="containsText" dxfId="1785" priority="1651" operator="containsText" text="540">
      <formula>NOT(ISERROR(SEARCH("540",F92)))</formula>
    </cfRule>
    <cfRule type="cellIs" dxfId="1784" priority="1652" operator="between">
      <formula>1</formula>
      <formula>400</formula>
    </cfRule>
  </conditionalFormatting>
  <conditionalFormatting sqref="F92:I92">
    <cfRule type="containsText" dxfId="1783" priority="1662" operator="containsText" text="LWOP UA">
      <formula>NOT(ISERROR(SEARCH("LWOP UA",F92)))</formula>
    </cfRule>
  </conditionalFormatting>
  <conditionalFormatting sqref="F92:I92">
    <cfRule type="containsText" dxfId="1782" priority="1649" operator="containsText" text="VL">
      <formula>NOT(ISERROR(SEARCH("VL",F92)))</formula>
    </cfRule>
  </conditionalFormatting>
  <conditionalFormatting sqref="H92:I92">
    <cfRule type="containsText" dxfId="1781" priority="1653" operator="containsText" text="LWOP UA">
      <formula>NOT(ISERROR(SEARCH("LWOP UA",H92)))</formula>
    </cfRule>
    <cfRule type="containsText" dxfId="1780" priority="1654" operator="containsText" text="P">
      <formula>NOT(ISERROR(SEARCH("P",H92)))</formula>
    </cfRule>
    <cfRule type="containsText" dxfId="1779" priority="1655" operator="containsText" text="TFO">
      <formula>NOT(ISERROR(SEARCH("TFO",H92)))</formula>
    </cfRule>
    <cfRule type="containsText" dxfId="1778" priority="1656" operator="containsText" text="AA">
      <formula>NOT(ISERROR(SEARCH("AA",H92)))</formula>
    </cfRule>
    <cfRule type="containsText" dxfId="1777" priority="1657" operator="containsText" text="RESIGNED">
      <formula>NOT(ISERROR(SEARCH("RESIGNED",H92)))</formula>
    </cfRule>
    <cfRule type="containsText" dxfId="1776" priority="1658" operator="containsText" text="P">
      <formula>NOT(ISERROR(SEARCH("P",H92)))</formula>
    </cfRule>
    <cfRule type="containsText" dxfId="1775" priority="1659" operator="containsText" text="TARDY">
      <formula>NOT(ISERROR(SEARCH("TARDY",H92)))</formula>
    </cfRule>
    <cfRule type="containsText" dxfId="1774" priority="1660" operator="containsText" text="REST DAY">
      <formula>NOT(ISERROR(SEARCH("REST DAY",H92)))</formula>
    </cfRule>
    <cfRule type="containsText" dxfId="1773" priority="1661" operator="containsText" text="UA">
      <formula>NOT(ISERROR(SEARCH("UA",H92)))</formula>
    </cfRule>
  </conditionalFormatting>
  <conditionalFormatting sqref="D60 D71">
    <cfRule type="containsText" dxfId="1772" priority="1631" operator="containsText" text="TFO">
      <formula>NOT(ISERROR(SEARCH("TFO",D60)))</formula>
    </cfRule>
    <cfRule type="containsText" dxfId="1771" priority="1632" operator="containsText" text="AA">
      <formula>NOT(ISERROR(SEARCH("AA",D60)))</formula>
    </cfRule>
    <cfRule type="containsText" dxfId="1770" priority="1633" operator="containsText" text="RESIGNED">
      <formula>NOT(ISERROR(SEARCH("RESIGNED",D60)))</formula>
    </cfRule>
    <cfRule type="containsText" dxfId="1769" priority="1634" operator="containsText" text="P">
      <formula>NOT(ISERROR(SEARCH("P",D60)))</formula>
    </cfRule>
    <cfRule type="containsText" dxfId="1768" priority="1635" operator="containsText" text="TARDY">
      <formula>NOT(ISERROR(SEARCH("TARDY",D60)))</formula>
    </cfRule>
    <cfRule type="containsText" dxfId="1767" priority="1636" operator="containsText" text="REST DAY">
      <formula>NOT(ISERROR(SEARCH("REST DAY",D60)))</formula>
    </cfRule>
    <cfRule type="containsText" dxfId="1766" priority="1637" operator="containsText" text="UA">
      <formula>NOT(ISERROR(SEARCH("UA",D60)))</formula>
    </cfRule>
    <cfRule type="containsText" dxfId="1765" priority="1638" operator="containsText" text="LWOP UA">
      <formula>NOT(ISERROR(SEARCH("LWOP UA",D60)))</formula>
    </cfRule>
  </conditionalFormatting>
  <conditionalFormatting sqref="D60 D71">
    <cfRule type="containsText" dxfId="1764" priority="1625" operator="containsText" text="VL">
      <formula>NOT(ISERROR(SEARCH("VL",D60)))</formula>
    </cfRule>
    <cfRule type="containsText" dxfId="1763" priority="1626" operator="containsText" text="RD">
      <formula>NOT(ISERROR(SEARCH("RD",D60)))</formula>
    </cfRule>
    <cfRule type="containsText" dxfId="1762" priority="1627" operator="containsText" text="540">
      <formula>NOT(ISERROR(SEARCH("540",D60)))</formula>
    </cfRule>
    <cfRule type="cellIs" dxfId="1761" priority="1628" operator="between">
      <formula>1</formula>
      <formula>400</formula>
    </cfRule>
    <cfRule type="containsText" dxfId="1760" priority="1629" operator="containsText" text="LWOP UA">
      <formula>NOT(ISERROR(SEARCH("LWOP UA",D60)))</formula>
    </cfRule>
  </conditionalFormatting>
  <conditionalFormatting sqref="D60 D71">
    <cfRule type="containsText" dxfId="1759" priority="1630" operator="containsText" text="P">
      <formula>NOT(ISERROR(SEARCH("P",D60)))</formula>
    </cfRule>
  </conditionalFormatting>
  <conditionalFormatting sqref="J60">
    <cfRule type="containsText" dxfId="1758" priority="1617" operator="containsText" text="TFO">
      <formula>NOT(ISERROR(SEARCH("TFO",J60)))</formula>
    </cfRule>
    <cfRule type="containsText" dxfId="1757" priority="1618" operator="containsText" text="AA">
      <formula>NOT(ISERROR(SEARCH("AA",J60)))</formula>
    </cfRule>
    <cfRule type="containsText" dxfId="1756" priority="1619" operator="containsText" text="RESIGNED">
      <formula>NOT(ISERROR(SEARCH("RESIGNED",J60)))</formula>
    </cfRule>
    <cfRule type="containsText" dxfId="1755" priority="1620" operator="containsText" text="P">
      <formula>NOT(ISERROR(SEARCH("P",J60)))</formula>
    </cfRule>
    <cfRule type="containsText" dxfId="1754" priority="1621" operator="containsText" text="TARDY">
      <formula>NOT(ISERROR(SEARCH("TARDY",J60)))</formula>
    </cfRule>
    <cfRule type="containsText" dxfId="1753" priority="1622" operator="containsText" text="REST DAY">
      <formula>NOT(ISERROR(SEARCH("REST DAY",J60)))</formula>
    </cfRule>
    <cfRule type="containsText" dxfId="1752" priority="1623" operator="containsText" text="UA">
      <formula>NOT(ISERROR(SEARCH("UA",J60)))</formula>
    </cfRule>
    <cfRule type="containsText" dxfId="1751" priority="1624" operator="containsText" text="LWOP UA">
      <formula>NOT(ISERROR(SEARCH("LWOP UA",J60)))</formula>
    </cfRule>
  </conditionalFormatting>
  <conditionalFormatting sqref="J60">
    <cfRule type="containsText" dxfId="1750" priority="1611" operator="containsText" text="VL">
      <formula>NOT(ISERROR(SEARCH("VL",J60)))</formula>
    </cfRule>
    <cfRule type="containsText" dxfId="1749" priority="1612" operator="containsText" text="RD">
      <formula>NOT(ISERROR(SEARCH("RD",J60)))</formula>
    </cfRule>
    <cfRule type="containsText" dxfId="1748" priority="1613" operator="containsText" text="540">
      <formula>NOT(ISERROR(SEARCH("540",J60)))</formula>
    </cfRule>
    <cfRule type="cellIs" dxfId="1747" priority="1614" operator="between">
      <formula>1</formula>
      <formula>400</formula>
    </cfRule>
    <cfRule type="containsText" dxfId="1746" priority="1615" operator="containsText" text="LWOP UA">
      <formula>NOT(ISERROR(SEARCH("LWOP UA",J60)))</formula>
    </cfRule>
  </conditionalFormatting>
  <conditionalFormatting sqref="J60">
    <cfRule type="containsText" dxfId="1745" priority="1616" operator="containsText" text="P">
      <formula>NOT(ISERROR(SEARCH("P",J60)))</formula>
    </cfRule>
  </conditionalFormatting>
  <conditionalFormatting sqref="E3">
    <cfRule type="containsText" dxfId="1744" priority="1603" operator="containsText" text="TFO">
      <formula>NOT(ISERROR(SEARCH("TFO",E3)))</formula>
    </cfRule>
    <cfRule type="containsText" dxfId="1743" priority="1604" operator="containsText" text="AA">
      <formula>NOT(ISERROR(SEARCH("AA",E3)))</formula>
    </cfRule>
    <cfRule type="containsText" dxfId="1742" priority="1605" operator="containsText" text="RESIGNED">
      <formula>NOT(ISERROR(SEARCH("RESIGNED",E3)))</formula>
    </cfRule>
    <cfRule type="containsText" dxfId="1741" priority="1606" operator="containsText" text="P">
      <formula>NOT(ISERROR(SEARCH("P",E3)))</formula>
    </cfRule>
    <cfRule type="containsText" dxfId="1740" priority="1607" operator="containsText" text="TARDY">
      <formula>NOT(ISERROR(SEARCH("TARDY",E3)))</formula>
    </cfRule>
    <cfRule type="containsText" dxfId="1739" priority="1608" operator="containsText" text="REST DAY">
      <formula>NOT(ISERROR(SEARCH("REST DAY",E3)))</formula>
    </cfRule>
    <cfRule type="containsText" dxfId="1738" priority="1609" operator="containsText" text="UA">
      <formula>NOT(ISERROR(SEARCH("UA",E3)))</formula>
    </cfRule>
    <cfRule type="containsText" dxfId="1737" priority="1610" operator="containsText" text="LWOP UA">
      <formula>NOT(ISERROR(SEARCH("LWOP UA",E3)))</formula>
    </cfRule>
  </conditionalFormatting>
  <conditionalFormatting sqref="E3">
    <cfRule type="containsText" dxfId="1736" priority="1597" operator="containsText" text="VL">
      <formula>NOT(ISERROR(SEARCH("VL",E3)))</formula>
    </cfRule>
    <cfRule type="containsText" dxfId="1735" priority="1598" operator="containsText" text="RD">
      <formula>NOT(ISERROR(SEARCH("RD",E3)))</formula>
    </cfRule>
    <cfRule type="containsText" dxfId="1734" priority="1599" operator="containsText" text="540">
      <formula>NOT(ISERROR(SEARCH("540",E3)))</formula>
    </cfRule>
    <cfRule type="cellIs" dxfId="1733" priority="1600" operator="between">
      <formula>1</formula>
      <formula>400</formula>
    </cfRule>
    <cfRule type="containsText" dxfId="1732" priority="1601" operator="containsText" text="LWOP UA">
      <formula>NOT(ISERROR(SEARCH("LWOP UA",E3)))</formula>
    </cfRule>
  </conditionalFormatting>
  <conditionalFormatting sqref="E3">
    <cfRule type="containsText" dxfId="1731" priority="1602" operator="containsText" text="P">
      <formula>NOT(ISERROR(SEARCH("P",E3)))</formula>
    </cfRule>
  </conditionalFormatting>
  <conditionalFormatting sqref="E10">
    <cfRule type="containsText" dxfId="1730" priority="1589" operator="containsText" text="TFO">
      <formula>NOT(ISERROR(SEARCH("TFO",E10)))</formula>
    </cfRule>
    <cfRule type="containsText" dxfId="1729" priority="1590" operator="containsText" text="AA">
      <formula>NOT(ISERROR(SEARCH("AA",E10)))</formula>
    </cfRule>
    <cfRule type="containsText" dxfId="1728" priority="1591" operator="containsText" text="RESIGNED">
      <formula>NOT(ISERROR(SEARCH("RESIGNED",E10)))</formula>
    </cfRule>
    <cfRule type="containsText" dxfId="1727" priority="1592" operator="containsText" text="P">
      <formula>NOT(ISERROR(SEARCH("P",E10)))</formula>
    </cfRule>
    <cfRule type="containsText" dxfId="1726" priority="1593" operator="containsText" text="TARDY">
      <formula>NOT(ISERROR(SEARCH("TARDY",E10)))</formula>
    </cfRule>
    <cfRule type="containsText" dxfId="1725" priority="1594" operator="containsText" text="REST DAY">
      <formula>NOT(ISERROR(SEARCH("REST DAY",E10)))</formula>
    </cfRule>
    <cfRule type="containsText" dxfId="1724" priority="1595" operator="containsText" text="UA">
      <formula>NOT(ISERROR(SEARCH("UA",E10)))</formula>
    </cfRule>
    <cfRule type="containsText" dxfId="1723" priority="1596" operator="containsText" text="LWOP UA">
      <formula>NOT(ISERROR(SEARCH("LWOP UA",E10)))</formula>
    </cfRule>
  </conditionalFormatting>
  <conditionalFormatting sqref="E10">
    <cfRule type="containsText" dxfId="1722" priority="1583" operator="containsText" text="VL">
      <formula>NOT(ISERROR(SEARCH("VL",E10)))</formula>
    </cfRule>
    <cfRule type="containsText" dxfId="1721" priority="1584" operator="containsText" text="RD">
      <formula>NOT(ISERROR(SEARCH("RD",E10)))</formula>
    </cfRule>
    <cfRule type="containsText" dxfId="1720" priority="1585" operator="containsText" text="540">
      <formula>NOT(ISERROR(SEARCH("540",E10)))</formula>
    </cfRule>
    <cfRule type="cellIs" dxfId="1719" priority="1586" operator="between">
      <formula>1</formula>
      <formula>400</formula>
    </cfRule>
    <cfRule type="containsText" dxfId="1718" priority="1587" operator="containsText" text="LWOP UA">
      <formula>NOT(ISERROR(SEARCH("LWOP UA",E10)))</formula>
    </cfRule>
  </conditionalFormatting>
  <conditionalFormatting sqref="E10">
    <cfRule type="containsText" dxfId="1717" priority="1588" operator="containsText" text="P">
      <formula>NOT(ISERROR(SEARCH("P",E10)))</formula>
    </cfRule>
  </conditionalFormatting>
  <conditionalFormatting sqref="E11">
    <cfRule type="containsText" dxfId="1716" priority="1575" operator="containsText" text="TFO">
      <formula>NOT(ISERROR(SEARCH("TFO",E11)))</formula>
    </cfRule>
    <cfRule type="containsText" dxfId="1715" priority="1576" operator="containsText" text="AA">
      <formula>NOT(ISERROR(SEARCH("AA",E11)))</formula>
    </cfRule>
    <cfRule type="containsText" dxfId="1714" priority="1577" operator="containsText" text="RESIGNED">
      <formula>NOT(ISERROR(SEARCH("RESIGNED",E11)))</formula>
    </cfRule>
    <cfRule type="containsText" dxfId="1713" priority="1578" operator="containsText" text="P">
      <formula>NOT(ISERROR(SEARCH("P",E11)))</formula>
    </cfRule>
    <cfRule type="containsText" dxfId="1712" priority="1579" operator="containsText" text="TARDY">
      <formula>NOT(ISERROR(SEARCH("TARDY",E11)))</formula>
    </cfRule>
    <cfRule type="containsText" dxfId="1711" priority="1580" operator="containsText" text="REST DAY">
      <formula>NOT(ISERROR(SEARCH("REST DAY",E11)))</formula>
    </cfRule>
    <cfRule type="containsText" dxfId="1710" priority="1581" operator="containsText" text="UA">
      <formula>NOT(ISERROR(SEARCH("UA",E11)))</formula>
    </cfRule>
    <cfRule type="containsText" dxfId="1709" priority="1582" operator="containsText" text="LWOP UA">
      <formula>NOT(ISERROR(SEARCH("LWOP UA",E11)))</formula>
    </cfRule>
  </conditionalFormatting>
  <conditionalFormatting sqref="E11">
    <cfRule type="containsText" dxfId="1708" priority="1569" operator="containsText" text="VL">
      <formula>NOT(ISERROR(SEARCH("VL",E11)))</formula>
    </cfRule>
    <cfRule type="containsText" dxfId="1707" priority="1570" operator="containsText" text="RD">
      <formula>NOT(ISERROR(SEARCH("RD",E11)))</formula>
    </cfRule>
    <cfRule type="containsText" dxfId="1706" priority="1571" operator="containsText" text="540">
      <formula>NOT(ISERROR(SEARCH("540",E11)))</formula>
    </cfRule>
    <cfRule type="cellIs" dxfId="1705" priority="1572" operator="between">
      <formula>1</formula>
      <formula>400</formula>
    </cfRule>
    <cfRule type="containsText" dxfId="1704" priority="1573" operator="containsText" text="LWOP UA">
      <formula>NOT(ISERROR(SEARCH("LWOP UA",E11)))</formula>
    </cfRule>
  </conditionalFormatting>
  <conditionalFormatting sqref="E11">
    <cfRule type="containsText" dxfId="1703" priority="1574" operator="containsText" text="P">
      <formula>NOT(ISERROR(SEARCH("P",E11)))</formula>
    </cfRule>
  </conditionalFormatting>
  <conditionalFormatting sqref="E46">
    <cfRule type="containsText" dxfId="1702" priority="1561" operator="containsText" text="TFO">
      <formula>NOT(ISERROR(SEARCH("TFO",E46)))</formula>
    </cfRule>
    <cfRule type="containsText" dxfId="1701" priority="1562" operator="containsText" text="AA">
      <formula>NOT(ISERROR(SEARCH("AA",E46)))</formula>
    </cfRule>
    <cfRule type="containsText" dxfId="1700" priority="1563" operator="containsText" text="RESIGNED">
      <formula>NOT(ISERROR(SEARCH("RESIGNED",E46)))</formula>
    </cfRule>
    <cfRule type="containsText" dxfId="1699" priority="1564" operator="containsText" text="P">
      <formula>NOT(ISERROR(SEARCH("P",E46)))</formula>
    </cfRule>
    <cfRule type="containsText" dxfId="1698" priority="1565" operator="containsText" text="TARDY">
      <formula>NOT(ISERROR(SEARCH("TARDY",E46)))</formula>
    </cfRule>
    <cfRule type="containsText" dxfId="1697" priority="1566" operator="containsText" text="REST DAY">
      <formula>NOT(ISERROR(SEARCH("REST DAY",E46)))</formula>
    </cfRule>
    <cfRule type="containsText" dxfId="1696" priority="1567" operator="containsText" text="UA">
      <formula>NOT(ISERROR(SEARCH("UA",E46)))</formula>
    </cfRule>
    <cfRule type="containsText" dxfId="1695" priority="1568" operator="containsText" text="LWOP UA">
      <formula>NOT(ISERROR(SEARCH("LWOP UA",E46)))</formula>
    </cfRule>
  </conditionalFormatting>
  <conditionalFormatting sqref="E46">
    <cfRule type="containsText" dxfId="1694" priority="1555" operator="containsText" text="VL">
      <formula>NOT(ISERROR(SEARCH("VL",E46)))</formula>
    </cfRule>
    <cfRule type="containsText" dxfId="1693" priority="1556" operator="containsText" text="RD">
      <formula>NOT(ISERROR(SEARCH("RD",E46)))</formula>
    </cfRule>
    <cfRule type="containsText" dxfId="1692" priority="1557" operator="containsText" text="540">
      <formula>NOT(ISERROR(SEARCH("540",E46)))</formula>
    </cfRule>
    <cfRule type="cellIs" dxfId="1691" priority="1558" operator="between">
      <formula>1</formula>
      <formula>400</formula>
    </cfRule>
    <cfRule type="containsText" dxfId="1690" priority="1559" operator="containsText" text="LWOP UA">
      <formula>NOT(ISERROR(SEARCH("LWOP UA",E46)))</formula>
    </cfRule>
  </conditionalFormatting>
  <conditionalFormatting sqref="E46">
    <cfRule type="containsText" dxfId="1689" priority="1560" operator="containsText" text="P">
      <formula>NOT(ISERROR(SEARCH("P",E46)))</formula>
    </cfRule>
  </conditionalFormatting>
  <conditionalFormatting sqref="E54">
    <cfRule type="containsText" dxfId="1688" priority="1547" operator="containsText" text="TFO">
      <formula>NOT(ISERROR(SEARCH("TFO",E54)))</formula>
    </cfRule>
    <cfRule type="containsText" dxfId="1687" priority="1548" operator="containsText" text="AA">
      <formula>NOT(ISERROR(SEARCH("AA",E54)))</formula>
    </cfRule>
    <cfRule type="containsText" dxfId="1686" priority="1549" operator="containsText" text="RESIGNED">
      <formula>NOT(ISERROR(SEARCH("RESIGNED",E54)))</formula>
    </cfRule>
    <cfRule type="containsText" dxfId="1685" priority="1550" operator="containsText" text="P">
      <formula>NOT(ISERROR(SEARCH("P",E54)))</formula>
    </cfRule>
    <cfRule type="containsText" dxfId="1684" priority="1551" operator="containsText" text="TARDY">
      <formula>NOT(ISERROR(SEARCH("TARDY",E54)))</formula>
    </cfRule>
    <cfRule type="containsText" dxfId="1683" priority="1552" operator="containsText" text="REST DAY">
      <formula>NOT(ISERROR(SEARCH("REST DAY",E54)))</formula>
    </cfRule>
    <cfRule type="containsText" dxfId="1682" priority="1553" operator="containsText" text="UA">
      <formula>NOT(ISERROR(SEARCH("UA",E54)))</formula>
    </cfRule>
    <cfRule type="containsText" dxfId="1681" priority="1554" operator="containsText" text="LWOP UA">
      <formula>NOT(ISERROR(SEARCH("LWOP UA",E54)))</formula>
    </cfRule>
  </conditionalFormatting>
  <conditionalFormatting sqref="E54">
    <cfRule type="containsText" dxfId="1680" priority="1541" operator="containsText" text="VL">
      <formula>NOT(ISERROR(SEARCH("VL",E54)))</formula>
    </cfRule>
    <cfRule type="containsText" dxfId="1679" priority="1542" operator="containsText" text="RD">
      <formula>NOT(ISERROR(SEARCH("RD",E54)))</formula>
    </cfRule>
    <cfRule type="containsText" dxfId="1678" priority="1543" operator="containsText" text="540">
      <formula>NOT(ISERROR(SEARCH("540",E54)))</formula>
    </cfRule>
    <cfRule type="cellIs" dxfId="1677" priority="1544" operator="between">
      <formula>1</formula>
      <formula>400</formula>
    </cfRule>
    <cfRule type="containsText" dxfId="1676" priority="1545" operator="containsText" text="LWOP UA">
      <formula>NOT(ISERROR(SEARCH("LWOP UA",E54)))</formula>
    </cfRule>
  </conditionalFormatting>
  <conditionalFormatting sqref="E54">
    <cfRule type="containsText" dxfId="1675" priority="1546" operator="containsText" text="P">
      <formula>NOT(ISERROR(SEARCH("P",E54)))</formula>
    </cfRule>
  </conditionalFormatting>
  <conditionalFormatting sqref="E65">
    <cfRule type="containsText" dxfId="1674" priority="1533" operator="containsText" text="TFO">
      <formula>NOT(ISERROR(SEARCH("TFO",E65)))</formula>
    </cfRule>
    <cfRule type="containsText" dxfId="1673" priority="1534" operator="containsText" text="AA">
      <formula>NOT(ISERROR(SEARCH("AA",E65)))</formula>
    </cfRule>
    <cfRule type="containsText" dxfId="1672" priority="1535" operator="containsText" text="RESIGNED">
      <formula>NOT(ISERROR(SEARCH("RESIGNED",E65)))</formula>
    </cfRule>
    <cfRule type="containsText" dxfId="1671" priority="1536" operator="containsText" text="P">
      <formula>NOT(ISERROR(SEARCH("P",E65)))</formula>
    </cfRule>
    <cfRule type="containsText" dxfId="1670" priority="1537" operator="containsText" text="TARDY">
      <formula>NOT(ISERROR(SEARCH("TARDY",E65)))</formula>
    </cfRule>
    <cfRule type="containsText" dxfId="1669" priority="1538" operator="containsText" text="REST DAY">
      <formula>NOT(ISERROR(SEARCH("REST DAY",E65)))</formula>
    </cfRule>
    <cfRule type="containsText" dxfId="1668" priority="1539" operator="containsText" text="UA">
      <formula>NOT(ISERROR(SEARCH("UA",E65)))</formula>
    </cfRule>
    <cfRule type="containsText" dxfId="1667" priority="1540" operator="containsText" text="LWOP UA">
      <formula>NOT(ISERROR(SEARCH("LWOP UA",E65)))</formula>
    </cfRule>
  </conditionalFormatting>
  <conditionalFormatting sqref="E65">
    <cfRule type="containsText" dxfId="1666" priority="1527" operator="containsText" text="VL">
      <formula>NOT(ISERROR(SEARCH("VL",E65)))</formula>
    </cfRule>
    <cfRule type="containsText" dxfId="1665" priority="1528" operator="containsText" text="RD">
      <formula>NOT(ISERROR(SEARCH("RD",E65)))</formula>
    </cfRule>
    <cfRule type="containsText" dxfId="1664" priority="1529" operator="containsText" text="540">
      <formula>NOT(ISERROR(SEARCH("540",E65)))</formula>
    </cfRule>
    <cfRule type="cellIs" dxfId="1663" priority="1530" operator="between">
      <formula>1</formula>
      <formula>400</formula>
    </cfRule>
    <cfRule type="containsText" dxfId="1662" priority="1531" operator="containsText" text="LWOP UA">
      <formula>NOT(ISERROR(SEARCH("LWOP UA",E65)))</formula>
    </cfRule>
  </conditionalFormatting>
  <conditionalFormatting sqref="E65">
    <cfRule type="containsText" dxfId="1661" priority="1532" operator="containsText" text="P">
      <formula>NOT(ISERROR(SEARCH("P",E65)))</formula>
    </cfRule>
  </conditionalFormatting>
  <conditionalFormatting sqref="E72">
    <cfRule type="containsText" dxfId="1660" priority="1519" operator="containsText" text="TFO">
      <formula>NOT(ISERROR(SEARCH("TFO",E72)))</formula>
    </cfRule>
    <cfRule type="containsText" dxfId="1659" priority="1520" operator="containsText" text="AA">
      <formula>NOT(ISERROR(SEARCH("AA",E72)))</formula>
    </cfRule>
    <cfRule type="containsText" dxfId="1658" priority="1521" operator="containsText" text="RESIGNED">
      <formula>NOT(ISERROR(SEARCH("RESIGNED",E72)))</formula>
    </cfRule>
    <cfRule type="containsText" dxfId="1657" priority="1522" operator="containsText" text="P">
      <formula>NOT(ISERROR(SEARCH("P",E72)))</formula>
    </cfRule>
    <cfRule type="containsText" dxfId="1656" priority="1523" operator="containsText" text="TARDY">
      <formula>NOT(ISERROR(SEARCH("TARDY",E72)))</formula>
    </cfRule>
    <cfRule type="containsText" dxfId="1655" priority="1524" operator="containsText" text="REST DAY">
      <formula>NOT(ISERROR(SEARCH("REST DAY",E72)))</formula>
    </cfRule>
    <cfRule type="containsText" dxfId="1654" priority="1525" operator="containsText" text="UA">
      <formula>NOT(ISERROR(SEARCH("UA",E72)))</formula>
    </cfRule>
    <cfRule type="containsText" dxfId="1653" priority="1526" operator="containsText" text="LWOP UA">
      <formula>NOT(ISERROR(SEARCH("LWOP UA",E72)))</formula>
    </cfRule>
  </conditionalFormatting>
  <conditionalFormatting sqref="E72">
    <cfRule type="containsText" dxfId="1652" priority="1513" operator="containsText" text="VL">
      <formula>NOT(ISERROR(SEARCH("VL",E72)))</formula>
    </cfRule>
    <cfRule type="containsText" dxfId="1651" priority="1514" operator="containsText" text="RD">
      <formula>NOT(ISERROR(SEARCH("RD",E72)))</formula>
    </cfRule>
    <cfRule type="containsText" dxfId="1650" priority="1515" operator="containsText" text="540">
      <formula>NOT(ISERROR(SEARCH("540",E72)))</formula>
    </cfRule>
    <cfRule type="cellIs" dxfId="1649" priority="1516" operator="between">
      <formula>1</formula>
      <formula>400</formula>
    </cfRule>
    <cfRule type="containsText" dxfId="1648" priority="1517" operator="containsText" text="LWOP UA">
      <formula>NOT(ISERROR(SEARCH("LWOP UA",E72)))</formula>
    </cfRule>
  </conditionalFormatting>
  <conditionalFormatting sqref="E72">
    <cfRule type="containsText" dxfId="1647" priority="1518" operator="containsText" text="P">
      <formula>NOT(ISERROR(SEARCH("P",E72)))</formula>
    </cfRule>
  </conditionalFormatting>
  <conditionalFormatting sqref="E85">
    <cfRule type="containsText" dxfId="1646" priority="1505" operator="containsText" text="TFO">
      <formula>NOT(ISERROR(SEARCH("TFO",E85)))</formula>
    </cfRule>
    <cfRule type="containsText" dxfId="1645" priority="1506" operator="containsText" text="AA">
      <formula>NOT(ISERROR(SEARCH("AA",E85)))</formula>
    </cfRule>
    <cfRule type="containsText" dxfId="1644" priority="1507" operator="containsText" text="RESIGNED">
      <formula>NOT(ISERROR(SEARCH("RESIGNED",E85)))</formula>
    </cfRule>
    <cfRule type="containsText" dxfId="1643" priority="1508" operator="containsText" text="P">
      <formula>NOT(ISERROR(SEARCH("P",E85)))</formula>
    </cfRule>
    <cfRule type="containsText" dxfId="1642" priority="1509" operator="containsText" text="TARDY">
      <formula>NOT(ISERROR(SEARCH("TARDY",E85)))</formula>
    </cfRule>
    <cfRule type="containsText" dxfId="1641" priority="1510" operator="containsText" text="REST DAY">
      <formula>NOT(ISERROR(SEARCH("REST DAY",E85)))</formula>
    </cfRule>
    <cfRule type="containsText" dxfId="1640" priority="1511" operator="containsText" text="UA">
      <formula>NOT(ISERROR(SEARCH("UA",E85)))</formula>
    </cfRule>
    <cfRule type="containsText" dxfId="1639" priority="1512" operator="containsText" text="LWOP UA">
      <formula>NOT(ISERROR(SEARCH("LWOP UA",E85)))</formula>
    </cfRule>
  </conditionalFormatting>
  <conditionalFormatting sqref="E85">
    <cfRule type="containsText" dxfId="1638" priority="1499" operator="containsText" text="VL">
      <formula>NOT(ISERROR(SEARCH("VL",E85)))</formula>
    </cfRule>
    <cfRule type="containsText" dxfId="1637" priority="1500" operator="containsText" text="RD">
      <formula>NOT(ISERROR(SEARCH("RD",E85)))</formula>
    </cfRule>
    <cfRule type="containsText" dxfId="1636" priority="1501" operator="containsText" text="540">
      <formula>NOT(ISERROR(SEARCH("540",E85)))</formula>
    </cfRule>
    <cfRule type="cellIs" dxfId="1635" priority="1502" operator="between">
      <formula>1</formula>
      <formula>400</formula>
    </cfRule>
    <cfRule type="containsText" dxfId="1634" priority="1503" operator="containsText" text="LWOP UA">
      <formula>NOT(ISERROR(SEARCH("LWOP UA",E85)))</formula>
    </cfRule>
  </conditionalFormatting>
  <conditionalFormatting sqref="E85">
    <cfRule type="containsText" dxfId="1633" priority="1504" operator="containsText" text="P">
      <formula>NOT(ISERROR(SEARCH("P",E85)))</formula>
    </cfRule>
  </conditionalFormatting>
  <conditionalFormatting sqref="J3">
    <cfRule type="containsText" dxfId="1632" priority="1491" operator="containsText" text="TFO">
      <formula>NOT(ISERROR(SEARCH("TFO",J3)))</formula>
    </cfRule>
    <cfRule type="containsText" dxfId="1631" priority="1492" operator="containsText" text="AA">
      <formula>NOT(ISERROR(SEARCH("AA",J3)))</formula>
    </cfRule>
    <cfRule type="containsText" dxfId="1630" priority="1493" operator="containsText" text="RESIGNED">
      <formula>NOT(ISERROR(SEARCH("RESIGNED",J3)))</formula>
    </cfRule>
    <cfRule type="containsText" dxfId="1629" priority="1494" operator="containsText" text="P">
      <formula>NOT(ISERROR(SEARCH("P",J3)))</formula>
    </cfRule>
    <cfRule type="containsText" dxfId="1628" priority="1495" operator="containsText" text="TARDY">
      <formula>NOT(ISERROR(SEARCH("TARDY",J3)))</formula>
    </cfRule>
    <cfRule type="containsText" dxfId="1627" priority="1496" operator="containsText" text="REST DAY">
      <formula>NOT(ISERROR(SEARCH("REST DAY",J3)))</formula>
    </cfRule>
    <cfRule type="containsText" dxfId="1626" priority="1497" operator="containsText" text="UA">
      <formula>NOT(ISERROR(SEARCH("UA",J3)))</formula>
    </cfRule>
    <cfRule type="containsText" dxfId="1625" priority="1498" operator="containsText" text="LWOP UA">
      <formula>NOT(ISERROR(SEARCH("LWOP UA",J3)))</formula>
    </cfRule>
  </conditionalFormatting>
  <conditionalFormatting sqref="J3">
    <cfRule type="containsText" dxfId="1624" priority="1485" operator="containsText" text="VL">
      <formula>NOT(ISERROR(SEARCH("VL",J3)))</formula>
    </cfRule>
    <cfRule type="containsText" dxfId="1623" priority="1486" operator="containsText" text="RD">
      <formula>NOT(ISERROR(SEARCH("RD",J3)))</formula>
    </cfRule>
    <cfRule type="containsText" dxfId="1622" priority="1487" operator="containsText" text="540">
      <formula>NOT(ISERROR(SEARCH("540",J3)))</formula>
    </cfRule>
    <cfRule type="cellIs" dxfId="1621" priority="1488" operator="between">
      <formula>1</formula>
      <formula>400</formula>
    </cfRule>
    <cfRule type="containsText" dxfId="1620" priority="1489" operator="containsText" text="LWOP UA">
      <formula>NOT(ISERROR(SEARCH("LWOP UA",J3)))</formula>
    </cfRule>
  </conditionalFormatting>
  <conditionalFormatting sqref="J3">
    <cfRule type="containsText" dxfId="1619" priority="1490" operator="containsText" text="P">
      <formula>NOT(ISERROR(SEARCH("P",J3)))</formula>
    </cfRule>
  </conditionalFormatting>
  <conditionalFormatting sqref="J10">
    <cfRule type="containsText" dxfId="1618" priority="1477" operator="containsText" text="TFO">
      <formula>NOT(ISERROR(SEARCH("TFO",J10)))</formula>
    </cfRule>
    <cfRule type="containsText" dxfId="1617" priority="1478" operator="containsText" text="AA">
      <formula>NOT(ISERROR(SEARCH("AA",J10)))</formula>
    </cfRule>
    <cfRule type="containsText" dxfId="1616" priority="1479" operator="containsText" text="RESIGNED">
      <formula>NOT(ISERROR(SEARCH("RESIGNED",J10)))</formula>
    </cfRule>
    <cfRule type="containsText" dxfId="1615" priority="1480" operator="containsText" text="P">
      <formula>NOT(ISERROR(SEARCH("P",J10)))</formula>
    </cfRule>
    <cfRule type="containsText" dxfId="1614" priority="1481" operator="containsText" text="TARDY">
      <formula>NOT(ISERROR(SEARCH("TARDY",J10)))</formula>
    </cfRule>
    <cfRule type="containsText" dxfId="1613" priority="1482" operator="containsText" text="REST DAY">
      <formula>NOT(ISERROR(SEARCH("REST DAY",J10)))</formula>
    </cfRule>
    <cfRule type="containsText" dxfId="1612" priority="1483" operator="containsText" text="UA">
      <formula>NOT(ISERROR(SEARCH("UA",J10)))</formula>
    </cfRule>
    <cfRule type="containsText" dxfId="1611" priority="1484" operator="containsText" text="LWOP UA">
      <formula>NOT(ISERROR(SEARCH("LWOP UA",J10)))</formula>
    </cfRule>
  </conditionalFormatting>
  <conditionalFormatting sqref="J10">
    <cfRule type="containsText" dxfId="1610" priority="1471" operator="containsText" text="VL">
      <formula>NOT(ISERROR(SEARCH("VL",J10)))</formula>
    </cfRule>
    <cfRule type="containsText" dxfId="1609" priority="1472" operator="containsText" text="RD">
      <formula>NOT(ISERROR(SEARCH("RD",J10)))</formula>
    </cfRule>
    <cfRule type="containsText" dxfId="1608" priority="1473" operator="containsText" text="540">
      <formula>NOT(ISERROR(SEARCH("540",J10)))</formula>
    </cfRule>
    <cfRule type="cellIs" dxfId="1607" priority="1474" operator="between">
      <formula>1</formula>
      <formula>400</formula>
    </cfRule>
    <cfRule type="containsText" dxfId="1606" priority="1475" operator="containsText" text="LWOP UA">
      <formula>NOT(ISERROR(SEARCH("LWOP UA",J10)))</formula>
    </cfRule>
  </conditionalFormatting>
  <conditionalFormatting sqref="J10">
    <cfRule type="containsText" dxfId="1605" priority="1476" operator="containsText" text="P">
      <formula>NOT(ISERROR(SEARCH("P",J10)))</formula>
    </cfRule>
  </conditionalFormatting>
  <conditionalFormatting sqref="J11">
    <cfRule type="containsText" dxfId="1604" priority="1463" operator="containsText" text="TFO">
      <formula>NOT(ISERROR(SEARCH("TFO",J11)))</formula>
    </cfRule>
    <cfRule type="containsText" dxfId="1603" priority="1464" operator="containsText" text="AA">
      <formula>NOT(ISERROR(SEARCH("AA",J11)))</formula>
    </cfRule>
    <cfRule type="containsText" dxfId="1602" priority="1465" operator="containsText" text="RESIGNED">
      <formula>NOT(ISERROR(SEARCH("RESIGNED",J11)))</formula>
    </cfRule>
    <cfRule type="containsText" dxfId="1601" priority="1466" operator="containsText" text="P">
      <formula>NOT(ISERROR(SEARCH("P",J11)))</formula>
    </cfRule>
    <cfRule type="containsText" dxfId="1600" priority="1467" operator="containsText" text="TARDY">
      <formula>NOT(ISERROR(SEARCH("TARDY",J11)))</formula>
    </cfRule>
    <cfRule type="containsText" dxfId="1599" priority="1468" operator="containsText" text="REST DAY">
      <formula>NOT(ISERROR(SEARCH("REST DAY",J11)))</formula>
    </cfRule>
    <cfRule type="containsText" dxfId="1598" priority="1469" operator="containsText" text="UA">
      <formula>NOT(ISERROR(SEARCH("UA",J11)))</formula>
    </cfRule>
    <cfRule type="containsText" dxfId="1597" priority="1470" operator="containsText" text="LWOP UA">
      <formula>NOT(ISERROR(SEARCH("LWOP UA",J11)))</formula>
    </cfRule>
  </conditionalFormatting>
  <conditionalFormatting sqref="J11">
    <cfRule type="containsText" dxfId="1596" priority="1457" operator="containsText" text="VL">
      <formula>NOT(ISERROR(SEARCH("VL",J11)))</formula>
    </cfRule>
    <cfRule type="containsText" dxfId="1595" priority="1458" operator="containsText" text="RD">
      <formula>NOT(ISERROR(SEARCH("RD",J11)))</formula>
    </cfRule>
    <cfRule type="containsText" dxfId="1594" priority="1459" operator="containsText" text="540">
      <formula>NOT(ISERROR(SEARCH("540",J11)))</formula>
    </cfRule>
    <cfRule type="cellIs" dxfId="1593" priority="1460" operator="between">
      <formula>1</formula>
      <formula>400</formula>
    </cfRule>
    <cfRule type="containsText" dxfId="1592" priority="1461" operator="containsText" text="LWOP UA">
      <formula>NOT(ISERROR(SEARCH("LWOP UA",J11)))</formula>
    </cfRule>
  </conditionalFormatting>
  <conditionalFormatting sqref="J11">
    <cfRule type="containsText" dxfId="1591" priority="1462" operator="containsText" text="P">
      <formula>NOT(ISERROR(SEARCH("P",J11)))</formula>
    </cfRule>
  </conditionalFormatting>
  <conditionalFormatting sqref="J46">
    <cfRule type="containsText" dxfId="1590" priority="1449" operator="containsText" text="TFO">
      <formula>NOT(ISERROR(SEARCH("TFO",J46)))</formula>
    </cfRule>
    <cfRule type="containsText" dxfId="1589" priority="1450" operator="containsText" text="AA">
      <formula>NOT(ISERROR(SEARCH("AA",J46)))</formula>
    </cfRule>
    <cfRule type="containsText" dxfId="1588" priority="1451" operator="containsText" text="RESIGNED">
      <formula>NOT(ISERROR(SEARCH("RESIGNED",J46)))</formula>
    </cfRule>
    <cfRule type="containsText" dxfId="1587" priority="1452" operator="containsText" text="P">
      <formula>NOT(ISERROR(SEARCH("P",J46)))</formula>
    </cfRule>
    <cfRule type="containsText" dxfId="1586" priority="1453" operator="containsText" text="TARDY">
      <formula>NOT(ISERROR(SEARCH("TARDY",J46)))</formula>
    </cfRule>
    <cfRule type="containsText" dxfId="1585" priority="1454" operator="containsText" text="REST DAY">
      <formula>NOT(ISERROR(SEARCH("REST DAY",J46)))</formula>
    </cfRule>
    <cfRule type="containsText" dxfId="1584" priority="1455" operator="containsText" text="UA">
      <formula>NOT(ISERROR(SEARCH("UA",J46)))</formula>
    </cfRule>
    <cfRule type="containsText" dxfId="1583" priority="1456" operator="containsText" text="LWOP UA">
      <formula>NOT(ISERROR(SEARCH("LWOP UA",J46)))</formula>
    </cfRule>
  </conditionalFormatting>
  <conditionalFormatting sqref="J46">
    <cfRule type="containsText" dxfId="1582" priority="1443" operator="containsText" text="VL">
      <formula>NOT(ISERROR(SEARCH("VL",J46)))</formula>
    </cfRule>
    <cfRule type="containsText" dxfId="1581" priority="1444" operator="containsText" text="RD">
      <formula>NOT(ISERROR(SEARCH("RD",J46)))</formula>
    </cfRule>
    <cfRule type="containsText" dxfId="1580" priority="1445" operator="containsText" text="540">
      <formula>NOT(ISERROR(SEARCH("540",J46)))</formula>
    </cfRule>
    <cfRule type="cellIs" dxfId="1579" priority="1446" operator="between">
      <formula>1</formula>
      <formula>400</formula>
    </cfRule>
    <cfRule type="containsText" dxfId="1578" priority="1447" operator="containsText" text="LWOP UA">
      <formula>NOT(ISERROR(SEARCH("LWOP UA",J46)))</formula>
    </cfRule>
  </conditionalFormatting>
  <conditionalFormatting sqref="J46">
    <cfRule type="containsText" dxfId="1577" priority="1448" operator="containsText" text="P">
      <formula>NOT(ISERROR(SEARCH("P",J46)))</formula>
    </cfRule>
  </conditionalFormatting>
  <conditionalFormatting sqref="J54">
    <cfRule type="containsText" dxfId="1576" priority="1435" operator="containsText" text="TFO">
      <formula>NOT(ISERROR(SEARCH("TFO",J54)))</formula>
    </cfRule>
    <cfRule type="containsText" dxfId="1575" priority="1436" operator="containsText" text="AA">
      <formula>NOT(ISERROR(SEARCH("AA",J54)))</formula>
    </cfRule>
    <cfRule type="containsText" dxfId="1574" priority="1437" operator="containsText" text="RESIGNED">
      <formula>NOT(ISERROR(SEARCH("RESIGNED",J54)))</formula>
    </cfRule>
    <cfRule type="containsText" dxfId="1573" priority="1438" operator="containsText" text="P">
      <formula>NOT(ISERROR(SEARCH("P",J54)))</formula>
    </cfRule>
    <cfRule type="containsText" dxfId="1572" priority="1439" operator="containsText" text="TARDY">
      <formula>NOT(ISERROR(SEARCH("TARDY",J54)))</formula>
    </cfRule>
    <cfRule type="containsText" dxfId="1571" priority="1440" operator="containsText" text="REST DAY">
      <formula>NOT(ISERROR(SEARCH("REST DAY",J54)))</formula>
    </cfRule>
    <cfRule type="containsText" dxfId="1570" priority="1441" operator="containsText" text="UA">
      <formula>NOT(ISERROR(SEARCH("UA",J54)))</formula>
    </cfRule>
    <cfRule type="containsText" dxfId="1569" priority="1442" operator="containsText" text="LWOP UA">
      <formula>NOT(ISERROR(SEARCH("LWOP UA",J54)))</formula>
    </cfRule>
  </conditionalFormatting>
  <conditionalFormatting sqref="J54">
    <cfRule type="containsText" dxfId="1568" priority="1429" operator="containsText" text="VL">
      <formula>NOT(ISERROR(SEARCH("VL",J54)))</formula>
    </cfRule>
    <cfRule type="containsText" dxfId="1567" priority="1430" operator="containsText" text="RD">
      <formula>NOT(ISERROR(SEARCH("RD",J54)))</formula>
    </cfRule>
    <cfRule type="containsText" dxfId="1566" priority="1431" operator="containsText" text="540">
      <formula>NOT(ISERROR(SEARCH("540",J54)))</formula>
    </cfRule>
    <cfRule type="cellIs" dxfId="1565" priority="1432" operator="between">
      <formula>1</formula>
      <formula>400</formula>
    </cfRule>
    <cfRule type="containsText" dxfId="1564" priority="1433" operator="containsText" text="LWOP UA">
      <formula>NOT(ISERROR(SEARCH("LWOP UA",J54)))</formula>
    </cfRule>
  </conditionalFormatting>
  <conditionalFormatting sqref="J54">
    <cfRule type="containsText" dxfId="1563" priority="1434" operator="containsText" text="P">
      <formula>NOT(ISERROR(SEARCH("P",J54)))</formula>
    </cfRule>
  </conditionalFormatting>
  <conditionalFormatting sqref="J65">
    <cfRule type="containsText" dxfId="1562" priority="1421" operator="containsText" text="TFO">
      <formula>NOT(ISERROR(SEARCH("TFO",J65)))</formula>
    </cfRule>
    <cfRule type="containsText" dxfId="1561" priority="1422" operator="containsText" text="AA">
      <formula>NOT(ISERROR(SEARCH("AA",J65)))</formula>
    </cfRule>
    <cfRule type="containsText" dxfId="1560" priority="1423" operator="containsText" text="RESIGNED">
      <formula>NOT(ISERROR(SEARCH("RESIGNED",J65)))</formula>
    </cfRule>
    <cfRule type="containsText" dxfId="1559" priority="1424" operator="containsText" text="P">
      <formula>NOT(ISERROR(SEARCH("P",J65)))</formula>
    </cfRule>
    <cfRule type="containsText" dxfId="1558" priority="1425" operator="containsText" text="TARDY">
      <formula>NOT(ISERROR(SEARCH("TARDY",J65)))</formula>
    </cfRule>
    <cfRule type="containsText" dxfId="1557" priority="1426" operator="containsText" text="REST DAY">
      <formula>NOT(ISERROR(SEARCH("REST DAY",J65)))</formula>
    </cfRule>
    <cfRule type="containsText" dxfId="1556" priority="1427" operator="containsText" text="UA">
      <formula>NOT(ISERROR(SEARCH("UA",J65)))</formula>
    </cfRule>
    <cfRule type="containsText" dxfId="1555" priority="1428" operator="containsText" text="LWOP UA">
      <formula>NOT(ISERROR(SEARCH("LWOP UA",J65)))</formula>
    </cfRule>
  </conditionalFormatting>
  <conditionalFormatting sqref="J65">
    <cfRule type="containsText" dxfId="1554" priority="1415" operator="containsText" text="VL">
      <formula>NOT(ISERROR(SEARCH("VL",J65)))</formula>
    </cfRule>
    <cfRule type="containsText" dxfId="1553" priority="1416" operator="containsText" text="RD">
      <formula>NOT(ISERROR(SEARCH("RD",J65)))</formula>
    </cfRule>
    <cfRule type="containsText" dxfId="1552" priority="1417" operator="containsText" text="540">
      <formula>NOT(ISERROR(SEARCH("540",J65)))</formula>
    </cfRule>
    <cfRule type="cellIs" dxfId="1551" priority="1418" operator="between">
      <formula>1</formula>
      <formula>400</formula>
    </cfRule>
    <cfRule type="containsText" dxfId="1550" priority="1419" operator="containsText" text="LWOP UA">
      <formula>NOT(ISERROR(SEARCH("LWOP UA",J65)))</formula>
    </cfRule>
  </conditionalFormatting>
  <conditionalFormatting sqref="J65">
    <cfRule type="containsText" dxfId="1549" priority="1420" operator="containsText" text="P">
      <formula>NOT(ISERROR(SEARCH("P",J65)))</formula>
    </cfRule>
  </conditionalFormatting>
  <conditionalFormatting sqref="J72">
    <cfRule type="containsText" dxfId="1548" priority="1407" operator="containsText" text="TFO">
      <formula>NOT(ISERROR(SEARCH("TFO",J72)))</formula>
    </cfRule>
    <cfRule type="containsText" dxfId="1547" priority="1408" operator="containsText" text="AA">
      <formula>NOT(ISERROR(SEARCH("AA",J72)))</formula>
    </cfRule>
    <cfRule type="containsText" dxfId="1546" priority="1409" operator="containsText" text="RESIGNED">
      <formula>NOT(ISERROR(SEARCH("RESIGNED",J72)))</formula>
    </cfRule>
    <cfRule type="containsText" dxfId="1545" priority="1410" operator="containsText" text="P">
      <formula>NOT(ISERROR(SEARCH("P",J72)))</formula>
    </cfRule>
    <cfRule type="containsText" dxfId="1544" priority="1411" operator="containsText" text="TARDY">
      <formula>NOT(ISERROR(SEARCH("TARDY",J72)))</formula>
    </cfRule>
    <cfRule type="containsText" dxfId="1543" priority="1412" operator="containsText" text="REST DAY">
      <formula>NOT(ISERROR(SEARCH("REST DAY",J72)))</formula>
    </cfRule>
    <cfRule type="containsText" dxfId="1542" priority="1413" operator="containsText" text="UA">
      <formula>NOT(ISERROR(SEARCH("UA",J72)))</formula>
    </cfRule>
    <cfRule type="containsText" dxfId="1541" priority="1414" operator="containsText" text="LWOP UA">
      <formula>NOT(ISERROR(SEARCH("LWOP UA",J72)))</formula>
    </cfRule>
  </conditionalFormatting>
  <conditionalFormatting sqref="J72">
    <cfRule type="containsText" dxfId="1540" priority="1401" operator="containsText" text="VL">
      <formula>NOT(ISERROR(SEARCH("VL",J72)))</formula>
    </cfRule>
    <cfRule type="containsText" dxfId="1539" priority="1402" operator="containsText" text="RD">
      <formula>NOT(ISERROR(SEARCH("RD",J72)))</formula>
    </cfRule>
    <cfRule type="containsText" dxfId="1538" priority="1403" operator="containsText" text="540">
      <formula>NOT(ISERROR(SEARCH("540",J72)))</formula>
    </cfRule>
    <cfRule type="cellIs" dxfId="1537" priority="1404" operator="between">
      <formula>1</formula>
      <formula>400</formula>
    </cfRule>
    <cfRule type="containsText" dxfId="1536" priority="1405" operator="containsText" text="LWOP UA">
      <formula>NOT(ISERROR(SEARCH("LWOP UA",J72)))</formula>
    </cfRule>
  </conditionalFormatting>
  <conditionalFormatting sqref="J72">
    <cfRule type="containsText" dxfId="1535" priority="1406" operator="containsText" text="P">
      <formula>NOT(ISERROR(SEARCH("P",J72)))</formula>
    </cfRule>
  </conditionalFormatting>
  <conditionalFormatting sqref="J85">
    <cfRule type="containsText" dxfId="1534" priority="1393" operator="containsText" text="TFO">
      <formula>NOT(ISERROR(SEARCH("TFO",J85)))</formula>
    </cfRule>
    <cfRule type="containsText" dxfId="1533" priority="1394" operator="containsText" text="AA">
      <formula>NOT(ISERROR(SEARCH("AA",J85)))</formula>
    </cfRule>
    <cfRule type="containsText" dxfId="1532" priority="1395" operator="containsText" text="RESIGNED">
      <formula>NOT(ISERROR(SEARCH("RESIGNED",J85)))</formula>
    </cfRule>
    <cfRule type="containsText" dxfId="1531" priority="1396" operator="containsText" text="P">
      <formula>NOT(ISERROR(SEARCH("P",J85)))</formula>
    </cfRule>
    <cfRule type="containsText" dxfId="1530" priority="1397" operator="containsText" text="TARDY">
      <formula>NOT(ISERROR(SEARCH("TARDY",J85)))</formula>
    </cfRule>
    <cfRule type="containsText" dxfId="1529" priority="1398" operator="containsText" text="REST DAY">
      <formula>NOT(ISERROR(SEARCH("REST DAY",J85)))</formula>
    </cfRule>
    <cfRule type="containsText" dxfId="1528" priority="1399" operator="containsText" text="UA">
      <formula>NOT(ISERROR(SEARCH("UA",J85)))</formula>
    </cfRule>
    <cfRule type="containsText" dxfId="1527" priority="1400" operator="containsText" text="LWOP UA">
      <formula>NOT(ISERROR(SEARCH("LWOP UA",J85)))</formula>
    </cfRule>
  </conditionalFormatting>
  <conditionalFormatting sqref="J85">
    <cfRule type="containsText" dxfId="1526" priority="1387" operator="containsText" text="VL">
      <formula>NOT(ISERROR(SEARCH("VL",J85)))</formula>
    </cfRule>
    <cfRule type="containsText" dxfId="1525" priority="1388" operator="containsText" text="RD">
      <formula>NOT(ISERROR(SEARCH("RD",J85)))</formula>
    </cfRule>
    <cfRule type="containsText" dxfId="1524" priority="1389" operator="containsText" text="540">
      <formula>NOT(ISERROR(SEARCH("540",J85)))</formula>
    </cfRule>
    <cfRule type="cellIs" dxfId="1523" priority="1390" operator="between">
      <formula>1</formula>
      <formula>400</formula>
    </cfRule>
    <cfRule type="containsText" dxfId="1522" priority="1391" operator="containsText" text="LWOP UA">
      <formula>NOT(ISERROR(SEARCH("LWOP UA",J85)))</formula>
    </cfRule>
  </conditionalFormatting>
  <conditionalFormatting sqref="J85">
    <cfRule type="containsText" dxfId="1521" priority="1392" operator="containsText" text="P">
      <formula>NOT(ISERROR(SEARCH("P",J85)))</formula>
    </cfRule>
  </conditionalFormatting>
  <conditionalFormatting sqref="D3">
    <cfRule type="containsText" dxfId="1520" priority="1379" operator="containsText" text="TFO">
      <formula>NOT(ISERROR(SEARCH("TFO",D3)))</formula>
    </cfRule>
    <cfRule type="containsText" dxfId="1519" priority="1380" operator="containsText" text="AA">
      <formula>NOT(ISERROR(SEARCH("AA",D3)))</formula>
    </cfRule>
    <cfRule type="containsText" dxfId="1518" priority="1381" operator="containsText" text="RESIGNED">
      <formula>NOT(ISERROR(SEARCH("RESIGNED",D3)))</formula>
    </cfRule>
    <cfRule type="containsText" dxfId="1517" priority="1382" operator="containsText" text="P">
      <formula>NOT(ISERROR(SEARCH("P",D3)))</formula>
    </cfRule>
    <cfRule type="containsText" dxfId="1516" priority="1383" operator="containsText" text="TARDY">
      <formula>NOT(ISERROR(SEARCH("TARDY",D3)))</formula>
    </cfRule>
    <cfRule type="containsText" dxfId="1515" priority="1384" operator="containsText" text="REST DAY">
      <formula>NOT(ISERROR(SEARCH("REST DAY",D3)))</formula>
    </cfRule>
    <cfRule type="containsText" dxfId="1514" priority="1385" operator="containsText" text="UA">
      <formula>NOT(ISERROR(SEARCH("UA",D3)))</formula>
    </cfRule>
    <cfRule type="containsText" dxfId="1513" priority="1386" operator="containsText" text="LWOP UA">
      <formula>NOT(ISERROR(SEARCH("LWOP UA",D3)))</formula>
    </cfRule>
  </conditionalFormatting>
  <conditionalFormatting sqref="D3">
    <cfRule type="containsText" dxfId="1512" priority="1373" operator="containsText" text="VL">
      <formula>NOT(ISERROR(SEARCH("VL",D3)))</formula>
    </cfRule>
    <cfRule type="containsText" dxfId="1511" priority="1374" operator="containsText" text="RD">
      <formula>NOT(ISERROR(SEARCH("RD",D3)))</formula>
    </cfRule>
    <cfRule type="containsText" dxfId="1510" priority="1375" operator="containsText" text="540">
      <formula>NOT(ISERROR(SEARCH("540",D3)))</formula>
    </cfRule>
    <cfRule type="cellIs" dxfId="1509" priority="1376" operator="between">
      <formula>1</formula>
      <formula>400</formula>
    </cfRule>
    <cfRule type="containsText" dxfId="1508" priority="1377" operator="containsText" text="LWOP UA">
      <formula>NOT(ISERROR(SEARCH("LWOP UA",D3)))</formula>
    </cfRule>
  </conditionalFormatting>
  <conditionalFormatting sqref="D3">
    <cfRule type="containsText" dxfId="1507" priority="1378" operator="containsText" text="P">
      <formula>NOT(ISERROR(SEARCH("P",D3)))</formula>
    </cfRule>
  </conditionalFormatting>
  <conditionalFormatting sqref="D85 D72 D65 D54 D46 D10:D11">
    <cfRule type="containsText" dxfId="1506" priority="1365" operator="containsText" text="TFO">
      <formula>NOT(ISERROR(SEARCH("TFO",D10)))</formula>
    </cfRule>
    <cfRule type="containsText" dxfId="1505" priority="1366" operator="containsText" text="AA">
      <formula>NOT(ISERROR(SEARCH("AA",D10)))</formula>
    </cfRule>
    <cfRule type="containsText" dxfId="1504" priority="1367" operator="containsText" text="RESIGNED">
      <formula>NOT(ISERROR(SEARCH("RESIGNED",D10)))</formula>
    </cfRule>
    <cfRule type="containsText" dxfId="1503" priority="1368" operator="containsText" text="P">
      <formula>NOT(ISERROR(SEARCH("P",D10)))</formula>
    </cfRule>
    <cfRule type="containsText" dxfId="1502" priority="1369" operator="containsText" text="TARDY">
      <formula>NOT(ISERROR(SEARCH("TARDY",D10)))</formula>
    </cfRule>
    <cfRule type="containsText" dxfId="1501" priority="1370" operator="containsText" text="REST DAY">
      <formula>NOT(ISERROR(SEARCH("REST DAY",D10)))</formula>
    </cfRule>
    <cfRule type="containsText" dxfId="1500" priority="1371" operator="containsText" text="UA">
      <formula>NOT(ISERROR(SEARCH("UA",D10)))</formula>
    </cfRule>
    <cfRule type="containsText" dxfId="1499" priority="1372" operator="containsText" text="LWOP UA">
      <formula>NOT(ISERROR(SEARCH("LWOP UA",D10)))</formula>
    </cfRule>
  </conditionalFormatting>
  <conditionalFormatting sqref="D85 D72 D65 D54 D46 D10:D11">
    <cfRule type="containsText" dxfId="1498" priority="1359" operator="containsText" text="VL">
      <formula>NOT(ISERROR(SEARCH("VL",D10)))</formula>
    </cfRule>
    <cfRule type="containsText" dxfId="1497" priority="1360" operator="containsText" text="RD">
      <formula>NOT(ISERROR(SEARCH("RD",D10)))</formula>
    </cfRule>
    <cfRule type="containsText" dxfId="1496" priority="1361" operator="containsText" text="540">
      <formula>NOT(ISERROR(SEARCH("540",D10)))</formula>
    </cfRule>
    <cfRule type="cellIs" dxfId="1495" priority="1362" operator="between">
      <formula>1</formula>
      <formula>400</formula>
    </cfRule>
    <cfRule type="containsText" dxfId="1494" priority="1363" operator="containsText" text="LWOP UA">
      <formula>NOT(ISERROR(SEARCH("LWOP UA",D10)))</formula>
    </cfRule>
  </conditionalFormatting>
  <conditionalFormatting sqref="D85 D72 D65 D54 D46 D10:D11">
    <cfRule type="containsText" dxfId="1493" priority="1364" operator="containsText" text="P">
      <formula>NOT(ISERROR(SEARCH("P",D10)))</formula>
    </cfRule>
  </conditionalFormatting>
  <conditionalFormatting sqref="D81:D82 D77 D74 D67 D49 D36 D30 D27 D25">
    <cfRule type="containsText" dxfId="1492" priority="1351" operator="containsText" text="TFO">
      <formula>NOT(ISERROR(SEARCH("TFO",D25)))</formula>
    </cfRule>
    <cfRule type="containsText" dxfId="1491" priority="1352" operator="containsText" text="AA">
      <formula>NOT(ISERROR(SEARCH("AA",D25)))</formula>
    </cfRule>
    <cfRule type="containsText" dxfId="1490" priority="1353" operator="containsText" text="RESIGNED">
      <formula>NOT(ISERROR(SEARCH("RESIGNED",D25)))</formula>
    </cfRule>
    <cfRule type="containsText" dxfId="1489" priority="1354" operator="containsText" text="P">
      <formula>NOT(ISERROR(SEARCH("P",D25)))</formula>
    </cfRule>
    <cfRule type="containsText" dxfId="1488" priority="1355" operator="containsText" text="TARDY">
      <formula>NOT(ISERROR(SEARCH("TARDY",D25)))</formula>
    </cfRule>
    <cfRule type="containsText" dxfId="1487" priority="1356" operator="containsText" text="REST DAY">
      <formula>NOT(ISERROR(SEARCH("REST DAY",D25)))</formula>
    </cfRule>
    <cfRule type="containsText" dxfId="1486" priority="1357" operator="containsText" text="UA">
      <formula>NOT(ISERROR(SEARCH("UA",D25)))</formula>
    </cfRule>
    <cfRule type="containsText" dxfId="1485" priority="1358" operator="containsText" text="LWOP UA">
      <formula>NOT(ISERROR(SEARCH("LWOP UA",D25)))</formula>
    </cfRule>
  </conditionalFormatting>
  <conditionalFormatting sqref="D81:D82 D77 D74 D67 D49 D36 D30 D27 D25">
    <cfRule type="containsText" dxfId="1484" priority="1345" operator="containsText" text="VL">
      <formula>NOT(ISERROR(SEARCH("VL",D25)))</formula>
    </cfRule>
    <cfRule type="containsText" dxfId="1483" priority="1346" operator="containsText" text="RD">
      <formula>NOT(ISERROR(SEARCH("RD",D25)))</formula>
    </cfRule>
    <cfRule type="containsText" dxfId="1482" priority="1347" operator="containsText" text="540">
      <formula>NOT(ISERROR(SEARCH("540",D25)))</formula>
    </cfRule>
    <cfRule type="cellIs" dxfId="1481" priority="1348" operator="between">
      <formula>1</formula>
      <formula>400</formula>
    </cfRule>
    <cfRule type="containsText" dxfId="1480" priority="1349" operator="containsText" text="LWOP UA">
      <formula>NOT(ISERROR(SEARCH("LWOP UA",D25)))</formula>
    </cfRule>
  </conditionalFormatting>
  <conditionalFormatting sqref="D81:D82 D77 D74 D67 D49 D36 D30 D27 D25">
    <cfRule type="containsText" dxfId="1479" priority="1350" operator="containsText" text="P">
      <formula>NOT(ISERROR(SEARCH("P",D25)))</formula>
    </cfRule>
  </conditionalFormatting>
  <conditionalFormatting sqref="J81:J82 J77 J74 J67 J49 J36 J30 J27 J25">
    <cfRule type="containsText" dxfId="1478" priority="1337" operator="containsText" text="TFO">
      <formula>NOT(ISERROR(SEARCH("TFO",J25)))</formula>
    </cfRule>
    <cfRule type="containsText" dxfId="1477" priority="1338" operator="containsText" text="AA">
      <formula>NOT(ISERROR(SEARCH("AA",J25)))</formula>
    </cfRule>
    <cfRule type="containsText" dxfId="1476" priority="1339" operator="containsText" text="RESIGNED">
      <formula>NOT(ISERROR(SEARCH("RESIGNED",J25)))</formula>
    </cfRule>
    <cfRule type="containsText" dxfId="1475" priority="1340" operator="containsText" text="P">
      <formula>NOT(ISERROR(SEARCH("P",J25)))</formula>
    </cfRule>
    <cfRule type="containsText" dxfId="1474" priority="1341" operator="containsText" text="TARDY">
      <formula>NOT(ISERROR(SEARCH("TARDY",J25)))</formula>
    </cfRule>
    <cfRule type="containsText" dxfId="1473" priority="1342" operator="containsText" text="REST DAY">
      <formula>NOT(ISERROR(SEARCH("REST DAY",J25)))</formula>
    </cfRule>
    <cfRule type="containsText" dxfId="1472" priority="1343" operator="containsText" text="UA">
      <formula>NOT(ISERROR(SEARCH("UA",J25)))</formula>
    </cfRule>
    <cfRule type="containsText" dxfId="1471" priority="1344" operator="containsText" text="LWOP UA">
      <formula>NOT(ISERROR(SEARCH("LWOP UA",J25)))</formula>
    </cfRule>
  </conditionalFormatting>
  <conditionalFormatting sqref="J81:J82 J77 J74 J67 J49 J36 J30 J27 J25">
    <cfRule type="containsText" dxfId="1470" priority="1331" operator="containsText" text="VL">
      <formula>NOT(ISERROR(SEARCH("VL",J25)))</formula>
    </cfRule>
    <cfRule type="containsText" dxfId="1469" priority="1332" operator="containsText" text="RD">
      <formula>NOT(ISERROR(SEARCH("RD",J25)))</formula>
    </cfRule>
    <cfRule type="containsText" dxfId="1468" priority="1333" operator="containsText" text="540">
      <formula>NOT(ISERROR(SEARCH("540",J25)))</formula>
    </cfRule>
    <cfRule type="cellIs" dxfId="1467" priority="1334" operator="between">
      <formula>1</formula>
      <formula>400</formula>
    </cfRule>
    <cfRule type="containsText" dxfId="1466" priority="1335" operator="containsText" text="LWOP UA">
      <formula>NOT(ISERROR(SEARCH("LWOP UA",J25)))</formula>
    </cfRule>
  </conditionalFormatting>
  <conditionalFormatting sqref="J81:J82 J77 J74 J67 J49 J36 J30 J27 J25">
    <cfRule type="containsText" dxfId="1465" priority="1336" operator="containsText" text="P">
      <formula>NOT(ISERROR(SEARCH("P",J25)))</formula>
    </cfRule>
  </conditionalFormatting>
  <conditionalFormatting sqref="D76 D58:D59 D22:D23">
    <cfRule type="containsText" dxfId="1464" priority="1323" operator="containsText" text="TFO">
      <formula>NOT(ISERROR(SEARCH("TFO",D22)))</formula>
    </cfRule>
    <cfRule type="containsText" dxfId="1463" priority="1324" operator="containsText" text="AA">
      <formula>NOT(ISERROR(SEARCH("AA",D22)))</formula>
    </cfRule>
    <cfRule type="containsText" dxfId="1462" priority="1325" operator="containsText" text="RESIGNED">
      <formula>NOT(ISERROR(SEARCH("RESIGNED",D22)))</formula>
    </cfRule>
    <cfRule type="containsText" dxfId="1461" priority="1326" operator="containsText" text="P">
      <formula>NOT(ISERROR(SEARCH("P",D22)))</formula>
    </cfRule>
    <cfRule type="containsText" dxfId="1460" priority="1327" operator="containsText" text="TARDY">
      <formula>NOT(ISERROR(SEARCH("TARDY",D22)))</formula>
    </cfRule>
    <cfRule type="containsText" dxfId="1459" priority="1328" operator="containsText" text="REST DAY">
      <formula>NOT(ISERROR(SEARCH("REST DAY",D22)))</formula>
    </cfRule>
    <cfRule type="containsText" dxfId="1458" priority="1329" operator="containsText" text="UA">
      <formula>NOT(ISERROR(SEARCH("UA",D22)))</formula>
    </cfRule>
    <cfRule type="containsText" dxfId="1457" priority="1330" operator="containsText" text="LWOP UA">
      <formula>NOT(ISERROR(SEARCH("LWOP UA",D22)))</formula>
    </cfRule>
  </conditionalFormatting>
  <conditionalFormatting sqref="D76 D58:D59 D22:D23">
    <cfRule type="containsText" dxfId="1456" priority="1317" operator="containsText" text="VL">
      <formula>NOT(ISERROR(SEARCH("VL",D22)))</formula>
    </cfRule>
    <cfRule type="containsText" dxfId="1455" priority="1318" operator="containsText" text="RD">
      <formula>NOT(ISERROR(SEARCH("RD",D22)))</formula>
    </cfRule>
    <cfRule type="containsText" dxfId="1454" priority="1319" operator="containsText" text="540">
      <formula>NOT(ISERROR(SEARCH("540",D22)))</formula>
    </cfRule>
    <cfRule type="cellIs" dxfId="1453" priority="1320" operator="between">
      <formula>1</formula>
      <formula>400</formula>
    </cfRule>
    <cfRule type="containsText" dxfId="1452" priority="1321" operator="containsText" text="LWOP UA">
      <formula>NOT(ISERROR(SEARCH("LWOP UA",D22)))</formula>
    </cfRule>
  </conditionalFormatting>
  <conditionalFormatting sqref="D76 D58:D59 D22:D23">
    <cfRule type="containsText" dxfId="1451" priority="1322" operator="containsText" text="P">
      <formula>NOT(ISERROR(SEARCH("P",D22)))</formula>
    </cfRule>
  </conditionalFormatting>
  <conditionalFormatting sqref="J76 J58:J59 J51 J42:J43 J28 J22:J23">
    <cfRule type="containsText" dxfId="1450" priority="1309" operator="containsText" text="TFO">
      <formula>NOT(ISERROR(SEARCH("TFO",J22)))</formula>
    </cfRule>
    <cfRule type="containsText" dxfId="1449" priority="1310" operator="containsText" text="AA">
      <formula>NOT(ISERROR(SEARCH("AA",J22)))</formula>
    </cfRule>
    <cfRule type="containsText" dxfId="1448" priority="1311" operator="containsText" text="RESIGNED">
      <formula>NOT(ISERROR(SEARCH("RESIGNED",J22)))</formula>
    </cfRule>
    <cfRule type="containsText" dxfId="1447" priority="1312" operator="containsText" text="P">
      <formula>NOT(ISERROR(SEARCH("P",J22)))</formula>
    </cfRule>
    <cfRule type="containsText" dxfId="1446" priority="1313" operator="containsText" text="TARDY">
      <formula>NOT(ISERROR(SEARCH("TARDY",J22)))</formula>
    </cfRule>
    <cfRule type="containsText" dxfId="1445" priority="1314" operator="containsText" text="REST DAY">
      <formula>NOT(ISERROR(SEARCH("REST DAY",J22)))</formula>
    </cfRule>
    <cfRule type="containsText" dxfId="1444" priority="1315" operator="containsText" text="UA">
      <formula>NOT(ISERROR(SEARCH("UA",J22)))</formula>
    </cfRule>
    <cfRule type="containsText" dxfId="1443" priority="1316" operator="containsText" text="LWOP UA">
      <formula>NOT(ISERROR(SEARCH("LWOP UA",J22)))</formula>
    </cfRule>
  </conditionalFormatting>
  <conditionalFormatting sqref="J76 J58:J59 J51 J42:J43 J28 J22:J23">
    <cfRule type="containsText" dxfId="1442" priority="1303" operator="containsText" text="VL">
      <formula>NOT(ISERROR(SEARCH("VL",J22)))</formula>
    </cfRule>
    <cfRule type="containsText" dxfId="1441" priority="1304" operator="containsText" text="RD">
      <formula>NOT(ISERROR(SEARCH("RD",J22)))</formula>
    </cfRule>
    <cfRule type="containsText" dxfId="1440" priority="1305" operator="containsText" text="540">
      <formula>NOT(ISERROR(SEARCH("540",J22)))</formula>
    </cfRule>
    <cfRule type="cellIs" dxfId="1439" priority="1306" operator="between">
      <formula>1</formula>
      <formula>400</formula>
    </cfRule>
    <cfRule type="containsText" dxfId="1438" priority="1307" operator="containsText" text="LWOP UA">
      <formula>NOT(ISERROR(SEARCH("LWOP UA",J22)))</formula>
    </cfRule>
  </conditionalFormatting>
  <conditionalFormatting sqref="J76 J58:J59 J51 J42:J43 J28 J22:J23">
    <cfRule type="containsText" dxfId="1437" priority="1308" operator="containsText" text="P">
      <formula>NOT(ISERROR(SEARCH("P",J22)))</formula>
    </cfRule>
  </conditionalFormatting>
  <conditionalFormatting sqref="D87:D88 D75 D61:D63 D50 D40 D9 D6">
    <cfRule type="containsText" dxfId="1436" priority="1295" operator="containsText" text="TFO">
      <formula>NOT(ISERROR(SEARCH("TFO",D6)))</formula>
    </cfRule>
    <cfRule type="containsText" dxfId="1435" priority="1296" operator="containsText" text="AA">
      <formula>NOT(ISERROR(SEARCH("AA",D6)))</formula>
    </cfRule>
    <cfRule type="containsText" dxfId="1434" priority="1297" operator="containsText" text="RESIGNED">
      <formula>NOT(ISERROR(SEARCH("RESIGNED",D6)))</formula>
    </cfRule>
    <cfRule type="containsText" dxfId="1433" priority="1298" operator="containsText" text="P">
      <formula>NOT(ISERROR(SEARCH("P",D6)))</formula>
    </cfRule>
    <cfRule type="containsText" dxfId="1432" priority="1299" operator="containsText" text="TARDY">
      <formula>NOT(ISERROR(SEARCH("TARDY",D6)))</formula>
    </cfRule>
    <cfRule type="containsText" dxfId="1431" priority="1300" operator="containsText" text="REST DAY">
      <formula>NOT(ISERROR(SEARCH("REST DAY",D6)))</formula>
    </cfRule>
    <cfRule type="containsText" dxfId="1430" priority="1301" operator="containsText" text="UA">
      <formula>NOT(ISERROR(SEARCH("UA",D6)))</formula>
    </cfRule>
    <cfRule type="containsText" dxfId="1429" priority="1302" operator="containsText" text="LWOP UA">
      <formula>NOT(ISERROR(SEARCH("LWOP UA",D6)))</formula>
    </cfRule>
  </conditionalFormatting>
  <conditionalFormatting sqref="D87:D88 D75 D61:D63 D50 D40 D9 D6">
    <cfRule type="containsText" dxfId="1428" priority="1289" operator="containsText" text="VL">
      <formula>NOT(ISERROR(SEARCH("VL",D6)))</formula>
    </cfRule>
    <cfRule type="containsText" dxfId="1427" priority="1290" operator="containsText" text="RD">
      <formula>NOT(ISERROR(SEARCH("RD",D6)))</formula>
    </cfRule>
    <cfRule type="containsText" dxfId="1426" priority="1291" operator="containsText" text="540">
      <formula>NOT(ISERROR(SEARCH("540",D6)))</formula>
    </cfRule>
    <cfRule type="cellIs" dxfId="1425" priority="1292" operator="between">
      <formula>1</formula>
      <formula>400</formula>
    </cfRule>
    <cfRule type="containsText" dxfId="1424" priority="1293" operator="containsText" text="LWOP UA">
      <formula>NOT(ISERROR(SEARCH("LWOP UA",D6)))</formula>
    </cfRule>
  </conditionalFormatting>
  <conditionalFormatting sqref="D87:D88 D75 D61:D63 D50 D40 D9 D6">
    <cfRule type="containsText" dxfId="1423" priority="1294" operator="containsText" text="P">
      <formula>NOT(ISERROR(SEARCH("P",D6)))</formula>
    </cfRule>
  </conditionalFormatting>
  <conditionalFormatting sqref="D66">
    <cfRule type="containsText" dxfId="1422" priority="1281" operator="containsText" text="TFO">
      <formula>NOT(ISERROR(SEARCH("TFO",D66)))</formula>
    </cfRule>
    <cfRule type="containsText" dxfId="1421" priority="1282" operator="containsText" text="AA">
      <formula>NOT(ISERROR(SEARCH("AA",D66)))</formula>
    </cfRule>
    <cfRule type="containsText" dxfId="1420" priority="1283" operator="containsText" text="RESIGNED">
      <formula>NOT(ISERROR(SEARCH("RESIGNED",D66)))</formula>
    </cfRule>
    <cfRule type="containsText" dxfId="1419" priority="1284" operator="containsText" text="P">
      <formula>NOT(ISERROR(SEARCH("P",D66)))</formula>
    </cfRule>
    <cfRule type="containsText" dxfId="1418" priority="1285" operator="containsText" text="TARDY">
      <formula>NOT(ISERROR(SEARCH("TARDY",D66)))</formula>
    </cfRule>
    <cfRule type="containsText" dxfId="1417" priority="1286" operator="containsText" text="REST DAY">
      <formula>NOT(ISERROR(SEARCH("REST DAY",D66)))</formula>
    </cfRule>
    <cfRule type="containsText" dxfId="1416" priority="1287" operator="containsText" text="UA">
      <formula>NOT(ISERROR(SEARCH("UA",D66)))</formula>
    </cfRule>
    <cfRule type="containsText" dxfId="1415" priority="1288" operator="containsText" text="LWOP UA">
      <formula>NOT(ISERROR(SEARCH("LWOP UA",D66)))</formula>
    </cfRule>
  </conditionalFormatting>
  <conditionalFormatting sqref="D66">
    <cfRule type="containsText" dxfId="1414" priority="1275" operator="containsText" text="VL">
      <formula>NOT(ISERROR(SEARCH("VL",D66)))</formula>
    </cfRule>
    <cfRule type="containsText" dxfId="1413" priority="1276" operator="containsText" text="RD">
      <formula>NOT(ISERROR(SEARCH("RD",D66)))</formula>
    </cfRule>
    <cfRule type="containsText" dxfId="1412" priority="1277" operator="containsText" text="540">
      <formula>NOT(ISERROR(SEARCH("540",D66)))</formula>
    </cfRule>
    <cfRule type="cellIs" dxfId="1411" priority="1278" operator="between">
      <formula>1</formula>
      <formula>400</formula>
    </cfRule>
    <cfRule type="containsText" dxfId="1410" priority="1279" operator="containsText" text="LWOP UA">
      <formula>NOT(ISERROR(SEARCH("LWOP UA",D66)))</formula>
    </cfRule>
  </conditionalFormatting>
  <conditionalFormatting sqref="D66">
    <cfRule type="containsText" dxfId="1409" priority="1280" operator="containsText" text="P">
      <formula>NOT(ISERROR(SEARCH("P",D66)))</formula>
    </cfRule>
  </conditionalFormatting>
  <conditionalFormatting sqref="D89">
    <cfRule type="containsText" dxfId="1408" priority="1267" operator="containsText" text="TFO">
      <formula>NOT(ISERROR(SEARCH("TFO",D89)))</formula>
    </cfRule>
    <cfRule type="containsText" dxfId="1407" priority="1268" operator="containsText" text="AA">
      <formula>NOT(ISERROR(SEARCH("AA",D89)))</formula>
    </cfRule>
    <cfRule type="containsText" dxfId="1406" priority="1269" operator="containsText" text="RESIGNED">
      <formula>NOT(ISERROR(SEARCH("RESIGNED",D89)))</formula>
    </cfRule>
    <cfRule type="containsText" dxfId="1405" priority="1270" operator="containsText" text="P">
      <formula>NOT(ISERROR(SEARCH("P",D89)))</formula>
    </cfRule>
    <cfRule type="containsText" dxfId="1404" priority="1271" operator="containsText" text="TARDY">
      <formula>NOT(ISERROR(SEARCH("TARDY",D89)))</formula>
    </cfRule>
    <cfRule type="containsText" dxfId="1403" priority="1272" operator="containsText" text="REST DAY">
      <formula>NOT(ISERROR(SEARCH("REST DAY",D89)))</formula>
    </cfRule>
    <cfRule type="containsText" dxfId="1402" priority="1273" operator="containsText" text="UA">
      <formula>NOT(ISERROR(SEARCH("UA",D89)))</formula>
    </cfRule>
    <cfRule type="containsText" dxfId="1401" priority="1274" operator="containsText" text="LWOP UA">
      <formula>NOT(ISERROR(SEARCH("LWOP UA",D89)))</formula>
    </cfRule>
  </conditionalFormatting>
  <conditionalFormatting sqref="D89">
    <cfRule type="containsText" dxfId="1400" priority="1261" operator="containsText" text="VL">
      <formula>NOT(ISERROR(SEARCH("VL",D89)))</formula>
    </cfRule>
    <cfRule type="containsText" dxfId="1399" priority="1262" operator="containsText" text="RD">
      <formula>NOT(ISERROR(SEARCH("RD",D89)))</formula>
    </cfRule>
    <cfRule type="containsText" dxfId="1398" priority="1263" operator="containsText" text="540">
      <formula>NOT(ISERROR(SEARCH("540",D89)))</formula>
    </cfRule>
    <cfRule type="cellIs" dxfId="1397" priority="1264" operator="between">
      <formula>1</formula>
      <formula>400</formula>
    </cfRule>
    <cfRule type="containsText" dxfId="1396" priority="1265" operator="containsText" text="LWOP UA">
      <formula>NOT(ISERROR(SEARCH("LWOP UA",D89)))</formula>
    </cfRule>
  </conditionalFormatting>
  <conditionalFormatting sqref="D89">
    <cfRule type="containsText" dxfId="1395" priority="1266" operator="containsText" text="P">
      <formula>NOT(ISERROR(SEARCH("P",D89)))</formula>
    </cfRule>
  </conditionalFormatting>
  <conditionalFormatting sqref="D93:D100">
    <cfRule type="containsText" dxfId="1394" priority="1253" operator="containsText" text="TFO">
      <formula>NOT(ISERROR(SEARCH("TFO",D93)))</formula>
    </cfRule>
    <cfRule type="containsText" dxfId="1393" priority="1254" operator="containsText" text="AA">
      <formula>NOT(ISERROR(SEARCH("AA",D93)))</formula>
    </cfRule>
    <cfRule type="containsText" dxfId="1392" priority="1255" operator="containsText" text="RESIGNED">
      <formula>NOT(ISERROR(SEARCH("RESIGNED",D93)))</formula>
    </cfRule>
    <cfRule type="containsText" dxfId="1391" priority="1256" operator="containsText" text="P">
      <formula>NOT(ISERROR(SEARCH("P",D93)))</formula>
    </cfRule>
    <cfRule type="containsText" dxfId="1390" priority="1257" operator="containsText" text="TARDY">
      <formula>NOT(ISERROR(SEARCH("TARDY",D93)))</formula>
    </cfRule>
    <cfRule type="containsText" dxfId="1389" priority="1258" operator="containsText" text="REST DAY">
      <formula>NOT(ISERROR(SEARCH("REST DAY",D93)))</formula>
    </cfRule>
    <cfRule type="containsText" dxfId="1388" priority="1259" operator="containsText" text="UA">
      <formula>NOT(ISERROR(SEARCH("UA",D93)))</formula>
    </cfRule>
    <cfRule type="containsText" dxfId="1387" priority="1260" operator="containsText" text="LWOP UA">
      <formula>NOT(ISERROR(SEARCH("LWOP UA",D93)))</formula>
    </cfRule>
  </conditionalFormatting>
  <conditionalFormatting sqref="D93:D100">
    <cfRule type="containsText" dxfId="1386" priority="1247" operator="containsText" text="VL">
      <formula>NOT(ISERROR(SEARCH("VL",D93)))</formula>
    </cfRule>
    <cfRule type="containsText" dxfId="1385" priority="1248" operator="containsText" text="RD">
      <formula>NOT(ISERROR(SEARCH("RD",D93)))</formula>
    </cfRule>
    <cfRule type="containsText" dxfId="1384" priority="1249" operator="containsText" text="540">
      <formula>NOT(ISERROR(SEARCH("540",D93)))</formula>
    </cfRule>
    <cfRule type="cellIs" dxfId="1383" priority="1250" operator="between">
      <formula>1</formula>
      <formula>400</formula>
    </cfRule>
    <cfRule type="containsText" dxfId="1382" priority="1251" operator="containsText" text="LWOP UA">
      <formula>NOT(ISERROR(SEARCH("LWOP UA",D93)))</formula>
    </cfRule>
  </conditionalFormatting>
  <conditionalFormatting sqref="D93:D100">
    <cfRule type="containsText" dxfId="1381" priority="1252" operator="containsText" text="P">
      <formula>NOT(ISERROR(SEARCH("P",D93)))</formula>
    </cfRule>
  </conditionalFormatting>
  <conditionalFormatting sqref="D20">
    <cfRule type="containsText" dxfId="1380" priority="1239" operator="containsText" text="TFO">
      <formula>NOT(ISERROR(SEARCH("TFO",D20)))</formula>
    </cfRule>
    <cfRule type="containsText" dxfId="1379" priority="1240" operator="containsText" text="AA">
      <formula>NOT(ISERROR(SEARCH("AA",D20)))</formula>
    </cfRule>
    <cfRule type="containsText" dxfId="1378" priority="1241" operator="containsText" text="RESIGNED">
      <formula>NOT(ISERROR(SEARCH("RESIGNED",D20)))</formula>
    </cfRule>
    <cfRule type="containsText" dxfId="1377" priority="1242" operator="containsText" text="P">
      <formula>NOT(ISERROR(SEARCH("P",D20)))</formula>
    </cfRule>
    <cfRule type="containsText" dxfId="1376" priority="1243" operator="containsText" text="TARDY">
      <formula>NOT(ISERROR(SEARCH("TARDY",D20)))</formula>
    </cfRule>
    <cfRule type="containsText" dxfId="1375" priority="1244" operator="containsText" text="REST DAY">
      <formula>NOT(ISERROR(SEARCH("REST DAY",D20)))</formula>
    </cfRule>
    <cfRule type="containsText" dxfId="1374" priority="1245" operator="containsText" text="UA">
      <formula>NOT(ISERROR(SEARCH("UA",D20)))</formula>
    </cfRule>
    <cfRule type="containsText" dxfId="1373" priority="1246" operator="containsText" text="LWOP UA">
      <formula>NOT(ISERROR(SEARCH("LWOP UA",D20)))</formula>
    </cfRule>
  </conditionalFormatting>
  <conditionalFormatting sqref="D20">
    <cfRule type="containsText" dxfId="1372" priority="1233" operator="containsText" text="VL">
      <formula>NOT(ISERROR(SEARCH("VL",D20)))</formula>
    </cfRule>
    <cfRule type="containsText" dxfId="1371" priority="1234" operator="containsText" text="RD">
      <formula>NOT(ISERROR(SEARCH("RD",D20)))</formula>
    </cfRule>
    <cfRule type="containsText" dxfId="1370" priority="1235" operator="containsText" text="540">
      <formula>NOT(ISERROR(SEARCH("540",D20)))</formula>
    </cfRule>
    <cfRule type="cellIs" dxfId="1369" priority="1236" operator="between">
      <formula>1</formula>
      <formula>400</formula>
    </cfRule>
    <cfRule type="containsText" dxfId="1368" priority="1237" operator="containsText" text="LWOP UA">
      <formula>NOT(ISERROR(SEARCH("LWOP UA",D20)))</formula>
    </cfRule>
  </conditionalFormatting>
  <conditionalFormatting sqref="D20">
    <cfRule type="containsText" dxfId="1367" priority="1238" operator="containsText" text="P">
      <formula>NOT(ISERROR(SEARCH("P",D20)))</formula>
    </cfRule>
  </conditionalFormatting>
  <conditionalFormatting sqref="J93:J100 J89 J66 J20">
    <cfRule type="containsText" dxfId="1366" priority="1225" operator="containsText" text="TFO">
      <formula>NOT(ISERROR(SEARCH("TFO",J20)))</formula>
    </cfRule>
    <cfRule type="containsText" dxfId="1365" priority="1226" operator="containsText" text="AA">
      <formula>NOT(ISERROR(SEARCH("AA",J20)))</formula>
    </cfRule>
    <cfRule type="containsText" dxfId="1364" priority="1227" operator="containsText" text="RESIGNED">
      <formula>NOT(ISERROR(SEARCH("RESIGNED",J20)))</formula>
    </cfRule>
    <cfRule type="containsText" dxfId="1363" priority="1228" operator="containsText" text="P">
      <formula>NOT(ISERROR(SEARCH("P",J20)))</formula>
    </cfRule>
    <cfRule type="containsText" dxfId="1362" priority="1229" operator="containsText" text="TARDY">
      <formula>NOT(ISERROR(SEARCH("TARDY",J20)))</formula>
    </cfRule>
    <cfRule type="containsText" dxfId="1361" priority="1230" operator="containsText" text="REST DAY">
      <formula>NOT(ISERROR(SEARCH("REST DAY",J20)))</formula>
    </cfRule>
    <cfRule type="containsText" dxfId="1360" priority="1231" operator="containsText" text="UA">
      <formula>NOT(ISERROR(SEARCH("UA",J20)))</formula>
    </cfRule>
    <cfRule type="containsText" dxfId="1359" priority="1232" operator="containsText" text="LWOP UA">
      <formula>NOT(ISERROR(SEARCH("LWOP UA",J20)))</formula>
    </cfRule>
  </conditionalFormatting>
  <conditionalFormatting sqref="J93:J100 J89 J66 J20">
    <cfRule type="containsText" dxfId="1358" priority="1219" operator="containsText" text="VL">
      <formula>NOT(ISERROR(SEARCH("VL",J20)))</formula>
    </cfRule>
    <cfRule type="containsText" dxfId="1357" priority="1220" operator="containsText" text="RD">
      <formula>NOT(ISERROR(SEARCH("RD",J20)))</formula>
    </cfRule>
    <cfRule type="containsText" dxfId="1356" priority="1221" operator="containsText" text="540">
      <formula>NOT(ISERROR(SEARCH("540",J20)))</formula>
    </cfRule>
    <cfRule type="cellIs" dxfId="1355" priority="1222" operator="between">
      <formula>1</formula>
      <formula>400</formula>
    </cfRule>
    <cfRule type="containsText" dxfId="1354" priority="1223" operator="containsText" text="LWOP UA">
      <formula>NOT(ISERROR(SEARCH("LWOP UA",J20)))</formula>
    </cfRule>
  </conditionalFormatting>
  <conditionalFormatting sqref="J93:J100 J89 J66 J20">
    <cfRule type="containsText" dxfId="1353" priority="1224" operator="containsText" text="P">
      <formula>NOT(ISERROR(SEARCH("P",J20)))</formula>
    </cfRule>
  </conditionalFormatting>
  <conditionalFormatting sqref="J9 J6">
    <cfRule type="containsText" dxfId="1352" priority="1211" operator="containsText" text="TFO">
      <formula>NOT(ISERROR(SEARCH("TFO",J6)))</formula>
    </cfRule>
    <cfRule type="containsText" dxfId="1351" priority="1212" operator="containsText" text="AA">
      <formula>NOT(ISERROR(SEARCH("AA",J6)))</formula>
    </cfRule>
    <cfRule type="containsText" dxfId="1350" priority="1213" operator="containsText" text="RESIGNED">
      <formula>NOT(ISERROR(SEARCH("RESIGNED",J6)))</formula>
    </cfRule>
    <cfRule type="containsText" dxfId="1349" priority="1214" operator="containsText" text="P">
      <formula>NOT(ISERROR(SEARCH("P",J6)))</formula>
    </cfRule>
    <cfRule type="containsText" dxfId="1348" priority="1215" operator="containsText" text="TARDY">
      <formula>NOT(ISERROR(SEARCH("TARDY",J6)))</formula>
    </cfRule>
    <cfRule type="containsText" dxfId="1347" priority="1216" operator="containsText" text="REST DAY">
      <formula>NOT(ISERROR(SEARCH("REST DAY",J6)))</formula>
    </cfRule>
    <cfRule type="containsText" dxfId="1346" priority="1217" operator="containsText" text="UA">
      <formula>NOT(ISERROR(SEARCH("UA",J6)))</formula>
    </cfRule>
    <cfRule type="containsText" dxfId="1345" priority="1218" operator="containsText" text="LWOP UA">
      <formula>NOT(ISERROR(SEARCH("LWOP UA",J6)))</formula>
    </cfRule>
  </conditionalFormatting>
  <conditionalFormatting sqref="J9 J6">
    <cfRule type="containsText" dxfId="1344" priority="1205" operator="containsText" text="VL">
      <formula>NOT(ISERROR(SEARCH("VL",J6)))</formula>
    </cfRule>
    <cfRule type="containsText" dxfId="1343" priority="1206" operator="containsText" text="RD">
      <formula>NOT(ISERROR(SEARCH("RD",J6)))</formula>
    </cfRule>
    <cfRule type="containsText" dxfId="1342" priority="1207" operator="containsText" text="540">
      <formula>NOT(ISERROR(SEARCH("540",J6)))</formula>
    </cfRule>
    <cfRule type="cellIs" dxfId="1341" priority="1208" operator="between">
      <formula>1</formula>
      <formula>400</formula>
    </cfRule>
    <cfRule type="containsText" dxfId="1340" priority="1209" operator="containsText" text="LWOP UA">
      <formula>NOT(ISERROR(SEARCH("LWOP UA",J6)))</formula>
    </cfRule>
  </conditionalFormatting>
  <conditionalFormatting sqref="J9 J6">
    <cfRule type="containsText" dxfId="1339" priority="1210" operator="containsText" text="P">
      <formula>NOT(ISERROR(SEARCH("P",J6)))</formula>
    </cfRule>
  </conditionalFormatting>
  <conditionalFormatting sqref="J40">
    <cfRule type="containsText" dxfId="1338" priority="1197" operator="containsText" text="TFO">
      <formula>NOT(ISERROR(SEARCH("TFO",J40)))</formula>
    </cfRule>
    <cfRule type="containsText" dxfId="1337" priority="1198" operator="containsText" text="AA">
      <formula>NOT(ISERROR(SEARCH("AA",J40)))</formula>
    </cfRule>
    <cfRule type="containsText" dxfId="1336" priority="1199" operator="containsText" text="RESIGNED">
      <formula>NOT(ISERROR(SEARCH("RESIGNED",J40)))</formula>
    </cfRule>
    <cfRule type="containsText" dxfId="1335" priority="1200" operator="containsText" text="P">
      <formula>NOT(ISERROR(SEARCH("P",J40)))</formula>
    </cfRule>
    <cfRule type="containsText" dxfId="1334" priority="1201" operator="containsText" text="TARDY">
      <formula>NOT(ISERROR(SEARCH("TARDY",J40)))</formula>
    </cfRule>
    <cfRule type="containsText" dxfId="1333" priority="1202" operator="containsText" text="REST DAY">
      <formula>NOT(ISERROR(SEARCH("REST DAY",J40)))</formula>
    </cfRule>
    <cfRule type="containsText" dxfId="1332" priority="1203" operator="containsText" text="UA">
      <formula>NOT(ISERROR(SEARCH("UA",J40)))</formula>
    </cfRule>
    <cfRule type="containsText" dxfId="1331" priority="1204" operator="containsText" text="LWOP UA">
      <formula>NOT(ISERROR(SEARCH("LWOP UA",J40)))</formula>
    </cfRule>
  </conditionalFormatting>
  <conditionalFormatting sqref="J40">
    <cfRule type="containsText" dxfId="1330" priority="1191" operator="containsText" text="VL">
      <formula>NOT(ISERROR(SEARCH("VL",J40)))</formula>
    </cfRule>
    <cfRule type="containsText" dxfId="1329" priority="1192" operator="containsText" text="RD">
      <formula>NOT(ISERROR(SEARCH("RD",J40)))</formula>
    </cfRule>
    <cfRule type="containsText" dxfId="1328" priority="1193" operator="containsText" text="540">
      <formula>NOT(ISERROR(SEARCH("540",J40)))</formula>
    </cfRule>
    <cfRule type="cellIs" dxfId="1327" priority="1194" operator="between">
      <formula>1</formula>
      <formula>400</formula>
    </cfRule>
    <cfRule type="containsText" dxfId="1326" priority="1195" operator="containsText" text="LWOP UA">
      <formula>NOT(ISERROR(SEARCH("LWOP UA",J40)))</formula>
    </cfRule>
  </conditionalFormatting>
  <conditionalFormatting sqref="J40">
    <cfRule type="containsText" dxfId="1325" priority="1196" operator="containsText" text="P">
      <formula>NOT(ISERROR(SEARCH("P",J40)))</formula>
    </cfRule>
  </conditionalFormatting>
  <conditionalFormatting sqref="J50">
    <cfRule type="containsText" dxfId="1324" priority="1183" operator="containsText" text="TFO">
      <formula>NOT(ISERROR(SEARCH("TFO",J50)))</formula>
    </cfRule>
    <cfRule type="containsText" dxfId="1323" priority="1184" operator="containsText" text="AA">
      <formula>NOT(ISERROR(SEARCH("AA",J50)))</formula>
    </cfRule>
    <cfRule type="containsText" dxfId="1322" priority="1185" operator="containsText" text="RESIGNED">
      <formula>NOT(ISERROR(SEARCH("RESIGNED",J50)))</formula>
    </cfRule>
    <cfRule type="containsText" dxfId="1321" priority="1186" operator="containsText" text="P">
      <formula>NOT(ISERROR(SEARCH("P",J50)))</formula>
    </cfRule>
    <cfRule type="containsText" dxfId="1320" priority="1187" operator="containsText" text="TARDY">
      <formula>NOT(ISERROR(SEARCH("TARDY",J50)))</formula>
    </cfRule>
    <cfRule type="containsText" dxfId="1319" priority="1188" operator="containsText" text="REST DAY">
      <formula>NOT(ISERROR(SEARCH("REST DAY",J50)))</formula>
    </cfRule>
    <cfRule type="containsText" dxfId="1318" priority="1189" operator="containsText" text="UA">
      <formula>NOT(ISERROR(SEARCH("UA",J50)))</formula>
    </cfRule>
    <cfRule type="containsText" dxfId="1317" priority="1190" operator="containsText" text="LWOP UA">
      <formula>NOT(ISERROR(SEARCH("LWOP UA",J50)))</formula>
    </cfRule>
  </conditionalFormatting>
  <conditionalFormatting sqref="J50">
    <cfRule type="containsText" dxfId="1316" priority="1177" operator="containsText" text="VL">
      <formula>NOT(ISERROR(SEARCH("VL",J50)))</formula>
    </cfRule>
    <cfRule type="containsText" dxfId="1315" priority="1178" operator="containsText" text="RD">
      <formula>NOT(ISERROR(SEARCH("RD",J50)))</formula>
    </cfRule>
    <cfRule type="containsText" dxfId="1314" priority="1179" operator="containsText" text="540">
      <formula>NOT(ISERROR(SEARCH("540",J50)))</formula>
    </cfRule>
    <cfRule type="cellIs" dxfId="1313" priority="1180" operator="between">
      <formula>1</formula>
      <formula>400</formula>
    </cfRule>
    <cfRule type="containsText" dxfId="1312" priority="1181" operator="containsText" text="LWOP UA">
      <formula>NOT(ISERROR(SEARCH("LWOP UA",J50)))</formula>
    </cfRule>
  </conditionalFormatting>
  <conditionalFormatting sqref="J50">
    <cfRule type="containsText" dxfId="1311" priority="1182" operator="containsText" text="P">
      <formula>NOT(ISERROR(SEARCH("P",J50)))</formula>
    </cfRule>
  </conditionalFormatting>
  <conditionalFormatting sqref="J61:J63">
    <cfRule type="containsText" dxfId="1310" priority="1169" operator="containsText" text="TFO">
      <formula>NOT(ISERROR(SEARCH("TFO",J61)))</formula>
    </cfRule>
    <cfRule type="containsText" dxfId="1309" priority="1170" operator="containsText" text="AA">
      <formula>NOT(ISERROR(SEARCH("AA",J61)))</formula>
    </cfRule>
    <cfRule type="containsText" dxfId="1308" priority="1171" operator="containsText" text="RESIGNED">
      <formula>NOT(ISERROR(SEARCH("RESIGNED",J61)))</formula>
    </cfRule>
    <cfRule type="containsText" dxfId="1307" priority="1172" operator="containsText" text="P">
      <formula>NOT(ISERROR(SEARCH("P",J61)))</formula>
    </cfRule>
    <cfRule type="containsText" dxfId="1306" priority="1173" operator="containsText" text="TARDY">
      <formula>NOT(ISERROR(SEARCH("TARDY",J61)))</formula>
    </cfRule>
    <cfRule type="containsText" dxfId="1305" priority="1174" operator="containsText" text="REST DAY">
      <formula>NOT(ISERROR(SEARCH("REST DAY",J61)))</formula>
    </cfRule>
    <cfRule type="containsText" dxfId="1304" priority="1175" operator="containsText" text="UA">
      <formula>NOT(ISERROR(SEARCH("UA",J61)))</formula>
    </cfRule>
    <cfRule type="containsText" dxfId="1303" priority="1176" operator="containsText" text="LWOP UA">
      <formula>NOT(ISERROR(SEARCH("LWOP UA",J61)))</formula>
    </cfRule>
  </conditionalFormatting>
  <conditionalFormatting sqref="J61:J63">
    <cfRule type="containsText" dxfId="1302" priority="1163" operator="containsText" text="VL">
      <formula>NOT(ISERROR(SEARCH("VL",J61)))</formula>
    </cfRule>
    <cfRule type="containsText" dxfId="1301" priority="1164" operator="containsText" text="RD">
      <formula>NOT(ISERROR(SEARCH("RD",J61)))</formula>
    </cfRule>
    <cfRule type="containsText" dxfId="1300" priority="1165" operator="containsText" text="540">
      <formula>NOT(ISERROR(SEARCH("540",J61)))</formula>
    </cfRule>
    <cfRule type="cellIs" dxfId="1299" priority="1166" operator="between">
      <formula>1</formula>
      <formula>400</formula>
    </cfRule>
    <cfRule type="containsText" dxfId="1298" priority="1167" operator="containsText" text="LWOP UA">
      <formula>NOT(ISERROR(SEARCH("LWOP UA",J61)))</formula>
    </cfRule>
  </conditionalFormatting>
  <conditionalFormatting sqref="J61:J63">
    <cfRule type="containsText" dxfId="1297" priority="1168" operator="containsText" text="P">
      <formula>NOT(ISERROR(SEARCH("P",J61)))</formula>
    </cfRule>
  </conditionalFormatting>
  <conditionalFormatting sqref="J75">
    <cfRule type="containsText" dxfId="1296" priority="1155" operator="containsText" text="TFO">
      <formula>NOT(ISERROR(SEARCH("TFO",J75)))</formula>
    </cfRule>
    <cfRule type="containsText" dxfId="1295" priority="1156" operator="containsText" text="AA">
      <formula>NOT(ISERROR(SEARCH("AA",J75)))</formula>
    </cfRule>
    <cfRule type="containsText" dxfId="1294" priority="1157" operator="containsText" text="RESIGNED">
      <formula>NOT(ISERROR(SEARCH("RESIGNED",J75)))</formula>
    </cfRule>
    <cfRule type="containsText" dxfId="1293" priority="1158" operator="containsText" text="P">
      <formula>NOT(ISERROR(SEARCH("P",J75)))</formula>
    </cfRule>
    <cfRule type="containsText" dxfId="1292" priority="1159" operator="containsText" text="TARDY">
      <formula>NOT(ISERROR(SEARCH("TARDY",J75)))</formula>
    </cfRule>
    <cfRule type="containsText" dxfId="1291" priority="1160" operator="containsText" text="REST DAY">
      <formula>NOT(ISERROR(SEARCH("REST DAY",J75)))</formula>
    </cfRule>
    <cfRule type="containsText" dxfId="1290" priority="1161" operator="containsText" text="UA">
      <formula>NOT(ISERROR(SEARCH("UA",J75)))</formula>
    </cfRule>
    <cfRule type="containsText" dxfId="1289" priority="1162" operator="containsText" text="LWOP UA">
      <formula>NOT(ISERROR(SEARCH("LWOP UA",J75)))</formula>
    </cfRule>
  </conditionalFormatting>
  <conditionalFormatting sqref="J75">
    <cfRule type="containsText" dxfId="1288" priority="1149" operator="containsText" text="VL">
      <formula>NOT(ISERROR(SEARCH("VL",J75)))</formula>
    </cfRule>
    <cfRule type="containsText" dxfId="1287" priority="1150" operator="containsText" text="RD">
      <formula>NOT(ISERROR(SEARCH("RD",J75)))</formula>
    </cfRule>
    <cfRule type="containsText" dxfId="1286" priority="1151" operator="containsText" text="540">
      <formula>NOT(ISERROR(SEARCH("540",J75)))</formula>
    </cfRule>
    <cfRule type="cellIs" dxfId="1285" priority="1152" operator="between">
      <formula>1</formula>
      <formula>400</formula>
    </cfRule>
    <cfRule type="containsText" dxfId="1284" priority="1153" operator="containsText" text="LWOP UA">
      <formula>NOT(ISERROR(SEARCH("LWOP UA",J75)))</formula>
    </cfRule>
  </conditionalFormatting>
  <conditionalFormatting sqref="J75">
    <cfRule type="containsText" dxfId="1283" priority="1154" operator="containsText" text="P">
      <formula>NOT(ISERROR(SEARCH("P",J75)))</formula>
    </cfRule>
  </conditionalFormatting>
  <conditionalFormatting sqref="J87:J88">
    <cfRule type="containsText" dxfId="1282" priority="1141" operator="containsText" text="TFO">
      <formula>NOT(ISERROR(SEARCH("TFO",J87)))</formula>
    </cfRule>
    <cfRule type="containsText" dxfId="1281" priority="1142" operator="containsText" text="AA">
      <formula>NOT(ISERROR(SEARCH("AA",J87)))</formula>
    </cfRule>
    <cfRule type="containsText" dxfId="1280" priority="1143" operator="containsText" text="RESIGNED">
      <formula>NOT(ISERROR(SEARCH("RESIGNED",J87)))</formula>
    </cfRule>
    <cfRule type="containsText" dxfId="1279" priority="1144" operator="containsText" text="P">
      <formula>NOT(ISERROR(SEARCH("P",J87)))</formula>
    </cfRule>
    <cfRule type="containsText" dxfId="1278" priority="1145" operator="containsText" text="TARDY">
      <formula>NOT(ISERROR(SEARCH("TARDY",J87)))</formula>
    </cfRule>
    <cfRule type="containsText" dxfId="1277" priority="1146" operator="containsText" text="REST DAY">
      <formula>NOT(ISERROR(SEARCH("REST DAY",J87)))</formula>
    </cfRule>
    <cfRule type="containsText" dxfId="1276" priority="1147" operator="containsText" text="UA">
      <formula>NOT(ISERROR(SEARCH("UA",J87)))</formula>
    </cfRule>
    <cfRule type="containsText" dxfId="1275" priority="1148" operator="containsText" text="LWOP UA">
      <formula>NOT(ISERROR(SEARCH("LWOP UA",J87)))</formula>
    </cfRule>
  </conditionalFormatting>
  <conditionalFormatting sqref="J87:J88">
    <cfRule type="containsText" dxfId="1274" priority="1135" operator="containsText" text="VL">
      <formula>NOT(ISERROR(SEARCH("VL",J87)))</formula>
    </cfRule>
    <cfRule type="containsText" dxfId="1273" priority="1136" operator="containsText" text="RD">
      <formula>NOT(ISERROR(SEARCH("RD",J87)))</formula>
    </cfRule>
    <cfRule type="containsText" dxfId="1272" priority="1137" operator="containsText" text="540">
      <formula>NOT(ISERROR(SEARCH("540",J87)))</formula>
    </cfRule>
    <cfRule type="cellIs" dxfId="1271" priority="1138" operator="between">
      <formula>1</formula>
      <formula>400</formula>
    </cfRule>
    <cfRule type="containsText" dxfId="1270" priority="1139" operator="containsText" text="LWOP UA">
      <formula>NOT(ISERROR(SEARCH("LWOP UA",J87)))</formula>
    </cfRule>
  </conditionalFormatting>
  <conditionalFormatting sqref="J87:J88">
    <cfRule type="containsText" dxfId="1269" priority="1140" operator="containsText" text="P">
      <formula>NOT(ISERROR(SEARCH("P",J87)))</formula>
    </cfRule>
  </conditionalFormatting>
  <conditionalFormatting sqref="J71">
    <cfRule type="containsText" dxfId="1268" priority="1127" operator="containsText" text="TFO">
      <formula>NOT(ISERROR(SEARCH("TFO",J71)))</formula>
    </cfRule>
    <cfRule type="containsText" dxfId="1267" priority="1128" operator="containsText" text="AA">
      <formula>NOT(ISERROR(SEARCH("AA",J71)))</formula>
    </cfRule>
    <cfRule type="containsText" dxfId="1266" priority="1129" operator="containsText" text="RESIGNED">
      <formula>NOT(ISERROR(SEARCH("RESIGNED",J71)))</formula>
    </cfRule>
    <cfRule type="containsText" dxfId="1265" priority="1130" operator="containsText" text="P">
      <formula>NOT(ISERROR(SEARCH("P",J71)))</formula>
    </cfRule>
    <cfRule type="containsText" dxfId="1264" priority="1131" operator="containsText" text="TARDY">
      <formula>NOT(ISERROR(SEARCH("TARDY",J71)))</formula>
    </cfRule>
    <cfRule type="containsText" dxfId="1263" priority="1132" operator="containsText" text="REST DAY">
      <formula>NOT(ISERROR(SEARCH("REST DAY",J71)))</formula>
    </cfRule>
    <cfRule type="containsText" dxfId="1262" priority="1133" operator="containsText" text="UA">
      <formula>NOT(ISERROR(SEARCH("UA",J71)))</formula>
    </cfRule>
    <cfRule type="containsText" dxfId="1261" priority="1134" operator="containsText" text="LWOP UA">
      <formula>NOT(ISERROR(SEARCH("LWOP UA",J71)))</formula>
    </cfRule>
  </conditionalFormatting>
  <conditionalFormatting sqref="J71">
    <cfRule type="containsText" dxfId="1260" priority="1121" operator="containsText" text="VL">
      <formula>NOT(ISERROR(SEARCH("VL",J71)))</formula>
    </cfRule>
    <cfRule type="containsText" dxfId="1259" priority="1122" operator="containsText" text="RD">
      <formula>NOT(ISERROR(SEARCH("RD",J71)))</formula>
    </cfRule>
    <cfRule type="containsText" dxfId="1258" priority="1123" operator="containsText" text="540">
      <formula>NOT(ISERROR(SEARCH("540",J71)))</formula>
    </cfRule>
    <cfRule type="cellIs" dxfId="1257" priority="1124" operator="between">
      <formula>1</formula>
      <formula>400</formula>
    </cfRule>
    <cfRule type="containsText" dxfId="1256" priority="1125" operator="containsText" text="LWOP UA">
      <formula>NOT(ISERROR(SEARCH("LWOP UA",J71)))</formula>
    </cfRule>
  </conditionalFormatting>
  <conditionalFormatting sqref="J71">
    <cfRule type="containsText" dxfId="1255" priority="1126" operator="containsText" text="P">
      <formula>NOT(ISERROR(SEARCH("P",J71)))</formula>
    </cfRule>
  </conditionalFormatting>
  <conditionalFormatting sqref="I8:J8">
    <cfRule type="containsText" dxfId="1254" priority="1113" operator="containsText" text="TFO">
      <formula>NOT(ISERROR(SEARCH("TFO",I8)))</formula>
    </cfRule>
    <cfRule type="containsText" dxfId="1253" priority="1114" operator="containsText" text="AA">
      <formula>NOT(ISERROR(SEARCH("AA",I8)))</formula>
    </cfRule>
    <cfRule type="containsText" dxfId="1252" priority="1115" operator="containsText" text="RESIGNED">
      <formula>NOT(ISERROR(SEARCH("RESIGNED",I8)))</formula>
    </cfRule>
    <cfRule type="containsText" dxfId="1251" priority="1116" operator="containsText" text="P">
      <formula>NOT(ISERROR(SEARCH("P",I8)))</formula>
    </cfRule>
    <cfRule type="containsText" dxfId="1250" priority="1117" operator="containsText" text="TARDY">
      <formula>NOT(ISERROR(SEARCH("TARDY",I8)))</formula>
    </cfRule>
    <cfRule type="containsText" dxfId="1249" priority="1118" operator="containsText" text="REST DAY">
      <formula>NOT(ISERROR(SEARCH("REST DAY",I8)))</formula>
    </cfRule>
    <cfRule type="containsText" dxfId="1248" priority="1119" operator="containsText" text="UA">
      <formula>NOT(ISERROR(SEARCH("UA",I8)))</formula>
    </cfRule>
    <cfRule type="containsText" dxfId="1247" priority="1120" operator="containsText" text="LWOP UA">
      <formula>NOT(ISERROR(SEARCH("LWOP UA",I8)))</formula>
    </cfRule>
  </conditionalFormatting>
  <conditionalFormatting sqref="I8:J8">
    <cfRule type="containsText" dxfId="1246" priority="1107" operator="containsText" text="VL">
      <formula>NOT(ISERROR(SEARCH("VL",I8)))</formula>
    </cfRule>
    <cfRule type="containsText" dxfId="1245" priority="1108" operator="containsText" text="RD">
      <formula>NOT(ISERROR(SEARCH("RD",I8)))</formula>
    </cfRule>
    <cfRule type="containsText" dxfId="1244" priority="1109" operator="containsText" text="540">
      <formula>NOT(ISERROR(SEARCH("540",I8)))</formula>
    </cfRule>
    <cfRule type="cellIs" dxfId="1243" priority="1110" operator="between">
      <formula>1</formula>
      <formula>400</formula>
    </cfRule>
    <cfRule type="containsText" dxfId="1242" priority="1111" operator="containsText" text="LWOP UA">
      <formula>NOT(ISERROR(SEARCH("LWOP UA",I8)))</formula>
    </cfRule>
  </conditionalFormatting>
  <conditionalFormatting sqref="I8:J8">
    <cfRule type="containsText" dxfId="1241" priority="1112" operator="containsText" text="P">
      <formula>NOT(ISERROR(SEARCH("P",I8)))</formula>
    </cfRule>
  </conditionalFormatting>
  <conditionalFormatting sqref="D12:E12">
    <cfRule type="containsText" dxfId="1240" priority="1099" operator="containsText" text="TFO">
      <formula>NOT(ISERROR(SEARCH("TFO",D12)))</formula>
    </cfRule>
    <cfRule type="containsText" dxfId="1239" priority="1100" operator="containsText" text="AA">
      <formula>NOT(ISERROR(SEARCH("AA",D12)))</formula>
    </cfRule>
    <cfRule type="containsText" dxfId="1238" priority="1101" operator="containsText" text="RESIGNED">
      <formula>NOT(ISERROR(SEARCH("RESIGNED",D12)))</formula>
    </cfRule>
    <cfRule type="containsText" dxfId="1237" priority="1102" operator="containsText" text="P">
      <formula>NOT(ISERROR(SEARCH("P",D12)))</formula>
    </cfRule>
    <cfRule type="containsText" dxfId="1236" priority="1103" operator="containsText" text="TARDY">
      <formula>NOT(ISERROR(SEARCH("TARDY",D12)))</formula>
    </cfRule>
    <cfRule type="containsText" dxfId="1235" priority="1104" operator="containsText" text="REST DAY">
      <formula>NOT(ISERROR(SEARCH("REST DAY",D12)))</formula>
    </cfRule>
    <cfRule type="containsText" dxfId="1234" priority="1105" operator="containsText" text="UA">
      <formula>NOT(ISERROR(SEARCH("UA",D12)))</formula>
    </cfRule>
    <cfRule type="containsText" dxfId="1233" priority="1106" operator="containsText" text="LWOP UA">
      <formula>NOT(ISERROR(SEARCH("LWOP UA",D12)))</formula>
    </cfRule>
  </conditionalFormatting>
  <conditionalFormatting sqref="D12:E12">
    <cfRule type="containsText" dxfId="1232" priority="1093" operator="containsText" text="VL">
      <formula>NOT(ISERROR(SEARCH("VL",D12)))</formula>
    </cfRule>
    <cfRule type="containsText" dxfId="1231" priority="1094" operator="containsText" text="RD">
      <formula>NOT(ISERROR(SEARCH("RD",D12)))</formula>
    </cfRule>
    <cfRule type="containsText" dxfId="1230" priority="1095" operator="containsText" text="540">
      <formula>NOT(ISERROR(SEARCH("540",D12)))</formula>
    </cfRule>
    <cfRule type="cellIs" dxfId="1229" priority="1096" operator="between">
      <formula>1</formula>
      <formula>400</formula>
    </cfRule>
    <cfRule type="containsText" dxfId="1228" priority="1097" operator="containsText" text="LWOP UA">
      <formula>NOT(ISERROR(SEARCH("LWOP UA",D12)))</formula>
    </cfRule>
  </conditionalFormatting>
  <conditionalFormatting sqref="D12:E12">
    <cfRule type="containsText" dxfId="1227" priority="1098" operator="containsText" text="P">
      <formula>NOT(ISERROR(SEARCH("P",D12)))</formula>
    </cfRule>
  </conditionalFormatting>
  <conditionalFormatting sqref="I17:J17">
    <cfRule type="containsText" dxfId="1226" priority="1085" operator="containsText" text="TFO">
      <formula>NOT(ISERROR(SEARCH("TFO",I17)))</formula>
    </cfRule>
    <cfRule type="containsText" dxfId="1225" priority="1086" operator="containsText" text="AA">
      <formula>NOT(ISERROR(SEARCH("AA",I17)))</formula>
    </cfRule>
    <cfRule type="containsText" dxfId="1224" priority="1087" operator="containsText" text="RESIGNED">
      <formula>NOT(ISERROR(SEARCH("RESIGNED",I17)))</formula>
    </cfRule>
    <cfRule type="containsText" dxfId="1223" priority="1088" operator="containsText" text="P">
      <formula>NOT(ISERROR(SEARCH("P",I17)))</formula>
    </cfRule>
    <cfRule type="containsText" dxfId="1222" priority="1089" operator="containsText" text="TARDY">
      <formula>NOT(ISERROR(SEARCH("TARDY",I17)))</formula>
    </cfRule>
    <cfRule type="containsText" dxfId="1221" priority="1090" operator="containsText" text="REST DAY">
      <formula>NOT(ISERROR(SEARCH("REST DAY",I17)))</formula>
    </cfRule>
    <cfRule type="containsText" dxfId="1220" priority="1091" operator="containsText" text="UA">
      <formula>NOT(ISERROR(SEARCH("UA",I17)))</formula>
    </cfRule>
    <cfRule type="containsText" dxfId="1219" priority="1092" operator="containsText" text="LWOP UA">
      <formula>NOT(ISERROR(SEARCH("LWOP UA",I17)))</formula>
    </cfRule>
  </conditionalFormatting>
  <conditionalFormatting sqref="I17:J17">
    <cfRule type="containsText" dxfId="1218" priority="1079" operator="containsText" text="VL">
      <formula>NOT(ISERROR(SEARCH("VL",I17)))</formula>
    </cfRule>
    <cfRule type="containsText" dxfId="1217" priority="1080" operator="containsText" text="RD">
      <formula>NOT(ISERROR(SEARCH("RD",I17)))</formula>
    </cfRule>
    <cfRule type="containsText" dxfId="1216" priority="1081" operator="containsText" text="540">
      <formula>NOT(ISERROR(SEARCH("540",I17)))</formula>
    </cfRule>
    <cfRule type="cellIs" dxfId="1215" priority="1082" operator="between">
      <formula>1</formula>
      <formula>400</formula>
    </cfRule>
    <cfRule type="containsText" dxfId="1214" priority="1083" operator="containsText" text="LWOP UA">
      <formula>NOT(ISERROR(SEARCH("LWOP UA",I17)))</formula>
    </cfRule>
  </conditionalFormatting>
  <conditionalFormatting sqref="I17:J17">
    <cfRule type="containsText" dxfId="1213" priority="1084" operator="containsText" text="P">
      <formula>NOT(ISERROR(SEARCH("P",I17)))</formula>
    </cfRule>
  </conditionalFormatting>
  <conditionalFormatting sqref="F33:G33">
    <cfRule type="containsText" dxfId="1212" priority="1071" operator="containsText" text="TFO">
      <formula>NOT(ISERROR(SEARCH("TFO",F33)))</formula>
    </cfRule>
    <cfRule type="containsText" dxfId="1211" priority="1072" operator="containsText" text="AA">
      <formula>NOT(ISERROR(SEARCH("AA",F33)))</formula>
    </cfRule>
    <cfRule type="containsText" dxfId="1210" priority="1073" operator="containsText" text="RESIGNED">
      <formula>NOT(ISERROR(SEARCH("RESIGNED",F33)))</formula>
    </cfRule>
    <cfRule type="containsText" dxfId="1209" priority="1074" operator="containsText" text="P">
      <formula>NOT(ISERROR(SEARCH("P",F33)))</formula>
    </cfRule>
    <cfRule type="containsText" dxfId="1208" priority="1075" operator="containsText" text="TARDY">
      <formula>NOT(ISERROR(SEARCH("TARDY",F33)))</formula>
    </cfRule>
    <cfRule type="containsText" dxfId="1207" priority="1076" operator="containsText" text="REST DAY">
      <formula>NOT(ISERROR(SEARCH("REST DAY",F33)))</formula>
    </cfRule>
    <cfRule type="containsText" dxfId="1206" priority="1077" operator="containsText" text="UA">
      <formula>NOT(ISERROR(SEARCH("UA",F33)))</formula>
    </cfRule>
    <cfRule type="containsText" dxfId="1205" priority="1078" operator="containsText" text="LWOP UA">
      <formula>NOT(ISERROR(SEARCH("LWOP UA",F33)))</formula>
    </cfRule>
  </conditionalFormatting>
  <conditionalFormatting sqref="F33:G33">
    <cfRule type="containsText" dxfId="1204" priority="1065" operator="containsText" text="VL">
      <formula>NOT(ISERROR(SEARCH("VL",F33)))</formula>
    </cfRule>
    <cfRule type="containsText" dxfId="1203" priority="1066" operator="containsText" text="RD">
      <formula>NOT(ISERROR(SEARCH("RD",F33)))</formula>
    </cfRule>
    <cfRule type="containsText" dxfId="1202" priority="1067" operator="containsText" text="540">
      <formula>NOT(ISERROR(SEARCH("540",F33)))</formula>
    </cfRule>
    <cfRule type="cellIs" dxfId="1201" priority="1068" operator="between">
      <formula>1</formula>
      <formula>400</formula>
    </cfRule>
    <cfRule type="containsText" dxfId="1200" priority="1069" operator="containsText" text="LWOP UA">
      <formula>NOT(ISERROR(SEARCH("LWOP UA",F33)))</formula>
    </cfRule>
  </conditionalFormatting>
  <conditionalFormatting sqref="F33:G33">
    <cfRule type="containsText" dxfId="1199" priority="1070" operator="containsText" text="P">
      <formula>NOT(ISERROR(SEARCH("P",F33)))</formula>
    </cfRule>
  </conditionalFormatting>
  <conditionalFormatting sqref="I35:J35">
    <cfRule type="containsText" dxfId="1198" priority="1057" operator="containsText" text="TFO">
      <formula>NOT(ISERROR(SEARCH("TFO",I35)))</formula>
    </cfRule>
    <cfRule type="containsText" dxfId="1197" priority="1058" operator="containsText" text="AA">
      <formula>NOT(ISERROR(SEARCH("AA",I35)))</formula>
    </cfRule>
    <cfRule type="containsText" dxfId="1196" priority="1059" operator="containsText" text="RESIGNED">
      <formula>NOT(ISERROR(SEARCH("RESIGNED",I35)))</formula>
    </cfRule>
    <cfRule type="containsText" dxfId="1195" priority="1060" operator="containsText" text="P">
      <formula>NOT(ISERROR(SEARCH("P",I35)))</formula>
    </cfRule>
    <cfRule type="containsText" dxfId="1194" priority="1061" operator="containsText" text="TARDY">
      <formula>NOT(ISERROR(SEARCH("TARDY",I35)))</formula>
    </cfRule>
    <cfRule type="containsText" dxfId="1193" priority="1062" operator="containsText" text="REST DAY">
      <formula>NOT(ISERROR(SEARCH("REST DAY",I35)))</formula>
    </cfRule>
    <cfRule type="containsText" dxfId="1192" priority="1063" operator="containsText" text="UA">
      <formula>NOT(ISERROR(SEARCH("UA",I35)))</formula>
    </cfRule>
    <cfRule type="containsText" dxfId="1191" priority="1064" operator="containsText" text="LWOP UA">
      <formula>NOT(ISERROR(SEARCH("LWOP UA",I35)))</formula>
    </cfRule>
  </conditionalFormatting>
  <conditionalFormatting sqref="I35:J35">
    <cfRule type="containsText" dxfId="1190" priority="1051" operator="containsText" text="VL">
      <formula>NOT(ISERROR(SEARCH("VL",I35)))</formula>
    </cfRule>
    <cfRule type="containsText" dxfId="1189" priority="1052" operator="containsText" text="RD">
      <formula>NOT(ISERROR(SEARCH("RD",I35)))</formula>
    </cfRule>
    <cfRule type="containsText" dxfId="1188" priority="1053" operator="containsText" text="540">
      <formula>NOT(ISERROR(SEARCH("540",I35)))</formula>
    </cfRule>
    <cfRule type="cellIs" dxfId="1187" priority="1054" operator="between">
      <formula>1</formula>
      <formula>400</formula>
    </cfRule>
    <cfRule type="containsText" dxfId="1186" priority="1055" operator="containsText" text="LWOP UA">
      <formula>NOT(ISERROR(SEARCH("LWOP UA",I35)))</formula>
    </cfRule>
  </conditionalFormatting>
  <conditionalFormatting sqref="I35:J35">
    <cfRule type="containsText" dxfId="1185" priority="1056" operator="containsText" text="P">
      <formula>NOT(ISERROR(SEARCH("P",I35)))</formula>
    </cfRule>
  </conditionalFormatting>
  <conditionalFormatting sqref="D48:E48">
    <cfRule type="containsText" dxfId="1184" priority="1043" operator="containsText" text="TFO">
      <formula>NOT(ISERROR(SEARCH("TFO",D48)))</formula>
    </cfRule>
    <cfRule type="containsText" dxfId="1183" priority="1044" operator="containsText" text="AA">
      <formula>NOT(ISERROR(SEARCH("AA",D48)))</formula>
    </cfRule>
    <cfRule type="containsText" dxfId="1182" priority="1045" operator="containsText" text="RESIGNED">
      <formula>NOT(ISERROR(SEARCH("RESIGNED",D48)))</formula>
    </cfRule>
    <cfRule type="containsText" dxfId="1181" priority="1046" operator="containsText" text="P">
      <formula>NOT(ISERROR(SEARCH("P",D48)))</formula>
    </cfRule>
    <cfRule type="containsText" dxfId="1180" priority="1047" operator="containsText" text="TARDY">
      <formula>NOT(ISERROR(SEARCH("TARDY",D48)))</formula>
    </cfRule>
    <cfRule type="containsText" dxfId="1179" priority="1048" operator="containsText" text="REST DAY">
      <formula>NOT(ISERROR(SEARCH("REST DAY",D48)))</formula>
    </cfRule>
    <cfRule type="containsText" dxfId="1178" priority="1049" operator="containsText" text="UA">
      <formula>NOT(ISERROR(SEARCH("UA",D48)))</formula>
    </cfRule>
    <cfRule type="containsText" dxfId="1177" priority="1050" operator="containsText" text="LWOP UA">
      <formula>NOT(ISERROR(SEARCH("LWOP UA",D48)))</formula>
    </cfRule>
  </conditionalFormatting>
  <conditionalFormatting sqref="D48:E48">
    <cfRule type="containsText" dxfId="1176" priority="1037" operator="containsText" text="VL">
      <formula>NOT(ISERROR(SEARCH("VL",D48)))</formula>
    </cfRule>
    <cfRule type="containsText" dxfId="1175" priority="1038" operator="containsText" text="RD">
      <formula>NOT(ISERROR(SEARCH("RD",D48)))</formula>
    </cfRule>
    <cfRule type="containsText" dxfId="1174" priority="1039" operator="containsText" text="540">
      <formula>NOT(ISERROR(SEARCH("540",D48)))</formula>
    </cfRule>
    <cfRule type="cellIs" dxfId="1173" priority="1040" operator="between">
      <formula>1</formula>
      <formula>400</formula>
    </cfRule>
    <cfRule type="containsText" dxfId="1172" priority="1041" operator="containsText" text="LWOP UA">
      <formula>NOT(ISERROR(SEARCH("LWOP UA",D48)))</formula>
    </cfRule>
  </conditionalFormatting>
  <conditionalFormatting sqref="D48:E48">
    <cfRule type="containsText" dxfId="1171" priority="1042" operator="containsText" text="P">
      <formula>NOT(ISERROR(SEARCH("P",D48)))</formula>
    </cfRule>
  </conditionalFormatting>
  <conditionalFormatting sqref="E55">
    <cfRule type="containsText" dxfId="1170" priority="1029" operator="containsText" text="TFO">
      <formula>NOT(ISERROR(SEARCH("TFO",E55)))</formula>
    </cfRule>
    <cfRule type="containsText" dxfId="1169" priority="1030" operator="containsText" text="AA">
      <formula>NOT(ISERROR(SEARCH("AA",E55)))</formula>
    </cfRule>
    <cfRule type="containsText" dxfId="1168" priority="1031" operator="containsText" text="RESIGNED">
      <formula>NOT(ISERROR(SEARCH("RESIGNED",E55)))</formula>
    </cfRule>
    <cfRule type="containsText" dxfId="1167" priority="1032" operator="containsText" text="P">
      <formula>NOT(ISERROR(SEARCH("P",E55)))</formula>
    </cfRule>
    <cfRule type="containsText" dxfId="1166" priority="1033" operator="containsText" text="TARDY">
      <formula>NOT(ISERROR(SEARCH("TARDY",E55)))</formula>
    </cfRule>
    <cfRule type="containsText" dxfId="1165" priority="1034" operator="containsText" text="REST DAY">
      <formula>NOT(ISERROR(SEARCH("REST DAY",E55)))</formula>
    </cfRule>
    <cfRule type="containsText" dxfId="1164" priority="1035" operator="containsText" text="UA">
      <formula>NOT(ISERROR(SEARCH("UA",E55)))</formula>
    </cfRule>
    <cfRule type="containsText" dxfId="1163" priority="1036" operator="containsText" text="LWOP UA">
      <formula>NOT(ISERROR(SEARCH("LWOP UA",E55)))</formula>
    </cfRule>
  </conditionalFormatting>
  <conditionalFormatting sqref="E55">
    <cfRule type="containsText" dxfId="1162" priority="1023" operator="containsText" text="VL">
      <formula>NOT(ISERROR(SEARCH("VL",E55)))</formula>
    </cfRule>
    <cfRule type="containsText" dxfId="1161" priority="1024" operator="containsText" text="RD">
      <formula>NOT(ISERROR(SEARCH("RD",E55)))</formula>
    </cfRule>
    <cfRule type="containsText" dxfId="1160" priority="1025" operator="containsText" text="540">
      <formula>NOT(ISERROR(SEARCH("540",E55)))</formula>
    </cfRule>
    <cfRule type="cellIs" dxfId="1159" priority="1026" operator="between">
      <formula>1</formula>
      <formula>400</formula>
    </cfRule>
    <cfRule type="containsText" dxfId="1158" priority="1027" operator="containsText" text="LWOP UA">
      <formula>NOT(ISERROR(SEARCH("LWOP UA",E55)))</formula>
    </cfRule>
  </conditionalFormatting>
  <conditionalFormatting sqref="E55">
    <cfRule type="containsText" dxfId="1157" priority="1028" operator="containsText" text="P">
      <formula>NOT(ISERROR(SEARCH("P",E55)))</formula>
    </cfRule>
  </conditionalFormatting>
  <conditionalFormatting sqref="E57:F57">
    <cfRule type="containsText" dxfId="1156" priority="1015" operator="containsText" text="TFO">
      <formula>NOT(ISERROR(SEARCH("TFO",E57)))</formula>
    </cfRule>
    <cfRule type="containsText" dxfId="1155" priority="1016" operator="containsText" text="AA">
      <formula>NOT(ISERROR(SEARCH("AA",E57)))</formula>
    </cfRule>
    <cfRule type="containsText" dxfId="1154" priority="1017" operator="containsText" text="RESIGNED">
      <formula>NOT(ISERROR(SEARCH("RESIGNED",E57)))</formula>
    </cfRule>
    <cfRule type="containsText" dxfId="1153" priority="1018" operator="containsText" text="P">
      <formula>NOT(ISERROR(SEARCH("P",E57)))</formula>
    </cfRule>
    <cfRule type="containsText" dxfId="1152" priority="1019" operator="containsText" text="TARDY">
      <formula>NOT(ISERROR(SEARCH("TARDY",E57)))</formula>
    </cfRule>
    <cfRule type="containsText" dxfId="1151" priority="1020" operator="containsText" text="REST DAY">
      <formula>NOT(ISERROR(SEARCH("REST DAY",E57)))</formula>
    </cfRule>
    <cfRule type="containsText" dxfId="1150" priority="1021" operator="containsText" text="UA">
      <formula>NOT(ISERROR(SEARCH("UA",E57)))</formula>
    </cfRule>
    <cfRule type="containsText" dxfId="1149" priority="1022" operator="containsText" text="LWOP UA">
      <formula>NOT(ISERROR(SEARCH("LWOP UA",E57)))</formula>
    </cfRule>
  </conditionalFormatting>
  <conditionalFormatting sqref="E57:F57">
    <cfRule type="containsText" dxfId="1148" priority="1009" operator="containsText" text="VL">
      <formula>NOT(ISERROR(SEARCH("VL",E57)))</formula>
    </cfRule>
    <cfRule type="containsText" dxfId="1147" priority="1010" operator="containsText" text="RD">
      <formula>NOT(ISERROR(SEARCH("RD",E57)))</formula>
    </cfRule>
    <cfRule type="containsText" dxfId="1146" priority="1011" operator="containsText" text="540">
      <formula>NOT(ISERROR(SEARCH("540",E57)))</formula>
    </cfRule>
    <cfRule type="cellIs" dxfId="1145" priority="1012" operator="between">
      <formula>1</formula>
      <formula>400</formula>
    </cfRule>
    <cfRule type="containsText" dxfId="1144" priority="1013" operator="containsText" text="LWOP UA">
      <formula>NOT(ISERROR(SEARCH("LWOP UA",E57)))</formula>
    </cfRule>
  </conditionalFormatting>
  <conditionalFormatting sqref="E57:F57">
    <cfRule type="containsText" dxfId="1143" priority="1014" operator="containsText" text="P">
      <formula>NOT(ISERROR(SEARCH("P",E57)))</formula>
    </cfRule>
  </conditionalFormatting>
  <conditionalFormatting sqref="E73">
    <cfRule type="containsText" dxfId="1142" priority="1001" operator="containsText" text="TFO">
      <formula>NOT(ISERROR(SEARCH("TFO",E73)))</formula>
    </cfRule>
    <cfRule type="containsText" dxfId="1141" priority="1002" operator="containsText" text="AA">
      <formula>NOT(ISERROR(SEARCH("AA",E73)))</formula>
    </cfRule>
    <cfRule type="containsText" dxfId="1140" priority="1003" operator="containsText" text="RESIGNED">
      <formula>NOT(ISERROR(SEARCH("RESIGNED",E73)))</formula>
    </cfRule>
    <cfRule type="containsText" dxfId="1139" priority="1004" operator="containsText" text="P">
      <formula>NOT(ISERROR(SEARCH("P",E73)))</formula>
    </cfRule>
    <cfRule type="containsText" dxfId="1138" priority="1005" operator="containsText" text="TARDY">
      <formula>NOT(ISERROR(SEARCH("TARDY",E73)))</formula>
    </cfRule>
    <cfRule type="containsText" dxfId="1137" priority="1006" operator="containsText" text="REST DAY">
      <formula>NOT(ISERROR(SEARCH("REST DAY",E73)))</formula>
    </cfRule>
    <cfRule type="containsText" dxfId="1136" priority="1007" operator="containsText" text="UA">
      <formula>NOT(ISERROR(SEARCH("UA",E73)))</formula>
    </cfRule>
    <cfRule type="containsText" dxfId="1135" priority="1008" operator="containsText" text="LWOP UA">
      <formula>NOT(ISERROR(SEARCH("LWOP UA",E73)))</formula>
    </cfRule>
  </conditionalFormatting>
  <conditionalFormatting sqref="E73">
    <cfRule type="containsText" dxfId="1134" priority="995" operator="containsText" text="VL">
      <formula>NOT(ISERROR(SEARCH("VL",E73)))</formula>
    </cfRule>
    <cfRule type="containsText" dxfId="1133" priority="996" operator="containsText" text="RD">
      <formula>NOT(ISERROR(SEARCH("RD",E73)))</formula>
    </cfRule>
    <cfRule type="containsText" dxfId="1132" priority="997" operator="containsText" text="540">
      <formula>NOT(ISERROR(SEARCH("540",E73)))</formula>
    </cfRule>
    <cfRule type="cellIs" dxfId="1131" priority="998" operator="between">
      <formula>1</formula>
      <formula>400</formula>
    </cfRule>
    <cfRule type="containsText" dxfId="1130" priority="999" operator="containsText" text="LWOP UA">
      <formula>NOT(ISERROR(SEARCH("LWOP UA",E73)))</formula>
    </cfRule>
  </conditionalFormatting>
  <conditionalFormatting sqref="E73">
    <cfRule type="containsText" dxfId="1129" priority="1000" operator="containsText" text="P">
      <formula>NOT(ISERROR(SEARCH("P",E73)))</formula>
    </cfRule>
  </conditionalFormatting>
  <conditionalFormatting sqref="D73">
    <cfRule type="containsText" dxfId="1128" priority="987" operator="containsText" text="TFO">
      <formula>NOT(ISERROR(SEARCH("TFO",D73)))</formula>
    </cfRule>
    <cfRule type="containsText" dxfId="1127" priority="988" operator="containsText" text="AA">
      <formula>NOT(ISERROR(SEARCH("AA",D73)))</formula>
    </cfRule>
    <cfRule type="containsText" dxfId="1126" priority="989" operator="containsText" text="RESIGNED">
      <formula>NOT(ISERROR(SEARCH("RESIGNED",D73)))</formula>
    </cfRule>
    <cfRule type="containsText" dxfId="1125" priority="990" operator="containsText" text="P">
      <formula>NOT(ISERROR(SEARCH("P",D73)))</formula>
    </cfRule>
    <cfRule type="containsText" dxfId="1124" priority="991" operator="containsText" text="TARDY">
      <formula>NOT(ISERROR(SEARCH("TARDY",D73)))</formula>
    </cfRule>
    <cfRule type="containsText" dxfId="1123" priority="992" operator="containsText" text="REST DAY">
      <formula>NOT(ISERROR(SEARCH("REST DAY",D73)))</formula>
    </cfRule>
    <cfRule type="containsText" dxfId="1122" priority="993" operator="containsText" text="UA">
      <formula>NOT(ISERROR(SEARCH("UA",D73)))</formula>
    </cfRule>
    <cfRule type="containsText" dxfId="1121" priority="994" operator="containsText" text="LWOP UA">
      <formula>NOT(ISERROR(SEARCH("LWOP UA",D73)))</formula>
    </cfRule>
  </conditionalFormatting>
  <conditionalFormatting sqref="D73">
    <cfRule type="containsText" dxfId="1120" priority="981" operator="containsText" text="VL">
      <formula>NOT(ISERROR(SEARCH("VL",D73)))</formula>
    </cfRule>
    <cfRule type="containsText" dxfId="1119" priority="982" operator="containsText" text="RD">
      <formula>NOT(ISERROR(SEARCH("RD",D73)))</formula>
    </cfRule>
    <cfRule type="containsText" dxfId="1118" priority="983" operator="containsText" text="540">
      <formula>NOT(ISERROR(SEARCH("540",D73)))</formula>
    </cfRule>
    <cfRule type="cellIs" dxfId="1117" priority="984" operator="between">
      <formula>1</formula>
      <formula>400</formula>
    </cfRule>
    <cfRule type="containsText" dxfId="1116" priority="985" operator="containsText" text="LWOP UA">
      <formula>NOT(ISERROR(SEARCH("LWOP UA",D73)))</formula>
    </cfRule>
  </conditionalFormatting>
  <conditionalFormatting sqref="D73">
    <cfRule type="containsText" dxfId="1115" priority="986" operator="containsText" text="P">
      <formula>NOT(ISERROR(SEARCH("P",D73)))</formula>
    </cfRule>
  </conditionalFormatting>
  <conditionalFormatting sqref="D68">
    <cfRule type="containsText" dxfId="1114" priority="973" operator="containsText" text="TFO">
      <formula>NOT(ISERROR(SEARCH("TFO",D68)))</formula>
    </cfRule>
    <cfRule type="containsText" dxfId="1113" priority="974" operator="containsText" text="AA">
      <formula>NOT(ISERROR(SEARCH("AA",D68)))</formula>
    </cfRule>
    <cfRule type="containsText" dxfId="1112" priority="975" operator="containsText" text="RESIGNED">
      <formula>NOT(ISERROR(SEARCH("RESIGNED",D68)))</formula>
    </cfRule>
    <cfRule type="containsText" dxfId="1111" priority="976" operator="containsText" text="P">
      <formula>NOT(ISERROR(SEARCH("P",D68)))</formula>
    </cfRule>
    <cfRule type="containsText" dxfId="1110" priority="977" operator="containsText" text="TARDY">
      <formula>NOT(ISERROR(SEARCH("TARDY",D68)))</formula>
    </cfRule>
    <cfRule type="containsText" dxfId="1109" priority="978" operator="containsText" text="REST DAY">
      <formula>NOT(ISERROR(SEARCH("REST DAY",D68)))</formula>
    </cfRule>
    <cfRule type="containsText" dxfId="1108" priority="979" operator="containsText" text="UA">
      <formula>NOT(ISERROR(SEARCH("UA",D68)))</formula>
    </cfRule>
    <cfRule type="containsText" dxfId="1107" priority="980" operator="containsText" text="LWOP UA">
      <formula>NOT(ISERROR(SEARCH("LWOP UA",D68)))</formula>
    </cfRule>
  </conditionalFormatting>
  <conditionalFormatting sqref="D68">
    <cfRule type="containsText" dxfId="1106" priority="967" operator="containsText" text="VL">
      <formula>NOT(ISERROR(SEARCH("VL",D68)))</formula>
    </cfRule>
    <cfRule type="containsText" dxfId="1105" priority="968" operator="containsText" text="RD">
      <formula>NOT(ISERROR(SEARCH("RD",D68)))</formula>
    </cfRule>
    <cfRule type="containsText" dxfId="1104" priority="969" operator="containsText" text="540">
      <formula>NOT(ISERROR(SEARCH("540",D68)))</formula>
    </cfRule>
    <cfRule type="cellIs" dxfId="1103" priority="970" operator="between">
      <formula>1</formula>
      <formula>400</formula>
    </cfRule>
    <cfRule type="containsText" dxfId="1102" priority="971" operator="containsText" text="LWOP UA">
      <formula>NOT(ISERROR(SEARCH("LWOP UA",D68)))</formula>
    </cfRule>
  </conditionalFormatting>
  <conditionalFormatting sqref="D68">
    <cfRule type="containsText" dxfId="1101" priority="972" operator="containsText" text="P">
      <formula>NOT(ISERROR(SEARCH("P",D68)))</formula>
    </cfRule>
  </conditionalFormatting>
  <conditionalFormatting sqref="J32">
    <cfRule type="containsText" dxfId="1100" priority="959" operator="containsText" text="TFO">
      <formula>NOT(ISERROR(SEARCH("TFO",J32)))</formula>
    </cfRule>
    <cfRule type="containsText" dxfId="1099" priority="960" operator="containsText" text="AA">
      <formula>NOT(ISERROR(SEARCH("AA",J32)))</formula>
    </cfRule>
    <cfRule type="containsText" dxfId="1098" priority="961" operator="containsText" text="RESIGNED">
      <formula>NOT(ISERROR(SEARCH("RESIGNED",J32)))</formula>
    </cfRule>
    <cfRule type="containsText" dxfId="1097" priority="962" operator="containsText" text="P">
      <formula>NOT(ISERROR(SEARCH("P",J32)))</formula>
    </cfRule>
    <cfRule type="containsText" dxfId="1096" priority="963" operator="containsText" text="TARDY">
      <formula>NOT(ISERROR(SEARCH("TARDY",J32)))</formula>
    </cfRule>
    <cfRule type="containsText" dxfId="1095" priority="964" operator="containsText" text="REST DAY">
      <formula>NOT(ISERROR(SEARCH("REST DAY",J32)))</formula>
    </cfRule>
    <cfRule type="containsText" dxfId="1094" priority="965" operator="containsText" text="UA">
      <formula>NOT(ISERROR(SEARCH("UA",J32)))</formula>
    </cfRule>
    <cfRule type="containsText" dxfId="1093" priority="966" operator="containsText" text="LWOP UA">
      <formula>NOT(ISERROR(SEARCH("LWOP UA",J32)))</formula>
    </cfRule>
  </conditionalFormatting>
  <conditionalFormatting sqref="J32">
    <cfRule type="containsText" dxfId="1092" priority="953" operator="containsText" text="VL">
      <formula>NOT(ISERROR(SEARCH("VL",J32)))</formula>
    </cfRule>
    <cfRule type="containsText" dxfId="1091" priority="954" operator="containsText" text="RD">
      <formula>NOT(ISERROR(SEARCH("RD",J32)))</formula>
    </cfRule>
    <cfRule type="containsText" dxfId="1090" priority="955" operator="containsText" text="540">
      <formula>NOT(ISERROR(SEARCH("540",J32)))</formula>
    </cfRule>
    <cfRule type="cellIs" dxfId="1089" priority="956" operator="between">
      <formula>1</formula>
      <formula>400</formula>
    </cfRule>
    <cfRule type="containsText" dxfId="1088" priority="957" operator="containsText" text="LWOP UA">
      <formula>NOT(ISERROR(SEARCH("LWOP UA",J32)))</formula>
    </cfRule>
  </conditionalFormatting>
  <conditionalFormatting sqref="J32">
    <cfRule type="containsText" dxfId="1087" priority="958" operator="containsText" text="P">
      <formula>NOT(ISERROR(SEARCH("P",J32)))</formula>
    </cfRule>
  </conditionalFormatting>
  <conditionalFormatting sqref="J53">
    <cfRule type="containsText" dxfId="1086" priority="945" operator="containsText" text="TFO">
      <formula>NOT(ISERROR(SEARCH("TFO",J53)))</formula>
    </cfRule>
    <cfRule type="containsText" dxfId="1085" priority="946" operator="containsText" text="AA">
      <formula>NOT(ISERROR(SEARCH("AA",J53)))</formula>
    </cfRule>
    <cfRule type="containsText" dxfId="1084" priority="947" operator="containsText" text="RESIGNED">
      <formula>NOT(ISERROR(SEARCH("RESIGNED",J53)))</formula>
    </cfRule>
    <cfRule type="containsText" dxfId="1083" priority="948" operator="containsText" text="P">
      <formula>NOT(ISERROR(SEARCH("P",J53)))</formula>
    </cfRule>
    <cfRule type="containsText" dxfId="1082" priority="949" operator="containsText" text="TARDY">
      <formula>NOT(ISERROR(SEARCH("TARDY",J53)))</formula>
    </cfRule>
    <cfRule type="containsText" dxfId="1081" priority="950" operator="containsText" text="REST DAY">
      <formula>NOT(ISERROR(SEARCH("REST DAY",J53)))</formula>
    </cfRule>
    <cfRule type="containsText" dxfId="1080" priority="951" operator="containsText" text="UA">
      <formula>NOT(ISERROR(SEARCH("UA",J53)))</formula>
    </cfRule>
    <cfRule type="containsText" dxfId="1079" priority="952" operator="containsText" text="LWOP UA">
      <formula>NOT(ISERROR(SEARCH("LWOP UA",J53)))</formula>
    </cfRule>
  </conditionalFormatting>
  <conditionalFormatting sqref="J53">
    <cfRule type="containsText" dxfId="1078" priority="939" operator="containsText" text="VL">
      <formula>NOT(ISERROR(SEARCH("VL",J53)))</formula>
    </cfRule>
    <cfRule type="containsText" dxfId="1077" priority="940" operator="containsText" text="RD">
      <formula>NOT(ISERROR(SEARCH("RD",J53)))</formula>
    </cfRule>
    <cfRule type="containsText" dxfId="1076" priority="941" operator="containsText" text="540">
      <formula>NOT(ISERROR(SEARCH("540",J53)))</formula>
    </cfRule>
    <cfRule type="cellIs" dxfId="1075" priority="942" operator="between">
      <formula>1</formula>
      <formula>400</formula>
    </cfRule>
    <cfRule type="containsText" dxfId="1074" priority="943" operator="containsText" text="LWOP UA">
      <formula>NOT(ISERROR(SEARCH("LWOP UA",J53)))</formula>
    </cfRule>
  </conditionalFormatting>
  <conditionalFormatting sqref="J53">
    <cfRule type="containsText" dxfId="1073" priority="944" operator="containsText" text="P">
      <formula>NOT(ISERROR(SEARCH("P",J53)))</formula>
    </cfRule>
  </conditionalFormatting>
  <conditionalFormatting sqref="J68">
    <cfRule type="containsText" dxfId="1072" priority="931" operator="containsText" text="TFO">
      <formula>NOT(ISERROR(SEARCH("TFO",J68)))</formula>
    </cfRule>
    <cfRule type="containsText" dxfId="1071" priority="932" operator="containsText" text="AA">
      <formula>NOT(ISERROR(SEARCH("AA",J68)))</formula>
    </cfRule>
    <cfRule type="containsText" dxfId="1070" priority="933" operator="containsText" text="RESIGNED">
      <formula>NOT(ISERROR(SEARCH("RESIGNED",J68)))</formula>
    </cfRule>
    <cfRule type="containsText" dxfId="1069" priority="934" operator="containsText" text="P">
      <formula>NOT(ISERROR(SEARCH("P",J68)))</formula>
    </cfRule>
    <cfRule type="containsText" dxfId="1068" priority="935" operator="containsText" text="TARDY">
      <formula>NOT(ISERROR(SEARCH("TARDY",J68)))</formula>
    </cfRule>
    <cfRule type="containsText" dxfId="1067" priority="936" operator="containsText" text="REST DAY">
      <formula>NOT(ISERROR(SEARCH("REST DAY",J68)))</formula>
    </cfRule>
    <cfRule type="containsText" dxfId="1066" priority="937" operator="containsText" text="UA">
      <formula>NOT(ISERROR(SEARCH("UA",J68)))</formula>
    </cfRule>
    <cfRule type="containsText" dxfId="1065" priority="938" operator="containsText" text="LWOP UA">
      <formula>NOT(ISERROR(SEARCH("LWOP UA",J68)))</formula>
    </cfRule>
  </conditionalFormatting>
  <conditionalFormatting sqref="J68">
    <cfRule type="containsText" dxfId="1064" priority="925" operator="containsText" text="VL">
      <formula>NOT(ISERROR(SEARCH("VL",J68)))</formula>
    </cfRule>
    <cfRule type="containsText" dxfId="1063" priority="926" operator="containsText" text="RD">
      <formula>NOT(ISERROR(SEARCH("RD",J68)))</formula>
    </cfRule>
    <cfRule type="containsText" dxfId="1062" priority="927" operator="containsText" text="540">
      <formula>NOT(ISERROR(SEARCH("540",J68)))</formula>
    </cfRule>
    <cfRule type="cellIs" dxfId="1061" priority="928" operator="between">
      <formula>1</formula>
      <formula>400</formula>
    </cfRule>
    <cfRule type="containsText" dxfId="1060" priority="929" operator="containsText" text="LWOP UA">
      <formula>NOT(ISERROR(SEARCH("LWOP UA",J68)))</formula>
    </cfRule>
  </conditionalFormatting>
  <conditionalFormatting sqref="J68">
    <cfRule type="containsText" dxfId="1059" priority="930" operator="containsText" text="P">
      <formula>NOT(ISERROR(SEARCH("P",J68)))</formula>
    </cfRule>
  </conditionalFormatting>
  <conditionalFormatting sqref="D41 D21">
    <cfRule type="containsText" dxfId="1058" priority="917" operator="containsText" text="TFO">
      <formula>NOT(ISERROR(SEARCH("TFO",D21)))</formula>
    </cfRule>
    <cfRule type="containsText" dxfId="1057" priority="918" operator="containsText" text="AA">
      <formula>NOT(ISERROR(SEARCH("AA",D21)))</formula>
    </cfRule>
    <cfRule type="containsText" dxfId="1056" priority="919" operator="containsText" text="RESIGNED">
      <formula>NOT(ISERROR(SEARCH("RESIGNED",D21)))</formula>
    </cfRule>
    <cfRule type="containsText" dxfId="1055" priority="920" operator="containsText" text="P">
      <formula>NOT(ISERROR(SEARCH("P",D21)))</formula>
    </cfRule>
    <cfRule type="containsText" dxfId="1054" priority="921" operator="containsText" text="TARDY">
      <formula>NOT(ISERROR(SEARCH("TARDY",D21)))</formula>
    </cfRule>
    <cfRule type="containsText" dxfId="1053" priority="922" operator="containsText" text="REST DAY">
      <formula>NOT(ISERROR(SEARCH("REST DAY",D21)))</formula>
    </cfRule>
    <cfRule type="containsText" dxfId="1052" priority="923" operator="containsText" text="UA">
      <formula>NOT(ISERROR(SEARCH("UA",D21)))</formula>
    </cfRule>
    <cfRule type="containsText" dxfId="1051" priority="924" operator="containsText" text="LWOP UA">
      <formula>NOT(ISERROR(SEARCH("LWOP UA",D21)))</formula>
    </cfRule>
  </conditionalFormatting>
  <conditionalFormatting sqref="D41 D21">
    <cfRule type="containsText" dxfId="1050" priority="911" operator="containsText" text="VL">
      <formula>NOT(ISERROR(SEARCH("VL",D21)))</formula>
    </cfRule>
    <cfRule type="containsText" dxfId="1049" priority="912" operator="containsText" text="RD">
      <formula>NOT(ISERROR(SEARCH("RD",D21)))</formula>
    </cfRule>
    <cfRule type="containsText" dxfId="1048" priority="913" operator="containsText" text="540">
      <formula>NOT(ISERROR(SEARCH("540",D21)))</formula>
    </cfRule>
    <cfRule type="cellIs" dxfId="1047" priority="914" operator="between">
      <formula>1</formula>
      <formula>400</formula>
    </cfRule>
    <cfRule type="containsText" dxfId="1046" priority="915" operator="containsText" text="LWOP UA">
      <formula>NOT(ISERROR(SEARCH("LWOP UA",D21)))</formula>
    </cfRule>
  </conditionalFormatting>
  <conditionalFormatting sqref="D41 D21">
    <cfRule type="containsText" dxfId="1045" priority="916" operator="containsText" text="P">
      <formula>NOT(ISERROR(SEARCH("P",D21)))</formula>
    </cfRule>
  </conditionalFormatting>
  <conditionalFormatting sqref="J41 J21">
    <cfRule type="containsText" dxfId="1044" priority="903" operator="containsText" text="TFO">
      <formula>NOT(ISERROR(SEARCH("TFO",J21)))</formula>
    </cfRule>
    <cfRule type="containsText" dxfId="1043" priority="904" operator="containsText" text="AA">
      <formula>NOT(ISERROR(SEARCH("AA",J21)))</formula>
    </cfRule>
    <cfRule type="containsText" dxfId="1042" priority="905" operator="containsText" text="RESIGNED">
      <formula>NOT(ISERROR(SEARCH("RESIGNED",J21)))</formula>
    </cfRule>
    <cfRule type="containsText" dxfId="1041" priority="906" operator="containsText" text="P">
      <formula>NOT(ISERROR(SEARCH("P",J21)))</formula>
    </cfRule>
    <cfRule type="containsText" dxfId="1040" priority="907" operator="containsText" text="TARDY">
      <formula>NOT(ISERROR(SEARCH("TARDY",J21)))</formula>
    </cfRule>
    <cfRule type="containsText" dxfId="1039" priority="908" operator="containsText" text="REST DAY">
      <formula>NOT(ISERROR(SEARCH("REST DAY",J21)))</formula>
    </cfRule>
    <cfRule type="containsText" dxfId="1038" priority="909" operator="containsText" text="UA">
      <formula>NOT(ISERROR(SEARCH("UA",J21)))</formula>
    </cfRule>
    <cfRule type="containsText" dxfId="1037" priority="910" operator="containsText" text="LWOP UA">
      <formula>NOT(ISERROR(SEARCH("LWOP UA",J21)))</formula>
    </cfRule>
  </conditionalFormatting>
  <conditionalFormatting sqref="J41 J21">
    <cfRule type="containsText" dxfId="1036" priority="897" operator="containsText" text="VL">
      <formula>NOT(ISERROR(SEARCH("VL",J21)))</formula>
    </cfRule>
    <cfRule type="containsText" dxfId="1035" priority="898" operator="containsText" text="RD">
      <formula>NOT(ISERROR(SEARCH("RD",J21)))</formula>
    </cfRule>
    <cfRule type="containsText" dxfId="1034" priority="899" operator="containsText" text="540">
      <formula>NOT(ISERROR(SEARCH("540",J21)))</formula>
    </cfRule>
    <cfRule type="cellIs" dxfId="1033" priority="900" operator="between">
      <formula>1</formula>
      <formula>400</formula>
    </cfRule>
    <cfRule type="containsText" dxfId="1032" priority="901" operator="containsText" text="LWOP UA">
      <formula>NOT(ISERROR(SEARCH("LWOP UA",J21)))</formula>
    </cfRule>
  </conditionalFormatting>
  <conditionalFormatting sqref="J41 J21">
    <cfRule type="containsText" dxfId="1031" priority="902" operator="containsText" text="P">
      <formula>NOT(ISERROR(SEARCH("P",J21)))</formula>
    </cfRule>
  </conditionalFormatting>
  <conditionalFormatting sqref="D7">
    <cfRule type="containsText" dxfId="1030" priority="889" operator="containsText" text="TFO">
      <formula>NOT(ISERROR(SEARCH("TFO",D7)))</formula>
    </cfRule>
    <cfRule type="containsText" dxfId="1029" priority="890" operator="containsText" text="AA">
      <formula>NOT(ISERROR(SEARCH("AA",D7)))</formula>
    </cfRule>
    <cfRule type="containsText" dxfId="1028" priority="891" operator="containsText" text="RESIGNED">
      <formula>NOT(ISERROR(SEARCH("RESIGNED",D7)))</formula>
    </cfRule>
    <cfRule type="containsText" dxfId="1027" priority="892" operator="containsText" text="P">
      <formula>NOT(ISERROR(SEARCH("P",D7)))</formula>
    </cfRule>
    <cfRule type="containsText" dxfId="1026" priority="893" operator="containsText" text="TARDY">
      <formula>NOT(ISERROR(SEARCH("TARDY",D7)))</formula>
    </cfRule>
    <cfRule type="containsText" dxfId="1025" priority="894" operator="containsText" text="REST DAY">
      <formula>NOT(ISERROR(SEARCH("REST DAY",D7)))</formula>
    </cfRule>
    <cfRule type="containsText" dxfId="1024" priority="895" operator="containsText" text="UA">
      <formula>NOT(ISERROR(SEARCH("UA",D7)))</formula>
    </cfRule>
    <cfRule type="containsText" dxfId="1023" priority="896" operator="containsText" text="LWOP UA">
      <formula>NOT(ISERROR(SEARCH("LWOP UA",D7)))</formula>
    </cfRule>
  </conditionalFormatting>
  <conditionalFormatting sqref="D7">
    <cfRule type="containsText" dxfId="1022" priority="883" operator="containsText" text="VL">
      <formula>NOT(ISERROR(SEARCH("VL",D7)))</formula>
    </cfRule>
    <cfRule type="containsText" dxfId="1021" priority="884" operator="containsText" text="RD">
      <formula>NOT(ISERROR(SEARCH("RD",D7)))</formula>
    </cfRule>
    <cfRule type="containsText" dxfId="1020" priority="885" operator="containsText" text="540">
      <formula>NOT(ISERROR(SEARCH("540",D7)))</formula>
    </cfRule>
    <cfRule type="cellIs" dxfId="1019" priority="886" operator="between">
      <formula>1</formula>
      <formula>400</formula>
    </cfRule>
    <cfRule type="containsText" dxfId="1018" priority="887" operator="containsText" text="LWOP UA">
      <formula>NOT(ISERROR(SEARCH("LWOP UA",D7)))</formula>
    </cfRule>
  </conditionalFormatting>
  <conditionalFormatting sqref="D7">
    <cfRule type="containsText" dxfId="1017" priority="888" operator="containsText" text="P">
      <formula>NOT(ISERROR(SEARCH("P",D7)))</formula>
    </cfRule>
  </conditionalFormatting>
  <conditionalFormatting sqref="D62 D56 D52 D45 D39 D37 D31 D29 D26 D24 D18 D14:D15">
    <cfRule type="containsText" dxfId="1016" priority="875" operator="containsText" text="TFO">
      <formula>NOT(ISERROR(SEARCH("TFO",D14)))</formula>
    </cfRule>
    <cfRule type="containsText" dxfId="1015" priority="876" operator="containsText" text="AA">
      <formula>NOT(ISERROR(SEARCH("AA",D14)))</formula>
    </cfRule>
    <cfRule type="containsText" dxfId="1014" priority="877" operator="containsText" text="RESIGNED">
      <formula>NOT(ISERROR(SEARCH("RESIGNED",D14)))</formula>
    </cfRule>
    <cfRule type="containsText" dxfId="1013" priority="878" operator="containsText" text="P">
      <formula>NOT(ISERROR(SEARCH("P",D14)))</formula>
    </cfRule>
    <cfRule type="containsText" dxfId="1012" priority="879" operator="containsText" text="TARDY">
      <formula>NOT(ISERROR(SEARCH("TARDY",D14)))</formula>
    </cfRule>
    <cfRule type="containsText" dxfId="1011" priority="880" operator="containsText" text="REST DAY">
      <formula>NOT(ISERROR(SEARCH("REST DAY",D14)))</formula>
    </cfRule>
    <cfRule type="containsText" dxfId="1010" priority="881" operator="containsText" text="UA">
      <formula>NOT(ISERROR(SEARCH("UA",D14)))</formula>
    </cfRule>
    <cfRule type="containsText" dxfId="1009" priority="882" operator="containsText" text="LWOP UA">
      <formula>NOT(ISERROR(SEARCH("LWOP UA",D14)))</formula>
    </cfRule>
  </conditionalFormatting>
  <conditionalFormatting sqref="D62 D56 D52 D45 D39 D37 D31 D29 D26 D24 D18 D14:D15">
    <cfRule type="containsText" dxfId="1008" priority="869" operator="containsText" text="VL">
      <formula>NOT(ISERROR(SEARCH("VL",D14)))</formula>
    </cfRule>
    <cfRule type="containsText" dxfId="1007" priority="870" operator="containsText" text="RD">
      <formula>NOT(ISERROR(SEARCH("RD",D14)))</formula>
    </cfRule>
    <cfRule type="containsText" dxfId="1006" priority="871" operator="containsText" text="540">
      <formula>NOT(ISERROR(SEARCH("540",D14)))</formula>
    </cfRule>
    <cfRule type="cellIs" dxfId="1005" priority="872" operator="between">
      <formula>1</formula>
      <formula>400</formula>
    </cfRule>
    <cfRule type="containsText" dxfId="1004" priority="873" operator="containsText" text="LWOP UA">
      <formula>NOT(ISERROR(SEARCH("LWOP UA",D14)))</formula>
    </cfRule>
  </conditionalFormatting>
  <conditionalFormatting sqref="D62 D56 D52 D45 D39 D37 D31 D29 D26 D24 D18 D14:D15">
    <cfRule type="containsText" dxfId="1003" priority="874" operator="containsText" text="P">
      <formula>NOT(ISERROR(SEARCH("P",D14)))</formula>
    </cfRule>
  </conditionalFormatting>
  <conditionalFormatting sqref="D84 D70">
    <cfRule type="containsText" dxfId="1002" priority="861" operator="containsText" text="TFO">
      <formula>NOT(ISERROR(SEARCH("TFO",D70)))</formula>
    </cfRule>
    <cfRule type="containsText" dxfId="1001" priority="862" operator="containsText" text="AA">
      <formula>NOT(ISERROR(SEARCH("AA",D70)))</formula>
    </cfRule>
    <cfRule type="containsText" dxfId="1000" priority="863" operator="containsText" text="RESIGNED">
      <formula>NOT(ISERROR(SEARCH("RESIGNED",D70)))</formula>
    </cfRule>
    <cfRule type="containsText" dxfId="999" priority="864" operator="containsText" text="P">
      <formula>NOT(ISERROR(SEARCH("P",D70)))</formula>
    </cfRule>
    <cfRule type="containsText" dxfId="998" priority="865" operator="containsText" text="TARDY">
      <formula>NOT(ISERROR(SEARCH("TARDY",D70)))</formula>
    </cfRule>
    <cfRule type="containsText" dxfId="997" priority="866" operator="containsText" text="REST DAY">
      <formula>NOT(ISERROR(SEARCH("REST DAY",D70)))</formula>
    </cfRule>
    <cfRule type="containsText" dxfId="996" priority="867" operator="containsText" text="UA">
      <formula>NOT(ISERROR(SEARCH("UA",D70)))</formula>
    </cfRule>
    <cfRule type="containsText" dxfId="995" priority="868" operator="containsText" text="LWOP UA">
      <formula>NOT(ISERROR(SEARCH("LWOP UA",D70)))</formula>
    </cfRule>
  </conditionalFormatting>
  <conditionalFormatting sqref="D84 D70">
    <cfRule type="containsText" dxfId="994" priority="855" operator="containsText" text="VL">
      <formula>NOT(ISERROR(SEARCH("VL",D70)))</formula>
    </cfRule>
    <cfRule type="containsText" dxfId="993" priority="856" operator="containsText" text="RD">
      <formula>NOT(ISERROR(SEARCH("RD",D70)))</formula>
    </cfRule>
    <cfRule type="containsText" dxfId="992" priority="857" operator="containsText" text="540">
      <formula>NOT(ISERROR(SEARCH("540",D70)))</formula>
    </cfRule>
    <cfRule type="cellIs" dxfId="991" priority="858" operator="between">
      <formula>1</formula>
      <formula>400</formula>
    </cfRule>
    <cfRule type="containsText" dxfId="990" priority="859" operator="containsText" text="LWOP UA">
      <formula>NOT(ISERROR(SEARCH("LWOP UA",D70)))</formula>
    </cfRule>
  </conditionalFormatting>
  <conditionalFormatting sqref="D84 D70">
    <cfRule type="containsText" dxfId="989" priority="860" operator="containsText" text="P">
      <formula>NOT(ISERROR(SEARCH("P",D70)))</formula>
    </cfRule>
  </conditionalFormatting>
  <conditionalFormatting sqref="D90:D92">
    <cfRule type="containsText" dxfId="988" priority="847" operator="containsText" text="TFO">
      <formula>NOT(ISERROR(SEARCH("TFO",D90)))</formula>
    </cfRule>
    <cfRule type="containsText" dxfId="987" priority="848" operator="containsText" text="AA">
      <formula>NOT(ISERROR(SEARCH("AA",D90)))</formula>
    </cfRule>
    <cfRule type="containsText" dxfId="986" priority="849" operator="containsText" text="RESIGNED">
      <formula>NOT(ISERROR(SEARCH("RESIGNED",D90)))</formula>
    </cfRule>
    <cfRule type="containsText" dxfId="985" priority="850" operator="containsText" text="P">
      <formula>NOT(ISERROR(SEARCH("P",D90)))</formula>
    </cfRule>
    <cfRule type="containsText" dxfId="984" priority="851" operator="containsText" text="TARDY">
      <formula>NOT(ISERROR(SEARCH("TARDY",D90)))</formula>
    </cfRule>
    <cfRule type="containsText" dxfId="983" priority="852" operator="containsText" text="REST DAY">
      <formula>NOT(ISERROR(SEARCH("REST DAY",D90)))</formula>
    </cfRule>
    <cfRule type="containsText" dxfId="982" priority="853" operator="containsText" text="UA">
      <formula>NOT(ISERROR(SEARCH("UA",D90)))</formula>
    </cfRule>
    <cfRule type="containsText" dxfId="981" priority="854" operator="containsText" text="LWOP UA">
      <formula>NOT(ISERROR(SEARCH("LWOP UA",D90)))</formula>
    </cfRule>
  </conditionalFormatting>
  <conditionalFormatting sqref="D90:D92">
    <cfRule type="containsText" dxfId="980" priority="841" operator="containsText" text="VL">
      <formula>NOT(ISERROR(SEARCH("VL",D90)))</formula>
    </cfRule>
    <cfRule type="containsText" dxfId="979" priority="842" operator="containsText" text="RD">
      <formula>NOT(ISERROR(SEARCH("RD",D90)))</formula>
    </cfRule>
    <cfRule type="containsText" dxfId="978" priority="843" operator="containsText" text="540">
      <formula>NOT(ISERROR(SEARCH("540",D90)))</formula>
    </cfRule>
    <cfRule type="cellIs" dxfId="977" priority="844" operator="between">
      <formula>1</formula>
      <formula>400</formula>
    </cfRule>
    <cfRule type="containsText" dxfId="976" priority="845" operator="containsText" text="LWOP UA">
      <formula>NOT(ISERROR(SEARCH("LWOP UA",D90)))</formula>
    </cfRule>
  </conditionalFormatting>
  <conditionalFormatting sqref="D90:D92">
    <cfRule type="containsText" dxfId="975" priority="846" operator="containsText" text="P">
      <formula>NOT(ISERROR(SEARCH("P",D90)))</formula>
    </cfRule>
  </conditionalFormatting>
  <conditionalFormatting sqref="D5">
    <cfRule type="containsText" dxfId="974" priority="833" operator="containsText" text="TFO">
      <formula>NOT(ISERROR(SEARCH("TFO",D5)))</formula>
    </cfRule>
    <cfRule type="containsText" dxfId="973" priority="834" operator="containsText" text="AA">
      <formula>NOT(ISERROR(SEARCH("AA",D5)))</formula>
    </cfRule>
    <cfRule type="containsText" dxfId="972" priority="835" operator="containsText" text="RESIGNED">
      <formula>NOT(ISERROR(SEARCH("RESIGNED",D5)))</formula>
    </cfRule>
    <cfRule type="containsText" dxfId="971" priority="836" operator="containsText" text="P">
      <formula>NOT(ISERROR(SEARCH("P",D5)))</formula>
    </cfRule>
    <cfRule type="containsText" dxfId="970" priority="837" operator="containsText" text="TARDY">
      <formula>NOT(ISERROR(SEARCH("TARDY",D5)))</formula>
    </cfRule>
    <cfRule type="containsText" dxfId="969" priority="838" operator="containsText" text="REST DAY">
      <formula>NOT(ISERROR(SEARCH("REST DAY",D5)))</formula>
    </cfRule>
    <cfRule type="containsText" dxfId="968" priority="839" operator="containsText" text="UA">
      <formula>NOT(ISERROR(SEARCH("UA",D5)))</formula>
    </cfRule>
    <cfRule type="containsText" dxfId="967" priority="840" operator="containsText" text="LWOP UA">
      <formula>NOT(ISERROR(SEARCH("LWOP UA",D5)))</formula>
    </cfRule>
  </conditionalFormatting>
  <conditionalFormatting sqref="D5">
    <cfRule type="containsText" dxfId="966" priority="827" operator="containsText" text="VL">
      <formula>NOT(ISERROR(SEARCH("VL",D5)))</formula>
    </cfRule>
    <cfRule type="containsText" dxfId="965" priority="828" operator="containsText" text="RD">
      <formula>NOT(ISERROR(SEARCH("RD",D5)))</formula>
    </cfRule>
    <cfRule type="containsText" dxfId="964" priority="829" operator="containsText" text="540">
      <formula>NOT(ISERROR(SEARCH("540",D5)))</formula>
    </cfRule>
    <cfRule type="cellIs" dxfId="963" priority="830" operator="between">
      <formula>1</formula>
      <formula>400</formula>
    </cfRule>
    <cfRule type="containsText" dxfId="962" priority="831" operator="containsText" text="LWOP UA">
      <formula>NOT(ISERROR(SEARCH("LWOP UA",D5)))</formula>
    </cfRule>
  </conditionalFormatting>
  <conditionalFormatting sqref="D5">
    <cfRule type="containsText" dxfId="961" priority="832" operator="containsText" text="P">
      <formula>NOT(ISERROR(SEARCH("P",D5)))</formula>
    </cfRule>
  </conditionalFormatting>
  <conditionalFormatting sqref="J7">
    <cfRule type="containsText" dxfId="960" priority="819" operator="containsText" text="TFO">
      <formula>NOT(ISERROR(SEARCH("TFO",J7)))</formula>
    </cfRule>
    <cfRule type="containsText" dxfId="959" priority="820" operator="containsText" text="AA">
      <formula>NOT(ISERROR(SEARCH("AA",J7)))</formula>
    </cfRule>
    <cfRule type="containsText" dxfId="958" priority="821" operator="containsText" text="RESIGNED">
      <formula>NOT(ISERROR(SEARCH("RESIGNED",J7)))</formula>
    </cfRule>
    <cfRule type="containsText" dxfId="957" priority="822" operator="containsText" text="P">
      <formula>NOT(ISERROR(SEARCH("P",J7)))</formula>
    </cfRule>
    <cfRule type="containsText" dxfId="956" priority="823" operator="containsText" text="TARDY">
      <formula>NOT(ISERROR(SEARCH("TARDY",J7)))</formula>
    </cfRule>
    <cfRule type="containsText" dxfId="955" priority="824" operator="containsText" text="REST DAY">
      <formula>NOT(ISERROR(SEARCH("REST DAY",J7)))</formula>
    </cfRule>
    <cfRule type="containsText" dxfId="954" priority="825" operator="containsText" text="UA">
      <formula>NOT(ISERROR(SEARCH("UA",J7)))</formula>
    </cfRule>
    <cfRule type="containsText" dxfId="953" priority="826" operator="containsText" text="LWOP UA">
      <formula>NOT(ISERROR(SEARCH("LWOP UA",J7)))</formula>
    </cfRule>
  </conditionalFormatting>
  <conditionalFormatting sqref="J7">
    <cfRule type="containsText" dxfId="952" priority="813" operator="containsText" text="VL">
      <formula>NOT(ISERROR(SEARCH("VL",J7)))</formula>
    </cfRule>
    <cfRule type="containsText" dxfId="951" priority="814" operator="containsText" text="RD">
      <formula>NOT(ISERROR(SEARCH("RD",J7)))</formula>
    </cfRule>
    <cfRule type="containsText" dxfId="950" priority="815" operator="containsText" text="540">
      <formula>NOT(ISERROR(SEARCH("540",J7)))</formula>
    </cfRule>
    <cfRule type="cellIs" dxfId="949" priority="816" operator="between">
      <formula>1</formula>
      <formula>400</formula>
    </cfRule>
    <cfRule type="containsText" dxfId="948" priority="817" operator="containsText" text="LWOP UA">
      <formula>NOT(ISERROR(SEARCH("LWOP UA",J7)))</formula>
    </cfRule>
  </conditionalFormatting>
  <conditionalFormatting sqref="J7">
    <cfRule type="containsText" dxfId="947" priority="818" operator="containsText" text="P">
      <formula>NOT(ISERROR(SEARCH("P",J7)))</formula>
    </cfRule>
  </conditionalFormatting>
  <conditionalFormatting sqref="G34:H34">
    <cfRule type="containsText" dxfId="946" priority="805" operator="containsText" text="TFO">
      <formula>NOT(ISERROR(SEARCH("TFO",G34)))</formula>
    </cfRule>
    <cfRule type="containsText" dxfId="945" priority="806" operator="containsText" text="AA">
      <formula>NOT(ISERROR(SEARCH("AA",G34)))</formula>
    </cfRule>
    <cfRule type="containsText" dxfId="944" priority="807" operator="containsText" text="RESIGNED">
      <formula>NOT(ISERROR(SEARCH("RESIGNED",G34)))</formula>
    </cfRule>
    <cfRule type="containsText" dxfId="943" priority="808" operator="containsText" text="P">
      <formula>NOT(ISERROR(SEARCH("P",G34)))</formula>
    </cfRule>
    <cfRule type="containsText" dxfId="942" priority="809" operator="containsText" text="TARDY">
      <formula>NOT(ISERROR(SEARCH("TARDY",G34)))</formula>
    </cfRule>
    <cfRule type="containsText" dxfId="941" priority="810" operator="containsText" text="REST DAY">
      <formula>NOT(ISERROR(SEARCH("REST DAY",G34)))</formula>
    </cfRule>
    <cfRule type="containsText" dxfId="940" priority="811" operator="containsText" text="UA">
      <formula>NOT(ISERROR(SEARCH("UA",G34)))</formula>
    </cfRule>
    <cfRule type="containsText" dxfId="939" priority="812" operator="containsText" text="LWOP UA">
      <formula>NOT(ISERROR(SEARCH("LWOP UA",G34)))</formula>
    </cfRule>
  </conditionalFormatting>
  <conditionalFormatting sqref="G34:H34">
    <cfRule type="containsText" dxfId="938" priority="799" operator="containsText" text="VL">
      <formula>NOT(ISERROR(SEARCH("VL",G34)))</formula>
    </cfRule>
    <cfRule type="containsText" dxfId="937" priority="800" operator="containsText" text="RD">
      <formula>NOT(ISERROR(SEARCH("RD",G34)))</formula>
    </cfRule>
    <cfRule type="containsText" dxfId="936" priority="801" operator="containsText" text="540">
      <formula>NOT(ISERROR(SEARCH("540",G34)))</formula>
    </cfRule>
    <cfRule type="cellIs" dxfId="935" priority="802" operator="between">
      <formula>1</formula>
      <formula>400</formula>
    </cfRule>
    <cfRule type="containsText" dxfId="934" priority="803" operator="containsText" text="LWOP UA">
      <formula>NOT(ISERROR(SEARCH("LWOP UA",G34)))</formula>
    </cfRule>
  </conditionalFormatting>
  <conditionalFormatting sqref="G34:H34">
    <cfRule type="containsText" dxfId="933" priority="804" operator="containsText" text="P">
      <formula>NOT(ISERROR(SEARCH("P",G34)))</formula>
    </cfRule>
  </conditionalFormatting>
  <conditionalFormatting sqref="E90">
    <cfRule type="containsText" dxfId="932" priority="791" operator="containsText" text="TFO">
      <formula>NOT(ISERROR(SEARCH("TFO",E90)))</formula>
    </cfRule>
    <cfRule type="containsText" dxfId="931" priority="792" operator="containsText" text="AA">
      <formula>NOT(ISERROR(SEARCH("AA",E90)))</formula>
    </cfRule>
    <cfRule type="containsText" dxfId="930" priority="793" operator="containsText" text="RESIGNED">
      <formula>NOT(ISERROR(SEARCH("RESIGNED",E90)))</formula>
    </cfRule>
    <cfRule type="containsText" dxfId="929" priority="794" operator="containsText" text="P">
      <formula>NOT(ISERROR(SEARCH("P",E90)))</formula>
    </cfRule>
    <cfRule type="containsText" dxfId="928" priority="795" operator="containsText" text="TARDY">
      <formula>NOT(ISERROR(SEARCH("TARDY",E90)))</formula>
    </cfRule>
    <cfRule type="containsText" dxfId="927" priority="796" operator="containsText" text="REST DAY">
      <formula>NOT(ISERROR(SEARCH("REST DAY",E90)))</formula>
    </cfRule>
    <cfRule type="containsText" dxfId="926" priority="797" operator="containsText" text="UA">
      <formula>NOT(ISERROR(SEARCH("UA",E90)))</formula>
    </cfRule>
    <cfRule type="containsText" dxfId="925" priority="798" operator="containsText" text="LWOP UA">
      <formula>NOT(ISERROR(SEARCH("LWOP UA",E90)))</formula>
    </cfRule>
  </conditionalFormatting>
  <conditionalFormatting sqref="E90">
    <cfRule type="containsText" dxfId="924" priority="785" operator="containsText" text="VL">
      <formula>NOT(ISERROR(SEARCH("VL",E90)))</formula>
    </cfRule>
    <cfRule type="containsText" dxfId="923" priority="786" operator="containsText" text="RD">
      <formula>NOT(ISERROR(SEARCH("RD",E90)))</formula>
    </cfRule>
    <cfRule type="containsText" dxfId="922" priority="787" operator="containsText" text="540">
      <formula>NOT(ISERROR(SEARCH("540",E90)))</formula>
    </cfRule>
    <cfRule type="cellIs" dxfId="921" priority="788" operator="between">
      <formula>1</formula>
      <formula>400</formula>
    </cfRule>
    <cfRule type="containsText" dxfId="920" priority="789" operator="containsText" text="LWOP UA">
      <formula>NOT(ISERROR(SEARCH("LWOP UA",E90)))</formula>
    </cfRule>
  </conditionalFormatting>
  <conditionalFormatting sqref="E90">
    <cfRule type="containsText" dxfId="919" priority="790" operator="containsText" text="P">
      <formula>NOT(ISERROR(SEARCH("P",E90)))</formula>
    </cfRule>
  </conditionalFormatting>
  <conditionalFormatting sqref="E80">
    <cfRule type="containsText" dxfId="918" priority="777" operator="containsText" text="TFO">
      <formula>NOT(ISERROR(SEARCH("TFO",E80)))</formula>
    </cfRule>
    <cfRule type="containsText" dxfId="917" priority="778" operator="containsText" text="AA">
      <formula>NOT(ISERROR(SEARCH("AA",E80)))</formula>
    </cfRule>
    <cfRule type="containsText" dxfId="916" priority="779" operator="containsText" text="RESIGNED">
      <formula>NOT(ISERROR(SEARCH("RESIGNED",E80)))</formula>
    </cfRule>
    <cfRule type="containsText" dxfId="915" priority="780" operator="containsText" text="P">
      <formula>NOT(ISERROR(SEARCH("P",E80)))</formula>
    </cfRule>
    <cfRule type="containsText" dxfId="914" priority="781" operator="containsText" text="TARDY">
      <formula>NOT(ISERROR(SEARCH("TARDY",E80)))</formula>
    </cfRule>
    <cfRule type="containsText" dxfId="913" priority="782" operator="containsText" text="REST DAY">
      <formula>NOT(ISERROR(SEARCH("REST DAY",E80)))</formula>
    </cfRule>
    <cfRule type="containsText" dxfId="912" priority="783" operator="containsText" text="UA">
      <formula>NOT(ISERROR(SEARCH("UA",E80)))</formula>
    </cfRule>
    <cfRule type="containsText" dxfId="911" priority="784" operator="containsText" text="LWOP UA">
      <formula>NOT(ISERROR(SEARCH("LWOP UA",E80)))</formula>
    </cfRule>
  </conditionalFormatting>
  <conditionalFormatting sqref="E80">
    <cfRule type="containsText" dxfId="910" priority="771" operator="containsText" text="VL">
      <formula>NOT(ISERROR(SEARCH("VL",E80)))</formula>
    </cfRule>
    <cfRule type="containsText" dxfId="909" priority="772" operator="containsText" text="RD">
      <formula>NOT(ISERROR(SEARCH("RD",E80)))</formula>
    </cfRule>
    <cfRule type="containsText" dxfId="908" priority="773" operator="containsText" text="540">
      <formula>NOT(ISERROR(SEARCH("540",E80)))</formula>
    </cfRule>
    <cfRule type="cellIs" dxfId="907" priority="774" operator="between">
      <formula>1</formula>
      <formula>400</formula>
    </cfRule>
    <cfRule type="containsText" dxfId="906" priority="775" operator="containsText" text="LWOP UA">
      <formula>NOT(ISERROR(SEARCH("LWOP UA",E80)))</formula>
    </cfRule>
  </conditionalFormatting>
  <conditionalFormatting sqref="E80">
    <cfRule type="containsText" dxfId="905" priority="776" operator="containsText" text="P">
      <formula>NOT(ISERROR(SEARCH("P",E80)))</formula>
    </cfRule>
  </conditionalFormatting>
  <conditionalFormatting sqref="E80">
    <cfRule type="containsText" dxfId="904" priority="763" operator="containsText" text="TFO">
      <formula>NOT(ISERROR(SEARCH("TFO",E80)))</formula>
    </cfRule>
    <cfRule type="containsText" dxfId="903" priority="764" operator="containsText" text="AA">
      <formula>NOT(ISERROR(SEARCH("AA",E80)))</formula>
    </cfRule>
    <cfRule type="containsText" dxfId="902" priority="765" operator="containsText" text="RESIGNED">
      <formula>NOT(ISERROR(SEARCH("RESIGNED",E80)))</formula>
    </cfRule>
    <cfRule type="containsText" dxfId="901" priority="766" operator="containsText" text="P">
      <formula>NOT(ISERROR(SEARCH("P",E80)))</formula>
    </cfRule>
    <cfRule type="containsText" dxfId="900" priority="767" operator="containsText" text="TARDY">
      <formula>NOT(ISERROR(SEARCH("TARDY",E80)))</formula>
    </cfRule>
    <cfRule type="containsText" dxfId="899" priority="768" operator="containsText" text="REST DAY">
      <formula>NOT(ISERROR(SEARCH("REST DAY",E80)))</formula>
    </cfRule>
    <cfRule type="containsText" dxfId="898" priority="769" operator="containsText" text="UA">
      <formula>NOT(ISERROR(SEARCH("UA",E80)))</formula>
    </cfRule>
    <cfRule type="containsText" dxfId="897" priority="770" operator="containsText" text="LWOP UA">
      <formula>NOT(ISERROR(SEARCH("LWOP UA",E80)))</formula>
    </cfRule>
  </conditionalFormatting>
  <conditionalFormatting sqref="E80">
    <cfRule type="containsText" dxfId="896" priority="757" operator="containsText" text="VL">
      <formula>NOT(ISERROR(SEARCH("VL",E80)))</formula>
    </cfRule>
    <cfRule type="containsText" dxfId="895" priority="758" operator="containsText" text="RD">
      <formula>NOT(ISERROR(SEARCH("RD",E80)))</formula>
    </cfRule>
    <cfRule type="containsText" dxfId="894" priority="759" operator="containsText" text="540">
      <formula>NOT(ISERROR(SEARCH("540",E80)))</formula>
    </cfRule>
    <cfRule type="cellIs" dxfId="893" priority="760" operator="between">
      <formula>1</formula>
      <formula>400</formula>
    </cfRule>
    <cfRule type="containsText" dxfId="892" priority="761" operator="containsText" text="LWOP UA">
      <formula>NOT(ISERROR(SEARCH("LWOP UA",E80)))</formula>
    </cfRule>
  </conditionalFormatting>
  <conditionalFormatting sqref="E80">
    <cfRule type="containsText" dxfId="891" priority="762" operator="containsText" text="P">
      <formula>NOT(ISERROR(SEARCH("P",E80)))</formula>
    </cfRule>
  </conditionalFormatting>
  <conditionalFormatting sqref="E69">
    <cfRule type="containsText" dxfId="890" priority="749" operator="containsText" text="TFO">
      <formula>NOT(ISERROR(SEARCH("TFO",E69)))</formula>
    </cfRule>
    <cfRule type="containsText" dxfId="889" priority="750" operator="containsText" text="AA">
      <formula>NOT(ISERROR(SEARCH("AA",E69)))</formula>
    </cfRule>
    <cfRule type="containsText" dxfId="888" priority="751" operator="containsText" text="RESIGNED">
      <formula>NOT(ISERROR(SEARCH("RESIGNED",E69)))</formula>
    </cfRule>
    <cfRule type="containsText" dxfId="887" priority="752" operator="containsText" text="P">
      <formula>NOT(ISERROR(SEARCH("P",E69)))</formula>
    </cfRule>
    <cfRule type="containsText" dxfId="886" priority="753" operator="containsText" text="TARDY">
      <formula>NOT(ISERROR(SEARCH("TARDY",E69)))</formula>
    </cfRule>
    <cfRule type="containsText" dxfId="885" priority="754" operator="containsText" text="REST DAY">
      <formula>NOT(ISERROR(SEARCH("REST DAY",E69)))</formula>
    </cfRule>
    <cfRule type="containsText" dxfId="884" priority="755" operator="containsText" text="UA">
      <formula>NOT(ISERROR(SEARCH("UA",E69)))</formula>
    </cfRule>
    <cfRule type="containsText" dxfId="883" priority="756" operator="containsText" text="LWOP UA">
      <formula>NOT(ISERROR(SEARCH("LWOP UA",E69)))</formula>
    </cfRule>
  </conditionalFormatting>
  <conditionalFormatting sqref="E69">
    <cfRule type="containsText" dxfId="882" priority="743" operator="containsText" text="VL">
      <formula>NOT(ISERROR(SEARCH("VL",E69)))</formula>
    </cfRule>
    <cfRule type="containsText" dxfId="881" priority="744" operator="containsText" text="RD">
      <formula>NOT(ISERROR(SEARCH("RD",E69)))</formula>
    </cfRule>
    <cfRule type="containsText" dxfId="880" priority="745" operator="containsText" text="540">
      <formula>NOT(ISERROR(SEARCH("540",E69)))</formula>
    </cfRule>
    <cfRule type="cellIs" dxfId="879" priority="746" operator="between">
      <formula>1</formula>
      <formula>400</formula>
    </cfRule>
    <cfRule type="containsText" dxfId="878" priority="747" operator="containsText" text="LWOP UA">
      <formula>NOT(ISERROR(SEARCH("LWOP UA",E69)))</formula>
    </cfRule>
  </conditionalFormatting>
  <conditionalFormatting sqref="E69">
    <cfRule type="containsText" dxfId="877" priority="748" operator="containsText" text="P">
      <formula>NOT(ISERROR(SEARCH("P",E69)))</formula>
    </cfRule>
  </conditionalFormatting>
  <conditionalFormatting sqref="E15">
    <cfRule type="containsText" dxfId="876" priority="735" operator="containsText" text="TFO">
      <formula>NOT(ISERROR(SEARCH("TFO",E15)))</formula>
    </cfRule>
    <cfRule type="containsText" dxfId="875" priority="736" operator="containsText" text="AA">
      <formula>NOT(ISERROR(SEARCH("AA",E15)))</formula>
    </cfRule>
    <cfRule type="containsText" dxfId="874" priority="737" operator="containsText" text="RESIGNED">
      <formula>NOT(ISERROR(SEARCH("RESIGNED",E15)))</formula>
    </cfRule>
    <cfRule type="containsText" dxfId="873" priority="738" operator="containsText" text="P">
      <formula>NOT(ISERROR(SEARCH("P",E15)))</formula>
    </cfRule>
    <cfRule type="containsText" dxfId="872" priority="739" operator="containsText" text="TARDY">
      <formula>NOT(ISERROR(SEARCH("TARDY",E15)))</formula>
    </cfRule>
    <cfRule type="containsText" dxfId="871" priority="740" operator="containsText" text="REST DAY">
      <formula>NOT(ISERROR(SEARCH("REST DAY",E15)))</formula>
    </cfRule>
    <cfRule type="containsText" dxfId="870" priority="741" operator="containsText" text="UA">
      <formula>NOT(ISERROR(SEARCH("UA",E15)))</formula>
    </cfRule>
    <cfRule type="containsText" dxfId="869" priority="742" operator="containsText" text="LWOP UA">
      <formula>NOT(ISERROR(SEARCH("LWOP UA",E15)))</formula>
    </cfRule>
  </conditionalFormatting>
  <conditionalFormatting sqref="E15">
    <cfRule type="containsText" dxfId="868" priority="729" operator="containsText" text="VL">
      <formula>NOT(ISERROR(SEARCH("VL",E15)))</formula>
    </cfRule>
    <cfRule type="containsText" dxfId="867" priority="730" operator="containsText" text="RD">
      <formula>NOT(ISERROR(SEARCH("RD",E15)))</formula>
    </cfRule>
    <cfRule type="containsText" dxfId="866" priority="731" operator="containsText" text="540">
      <formula>NOT(ISERROR(SEARCH("540",E15)))</formula>
    </cfRule>
    <cfRule type="cellIs" dxfId="865" priority="732" operator="between">
      <formula>1</formula>
      <formula>400</formula>
    </cfRule>
    <cfRule type="containsText" dxfId="864" priority="733" operator="containsText" text="LWOP UA">
      <formula>NOT(ISERROR(SEARCH("LWOP UA",E15)))</formula>
    </cfRule>
  </conditionalFormatting>
  <conditionalFormatting sqref="E15">
    <cfRule type="containsText" dxfId="863" priority="734" operator="containsText" text="P">
      <formula>NOT(ISERROR(SEARCH("P",E15)))</formula>
    </cfRule>
  </conditionalFormatting>
  <conditionalFormatting sqref="F27">
    <cfRule type="containsText" dxfId="862" priority="720" operator="containsText" text="P">
      <formula>NOT(ISERROR(SEARCH("P",F27)))</formula>
    </cfRule>
  </conditionalFormatting>
  <conditionalFormatting sqref="F27">
    <cfRule type="containsText" dxfId="861" priority="728" operator="containsText" text="LWOP UA">
      <formula>NOT(ISERROR(SEARCH("LWOP UA",F27)))</formula>
    </cfRule>
  </conditionalFormatting>
  <conditionalFormatting sqref="F27">
    <cfRule type="containsText" dxfId="860" priority="721" operator="containsText" text="TFO">
      <formula>NOT(ISERROR(SEARCH("TFO",F27)))</formula>
    </cfRule>
    <cfRule type="containsText" dxfId="859" priority="722" operator="containsText" text="AA">
      <formula>NOT(ISERROR(SEARCH("AA",F27)))</formula>
    </cfRule>
    <cfRule type="containsText" dxfId="858" priority="723" operator="containsText" text="RESIGNED">
      <formula>NOT(ISERROR(SEARCH("RESIGNED",F27)))</formula>
    </cfRule>
    <cfRule type="containsText" dxfId="857" priority="724" operator="containsText" text="P">
      <formula>NOT(ISERROR(SEARCH("P",F27)))</formula>
    </cfRule>
    <cfRule type="containsText" dxfId="856" priority="725" operator="containsText" text="TARDY">
      <formula>NOT(ISERROR(SEARCH("TARDY",F27)))</formula>
    </cfRule>
    <cfRule type="containsText" dxfId="855" priority="726" operator="containsText" text="REST DAY">
      <formula>NOT(ISERROR(SEARCH("REST DAY",F27)))</formula>
    </cfRule>
    <cfRule type="containsText" dxfId="854" priority="727" operator="containsText" text="UA">
      <formula>NOT(ISERROR(SEARCH("UA",F27)))</formula>
    </cfRule>
  </conditionalFormatting>
  <conditionalFormatting sqref="F27">
    <cfRule type="containsText" dxfId="853" priority="716" operator="containsText" text="RD">
      <formula>NOT(ISERROR(SEARCH("RD",F27)))</formula>
    </cfRule>
    <cfRule type="containsText" dxfId="852" priority="717" operator="containsText" text="540">
      <formula>NOT(ISERROR(SEARCH("540",F27)))</formula>
    </cfRule>
    <cfRule type="cellIs" dxfId="851" priority="718" operator="between">
      <formula>1</formula>
      <formula>400</formula>
    </cfRule>
  </conditionalFormatting>
  <conditionalFormatting sqref="F27">
    <cfRule type="containsText" dxfId="850" priority="719" operator="containsText" text="LWOP UA">
      <formula>NOT(ISERROR(SEARCH("LWOP UA",F27)))</formula>
    </cfRule>
  </conditionalFormatting>
  <conditionalFormatting sqref="F27">
    <cfRule type="containsText" dxfId="849" priority="715" operator="containsText" text="VL">
      <formula>NOT(ISERROR(SEARCH("VL",F27)))</formula>
    </cfRule>
  </conditionalFormatting>
  <conditionalFormatting sqref="F36">
    <cfRule type="containsText" dxfId="848" priority="706" operator="containsText" text="P">
      <formula>NOT(ISERROR(SEARCH("P",F36)))</formula>
    </cfRule>
  </conditionalFormatting>
  <conditionalFormatting sqref="F36">
    <cfRule type="containsText" dxfId="847" priority="714" operator="containsText" text="LWOP UA">
      <formula>NOT(ISERROR(SEARCH("LWOP UA",F36)))</formula>
    </cfRule>
  </conditionalFormatting>
  <conditionalFormatting sqref="F36">
    <cfRule type="containsText" dxfId="846" priority="707" operator="containsText" text="TFO">
      <formula>NOT(ISERROR(SEARCH("TFO",F36)))</formula>
    </cfRule>
    <cfRule type="containsText" dxfId="845" priority="708" operator="containsText" text="AA">
      <formula>NOT(ISERROR(SEARCH("AA",F36)))</formula>
    </cfRule>
    <cfRule type="containsText" dxfId="844" priority="709" operator="containsText" text="RESIGNED">
      <formula>NOT(ISERROR(SEARCH("RESIGNED",F36)))</formula>
    </cfRule>
    <cfRule type="containsText" dxfId="843" priority="710" operator="containsText" text="P">
      <formula>NOT(ISERROR(SEARCH("P",F36)))</formula>
    </cfRule>
    <cfRule type="containsText" dxfId="842" priority="711" operator="containsText" text="TARDY">
      <formula>NOT(ISERROR(SEARCH("TARDY",F36)))</formula>
    </cfRule>
    <cfRule type="containsText" dxfId="841" priority="712" operator="containsText" text="REST DAY">
      <formula>NOT(ISERROR(SEARCH("REST DAY",F36)))</formula>
    </cfRule>
    <cfRule type="containsText" dxfId="840" priority="713" operator="containsText" text="UA">
      <formula>NOT(ISERROR(SEARCH("UA",F36)))</formula>
    </cfRule>
  </conditionalFormatting>
  <conditionalFormatting sqref="F36">
    <cfRule type="containsText" dxfId="839" priority="702" operator="containsText" text="RD">
      <formula>NOT(ISERROR(SEARCH("RD",F36)))</formula>
    </cfRule>
    <cfRule type="containsText" dxfId="838" priority="703" operator="containsText" text="540">
      <formula>NOT(ISERROR(SEARCH("540",F36)))</formula>
    </cfRule>
    <cfRule type="cellIs" dxfId="837" priority="704" operator="between">
      <formula>1</formula>
      <formula>400</formula>
    </cfRule>
  </conditionalFormatting>
  <conditionalFormatting sqref="F36">
    <cfRule type="containsText" dxfId="836" priority="705" operator="containsText" text="LWOP UA">
      <formula>NOT(ISERROR(SEARCH("LWOP UA",F36)))</formula>
    </cfRule>
  </conditionalFormatting>
  <conditionalFormatting sqref="F36">
    <cfRule type="containsText" dxfId="835" priority="701" operator="containsText" text="VL">
      <formula>NOT(ISERROR(SEARCH("VL",F36)))</formula>
    </cfRule>
  </conditionalFormatting>
  <conditionalFormatting sqref="F43">
    <cfRule type="containsText" dxfId="834" priority="692" operator="containsText" text="P">
      <formula>NOT(ISERROR(SEARCH("P",F43)))</formula>
    </cfRule>
  </conditionalFormatting>
  <conditionalFormatting sqref="F43">
    <cfRule type="containsText" dxfId="833" priority="700" operator="containsText" text="LWOP UA">
      <formula>NOT(ISERROR(SEARCH("LWOP UA",F43)))</formula>
    </cfRule>
  </conditionalFormatting>
  <conditionalFormatting sqref="F43">
    <cfRule type="containsText" dxfId="832" priority="693" operator="containsText" text="TFO">
      <formula>NOT(ISERROR(SEARCH("TFO",F43)))</formula>
    </cfRule>
    <cfRule type="containsText" dxfId="831" priority="694" operator="containsText" text="AA">
      <formula>NOT(ISERROR(SEARCH("AA",F43)))</formula>
    </cfRule>
    <cfRule type="containsText" dxfId="830" priority="695" operator="containsText" text="RESIGNED">
      <formula>NOT(ISERROR(SEARCH("RESIGNED",F43)))</formula>
    </cfRule>
    <cfRule type="containsText" dxfId="829" priority="696" operator="containsText" text="P">
      <formula>NOT(ISERROR(SEARCH("P",F43)))</formula>
    </cfRule>
    <cfRule type="containsText" dxfId="828" priority="697" operator="containsText" text="TARDY">
      <formula>NOT(ISERROR(SEARCH("TARDY",F43)))</formula>
    </cfRule>
    <cfRule type="containsText" dxfId="827" priority="698" operator="containsText" text="REST DAY">
      <formula>NOT(ISERROR(SEARCH("REST DAY",F43)))</formula>
    </cfRule>
    <cfRule type="containsText" dxfId="826" priority="699" operator="containsText" text="UA">
      <formula>NOT(ISERROR(SEARCH("UA",F43)))</formula>
    </cfRule>
  </conditionalFormatting>
  <conditionalFormatting sqref="F43">
    <cfRule type="containsText" dxfId="825" priority="688" operator="containsText" text="RD">
      <formula>NOT(ISERROR(SEARCH("RD",F43)))</formula>
    </cfRule>
    <cfRule type="containsText" dxfId="824" priority="689" operator="containsText" text="540">
      <formula>NOT(ISERROR(SEARCH("540",F43)))</formula>
    </cfRule>
    <cfRule type="cellIs" dxfId="823" priority="690" operator="between">
      <formula>1</formula>
      <formula>400</formula>
    </cfRule>
  </conditionalFormatting>
  <conditionalFormatting sqref="F43">
    <cfRule type="containsText" dxfId="822" priority="691" operator="containsText" text="LWOP UA">
      <formula>NOT(ISERROR(SEARCH("LWOP UA",F43)))</formula>
    </cfRule>
  </conditionalFormatting>
  <conditionalFormatting sqref="F43">
    <cfRule type="containsText" dxfId="821" priority="687" operator="containsText" text="VL">
      <formula>NOT(ISERROR(SEARCH("VL",F43)))</formula>
    </cfRule>
  </conditionalFormatting>
  <conditionalFormatting sqref="F43">
    <cfRule type="containsText" dxfId="820" priority="678" operator="containsText" text="P">
      <formula>NOT(ISERROR(SEARCH("P",F43)))</formula>
    </cfRule>
  </conditionalFormatting>
  <conditionalFormatting sqref="F43">
    <cfRule type="containsText" dxfId="819" priority="686" operator="containsText" text="LWOP UA">
      <formula>NOT(ISERROR(SEARCH("LWOP UA",F43)))</formula>
    </cfRule>
  </conditionalFormatting>
  <conditionalFormatting sqref="F43">
    <cfRule type="containsText" dxfId="818" priority="679" operator="containsText" text="TFO">
      <formula>NOT(ISERROR(SEARCH("TFO",F43)))</formula>
    </cfRule>
    <cfRule type="containsText" dxfId="817" priority="680" operator="containsText" text="AA">
      <formula>NOT(ISERROR(SEARCH("AA",F43)))</formula>
    </cfRule>
    <cfRule type="containsText" dxfId="816" priority="681" operator="containsText" text="RESIGNED">
      <formula>NOT(ISERROR(SEARCH("RESIGNED",F43)))</formula>
    </cfRule>
    <cfRule type="containsText" dxfId="815" priority="682" operator="containsText" text="P">
      <formula>NOT(ISERROR(SEARCH("P",F43)))</formula>
    </cfRule>
    <cfRule type="containsText" dxfId="814" priority="683" operator="containsText" text="TARDY">
      <formula>NOT(ISERROR(SEARCH("TARDY",F43)))</formula>
    </cfRule>
    <cfRule type="containsText" dxfId="813" priority="684" operator="containsText" text="REST DAY">
      <formula>NOT(ISERROR(SEARCH("REST DAY",F43)))</formula>
    </cfRule>
    <cfRule type="containsText" dxfId="812" priority="685" operator="containsText" text="UA">
      <formula>NOT(ISERROR(SEARCH("UA",F43)))</formula>
    </cfRule>
  </conditionalFormatting>
  <conditionalFormatting sqref="F43">
    <cfRule type="containsText" dxfId="811" priority="673" operator="containsText" text="VL">
      <formula>NOT(ISERROR(SEARCH("VL",F43)))</formula>
    </cfRule>
    <cfRule type="containsText" dxfId="810" priority="674" operator="containsText" text="RD">
      <formula>NOT(ISERROR(SEARCH("RD",F43)))</formula>
    </cfRule>
    <cfRule type="containsText" dxfId="809" priority="675" operator="containsText" text="540">
      <formula>NOT(ISERROR(SEARCH("540",F43)))</formula>
    </cfRule>
    <cfRule type="cellIs" dxfId="808" priority="676" operator="between">
      <formula>1</formula>
      <formula>400</formula>
    </cfRule>
  </conditionalFormatting>
  <conditionalFormatting sqref="F43">
    <cfRule type="containsText" dxfId="807" priority="677" operator="containsText" text="LWOP UA">
      <formula>NOT(ISERROR(SEARCH("LWOP UA",F43)))</formula>
    </cfRule>
  </conditionalFormatting>
  <conditionalFormatting sqref="F64:G64">
    <cfRule type="containsText" dxfId="806" priority="664" operator="containsText" text="P">
      <formula>NOT(ISERROR(SEARCH("P",F64)))</formula>
    </cfRule>
  </conditionalFormatting>
  <conditionalFormatting sqref="F64:G64">
    <cfRule type="containsText" dxfId="805" priority="672" operator="containsText" text="LWOP UA">
      <formula>NOT(ISERROR(SEARCH("LWOP UA",F64)))</formula>
    </cfRule>
  </conditionalFormatting>
  <conditionalFormatting sqref="F64:G64">
    <cfRule type="containsText" dxfId="804" priority="665" operator="containsText" text="TFO">
      <formula>NOT(ISERROR(SEARCH("TFO",F64)))</formula>
    </cfRule>
    <cfRule type="containsText" dxfId="803" priority="666" operator="containsText" text="AA">
      <formula>NOT(ISERROR(SEARCH("AA",F64)))</formula>
    </cfRule>
    <cfRule type="containsText" dxfId="802" priority="667" operator="containsText" text="RESIGNED">
      <formula>NOT(ISERROR(SEARCH("RESIGNED",F64)))</formula>
    </cfRule>
    <cfRule type="containsText" dxfId="801" priority="668" operator="containsText" text="P">
      <formula>NOT(ISERROR(SEARCH("P",F64)))</formula>
    </cfRule>
    <cfRule type="containsText" dxfId="800" priority="669" operator="containsText" text="TARDY">
      <formula>NOT(ISERROR(SEARCH("TARDY",F64)))</formula>
    </cfRule>
    <cfRule type="containsText" dxfId="799" priority="670" operator="containsText" text="REST DAY">
      <formula>NOT(ISERROR(SEARCH("REST DAY",F64)))</formula>
    </cfRule>
    <cfRule type="containsText" dxfId="798" priority="671" operator="containsText" text="UA">
      <formula>NOT(ISERROR(SEARCH("UA",F64)))</formula>
    </cfRule>
  </conditionalFormatting>
  <conditionalFormatting sqref="F64:G64">
    <cfRule type="containsText" dxfId="797" priority="659" operator="containsText" text="VL">
      <formula>NOT(ISERROR(SEARCH("VL",F64)))</formula>
    </cfRule>
    <cfRule type="containsText" dxfId="796" priority="660" operator="containsText" text="RD">
      <formula>NOT(ISERROR(SEARCH("RD",F64)))</formula>
    </cfRule>
    <cfRule type="containsText" dxfId="795" priority="661" operator="containsText" text="540">
      <formula>NOT(ISERROR(SEARCH("540",F64)))</formula>
    </cfRule>
    <cfRule type="cellIs" dxfId="794" priority="662" operator="between">
      <formula>1</formula>
      <formula>400</formula>
    </cfRule>
  </conditionalFormatting>
  <conditionalFormatting sqref="F64:G64">
    <cfRule type="containsText" dxfId="793" priority="663" operator="containsText" text="LWOP UA">
      <formula>NOT(ISERROR(SEARCH("LWOP UA",F64)))</formula>
    </cfRule>
  </conditionalFormatting>
  <conditionalFormatting sqref="F80:G80">
    <cfRule type="containsText" dxfId="792" priority="650" operator="containsText" text="P">
      <formula>NOT(ISERROR(SEARCH("P",F80)))</formula>
    </cfRule>
  </conditionalFormatting>
  <conditionalFormatting sqref="F80:G80">
    <cfRule type="containsText" dxfId="791" priority="658" operator="containsText" text="LWOP UA">
      <formula>NOT(ISERROR(SEARCH("LWOP UA",F80)))</formula>
    </cfRule>
  </conditionalFormatting>
  <conditionalFormatting sqref="F80:G80">
    <cfRule type="containsText" dxfId="790" priority="651" operator="containsText" text="TFO">
      <formula>NOT(ISERROR(SEARCH("TFO",F80)))</formula>
    </cfRule>
    <cfRule type="containsText" dxfId="789" priority="652" operator="containsText" text="AA">
      <formula>NOT(ISERROR(SEARCH("AA",F80)))</formula>
    </cfRule>
    <cfRule type="containsText" dxfId="788" priority="653" operator="containsText" text="RESIGNED">
      <formula>NOT(ISERROR(SEARCH("RESIGNED",F80)))</formula>
    </cfRule>
    <cfRule type="containsText" dxfId="787" priority="654" operator="containsText" text="P">
      <formula>NOT(ISERROR(SEARCH("P",F80)))</formula>
    </cfRule>
    <cfRule type="containsText" dxfId="786" priority="655" operator="containsText" text="TARDY">
      <formula>NOT(ISERROR(SEARCH("TARDY",F80)))</formula>
    </cfRule>
    <cfRule type="containsText" dxfId="785" priority="656" operator="containsText" text="REST DAY">
      <formula>NOT(ISERROR(SEARCH("REST DAY",F80)))</formula>
    </cfRule>
    <cfRule type="containsText" dxfId="784" priority="657" operator="containsText" text="UA">
      <formula>NOT(ISERROR(SEARCH("UA",F80)))</formula>
    </cfRule>
  </conditionalFormatting>
  <conditionalFormatting sqref="F80:G80">
    <cfRule type="containsText" dxfId="783" priority="645" operator="containsText" text="VL">
      <formula>NOT(ISERROR(SEARCH("VL",F80)))</formula>
    </cfRule>
    <cfRule type="containsText" dxfId="782" priority="646" operator="containsText" text="RD">
      <formula>NOT(ISERROR(SEARCH("RD",F80)))</formula>
    </cfRule>
    <cfRule type="containsText" dxfId="781" priority="647" operator="containsText" text="540">
      <formula>NOT(ISERROR(SEARCH("540",F80)))</formula>
    </cfRule>
    <cfRule type="cellIs" dxfId="780" priority="648" operator="between">
      <formula>1</formula>
      <formula>400</formula>
    </cfRule>
  </conditionalFormatting>
  <conditionalFormatting sqref="F80:G80">
    <cfRule type="containsText" dxfId="779" priority="649" operator="containsText" text="LWOP UA">
      <formula>NOT(ISERROR(SEARCH("LWOP UA",F80)))</formula>
    </cfRule>
  </conditionalFormatting>
  <conditionalFormatting sqref="F69">
    <cfRule type="containsText" dxfId="778" priority="636" operator="containsText" text="P">
      <formula>NOT(ISERROR(SEARCH("P",F69)))</formula>
    </cfRule>
  </conditionalFormatting>
  <conditionalFormatting sqref="F69">
    <cfRule type="containsText" dxfId="777" priority="644" operator="containsText" text="LWOP UA">
      <formula>NOT(ISERROR(SEARCH("LWOP UA",F69)))</formula>
    </cfRule>
  </conditionalFormatting>
  <conditionalFormatting sqref="F69">
    <cfRule type="containsText" dxfId="776" priority="637" operator="containsText" text="TFO">
      <formula>NOT(ISERROR(SEARCH("TFO",F69)))</formula>
    </cfRule>
    <cfRule type="containsText" dxfId="775" priority="638" operator="containsText" text="AA">
      <formula>NOT(ISERROR(SEARCH("AA",F69)))</formula>
    </cfRule>
    <cfRule type="containsText" dxfId="774" priority="639" operator="containsText" text="RESIGNED">
      <formula>NOT(ISERROR(SEARCH("RESIGNED",F69)))</formula>
    </cfRule>
    <cfRule type="containsText" dxfId="773" priority="640" operator="containsText" text="P">
      <formula>NOT(ISERROR(SEARCH("P",F69)))</formula>
    </cfRule>
    <cfRule type="containsText" dxfId="772" priority="641" operator="containsText" text="TARDY">
      <formula>NOT(ISERROR(SEARCH("TARDY",F69)))</formula>
    </cfRule>
    <cfRule type="containsText" dxfId="771" priority="642" operator="containsText" text="REST DAY">
      <formula>NOT(ISERROR(SEARCH("REST DAY",F69)))</formula>
    </cfRule>
    <cfRule type="containsText" dxfId="770" priority="643" operator="containsText" text="UA">
      <formula>NOT(ISERROR(SEARCH("UA",F69)))</formula>
    </cfRule>
  </conditionalFormatting>
  <conditionalFormatting sqref="F69">
    <cfRule type="containsText" dxfId="769" priority="631" operator="containsText" text="VL">
      <formula>NOT(ISERROR(SEARCH("VL",F69)))</formula>
    </cfRule>
    <cfRule type="containsText" dxfId="768" priority="632" operator="containsText" text="RD">
      <formula>NOT(ISERROR(SEARCH("RD",F69)))</formula>
    </cfRule>
    <cfRule type="containsText" dxfId="767" priority="633" operator="containsText" text="540">
      <formula>NOT(ISERROR(SEARCH("540",F69)))</formula>
    </cfRule>
    <cfRule type="cellIs" dxfId="766" priority="634" operator="between">
      <formula>1</formula>
      <formula>400</formula>
    </cfRule>
  </conditionalFormatting>
  <conditionalFormatting sqref="F69">
    <cfRule type="containsText" dxfId="765" priority="635" operator="containsText" text="LWOP UA">
      <formula>NOT(ISERROR(SEARCH("LWOP UA",F69)))</formula>
    </cfRule>
  </conditionalFormatting>
  <conditionalFormatting sqref="F79">
    <cfRule type="containsText" dxfId="764" priority="622" operator="containsText" text="P">
      <formula>NOT(ISERROR(SEARCH("P",F79)))</formula>
    </cfRule>
  </conditionalFormatting>
  <conditionalFormatting sqref="F79">
    <cfRule type="containsText" dxfId="763" priority="630" operator="containsText" text="LWOP UA">
      <formula>NOT(ISERROR(SEARCH("LWOP UA",F79)))</formula>
    </cfRule>
  </conditionalFormatting>
  <conditionalFormatting sqref="F79">
    <cfRule type="containsText" dxfId="762" priority="623" operator="containsText" text="TFO">
      <formula>NOT(ISERROR(SEARCH("TFO",F79)))</formula>
    </cfRule>
    <cfRule type="containsText" dxfId="761" priority="624" operator="containsText" text="AA">
      <formula>NOT(ISERROR(SEARCH("AA",F79)))</formula>
    </cfRule>
    <cfRule type="containsText" dxfId="760" priority="625" operator="containsText" text="RESIGNED">
      <formula>NOT(ISERROR(SEARCH("RESIGNED",F79)))</formula>
    </cfRule>
    <cfRule type="containsText" dxfId="759" priority="626" operator="containsText" text="P">
      <formula>NOT(ISERROR(SEARCH("P",F79)))</formula>
    </cfRule>
    <cfRule type="containsText" dxfId="758" priority="627" operator="containsText" text="TARDY">
      <formula>NOT(ISERROR(SEARCH("TARDY",F79)))</formula>
    </cfRule>
    <cfRule type="containsText" dxfId="757" priority="628" operator="containsText" text="REST DAY">
      <formula>NOT(ISERROR(SEARCH("REST DAY",F79)))</formula>
    </cfRule>
    <cfRule type="containsText" dxfId="756" priority="629" operator="containsText" text="UA">
      <formula>NOT(ISERROR(SEARCH("UA",F79)))</formula>
    </cfRule>
  </conditionalFormatting>
  <conditionalFormatting sqref="F79">
    <cfRule type="containsText" dxfId="755" priority="617" operator="containsText" text="VL">
      <formula>NOT(ISERROR(SEARCH("VL",F79)))</formula>
    </cfRule>
    <cfRule type="containsText" dxfId="754" priority="618" operator="containsText" text="RD">
      <formula>NOT(ISERROR(SEARCH("RD",F79)))</formula>
    </cfRule>
    <cfRule type="containsText" dxfId="753" priority="619" operator="containsText" text="540">
      <formula>NOT(ISERROR(SEARCH("540",F79)))</formula>
    </cfRule>
    <cfRule type="cellIs" dxfId="752" priority="620" operator="between">
      <formula>1</formula>
      <formula>400</formula>
    </cfRule>
  </conditionalFormatting>
  <conditionalFormatting sqref="F79">
    <cfRule type="containsText" dxfId="751" priority="621" operator="containsText" text="LWOP UA">
      <formula>NOT(ISERROR(SEARCH("LWOP UA",F79)))</formula>
    </cfRule>
  </conditionalFormatting>
  <conditionalFormatting sqref="G79">
    <cfRule type="containsText" dxfId="750" priority="608" operator="containsText" text="P">
      <formula>NOT(ISERROR(SEARCH("P",G79)))</formula>
    </cfRule>
  </conditionalFormatting>
  <conditionalFormatting sqref="G79">
    <cfRule type="containsText" dxfId="749" priority="616" operator="containsText" text="LWOP UA">
      <formula>NOT(ISERROR(SEARCH("LWOP UA",G79)))</formula>
    </cfRule>
  </conditionalFormatting>
  <conditionalFormatting sqref="G79">
    <cfRule type="containsText" dxfId="748" priority="609" operator="containsText" text="TFO">
      <formula>NOT(ISERROR(SEARCH("TFO",G79)))</formula>
    </cfRule>
    <cfRule type="containsText" dxfId="747" priority="610" operator="containsText" text="AA">
      <formula>NOT(ISERROR(SEARCH("AA",G79)))</formula>
    </cfRule>
    <cfRule type="containsText" dxfId="746" priority="611" operator="containsText" text="RESIGNED">
      <formula>NOT(ISERROR(SEARCH("RESIGNED",G79)))</formula>
    </cfRule>
    <cfRule type="containsText" dxfId="745" priority="612" operator="containsText" text="P">
      <formula>NOT(ISERROR(SEARCH("P",G79)))</formula>
    </cfRule>
    <cfRule type="containsText" dxfId="744" priority="613" operator="containsText" text="TARDY">
      <formula>NOT(ISERROR(SEARCH("TARDY",G79)))</formula>
    </cfRule>
    <cfRule type="containsText" dxfId="743" priority="614" operator="containsText" text="REST DAY">
      <formula>NOT(ISERROR(SEARCH("REST DAY",G79)))</formula>
    </cfRule>
    <cfRule type="containsText" dxfId="742" priority="615" operator="containsText" text="UA">
      <formula>NOT(ISERROR(SEARCH("UA",G79)))</formula>
    </cfRule>
  </conditionalFormatting>
  <conditionalFormatting sqref="G79">
    <cfRule type="containsText" dxfId="741" priority="603" operator="containsText" text="VL">
      <formula>NOT(ISERROR(SEARCH("VL",G79)))</formula>
    </cfRule>
    <cfRule type="containsText" dxfId="740" priority="604" operator="containsText" text="RD">
      <formula>NOT(ISERROR(SEARCH("RD",G79)))</formula>
    </cfRule>
    <cfRule type="containsText" dxfId="739" priority="605" operator="containsText" text="540">
      <formula>NOT(ISERROR(SEARCH("540",G79)))</formula>
    </cfRule>
    <cfRule type="cellIs" dxfId="738" priority="606" operator="between">
      <formula>1</formula>
      <formula>400</formula>
    </cfRule>
  </conditionalFormatting>
  <conditionalFormatting sqref="G79">
    <cfRule type="containsText" dxfId="737" priority="607" operator="containsText" text="LWOP UA">
      <formula>NOT(ISERROR(SEARCH("LWOP UA",G79)))</formula>
    </cfRule>
  </conditionalFormatting>
  <conditionalFormatting sqref="F87">
    <cfRule type="containsText" dxfId="736" priority="594" operator="containsText" text="P">
      <formula>NOT(ISERROR(SEARCH("P",F87)))</formula>
    </cfRule>
  </conditionalFormatting>
  <conditionalFormatting sqref="F87">
    <cfRule type="containsText" dxfId="735" priority="602" operator="containsText" text="LWOP UA">
      <formula>NOT(ISERROR(SEARCH("LWOP UA",F87)))</formula>
    </cfRule>
  </conditionalFormatting>
  <conditionalFormatting sqref="F87">
    <cfRule type="containsText" dxfId="734" priority="595" operator="containsText" text="TFO">
      <formula>NOT(ISERROR(SEARCH("TFO",F87)))</formula>
    </cfRule>
    <cfRule type="containsText" dxfId="733" priority="596" operator="containsText" text="AA">
      <formula>NOT(ISERROR(SEARCH("AA",F87)))</formula>
    </cfRule>
    <cfRule type="containsText" dxfId="732" priority="597" operator="containsText" text="RESIGNED">
      <formula>NOT(ISERROR(SEARCH("RESIGNED",F87)))</formula>
    </cfRule>
    <cfRule type="containsText" dxfId="731" priority="598" operator="containsText" text="P">
      <formula>NOT(ISERROR(SEARCH("P",F87)))</formula>
    </cfRule>
    <cfRule type="containsText" dxfId="730" priority="599" operator="containsText" text="TARDY">
      <formula>NOT(ISERROR(SEARCH("TARDY",F87)))</formula>
    </cfRule>
    <cfRule type="containsText" dxfId="729" priority="600" operator="containsText" text="REST DAY">
      <formula>NOT(ISERROR(SEARCH("REST DAY",F87)))</formula>
    </cfRule>
    <cfRule type="containsText" dxfId="728" priority="601" operator="containsText" text="UA">
      <formula>NOT(ISERROR(SEARCH("UA",F87)))</formula>
    </cfRule>
  </conditionalFormatting>
  <conditionalFormatting sqref="F87">
    <cfRule type="containsText" dxfId="727" priority="590" operator="containsText" text="RD">
      <formula>NOT(ISERROR(SEARCH("RD",F87)))</formula>
    </cfRule>
    <cfRule type="containsText" dxfId="726" priority="591" operator="containsText" text="540">
      <formula>NOT(ISERROR(SEARCH("540",F87)))</formula>
    </cfRule>
    <cfRule type="cellIs" dxfId="725" priority="592" operator="between">
      <formula>1</formula>
      <formula>400</formula>
    </cfRule>
  </conditionalFormatting>
  <conditionalFormatting sqref="F87">
    <cfRule type="containsText" dxfId="724" priority="593" operator="containsText" text="LWOP UA">
      <formula>NOT(ISERROR(SEARCH("LWOP UA",F87)))</formula>
    </cfRule>
  </conditionalFormatting>
  <conditionalFormatting sqref="F87">
    <cfRule type="containsText" dxfId="723" priority="589" operator="containsText" text="VL">
      <formula>NOT(ISERROR(SEARCH("VL",F87)))</formula>
    </cfRule>
  </conditionalFormatting>
  <conditionalFormatting sqref="G87">
    <cfRule type="containsText" dxfId="722" priority="580" operator="containsText" text="P">
      <formula>NOT(ISERROR(SEARCH("P",G87)))</formula>
    </cfRule>
  </conditionalFormatting>
  <conditionalFormatting sqref="G87">
    <cfRule type="containsText" dxfId="721" priority="588" operator="containsText" text="LWOP UA">
      <formula>NOT(ISERROR(SEARCH("LWOP UA",G87)))</formula>
    </cfRule>
  </conditionalFormatting>
  <conditionalFormatting sqref="G87">
    <cfRule type="containsText" dxfId="720" priority="581" operator="containsText" text="TFO">
      <formula>NOT(ISERROR(SEARCH("TFO",G87)))</formula>
    </cfRule>
    <cfRule type="containsText" dxfId="719" priority="582" operator="containsText" text="AA">
      <formula>NOT(ISERROR(SEARCH("AA",G87)))</formula>
    </cfRule>
    <cfRule type="containsText" dxfId="718" priority="583" operator="containsText" text="RESIGNED">
      <formula>NOT(ISERROR(SEARCH("RESIGNED",G87)))</formula>
    </cfRule>
    <cfRule type="containsText" dxfId="717" priority="584" operator="containsText" text="P">
      <formula>NOT(ISERROR(SEARCH("P",G87)))</formula>
    </cfRule>
    <cfRule type="containsText" dxfId="716" priority="585" operator="containsText" text="TARDY">
      <formula>NOT(ISERROR(SEARCH("TARDY",G87)))</formula>
    </cfRule>
    <cfRule type="containsText" dxfId="715" priority="586" operator="containsText" text="REST DAY">
      <formula>NOT(ISERROR(SEARCH("REST DAY",G87)))</formula>
    </cfRule>
    <cfRule type="containsText" dxfId="714" priority="587" operator="containsText" text="UA">
      <formula>NOT(ISERROR(SEARCH("UA",G87)))</formula>
    </cfRule>
  </conditionalFormatting>
  <conditionalFormatting sqref="G87">
    <cfRule type="containsText" dxfId="713" priority="576" operator="containsText" text="RD">
      <formula>NOT(ISERROR(SEARCH("RD",G87)))</formula>
    </cfRule>
    <cfRule type="containsText" dxfId="712" priority="577" operator="containsText" text="540">
      <formula>NOT(ISERROR(SEARCH("540",G87)))</formula>
    </cfRule>
    <cfRule type="cellIs" dxfId="711" priority="578" operator="between">
      <formula>1</formula>
      <formula>400</formula>
    </cfRule>
  </conditionalFormatting>
  <conditionalFormatting sqref="G87">
    <cfRule type="containsText" dxfId="710" priority="579" operator="containsText" text="LWOP UA">
      <formula>NOT(ISERROR(SEARCH("LWOP UA",G87)))</formula>
    </cfRule>
  </conditionalFormatting>
  <conditionalFormatting sqref="G87">
    <cfRule type="containsText" dxfId="709" priority="575" operator="containsText" text="VL">
      <formula>NOT(ISERROR(SEARCH("VL",G87)))</formula>
    </cfRule>
  </conditionalFormatting>
  <conditionalFormatting sqref="G19">
    <cfRule type="containsText" dxfId="708" priority="567" operator="containsText" text="TFO">
      <formula>NOT(ISERROR(SEARCH("TFO",G19)))</formula>
    </cfRule>
    <cfRule type="containsText" dxfId="707" priority="568" operator="containsText" text="AA">
      <formula>NOT(ISERROR(SEARCH("AA",G19)))</formula>
    </cfRule>
    <cfRule type="containsText" dxfId="706" priority="569" operator="containsText" text="RESIGNED">
      <formula>NOT(ISERROR(SEARCH("RESIGNED",G19)))</formula>
    </cfRule>
    <cfRule type="containsText" dxfId="705" priority="570" operator="containsText" text="P">
      <formula>NOT(ISERROR(SEARCH("P",G19)))</formula>
    </cfRule>
    <cfRule type="containsText" dxfId="704" priority="571" operator="containsText" text="TARDY">
      <formula>NOT(ISERROR(SEARCH("TARDY",G19)))</formula>
    </cfRule>
    <cfRule type="containsText" dxfId="703" priority="572" operator="containsText" text="REST DAY">
      <formula>NOT(ISERROR(SEARCH("REST DAY",G19)))</formula>
    </cfRule>
    <cfRule type="containsText" dxfId="702" priority="573" operator="containsText" text="UA">
      <formula>NOT(ISERROR(SEARCH("UA",G19)))</formula>
    </cfRule>
    <cfRule type="containsText" dxfId="701" priority="574" operator="containsText" text="LWOP UA">
      <formula>NOT(ISERROR(SEARCH("LWOP UA",G19)))</formula>
    </cfRule>
  </conditionalFormatting>
  <conditionalFormatting sqref="G19">
    <cfRule type="containsText" dxfId="700" priority="561" operator="containsText" text="VL">
      <formula>NOT(ISERROR(SEARCH("VL",G19)))</formula>
    </cfRule>
    <cfRule type="containsText" dxfId="699" priority="562" operator="containsText" text="RD">
      <formula>NOT(ISERROR(SEARCH("RD",G19)))</formula>
    </cfRule>
    <cfRule type="containsText" dxfId="698" priority="563" operator="containsText" text="540">
      <formula>NOT(ISERROR(SEARCH("540",G19)))</formula>
    </cfRule>
    <cfRule type="cellIs" dxfId="697" priority="564" operator="between">
      <formula>1</formula>
      <formula>400</formula>
    </cfRule>
    <cfRule type="containsText" dxfId="696" priority="565" operator="containsText" text="LWOP UA">
      <formula>NOT(ISERROR(SEARCH("LWOP UA",G19)))</formula>
    </cfRule>
  </conditionalFormatting>
  <conditionalFormatting sqref="G19">
    <cfRule type="containsText" dxfId="695" priority="566" operator="containsText" text="P">
      <formula>NOT(ISERROR(SEARCH("P",G19)))</formula>
    </cfRule>
  </conditionalFormatting>
  <conditionalFormatting sqref="G27">
    <cfRule type="containsText" dxfId="694" priority="553" operator="containsText" text="TFO">
      <formula>NOT(ISERROR(SEARCH("TFO",G27)))</formula>
    </cfRule>
    <cfRule type="containsText" dxfId="693" priority="554" operator="containsText" text="AA">
      <formula>NOT(ISERROR(SEARCH("AA",G27)))</formula>
    </cfRule>
    <cfRule type="containsText" dxfId="692" priority="555" operator="containsText" text="RESIGNED">
      <formula>NOT(ISERROR(SEARCH("RESIGNED",G27)))</formula>
    </cfRule>
    <cfRule type="containsText" dxfId="691" priority="556" operator="containsText" text="P">
      <formula>NOT(ISERROR(SEARCH("P",G27)))</formula>
    </cfRule>
    <cfRule type="containsText" dxfId="690" priority="557" operator="containsText" text="TARDY">
      <formula>NOT(ISERROR(SEARCH("TARDY",G27)))</formula>
    </cfRule>
    <cfRule type="containsText" dxfId="689" priority="558" operator="containsText" text="REST DAY">
      <formula>NOT(ISERROR(SEARCH("REST DAY",G27)))</formula>
    </cfRule>
    <cfRule type="containsText" dxfId="688" priority="559" operator="containsText" text="UA">
      <formula>NOT(ISERROR(SEARCH("UA",G27)))</formula>
    </cfRule>
    <cfRule type="containsText" dxfId="687" priority="560" operator="containsText" text="LWOP UA">
      <formula>NOT(ISERROR(SEARCH("LWOP UA",G27)))</formula>
    </cfRule>
  </conditionalFormatting>
  <conditionalFormatting sqref="G27">
    <cfRule type="containsText" dxfId="686" priority="547" operator="containsText" text="VL">
      <formula>NOT(ISERROR(SEARCH("VL",G27)))</formula>
    </cfRule>
    <cfRule type="containsText" dxfId="685" priority="548" operator="containsText" text="RD">
      <formula>NOT(ISERROR(SEARCH("RD",G27)))</formula>
    </cfRule>
    <cfRule type="containsText" dxfId="684" priority="549" operator="containsText" text="540">
      <formula>NOT(ISERROR(SEARCH("540",G27)))</formula>
    </cfRule>
    <cfRule type="cellIs" dxfId="683" priority="550" operator="between">
      <formula>1</formula>
      <formula>400</formula>
    </cfRule>
    <cfRule type="containsText" dxfId="682" priority="551" operator="containsText" text="LWOP UA">
      <formula>NOT(ISERROR(SEARCH("LWOP UA",G27)))</formula>
    </cfRule>
  </conditionalFormatting>
  <conditionalFormatting sqref="G27">
    <cfRule type="containsText" dxfId="681" priority="552" operator="containsText" text="P">
      <formula>NOT(ISERROR(SEARCH("P",G27)))</formula>
    </cfRule>
  </conditionalFormatting>
  <conditionalFormatting sqref="G69">
    <cfRule type="containsText" dxfId="680" priority="538" operator="containsText" text="P">
      <formula>NOT(ISERROR(SEARCH("P",G69)))</formula>
    </cfRule>
  </conditionalFormatting>
  <conditionalFormatting sqref="G69">
    <cfRule type="containsText" dxfId="679" priority="546" operator="containsText" text="LWOP UA">
      <formula>NOT(ISERROR(SEARCH("LWOP UA",G69)))</formula>
    </cfRule>
  </conditionalFormatting>
  <conditionalFormatting sqref="G69">
    <cfRule type="containsText" dxfId="678" priority="539" operator="containsText" text="TFO">
      <formula>NOT(ISERROR(SEARCH("TFO",G69)))</formula>
    </cfRule>
    <cfRule type="containsText" dxfId="677" priority="540" operator="containsText" text="AA">
      <formula>NOT(ISERROR(SEARCH("AA",G69)))</formula>
    </cfRule>
    <cfRule type="containsText" dxfId="676" priority="541" operator="containsText" text="RESIGNED">
      <formula>NOT(ISERROR(SEARCH("RESIGNED",G69)))</formula>
    </cfRule>
    <cfRule type="containsText" dxfId="675" priority="542" operator="containsText" text="P">
      <formula>NOT(ISERROR(SEARCH("P",G69)))</formula>
    </cfRule>
    <cfRule type="containsText" dxfId="674" priority="543" operator="containsText" text="TARDY">
      <formula>NOT(ISERROR(SEARCH("TARDY",G69)))</formula>
    </cfRule>
    <cfRule type="containsText" dxfId="673" priority="544" operator="containsText" text="REST DAY">
      <formula>NOT(ISERROR(SEARCH("REST DAY",G69)))</formula>
    </cfRule>
    <cfRule type="containsText" dxfId="672" priority="545" operator="containsText" text="UA">
      <formula>NOT(ISERROR(SEARCH("UA",G69)))</formula>
    </cfRule>
  </conditionalFormatting>
  <conditionalFormatting sqref="G69">
    <cfRule type="containsText" dxfId="671" priority="533" operator="containsText" text="VL">
      <formula>NOT(ISERROR(SEARCH("VL",G69)))</formula>
    </cfRule>
    <cfRule type="containsText" dxfId="670" priority="534" operator="containsText" text="RD">
      <formula>NOT(ISERROR(SEARCH("RD",G69)))</formula>
    </cfRule>
    <cfRule type="containsText" dxfId="669" priority="535" operator="containsText" text="540">
      <formula>NOT(ISERROR(SEARCH("540",G69)))</formula>
    </cfRule>
    <cfRule type="cellIs" dxfId="668" priority="536" operator="between">
      <formula>1</formula>
      <formula>400</formula>
    </cfRule>
  </conditionalFormatting>
  <conditionalFormatting sqref="G69">
    <cfRule type="containsText" dxfId="667" priority="537" operator="containsText" text="LWOP UA">
      <formula>NOT(ISERROR(SEARCH("LWOP UA",G69)))</formula>
    </cfRule>
  </conditionalFormatting>
  <conditionalFormatting sqref="H87">
    <cfRule type="containsText" dxfId="666" priority="524" operator="containsText" text="P">
      <formula>NOT(ISERROR(SEARCH("P",H87)))</formula>
    </cfRule>
  </conditionalFormatting>
  <conditionalFormatting sqref="H87">
    <cfRule type="containsText" dxfId="665" priority="523" operator="containsText" text="LWOP UA">
      <formula>NOT(ISERROR(SEARCH("LWOP UA",H87)))</formula>
    </cfRule>
  </conditionalFormatting>
  <conditionalFormatting sqref="H87">
    <cfRule type="containsText" dxfId="664" priority="532" operator="containsText" text="LWOP UA">
      <formula>NOT(ISERROR(SEARCH("LWOP UA",H87)))</formula>
    </cfRule>
  </conditionalFormatting>
  <conditionalFormatting sqref="H87">
    <cfRule type="containsText" dxfId="663" priority="525" operator="containsText" text="TFO">
      <formula>NOT(ISERROR(SEARCH("TFO",H87)))</formula>
    </cfRule>
    <cfRule type="containsText" dxfId="662" priority="526" operator="containsText" text="AA">
      <formula>NOT(ISERROR(SEARCH("AA",H87)))</formula>
    </cfRule>
    <cfRule type="containsText" dxfId="661" priority="527" operator="containsText" text="RESIGNED">
      <formula>NOT(ISERROR(SEARCH("RESIGNED",H87)))</formula>
    </cfRule>
    <cfRule type="containsText" dxfId="660" priority="528" operator="containsText" text="P">
      <formula>NOT(ISERROR(SEARCH("P",H87)))</formula>
    </cfRule>
    <cfRule type="containsText" dxfId="659" priority="529" operator="containsText" text="TARDY">
      <formula>NOT(ISERROR(SEARCH("TARDY",H87)))</formula>
    </cfRule>
    <cfRule type="containsText" dxfId="658" priority="530" operator="containsText" text="REST DAY">
      <formula>NOT(ISERROR(SEARCH("REST DAY",H87)))</formula>
    </cfRule>
    <cfRule type="containsText" dxfId="657" priority="531" operator="containsText" text="UA">
      <formula>NOT(ISERROR(SEARCH("UA",H87)))</formula>
    </cfRule>
  </conditionalFormatting>
  <conditionalFormatting sqref="H87">
    <cfRule type="containsText" dxfId="656" priority="519" operator="containsText" text="VL">
      <formula>NOT(ISERROR(SEARCH("VL",H87)))</formula>
    </cfRule>
    <cfRule type="containsText" dxfId="655" priority="520" operator="containsText" text="RD">
      <formula>NOT(ISERROR(SEARCH("RD",H87)))</formula>
    </cfRule>
    <cfRule type="containsText" dxfId="654" priority="521" operator="containsText" text="540">
      <formula>NOT(ISERROR(SEARCH("540",H87)))</formula>
    </cfRule>
    <cfRule type="cellIs" dxfId="653" priority="522" operator="between">
      <formula>1</formula>
      <formula>400</formula>
    </cfRule>
  </conditionalFormatting>
  <conditionalFormatting sqref="I63">
    <cfRule type="containsText" dxfId="652" priority="510" operator="containsText" text="P">
      <formula>NOT(ISERROR(SEARCH("P",I63)))</formula>
    </cfRule>
  </conditionalFormatting>
  <conditionalFormatting sqref="I63">
    <cfRule type="containsText" dxfId="651" priority="518" operator="containsText" text="LWOP UA">
      <formula>NOT(ISERROR(SEARCH("LWOP UA",I63)))</formula>
    </cfRule>
  </conditionalFormatting>
  <conditionalFormatting sqref="I63">
    <cfRule type="containsText" dxfId="650" priority="511" operator="containsText" text="TFO">
      <formula>NOT(ISERROR(SEARCH("TFO",I63)))</formula>
    </cfRule>
    <cfRule type="containsText" dxfId="649" priority="512" operator="containsText" text="AA">
      <formula>NOT(ISERROR(SEARCH("AA",I63)))</formula>
    </cfRule>
    <cfRule type="containsText" dxfId="648" priority="513" operator="containsText" text="RESIGNED">
      <formula>NOT(ISERROR(SEARCH("RESIGNED",I63)))</formula>
    </cfRule>
    <cfRule type="containsText" dxfId="647" priority="514" operator="containsText" text="P">
      <formula>NOT(ISERROR(SEARCH("P",I63)))</formula>
    </cfRule>
    <cfRule type="containsText" dxfId="646" priority="515" operator="containsText" text="TARDY">
      <formula>NOT(ISERROR(SEARCH("TARDY",I63)))</formula>
    </cfRule>
    <cfRule type="containsText" dxfId="645" priority="516" operator="containsText" text="REST DAY">
      <formula>NOT(ISERROR(SEARCH("REST DAY",I63)))</formula>
    </cfRule>
    <cfRule type="containsText" dxfId="644" priority="517" operator="containsText" text="UA">
      <formula>NOT(ISERROR(SEARCH("UA",I63)))</formula>
    </cfRule>
  </conditionalFormatting>
  <conditionalFormatting sqref="I63">
    <cfRule type="containsText" dxfId="643" priority="505" operator="containsText" text="VL">
      <formula>NOT(ISERROR(SEARCH("VL",I63)))</formula>
    </cfRule>
    <cfRule type="containsText" dxfId="642" priority="506" operator="containsText" text="RD">
      <formula>NOT(ISERROR(SEARCH("RD",I63)))</formula>
    </cfRule>
    <cfRule type="containsText" dxfId="641" priority="507" operator="containsText" text="540">
      <formula>NOT(ISERROR(SEARCH("540",I63)))</formula>
    </cfRule>
    <cfRule type="cellIs" dxfId="640" priority="508" operator="between">
      <formula>1</formula>
      <formula>400</formula>
    </cfRule>
  </conditionalFormatting>
  <conditionalFormatting sqref="I63">
    <cfRule type="containsText" dxfId="639" priority="509" operator="containsText" text="LWOP UA">
      <formula>NOT(ISERROR(SEARCH("LWOP UA",I63)))</formula>
    </cfRule>
  </conditionalFormatting>
  <conditionalFormatting sqref="I87">
    <cfRule type="containsText" dxfId="638" priority="496" operator="containsText" text="P">
      <formula>NOT(ISERROR(SEARCH("P",I87)))</formula>
    </cfRule>
  </conditionalFormatting>
  <conditionalFormatting sqref="I87">
    <cfRule type="containsText" dxfId="637" priority="495" operator="containsText" text="LWOP UA">
      <formula>NOT(ISERROR(SEARCH("LWOP UA",I87)))</formula>
    </cfRule>
  </conditionalFormatting>
  <conditionalFormatting sqref="I87">
    <cfRule type="containsText" dxfId="636" priority="504" operator="containsText" text="LWOP UA">
      <formula>NOT(ISERROR(SEARCH("LWOP UA",I87)))</formula>
    </cfRule>
  </conditionalFormatting>
  <conditionalFormatting sqref="I87">
    <cfRule type="containsText" dxfId="635" priority="497" operator="containsText" text="TFO">
      <formula>NOT(ISERROR(SEARCH("TFO",I87)))</formula>
    </cfRule>
    <cfRule type="containsText" dxfId="634" priority="498" operator="containsText" text="AA">
      <formula>NOT(ISERROR(SEARCH("AA",I87)))</formula>
    </cfRule>
    <cfRule type="containsText" dxfId="633" priority="499" operator="containsText" text="RESIGNED">
      <formula>NOT(ISERROR(SEARCH("RESIGNED",I87)))</formula>
    </cfRule>
    <cfRule type="containsText" dxfId="632" priority="500" operator="containsText" text="P">
      <formula>NOT(ISERROR(SEARCH("P",I87)))</formula>
    </cfRule>
    <cfRule type="containsText" dxfId="631" priority="501" operator="containsText" text="TARDY">
      <formula>NOT(ISERROR(SEARCH("TARDY",I87)))</formula>
    </cfRule>
    <cfRule type="containsText" dxfId="630" priority="502" operator="containsText" text="REST DAY">
      <formula>NOT(ISERROR(SEARCH("REST DAY",I87)))</formula>
    </cfRule>
    <cfRule type="containsText" dxfId="629" priority="503" operator="containsText" text="UA">
      <formula>NOT(ISERROR(SEARCH("UA",I87)))</formula>
    </cfRule>
  </conditionalFormatting>
  <conditionalFormatting sqref="I87">
    <cfRule type="containsText" dxfId="628" priority="491" operator="containsText" text="VL">
      <formula>NOT(ISERROR(SEARCH("VL",I87)))</formula>
    </cfRule>
    <cfRule type="containsText" dxfId="627" priority="492" operator="containsText" text="RD">
      <formula>NOT(ISERROR(SEARCH("RD",I87)))</formula>
    </cfRule>
    <cfRule type="containsText" dxfId="626" priority="493" operator="containsText" text="540">
      <formula>NOT(ISERROR(SEARCH("540",I87)))</formula>
    </cfRule>
    <cfRule type="cellIs" dxfId="625" priority="494" operator="between">
      <formula>1</formula>
      <formula>400</formula>
    </cfRule>
  </conditionalFormatting>
  <conditionalFormatting sqref="I69:J69">
    <cfRule type="containsText" dxfId="624" priority="482" operator="containsText" text="P">
      <formula>NOT(ISERROR(SEARCH("P",I69)))</formula>
    </cfRule>
  </conditionalFormatting>
  <conditionalFormatting sqref="I69:J69">
    <cfRule type="containsText" dxfId="623" priority="490" operator="containsText" text="LWOP UA">
      <formula>NOT(ISERROR(SEARCH("LWOP UA",I69)))</formula>
    </cfRule>
  </conditionalFormatting>
  <conditionalFormatting sqref="I69:J69">
    <cfRule type="containsText" dxfId="622" priority="483" operator="containsText" text="TFO">
      <formula>NOT(ISERROR(SEARCH("TFO",I69)))</formula>
    </cfRule>
    <cfRule type="containsText" dxfId="621" priority="484" operator="containsText" text="AA">
      <formula>NOT(ISERROR(SEARCH("AA",I69)))</formula>
    </cfRule>
    <cfRule type="containsText" dxfId="620" priority="485" operator="containsText" text="RESIGNED">
      <formula>NOT(ISERROR(SEARCH("RESIGNED",I69)))</formula>
    </cfRule>
    <cfRule type="containsText" dxfId="619" priority="486" operator="containsText" text="P">
      <formula>NOT(ISERROR(SEARCH("P",I69)))</formula>
    </cfRule>
    <cfRule type="containsText" dxfId="618" priority="487" operator="containsText" text="TARDY">
      <formula>NOT(ISERROR(SEARCH("TARDY",I69)))</formula>
    </cfRule>
    <cfRule type="containsText" dxfId="617" priority="488" operator="containsText" text="REST DAY">
      <formula>NOT(ISERROR(SEARCH("REST DAY",I69)))</formula>
    </cfRule>
    <cfRule type="containsText" dxfId="616" priority="489" operator="containsText" text="UA">
      <formula>NOT(ISERROR(SEARCH("UA",I69)))</formula>
    </cfRule>
  </conditionalFormatting>
  <conditionalFormatting sqref="I69:J69">
    <cfRule type="containsText" dxfId="615" priority="477" operator="containsText" text="VL">
      <formula>NOT(ISERROR(SEARCH("VL",I69)))</formula>
    </cfRule>
    <cfRule type="containsText" dxfId="614" priority="478" operator="containsText" text="RD">
      <formula>NOT(ISERROR(SEARCH("RD",I69)))</formula>
    </cfRule>
    <cfRule type="containsText" dxfId="613" priority="479" operator="containsText" text="540">
      <formula>NOT(ISERROR(SEARCH("540",I69)))</formula>
    </cfRule>
    <cfRule type="cellIs" dxfId="612" priority="480" operator="between">
      <formula>1</formula>
      <formula>400</formula>
    </cfRule>
  </conditionalFormatting>
  <conditionalFormatting sqref="I69:J69">
    <cfRule type="containsText" dxfId="611" priority="481" operator="containsText" text="LWOP UA">
      <formula>NOT(ISERROR(SEARCH("LWOP UA",I69)))</formula>
    </cfRule>
  </conditionalFormatting>
  <conditionalFormatting sqref="I78">
    <cfRule type="containsText" dxfId="610" priority="468" operator="containsText" text="P">
      <formula>NOT(ISERROR(SEARCH("P",I78)))</formula>
    </cfRule>
  </conditionalFormatting>
  <conditionalFormatting sqref="I78">
    <cfRule type="containsText" dxfId="609" priority="476" operator="containsText" text="LWOP UA">
      <formula>NOT(ISERROR(SEARCH("LWOP UA",I78)))</formula>
    </cfRule>
  </conditionalFormatting>
  <conditionalFormatting sqref="I78">
    <cfRule type="containsText" dxfId="608" priority="469" operator="containsText" text="TFO">
      <formula>NOT(ISERROR(SEARCH("TFO",I78)))</formula>
    </cfRule>
    <cfRule type="containsText" dxfId="607" priority="470" operator="containsText" text="AA">
      <formula>NOT(ISERROR(SEARCH("AA",I78)))</formula>
    </cfRule>
    <cfRule type="containsText" dxfId="606" priority="471" operator="containsText" text="RESIGNED">
      <formula>NOT(ISERROR(SEARCH("RESIGNED",I78)))</formula>
    </cfRule>
    <cfRule type="containsText" dxfId="605" priority="472" operator="containsText" text="P">
      <formula>NOT(ISERROR(SEARCH("P",I78)))</formula>
    </cfRule>
    <cfRule type="containsText" dxfId="604" priority="473" operator="containsText" text="TARDY">
      <formula>NOT(ISERROR(SEARCH("TARDY",I78)))</formula>
    </cfRule>
    <cfRule type="containsText" dxfId="603" priority="474" operator="containsText" text="REST DAY">
      <formula>NOT(ISERROR(SEARCH("REST DAY",I78)))</formula>
    </cfRule>
    <cfRule type="containsText" dxfId="602" priority="475" operator="containsText" text="UA">
      <formula>NOT(ISERROR(SEARCH("UA",I78)))</formula>
    </cfRule>
  </conditionalFormatting>
  <conditionalFormatting sqref="I78">
    <cfRule type="containsText" dxfId="601" priority="463" operator="containsText" text="VL">
      <formula>NOT(ISERROR(SEARCH("VL",I78)))</formula>
    </cfRule>
    <cfRule type="containsText" dxfId="600" priority="464" operator="containsText" text="RD">
      <formula>NOT(ISERROR(SEARCH("RD",I78)))</formula>
    </cfRule>
    <cfRule type="containsText" dxfId="599" priority="465" operator="containsText" text="540">
      <formula>NOT(ISERROR(SEARCH("540",I78)))</formula>
    </cfRule>
    <cfRule type="cellIs" dxfId="598" priority="466" operator="between">
      <formula>1</formula>
      <formula>400</formula>
    </cfRule>
  </conditionalFormatting>
  <conditionalFormatting sqref="I78">
    <cfRule type="containsText" dxfId="597" priority="467" operator="containsText" text="LWOP UA">
      <formula>NOT(ISERROR(SEARCH("LWOP UA",I78)))</formula>
    </cfRule>
  </conditionalFormatting>
  <conditionalFormatting sqref="J5">
    <cfRule type="containsText" dxfId="596" priority="455" operator="containsText" text="TFO">
      <formula>NOT(ISERROR(SEARCH("TFO",J5)))</formula>
    </cfRule>
    <cfRule type="containsText" dxfId="595" priority="456" operator="containsText" text="AA">
      <formula>NOT(ISERROR(SEARCH("AA",J5)))</formula>
    </cfRule>
    <cfRule type="containsText" dxfId="594" priority="457" operator="containsText" text="RESIGNED">
      <formula>NOT(ISERROR(SEARCH("RESIGNED",J5)))</formula>
    </cfRule>
    <cfRule type="containsText" dxfId="593" priority="458" operator="containsText" text="P">
      <formula>NOT(ISERROR(SEARCH("P",J5)))</formula>
    </cfRule>
    <cfRule type="containsText" dxfId="592" priority="459" operator="containsText" text="TARDY">
      <formula>NOT(ISERROR(SEARCH("TARDY",J5)))</formula>
    </cfRule>
    <cfRule type="containsText" dxfId="591" priority="460" operator="containsText" text="REST DAY">
      <formula>NOT(ISERROR(SEARCH("REST DAY",J5)))</formula>
    </cfRule>
    <cfRule type="containsText" dxfId="590" priority="461" operator="containsText" text="UA">
      <formula>NOT(ISERROR(SEARCH("UA",J5)))</formula>
    </cfRule>
    <cfRule type="containsText" dxfId="589" priority="462" operator="containsText" text="LWOP UA">
      <formula>NOT(ISERROR(SEARCH("LWOP UA",J5)))</formula>
    </cfRule>
  </conditionalFormatting>
  <conditionalFormatting sqref="J5">
    <cfRule type="containsText" dxfId="588" priority="449" operator="containsText" text="VL">
      <formula>NOT(ISERROR(SEARCH("VL",J5)))</formula>
    </cfRule>
    <cfRule type="containsText" dxfId="587" priority="450" operator="containsText" text="RD">
      <formula>NOT(ISERROR(SEARCH("RD",J5)))</formula>
    </cfRule>
    <cfRule type="containsText" dxfId="586" priority="451" operator="containsText" text="540">
      <formula>NOT(ISERROR(SEARCH("540",J5)))</formula>
    </cfRule>
    <cfRule type="cellIs" dxfId="585" priority="452" operator="between">
      <formula>1</formula>
      <formula>400</formula>
    </cfRule>
    <cfRule type="containsText" dxfId="584" priority="453" operator="containsText" text="LWOP UA">
      <formula>NOT(ISERROR(SEARCH("LWOP UA",J5)))</formula>
    </cfRule>
  </conditionalFormatting>
  <conditionalFormatting sqref="J5">
    <cfRule type="containsText" dxfId="583" priority="454" operator="containsText" text="P">
      <formula>NOT(ISERROR(SEARCH("P",J5)))</formula>
    </cfRule>
  </conditionalFormatting>
  <conditionalFormatting sqref="J18">
    <cfRule type="containsText" dxfId="582" priority="441" operator="containsText" text="TFO">
      <formula>NOT(ISERROR(SEARCH("TFO",J18)))</formula>
    </cfRule>
    <cfRule type="containsText" dxfId="581" priority="442" operator="containsText" text="AA">
      <formula>NOT(ISERROR(SEARCH("AA",J18)))</formula>
    </cfRule>
    <cfRule type="containsText" dxfId="580" priority="443" operator="containsText" text="RESIGNED">
      <formula>NOT(ISERROR(SEARCH("RESIGNED",J18)))</formula>
    </cfRule>
    <cfRule type="containsText" dxfId="579" priority="444" operator="containsText" text="P">
      <formula>NOT(ISERROR(SEARCH("P",J18)))</formula>
    </cfRule>
    <cfRule type="containsText" dxfId="578" priority="445" operator="containsText" text="TARDY">
      <formula>NOT(ISERROR(SEARCH("TARDY",J18)))</formula>
    </cfRule>
    <cfRule type="containsText" dxfId="577" priority="446" operator="containsText" text="REST DAY">
      <formula>NOT(ISERROR(SEARCH("REST DAY",J18)))</formula>
    </cfRule>
    <cfRule type="containsText" dxfId="576" priority="447" operator="containsText" text="UA">
      <formula>NOT(ISERROR(SEARCH("UA",J18)))</formula>
    </cfRule>
    <cfRule type="containsText" dxfId="575" priority="448" operator="containsText" text="LWOP UA">
      <formula>NOT(ISERROR(SEARCH("LWOP UA",J18)))</formula>
    </cfRule>
  </conditionalFormatting>
  <conditionalFormatting sqref="J18">
    <cfRule type="containsText" dxfId="574" priority="435" operator="containsText" text="VL">
      <formula>NOT(ISERROR(SEARCH("VL",J18)))</formula>
    </cfRule>
    <cfRule type="containsText" dxfId="573" priority="436" operator="containsText" text="RD">
      <formula>NOT(ISERROR(SEARCH("RD",J18)))</formula>
    </cfRule>
    <cfRule type="containsText" dxfId="572" priority="437" operator="containsText" text="540">
      <formula>NOT(ISERROR(SEARCH("540",J18)))</formula>
    </cfRule>
    <cfRule type="cellIs" dxfId="571" priority="438" operator="between">
      <formula>1</formula>
      <formula>400</formula>
    </cfRule>
    <cfRule type="containsText" dxfId="570" priority="439" operator="containsText" text="LWOP UA">
      <formula>NOT(ISERROR(SEARCH("LWOP UA",J18)))</formula>
    </cfRule>
  </conditionalFormatting>
  <conditionalFormatting sqref="J18">
    <cfRule type="containsText" dxfId="569" priority="440" operator="containsText" text="P">
      <formula>NOT(ISERROR(SEARCH("P",J18)))</formula>
    </cfRule>
  </conditionalFormatting>
  <conditionalFormatting sqref="J14">
    <cfRule type="containsText" dxfId="568" priority="427" operator="containsText" text="TFO">
      <formula>NOT(ISERROR(SEARCH("TFO",J14)))</formula>
    </cfRule>
    <cfRule type="containsText" dxfId="567" priority="428" operator="containsText" text="AA">
      <formula>NOT(ISERROR(SEARCH("AA",J14)))</formula>
    </cfRule>
    <cfRule type="containsText" dxfId="566" priority="429" operator="containsText" text="RESIGNED">
      <formula>NOT(ISERROR(SEARCH("RESIGNED",J14)))</formula>
    </cfRule>
    <cfRule type="containsText" dxfId="565" priority="430" operator="containsText" text="P">
      <formula>NOT(ISERROR(SEARCH("P",J14)))</formula>
    </cfRule>
    <cfRule type="containsText" dxfId="564" priority="431" operator="containsText" text="TARDY">
      <formula>NOT(ISERROR(SEARCH("TARDY",J14)))</formula>
    </cfRule>
    <cfRule type="containsText" dxfId="563" priority="432" operator="containsText" text="REST DAY">
      <formula>NOT(ISERROR(SEARCH("REST DAY",J14)))</formula>
    </cfRule>
    <cfRule type="containsText" dxfId="562" priority="433" operator="containsText" text="UA">
      <formula>NOT(ISERROR(SEARCH("UA",J14)))</formula>
    </cfRule>
    <cfRule type="containsText" dxfId="561" priority="434" operator="containsText" text="LWOP UA">
      <formula>NOT(ISERROR(SEARCH("LWOP UA",J14)))</formula>
    </cfRule>
  </conditionalFormatting>
  <conditionalFormatting sqref="J14">
    <cfRule type="containsText" dxfId="560" priority="421" operator="containsText" text="VL">
      <formula>NOT(ISERROR(SEARCH("VL",J14)))</formula>
    </cfRule>
    <cfRule type="containsText" dxfId="559" priority="422" operator="containsText" text="RD">
      <formula>NOT(ISERROR(SEARCH("RD",J14)))</formula>
    </cfRule>
    <cfRule type="containsText" dxfId="558" priority="423" operator="containsText" text="540">
      <formula>NOT(ISERROR(SEARCH("540",J14)))</formula>
    </cfRule>
    <cfRule type="cellIs" dxfId="557" priority="424" operator="between">
      <formula>1</formula>
      <formula>400</formula>
    </cfRule>
    <cfRule type="containsText" dxfId="556" priority="425" operator="containsText" text="LWOP UA">
      <formula>NOT(ISERROR(SEARCH("LWOP UA",J14)))</formula>
    </cfRule>
  </conditionalFormatting>
  <conditionalFormatting sqref="J14">
    <cfRule type="containsText" dxfId="555" priority="426" operator="containsText" text="P">
      <formula>NOT(ISERROR(SEARCH("P",J14)))</formula>
    </cfRule>
  </conditionalFormatting>
  <conditionalFormatting sqref="J15">
    <cfRule type="containsText" dxfId="554" priority="413" operator="containsText" text="TFO">
      <formula>NOT(ISERROR(SEARCH("TFO",J15)))</formula>
    </cfRule>
    <cfRule type="containsText" dxfId="553" priority="414" operator="containsText" text="AA">
      <formula>NOT(ISERROR(SEARCH("AA",J15)))</formula>
    </cfRule>
    <cfRule type="containsText" dxfId="552" priority="415" operator="containsText" text="RESIGNED">
      <formula>NOT(ISERROR(SEARCH("RESIGNED",J15)))</formula>
    </cfRule>
    <cfRule type="containsText" dxfId="551" priority="416" operator="containsText" text="P">
      <formula>NOT(ISERROR(SEARCH("P",J15)))</formula>
    </cfRule>
    <cfRule type="containsText" dxfId="550" priority="417" operator="containsText" text="TARDY">
      <formula>NOT(ISERROR(SEARCH("TARDY",J15)))</formula>
    </cfRule>
    <cfRule type="containsText" dxfId="549" priority="418" operator="containsText" text="REST DAY">
      <formula>NOT(ISERROR(SEARCH("REST DAY",J15)))</formula>
    </cfRule>
    <cfRule type="containsText" dxfId="548" priority="419" operator="containsText" text="UA">
      <formula>NOT(ISERROR(SEARCH("UA",J15)))</formula>
    </cfRule>
    <cfRule type="containsText" dxfId="547" priority="420" operator="containsText" text="LWOP UA">
      <formula>NOT(ISERROR(SEARCH("LWOP UA",J15)))</formula>
    </cfRule>
  </conditionalFormatting>
  <conditionalFormatting sqref="J15">
    <cfRule type="containsText" dxfId="546" priority="407" operator="containsText" text="VL">
      <formula>NOT(ISERROR(SEARCH("VL",J15)))</formula>
    </cfRule>
    <cfRule type="containsText" dxfId="545" priority="408" operator="containsText" text="RD">
      <formula>NOT(ISERROR(SEARCH("RD",J15)))</formula>
    </cfRule>
    <cfRule type="containsText" dxfId="544" priority="409" operator="containsText" text="540">
      <formula>NOT(ISERROR(SEARCH("540",J15)))</formula>
    </cfRule>
    <cfRule type="cellIs" dxfId="543" priority="410" operator="between">
      <formula>1</formula>
      <formula>400</formula>
    </cfRule>
    <cfRule type="containsText" dxfId="542" priority="411" operator="containsText" text="LWOP UA">
      <formula>NOT(ISERROR(SEARCH("LWOP UA",J15)))</formula>
    </cfRule>
  </conditionalFormatting>
  <conditionalFormatting sqref="J15">
    <cfRule type="containsText" dxfId="541" priority="412" operator="containsText" text="P">
      <formula>NOT(ISERROR(SEARCH("P",J15)))</formula>
    </cfRule>
  </conditionalFormatting>
  <conditionalFormatting sqref="J24">
    <cfRule type="containsText" dxfId="540" priority="399" operator="containsText" text="TFO">
      <formula>NOT(ISERROR(SEARCH("TFO",J24)))</formula>
    </cfRule>
    <cfRule type="containsText" dxfId="539" priority="400" operator="containsText" text="AA">
      <formula>NOT(ISERROR(SEARCH("AA",J24)))</formula>
    </cfRule>
    <cfRule type="containsText" dxfId="538" priority="401" operator="containsText" text="RESIGNED">
      <formula>NOT(ISERROR(SEARCH("RESIGNED",J24)))</formula>
    </cfRule>
    <cfRule type="containsText" dxfId="537" priority="402" operator="containsText" text="P">
      <formula>NOT(ISERROR(SEARCH("P",J24)))</formula>
    </cfRule>
    <cfRule type="containsText" dxfId="536" priority="403" operator="containsText" text="TARDY">
      <formula>NOT(ISERROR(SEARCH("TARDY",J24)))</formula>
    </cfRule>
    <cfRule type="containsText" dxfId="535" priority="404" operator="containsText" text="REST DAY">
      <formula>NOT(ISERROR(SEARCH("REST DAY",J24)))</formula>
    </cfRule>
    <cfRule type="containsText" dxfId="534" priority="405" operator="containsText" text="UA">
      <formula>NOT(ISERROR(SEARCH("UA",J24)))</formula>
    </cfRule>
    <cfRule type="containsText" dxfId="533" priority="406" operator="containsText" text="LWOP UA">
      <formula>NOT(ISERROR(SEARCH("LWOP UA",J24)))</formula>
    </cfRule>
  </conditionalFormatting>
  <conditionalFormatting sqref="J24">
    <cfRule type="containsText" dxfId="532" priority="393" operator="containsText" text="VL">
      <formula>NOT(ISERROR(SEARCH("VL",J24)))</formula>
    </cfRule>
    <cfRule type="containsText" dxfId="531" priority="394" operator="containsText" text="RD">
      <formula>NOT(ISERROR(SEARCH("RD",J24)))</formula>
    </cfRule>
    <cfRule type="containsText" dxfId="530" priority="395" operator="containsText" text="540">
      <formula>NOT(ISERROR(SEARCH("540",J24)))</formula>
    </cfRule>
    <cfRule type="cellIs" dxfId="529" priority="396" operator="between">
      <formula>1</formula>
      <formula>400</formula>
    </cfRule>
    <cfRule type="containsText" dxfId="528" priority="397" operator="containsText" text="LWOP UA">
      <formula>NOT(ISERROR(SEARCH("LWOP UA",J24)))</formula>
    </cfRule>
  </conditionalFormatting>
  <conditionalFormatting sqref="J24">
    <cfRule type="containsText" dxfId="527" priority="398" operator="containsText" text="P">
      <formula>NOT(ISERROR(SEARCH("P",J24)))</formula>
    </cfRule>
  </conditionalFormatting>
  <conditionalFormatting sqref="J26">
    <cfRule type="containsText" dxfId="526" priority="385" operator="containsText" text="TFO">
      <formula>NOT(ISERROR(SEARCH("TFO",J26)))</formula>
    </cfRule>
    <cfRule type="containsText" dxfId="525" priority="386" operator="containsText" text="AA">
      <formula>NOT(ISERROR(SEARCH("AA",J26)))</formula>
    </cfRule>
    <cfRule type="containsText" dxfId="524" priority="387" operator="containsText" text="RESIGNED">
      <formula>NOT(ISERROR(SEARCH("RESIGNED",J26)))</formula>
    </cfRule>
    <cfRule type="containsText" dxfId="523" priority="388" operator="containsText" text="P">
      <formula>NOT(ISERROR(SEARCH("P",J26)))</formula>
    </cfRule>
    <cfRule type="containsText" dxfId="522" priority="389" operator="containsText" text="TARDY">
      <formula>NOT(ISERROR(SEARCH("TARDY",J26)))</formula>
    </cfRule>
    <cfRule type="containsText" dxfId="521" priority="390" operator="containsText" text="REST DAY">
      <formula>NOT(ISERROR(SEARCH("REST DAY",J26)))</formula>
    </cfRule>
    <cfRule type="containsText" dxfId="520" priority="391" operator="containsText" text="UA">
      <formula>NOT(ISERROR(SEARCH("UA",J26)))</formula>
    </cfRule>
    <cfRule type="containsText" dxfId="519" priority="392" operator="containsText" text="LWOP UA">
      <formula>NOT(ISERROR(SEARCH("LWOP UA",J26)))</formula>
    </cfRule>
  </conditionalFormatting>
  <conditionalFormatting sqref="J26">
    <cfRule type="containsText" dxfId="518" priority="379" operator="containsText" text="VL">
      <formula>NOT(ISERROR(SEARCH("VL",J26)))</formula>
    </cfRule>
    <cfRule type="containsText" dxfId="517" priority="380" operator="containsText" text="RD">
      <formula>NOT(ISERROR(SEARCH("RD",J26)))</formula>
    </cfRule>
    <cfRule type="containsText" dxfId="516" priority="381" operator="containsText" text="540">
      <formula>NOT(ISERROR(SEARCH("540",J26)))</formula>
    </cfRule>
    <cfRule type="cellIs" dxfId="515" priority="382" operator="between">
      <formula>1</formula>
      <formula>400</formula>
    </cfRule>
    <cfRule type="containsText" dxfId="514" priority="383" operator="containsText" text="LWOP UA">
      <formula>NOT(ISERROR(SEARCH("LWOP UA",J26)))</formula>
    </cfRule>
  </conditionalFormatting>
  <conditionalFormatting sqref="J26">
    <cfRule type="containsText" dxfId="513" priority="384" operator="containsText" text="P">
      <formula>NOT(ISERROR(SEARCH("P",J26)))</formula>
    </cfRule>
  </conditionalFormatting>
  <conditionalFormatting sqref="J29">
    <cfRule type="containsText" dxfId="512" priority="371" operator="containsText" text="TFO">
      <formula>NOT(ISERROR(SEARCH("TFO",J29)))</formula>
    </cfRule>
    <cfRule type="containsText" dxfId="511" priority="372" operator="containsText" text="AA">
      <formula>NOT(ISERROR(SEARCH("AA",J29)))</formula>
    </cfRule>
    <cfRule type="containsText" dxfId="510" priority="373" operator="containsText" text="RESIGNED">
      <formula>NOT(ISERROR(SEARCH("RESIGNED",J29)))</formula>
    </cfRule>
    <cfRule type="containsText" dxfId="509" priority="374" operator="containsText" text="P">
      <formula>NOT(ISERROR(SEARCH("P",J29)))</formula>
    </cfRule>
    <cfRule type="containsText" dxfId="508" priority="375" operator="containsText" text="TARDY">
      <formula>NOT(ISERROR(SEARCH("TARDY",J29)))</formula>
    </cfRule>
    <cfRule type="containsText" dxfId="507" priority="376" operator="containsText" text="REST DAY">
      <formula>NOT(ISERROR(SEARCH("REST DAY",J29)))</formula>
    </cfRule>
    <cfRule type="containsText" dxfId="506" priority="377" operator="containsText" text="UA">
      <formula>NOT(ISERROR(SEARCH("UA",J29)))</formula>
    </cfRule>
    <cfRule type="containsText" dxfId="505" priority="378" operator="containsText" text="LWOP UA">
      <formula>NOT(ISERROR(SEARCH("LWOP UA",J29)))</formula>
    </cfRule>
  </conditionalFormatting>
  <conditionalFormatting sqref="J29">
    <cfRule type="containsText" dxfId="504" priority="365" operator="containsText" text="VL">
      <formula>NOT(ISERROR(SEARCH("VL",J29)))</formula>
    </cfRule>
    <cfRule type="containsText" dxfId="503" priority="366" operator="containsText" text="RD">
      <formula>NOT(ISERROR(SEARCH("RD",J29)))</formula>
    </cfRule>
    <cfRule type="containsText" dxfId="502" priority="367" operator="containsText" text="540">
      <formula>NOT(ISERROR(SEARCH("540",J29)))</formula>
    </cfRule>
    <cfRule type="cellIs" dxfId="501" priority="368" operator="between">
      <formula>1</formula>
      <formula>400</formula>
    </cfRule>
    <cfRule type="containsText" dxfId="500" priority="369" operator="containsText" text="LWOP UA">
      <formula>NOT(ISERROR(SEARCH("LWOP UA",J29)))</formula>
    </cfRule>
  </conditionalFormatting>
  <conditionalFormatting sqref="J29">
    <cfRule type="containsText" dxfId="499" priority="370" operator="containsText" text="P">
      <formula>NOT(ISERROR(SEARCH("P",J29)))</formula>
    </cfRule>
  </conditionalFormatting>
  <conditionalFormatting sqref="J31">
    <cfRule type="containsText" dxfId="498" priority="357" operator="containsText" text="TFO">
      <formula>NOT(ISERROR(SEARCH("TFO",J31)))</formula>
    </cfRule>
    <cfRule type="containsText" dxfId="497" priority="358" operator="containsText" text="AA">
      <formula>NOT(ISERROR(SEARCH("AA",J31)))</formula>
    </cfRule>
    <cfRule type="containsText" dxfId="496" priority="359" operator="containsText" text="RESIGNED">
      <formula>NOT(ISERROR(SEARCH("RESIGNED",J31)))</formula>
    </cfRule>
    <cfRule type="containsText" dxfId="495" priority="360" operator="containsText" text="P">
      <formula>NOT(ISERROR(SEARCH("P",J31)))</formula>
    </cfRule>
    <cfRule type="containsText" dxfId="494" priority="361" operator="containsText" text="TARDY">
      <formula>NOT(ISERROR(SEARCH("TARDY",J31)))</formula>
    </cfRule>
    <cfRule type="containsText" dxfId="493" priority="362" operator="containsText" text="REST DAY">
      <formula>NOT(ISERROR(SEARCH("REST DAY",J31)))</formula>
    </cfRule>
    <cfRule type="containsText" dxfId="492" priority="363" operator="containsText" text="UA">
      <formula>NOT(ISERROR(SEARCH("UA",J31)))</formula>
    </cfRule>
    <cfRule type="containsText" dxfId="491" priority="364" operator="containsText" text="LWOP UA">
      <formula>NOT(ISERROR(SEARCH("LWOP UA",J31)))</formula>
    </cfRule>
  </conditionalFormatting>
  <conditionalFormatting sqref="J31">
    <cfRule type="containsText" dxfId="490" priority="351" operator="containsText" text="VL">
      <formula>NOT(ISERROR(SEARCH("VL",J31)))</formula>
    </cfRule>
    <cfRule type="containsText" dxfId="489" priority="352" operator="containsText" text="RD">
      <formula>NOT(ISERROR(SEARCH("RD",J31)))</formula>
    </cfRule>
    <cfRule type="containsText" dxfId="488" priority="353" operator="containsText" text="540">
      <formula>NOT(ISERROR(SEARCH("540",J31)))</formula>
    </cfRule>
    <cfRule type="cellIs" dxfId="487" priority="354" operator="between">
      <formula>1</formula>
      <formula>400</formula>
    </cfRule>
    <cfRule type="containsText" dxfId="486" priority="355" operator="containsText" text="LWOP UA">
      <formula>NOT(ISERROR(SEARCH("LWOP UA",J31)))</formula>
    </cfRule>
  </conditionalFormatting>
  <conditionalFormatting sqref="J31">
    <cfRule type="containsText" dxfId="485" priority="356" operator="containsText" text="P">
      <formula>NOT(ISERROR(SEARCH("P",J31)))</formula>
    </cfRule>
  </conditionalFormatting>
  <conditionalFormatting sqref="J37">
    <cfRule type="containsText" dxfId="484" priority="343" operator="containsText" text="TFO">
      <formula>NOT(ISERROR(SEARCH("TFO",J37)))</formula>
    </cfRule>
    <cfRule type="containsText" dxfId="483" priority="344" operator="containsText" text="AA">
      <formula>NOT(ISERROR(SEARCH("AA",J37)))</formula>
    </cfRule>
    <cfRule type="containsText" dxfId="482" priority="345" operator="containsText" text="RESIGNED">
      <formula>NOT(ISERROR(SEARCH("RESIGNED",J37)))</formula>
    </cfRule>
    <cfRule type="containsText" dxfId="481" priority="346" operator="containsText" text="P">
      <formula>NOT(ISERROR(SEARCH("P",J37)))</formula>
    </cfRule>
    <cfRule type="containsText" dxfId="480" priority="347" operator="containsText" text="TARDY">
      <formula>NOT(ISERROR(SEARCH("TARDY",J37)))</formula>
    </cfRule>
    <cfRule type="containsText" dxfId="479" priority="348" operator="containsText" text="REST DAY">
      <formula>NOT(ISERROR(SEARCH("REST DAY",J37)))</formula>
    </cfRule>
    <cfRule type="containsText" dxfId="478" priority="349" operator="containsText" text="UA">
      <formula>NOT(ISERROR(SEARCH("UA",J37)))</formula>
    </cfRule>
    <cfRule type="containsText" dxfId="477" priority="350" operator="containsText" text="LWOP UA">
      <formula>NOT(ISERROR(SEARCH("LWOP UA",J37)))</formula>
    </cfRule>
  </conditionalFormatting>
  <conditionalFormatting sqref="J37">
    <cfRule type="containsText" dxfId="476" priority="337" operator="containsText" text="VL">
      <formula>NOT(ISERROR(SEARCH("VL",J37)))</formula>
    </cfRule>
    <cfRule type="containsText" dxfId="475" priority="338" operator="containsText" text="RD">
      <formula>NOT(ISERROR(SEARCH("RD",J37)))</formula>
    </cfRule>
    <cfRule type="containsText" dxfId="474" priority="339" operator="containsText" text="540">
      <formula>NOT(ISERROR(SEARCH("540",J37)))</formula>
    </cfRule>
    <cfRule type="cellIs" dxfId="473" priority="340" operator="between">
      <formula>1</formula>
      <formula>400</formula>
    </cfRule>
    <cfRule type="containsText" dxfId="472" priority="341" operator="containsText" text="LWOP UA">
      <formula>NOT(ISERROR(SEARCH("LWOP UA",J37)))</formula>
    </cfRule>
  </conditionalFormatting>
  <conditionalFormatting sqref="J37">
    <cfRule type="containsText" dxfId="471" priority="342" operator="containsText" text="P">
      <formula>NOT(ISERROR(SEARCH("P",J37)))</formula>
    </cfRule>
  </conditionalFormatting>
  <conditionalFormatting sqref="J45">
    <cfRule type="containsText" dxfId="470" priority="329" operator="containsText" text="TFO">
      <formula>NOT(ISERROR(SEARCH("TFO",J45)))</formula>
    </cfRule>
    <cfRule type="containsText" dxfId="469" priority="330" operator="containsText" text="AA">
      <formula>NOT(ISERROR(SEARCH("AA",J45)))</formula>
    </cfRule>
    <cfRule type="containsText" dxfId="468" priority="331" operator="containsText" text="RESIGNED">
      <formula>NOT(ISERROR(SEARCH("RESIGNED",J45)))</formula>
    </cfRule>
    <cfRule type="containsText" dxfId="467" priority="332" operator="containsText" text="P">
      <formula>NOT(ISERROR(SEARCH("P",J45)))</formula>
    </cfRule>
    <cfRule type="containsText" dxfId="466" priority="333" operator="containsText" text="TARDY">
      <formula>NOT(ISERROR(SEARCH("TARDY",J45)))</formula>
    </cfRule>
    <cfRule type="containsText" dxfId="465" priority="334" operator="containsText" text="REST DAY">
      <formula>NOT(ISERROR(SEARCH("REST DAY",J45)))</formula>
    </cfRule>
    <cfRule type="containsText" dxfId="464" priority="335" operator="containsText" text="UA">
      <formula>NOT(ISERROR(SEARCH("UA",J45)))</formula>
    </cfRule>
    <cfRule type="containsText" dxfId="463" priority="336" operator="containsText" text="LWOP UA">
      <formula>NOT(ISERROR(SEARCH("LWOP UA",J45)))</formula>
    </cfRule>
  </conditionalFormatting>
  <conditionalFormatting sqref="J45">
    <cfRule type="containsText" dxfId="462" priority="323" operator="containsText" text="VL">
      <formula>NOT(ISERROR(SEARCH("VL",J45)))</formula>
    </cfRule>
    <cfRule type="containsText" dxfId="461" priority="324" operator="containsText" text="RD">
      <formula>NOT(ISERROR(SEARCH("RD",J45)))</formula>
    </cfRule>
    <cfRule type="containsText" dxfId="460" priority="325" operator="containsText" text="540">
      <formula>NOT(ISERROR(SEARCH("540",J45)))</formula>
    </cfRule>
    <cfRule type="cellIs" dxfId="459" priority="326" operator="between">
      <formula>1</formula>
      <formula>400</formula>
    </cfRule>
    <cfRule type="containsText" dxfId="458" priority="327" operator="containsText" text="LWOP UA">
      <formula>NOT(ISERROR(SEARCH("LWOP UA",J45)))</formula>
    </cfRule>
  </conditionalFormatting>
  <conditionalFormatting sqref="J45">
    <cfRule type="containsText" dxfId="457" priority="328" operator="containsText" text="P">
      <formula>NOT(ISERROR(SEARCH("P",J45)))</formula>
    </cfRule>
  </conditionalFormatting>
  <conditionalFormatting sqref="J52">
    <cfRule type="containsText" dxfId="456" priority="315" operator="containsText" text="TFO">
      <formula>NOT(ISERROR(SEARCH("TFO",J52)))</formula>
    </cfRule>
    <cfRule type="containsText" dxfId="455" priority="316" operator="containsText" text="AA">
      <formula>NOT(ISERROR(SEARCH("AA",J52)))</formula>
    </cfRule>
    <cfRule type="containsText" dxfId="454" priority="317" operator="containsText" text="RESIGNED">
      <formula>NOT(ISERROR(SEARCH("RESIGNED",J52)))</formula>
    </cfRule>
    <cfRule type="containsText" dxfId="453" priority="318" operator="containsText" text="P">
      <formula>NOT(ISERROR(SEARCH("P",J52)))</formula>
    </cfRule>
    <cfRule type="containsText" dxfId="452" priority="319" operator="containsText" text="TARDY">
      <formula>NOT(ISERROR(SEARCH("TARDY",J52)))</formula>
    </cfRule>
    <cfRule type="containsText" dxfId="451" priority="320" operator="containsText" text="REST DAY">
      <formula>NOT(ISERROR(SEARCH("REST DAY",J52)))</formula>
    </cfRule>
    <cfRule type="containsText" dxfId="450" priority="321" operator="containsText" text="UA">
      <formula>NOT(ISERROR(SEARCH("UA",J52)))</formula>
    </cfRule>
    <cfRule type="containsText" dxfId="449" priority="322" operator="containsText" text="LWOP UA">
      <formula>NOT(ISERROR(SEARCH("LWOP UA",J52)))</formula>
    </cfRule>
  </conditionalFormatting>
  <conditionalFormatting sqref="J52">
    <cfRule type="containsText" dxfId="448" priority="309" operator="containsText" text="VL">
      <formula>NOT(ISERROR(SEARCH("VL",J52)))</formula>
    </cfRule>
    <cfRule type="containsText" dxfId="447" priority="310" operator="containsText" text="RD">
      <formula>NOT(ISERROR(SEARCH("RD",J52)))</formula>
    </cfRule>
    <cfRule type="containsText" dxfId="446" priority="311" operator="containsText" text="540">
      <formula>NOT(ISERROR(SEARCH("540",J52)))</formula>
    </cfRule>
    <cfRule type="cellIs" dxfId="445" priority="312" operator="between">
      <formula>1</formula>
      <formula>400</formula>
    </cfRule>
    <cfRule type="containsText" dxfId="444" priority="313" operator="containsText" text="LWOP UA">
      <formula>NOT(ISERROR(SEARCH("LWOP UA",J52)))</formula>
    </cfRule>
  </conditionalFormatting>
  <conditionalFormatting sqref="J52">
    <cfRule type="containsText" dxfId="443" priority="314" operator="containsText" text="P">
      <formula>NOT(ISERROR(SEARCH("P",J52)))</formula>
    </cfRule>
  </conditionalFormatting>
  <conditionalFormatting sqref="J56">
    <cfRule type="containsText" dxfId="442" priority="301" operator="containsText" text="TFO">
      <formula>NOT(ISERROR(SEARCH("TFO",J56)))</formula>
    </cfRule>
    <cfRule type="containsText" dxfId="441" priority="302" operator="containsText" text="AA">
      <formula>NOT(ISERROR(SEARCH("AA",J56)))</formula>
    </cfRule>
    <cfRule type="containsText" dxfId="440" priority="303" operator="containsText" text="RESIGNED">
      <formula>NOT(ISERROR(SEARCH("RESIGNED",J56)))</formula>
    </cfRule>
    <cfRule type="containsText" dxfId="439" priority="304" operator="containsText" text="P">
      <formula>NOT(ISERROR(SEARCH("P",J56)))</formula>
    </cfRule>
    <cfRule type="containsText" dxfId="438" priority="305" operator="containsText" text="TARDY">
      <formula>NOT(ISERROR(SEARCH("TARDY",J56)))</formula>
    </cfRule>
    <cfRule type="containsText" dxfId="437" priority="306" operator="containsText" text="REST DAY">
      <formula>NOT(ISERROR(SEARCH("REST DAY",J56)))</formula>
    </cfRule>
    <cfRule type="containsText" dxfId="436" priority="307" operator="containsText" text="UA">
      <formula>NOT(ISERROR(SEARCH("UA",J56)))</formula>
    </cfRule>
    <cfRule type="containsText" dxfId="435" priority="308" operator="containsText" text="LWOP UA">
      <formula>NOT(ISERROR(SEARCH("LWOP UA",J56)))</formula>
    </cfRule>
  </conditionalFormatting>
  <conditionalFormatting sqref="J56">
    <cfRule type="containsText" dxfId="434" priority="295" operator="containsText" text="VL">
      <formula>NOT(ISERROR(SEARCH("VL",J56)))</formula>
    </cfRule>
    <cfRule type="containsText" dxfId="433" priority="296" operator="containsText" text="RD">
      <formula>NOT(ISERROR(SEARCH("RD",J56)))</formula>
    </cfRule>
    <cfRule type="containsText" dxfId="432" priority="297" operator="containsText" text="540">
      <formula>NOT(ISERROR(SEARCH("540",J56)))</formula>
    </cfRule>
    <cfRule type="cellIs" dxfId="431" priority="298" operator="between">
      <formula>1</formula>
      <formula>400</formula>
    </cfRule>
    <cfRule type="containsText" dxfId="430" priority="299" operator="containsText" text="LWOP UA">
      <formula>NOT(ISERROR(SEARCH("LWOP UA",J56)))</formula>
    </cfRule>
  </conditionalFormatting>
  <conditionalFormatting sqref="J56">
    <cfRule type="containsText" dxfId="429" priority="300" operator="containsText" text="P">
      <formula>NOT(ISERROR(SEARCH("P",J56)))</formula>
    </cfRule>
  </conditionalFormatting>
  <conditionalFormatting sqref="J62">
    <cfRule type="containsText" dxfId="428" priority="287" operator="containsText" text="TFO">
      <formula>NOT(ISERROR(SEARCH("TFO",J62)))</formula>
    </cfRule>
    <cfRule type="containsText" dxfId="427" priority="288" operator="containsText" text="AA">
      <formula>NOT(ISERROR(SEARCH("AA",J62)))</formula>
    </cfRule>
    <cfRule type="containsText" dxfId="426" priority="289" operator="containsText" text="RESIGNED">
      <formula>NOT(ISERROR(SEARCH("RESIGNED",J62)))</formula>
    </cfRule>
    <cfRule type="containsText" dxfId="425" priority="290" operator="containsText" text="P">
      <formula>NOT(ISERROR(SEARCH("P",J62)))</formula>
    </cfRule>
    <cfRule type="containsText" dxfId="424" priority="291" operator="containsText" text="TARDY">
      <formula>NOT(ISERROR(SEARCH("TARDY",J62)))</formula>
    </cfRule>
    <cfRule type="containsText" dxfId="423" priority="292" operator="containsText" text="REST DAY">
      <formula>NOT(ISERROR(SEARCH("REST DAY",J62)))</formula>
    </cfRule>
    <cfRule type="containsText" dxfId="422" priority="293" operator="containsText" text="UA">
      <formula>NOT(ISERROR(SEARCH("UA",J62)))</formula>
    </cfRule>
    <cfRule type="containsText" dxfId="421" priority="294" operator="containsText" text="LWOP UA">
      <formula>NOT(ISERROR(SEARCH("LWOP UA",J62)))</formula>
    </cfRule>
  </conditionalFormatting>
  <conditionalFormatting sqref="J62">
    <cfRule type="containsText" dxfId="420" priority="281" operator="containsText" text="VL">
      <formula>NOT(ISERROR(SEARCH("VL",J62)))</formula>
    </cfRule>
    <cfRule type="containsText" dxfId="419" priority="282" operator="containsText" text="RD">
      <formula>NOT(ISERROR(SEARCH("RD",J62)))</formula>
    </cfRule>
    <cfRule type="containsText" dxfId="418" priority="283" operator="containsText" text="540">
      <formula>NOT(ISERROR(SEARCH("540",J62)))</formula>
    </cfRule>
    <cfRule type="cellIs" dxfId="417" priority="284" operator="between">
      <formula>1</formula>
      <formula>400</formula>
    </cfRule>
    <cfRule type="containsText" dxfId="416" priority="285" operator="containsText" text="LWOP UA">
      <formula>NOT(ISERROR(SEARCH("LWOP UA",J62)))</formula>
    </cfRule>
  </conditionalFormatting>
  <conditionalFormatting sqref="J62">
    <cfRule type="containsText" dxfId="415" priority="286" operator="containsText" text="P">
      <formula>NOT(ISERROR(SEARCH("P",J62)))</formula>
    </cfRule>
  </conditionalFormatting>
  <conditionalFormatting sqref="J70">
    <cfRule type="containsText" dxfId="414" priority="273" operator="containsText" text="TFO">
      <formula>NOT(ISERROR(SEARCH("TFO",J70)))</formula>
    </cfRule>
    <cfRule type="containsText" dxfId="413" priority="274" operator="containsText" text="AA">
      <formula>NOT(ISERROR(SEARCH("AA",J70)))</formula>
    </cfRule>
    <cfRule type="containsText" dxfId="412" priority="275" operator="containsText" text="RESIGNED">
      <formula>NOT(ISERROR(SEARCH("RESIGNED",J70)))</formula>
    </cfRule>
    <cfRule type="containsText" dxfId="411" priority="276" operator="containsText" text="P">
      <formula>NOT(ISERROR(SEARCH("P",J70)))</formula>
    </cfRule>
    <cfRule type="containsText" dxfId="410" priority="277" operator="containsText" text="TARDY">
      <formula>NOT(ISERROR(SEARCH("TARDY",J70)))</formula>
    </cfRule>
    <cfRule type="containsText" dxfId="409" priority="278" operator="containsText" text="REST DAY">
      <formula>NOT(ISERROR(SEARCH("REST DAY",J70)))</formula>
    </cfRule>
    <cfRule type="containsText" dxfId="408" priority="279" operator="containsText" text="UA">
      <formula>NOT(ISERROR(SEARCH("UA",J70)))</formula>
    </cfRule>
    <cfRule type="containsText" dxfId="407" priority="280" operator="containsText" text="LWOP UA">
      <formula>NOT(ISERROR(SEARCH("LWOP UA",J70)))</formula>
    </cfRule>
  </conditionalFormatting>
  <conditionalFormatting sqref="J70">
    <cfRule type="containsText" dxfId="406" priority="267" operator="containsText" text="VL">
      <formula>NOT(ISERROR(SEARCH("VL",J70)))</formula>
    </cfRule>
    <cfRule type="containsText" dxfId="405" priority="268" operator="containsText" text="RD">
      <formula>NOT(ISERROR(SEARCH("RD",J70)))</formula>
    </cfRule>
    <cfRule type="containsText" dxfId="404" priority="269" operator="containsText" text="540">
      <formula>NOT(ISERROR(SEARCH("540",J70)))</formula>
    </cfRule>
    <cfRule type="cellIs" dxfId="403" priority="270" operator="between">
      <formula>1</formula>
      <formula>400</formula>
    </cfRule>
    <cfRule type="containsText" dxfId="402" priority="271" operator="containsText" text="LWOP UA">
      <formula>NOT(ISERROR(SEARCH("LWOP UA",J70)))</formula>
    </cfRule>
  </conditionalFormatting>
  <conditionalFormatting sqref="J70">
    <cfRule type="containsText" dxfId="401" priority="272" operator="containsText" text="P">
      <formula>NOT(ISERROR(SEARCH("P",J70)))</formula>
    </cfRule>
  </conditionalFormatting>
  <conditionalFormatting sqref="J84">
    <cfRule type="containsText" dxfId="400" priority="259" operator="containsText" text="TFO">
      <formula>NOT(ISERROR(SEARCH("TFO",J84)))</formula>
    </cfRule>
    <cfRule type="containsText" dxfId="399" priority="260" operator="containsText" text="AA">
      <formula>NOT(ISERROR(SEARCH("AA",J84)))</formula>
    </cfRule>
    <cfRule type="containsText" dxfId="398" priority="261" operator="containsText" text="RESIGNED">
      <formula>NOT(ISERROR(SEARCH("RESIGNED",J84)))</formula>
    </cfRule>
    <cfRule type="containsText" dxfId="397" priority="262" operator="containsText" text="P">
      <formula>NOT(ISERROR(SEARCH("P",J84)))</formula>
    </cfRule>
    <cfRule type="containsText" dxfId="396" priority="263" operator="containsText" text="TARDY">
      <formula>NOT(ISERROR(SEARCH("TARDY",J84)))</formula>
    </cfRule>
    <cfRule type="containsText" dxfId="395" priority="264" operator="containsText" text="REST DAY">
      <formula>NOT(ISERROR(SEARCH("REST DAY",J84)))</formula>
    </cfRule>
    <cfRule type="containsText" dxfId="394" priority="265" operator="containsText" text="UA">
      <formula>NOT(ISERROR(SEARCH("UA",J84)))</formula>
    </cfRule>
    <cfRule type="containsText" dxfId="393" priority="266" operator="containsText" text="LWOP UA">
      <formula>NOT(ISERROR(SEARCH("LWOP UA",J84)))</formula>
    </cfRule>
  </conditionalFormatting>
  <conditionalFormatting sqref="J84">
    <cfRule type="containsText" dxfId="392" priority="253" operator="containsText" text="VL">
      <formula>NOT(ISERROR(SEARCH("VL",J84)))</formula>
    </cfRule>
    <cfRule type="containsText" dxfId="391" priority="254" operator="containsText" text="RD">
      <formula>NOT(ISERROR(SEARCH("RD",J84)))</formula>
    </cfRule>
    <cfRule type="containsText" dxfId="390" priority="255" operator="containsText" text="540">
      <formula>NOT(ISERROR(SEARCH("540",J84)))</formula>
    </cfRule>
    <cfRule type="cellIs" dxfId="389" priority="256" operator="between">
      <formula>1</formula>
      <formula>400</formula>
    </cfRule>
    <cfRule type="containsText" dxfId="388" priority="257" operator="containsText" text="LWOP UA">
      <formula>NOT(ISERROR(SEARCH("LWOP UA",J84)))</formula>
    </cfRule>
  </conditionalFormatting>
  <conditionalFormatting sqref="J84">
    <cfRule type="containsText" dxfId="387" priority="258" operator="containsText" text="P">
      <formula>NOT(ISERROR(SEARCH("P",J84)))</formula>
    </cfRule>
  </conditionalFormatting>
  <conditionalFormatting sqref="J83">
    <cfRule type="containsText" dxfId="386" priority="245" operator="containsText" text="TFO">
      <formula>NOT(ISERROR(SEARCH("TFO",J83)))</formula>
    </cfRule>
    <cfRule type="containsText" dxfId="385" priority="246" operator="containsText" text="AA">
      <formula>NOT(ISERROR(SEARCH("AA",J83)))</formula>
    </cfRule>
    <cfRule type="containsText" dxfId="384" priority="247" operator="containsText" text="RESIGNED">
      <formula>NOT(ISERROR(SEARCH("RESIGNED",J83)))</formula>
    </cfRule>
    <cfRule type="containsText" dxfId="383" priority="248" operator="containsText" text="P">
      <formula>NOT(ISERROR(SEARCH("P",J83)))</formula>
    </cfRule>
    <cfRule type="containsText" dxfId="382" priority="249" operator="containsText" text="TARDY">
      <formula>NOT(ISERROR(SEARCH("TARDY",J83)))</formula>
    </cfRule>
    <cfRule type="containsText" dxfId="381" priority="250" operator="containsText" text="REST DAY">
      <formula>NOT(ISERROR(SEARCH("REST DAY",J83)))</formula>
    </cfRule>
    <cfRule type="containsText" dxfId="380" priority="251" operator="containsText" text="UA">
      <formula>NOT(ISERROR(SEARCH("UA",J83)))</formula>
    </cfRule>
    <cfRule type="containsText" dxfId="379" priority="252" operator="containsText" text="LWOP UA">
      <formula>NOT(ISERROR(SEARCH("LWOP UA",J83)))</formula>
    </cfRule>
  </conditionalFormatting>
  <conditionalFormatting sqref="J83">
    <cfRule type="containsText" dxfId="378" priority="239" operator="containsText" text="VL">
      <formula>NOT(ISERROR(SEARCH("VL",J83)))</formula>
    </cfRule>
    <cfRule type="containsText" dxfId="377" priority="240" operator="containsText" text="RD">
      <formula>NOT(ISERROR(SEARCH("RD",J83)))</formula>
    </cfRule>
    <cfRule type="containsText" dxfId="376" priority="241" operator="containsText" text="540">
      <formula>NOT(ISERROR(SEARCH("540",J83)))</formula>
    </cfRule>
    <cfRule type="cellIs" dxfId="375" priority="242" operator="between">
      <formula>1</formula>
      <formula>400</formula>
    </cfRule>
    <cfRule type="containsText" dxfId="374" priority="243" operator="containsText" text="LWOP UA">
      <formula>NOT(ISERROR(SEARCH("LWOP UA",J83)))</formula>
    </cfRule>
  </conditionalFormatting>
  <conditionalFormatting sqref="J83">
    <cfRule type="containsText" dxfId="373" priority="244" operator="containsText" text="P">
      <formula>NOT(ISERROR(SEARCH("P",J83)))</formula>
    </cfRule>
  </conditionalFormatting>
  <conditionalFormatting sqref="H86:I86">
    <cfRule type="containsText" dxfId="372" priority="231" operator="containsText" text="TFO">
      <formula>NOT(ISERROR(SEARCH("TFO",H86)))</formula>
    </cfRule>
    <cfRule type="containsText" dxfId="371" priority="232" operator="containsText" text="AA">
      <formula>NOT(ISERROR(SEARCH("AA",H86)))</formula>
    </cfRule>
    <cfRule type="containsText" dxfId="370" priority="233" operator="containsText" text="RESIGNED">
      <formula>NOT(ISERROR(SEARCH("RESIGNED",H86)))</formula>
    </cfRule>
    <cfRule type="containsText" dxfId="369" priority="234" operator="containsText" text="P">
      <formula>NOT(ISERROR(SEARCH("P",H86)))</formula>
    </cfRule>
    <cfRule type="containsText" dxfId="368" priority="235" operator="containsText" text="TARDY">
      <formula>NOT(ISERROR(SEARCH("TARDY",H86)))</formula>
    </cfRule>
    <cfRule type="containsText" dxfId="367" priority="236" operator="containsText" text="REST DAY">
      <formula>NOT(ISERROR(SEARCH("REST DAY",H86)))</formula>
    </cfRule>
    <cfRule type="containsText" dxfId="366" priority="237" operator="containsText" text="UA">
      <formula>NOT(ISERROR(SEARCH("UA",H86)))</formula>
    </cfRule>
    <cfRule type="containsText" dxfId="365" priority="238" operator="containsText" text="LWOP UA">
      <formula>NOT(ISERROR(SEARCH("LWOP UA",H86)))</formula>
    </cfRule>
  </conditionalFormatting>
  <conditionalFormatting sqref="H86:I86">
    <cfRule type="containsText" dxfId="364" priority="225" operator="containsText" text="VL">
      <formula>NOT(ISERROR(SEARCH("VL",H86)))</formula>
    </cfRule>
    <cfRule type="containsText" dxfId="363" priority="226" operator="containsText" text="RD">
      <formula>NOT(ISERROR(SEARCH("RD",H86)))</formula>
    </cfRule>
    <cfRule type="containsText" dxfId="362" priority="227" operator="containsText" text="540">
      <formula>NOT(ISERROR(SEARCH("540",H86)))</formula>
    </cfRule>
    <cfRule type="cellIs" dxfId="361" priority="228" operator="between">
      <formula>1</formula>
      <formula>400</formula>
    </cfRule>
    <cfRule type="containsText" dxfId="360" priority="229" operator="containsText" text="LWOP UA">
      <formula>NOT(ISERROR(SEARCH("LWOP UA",H86)))</formula>
    </cfRule>
  </conditionalFormatting>
  <conditionalFormatting sqref="H86:I86">
    <cfRule type="containsText" dxfId="359" priority="230" operator="containsText" text="P">
      <formula>NOT(ISERROR(SEARCH("P",H86)))</formula>
    </cfRule>
  </conditionalFormatting>
  <conditionalFormatting sqref="J90">
    <cfRule type="containsText" dxfId="358" priority="217" operator="containsText" text="TFO">
      <formula>NOT(ISERROR(SEARCH("TFO",J90)))</formula>
    </cfRule>
    <cfRule type="containsText" dxfId="357" priority="218" operator="containsText" text="AA">
      <formula>NOT(ISERROR(SEARCH("AA",J90)))</formula>
    </cfRule>
    <cfRule type="containsText" dxfId="356" priority="219" operator="containsText" text="RESIGNED">
      <formula>NOT(ISERROR(SEARCH("RESIGNED",J90)))</formula>
    </cfRule>
    <cfRule type="containsText" dxfId="355" priority="220" operator="containsText" text="P">
      <formula>NOT(ISERROR(SEARCH("P",J90)))</formula>
    </cfRule>
    <cfRule type="containsText" dxfId="354" priority="221" operator="containsText" text="TARDY">
      <formula>NOT(ISERROR(SEARCH("TARDY",J90)))</formula>
    </cfRule>
    <cfRule type="containsText" dxfId="353" priority="222" operator="containsText" text="REST DAY">
      <formula>NOT(ISERROR(SEARCH("REST DAY",J90)))</formula>
    </cfRule>
    <cfRule type="containsText" dxfId="352" priority="223" operator="containsText" text="UA">
      <formula>NOT(ISERROR(SEARCH("UA",J90)))</formula>
    </cfRule>
    <cfRule type="containsText" dxfId="351" priority="224" operator="containsText" text="LWOP UA">
      <formula>NOT(ISERROR(SEARCH("LWOP UA",J90)))</formula>
    </cfRule>
  </conditionalFormatting>
  <conditionalFormatting sqref="J90">
    <cfRule type="containsText" dxfId="350" priority="211" operator="containsText" text="VL">
      <formula>NOT(ISERROR(SEARCH("VL",J90)))</formula>
    </cfRule>
    <cfRule type="containsText" dxfId="349" priority="212" operator="containsText" text="RD">
      <formula>NOT(ISERROR(SEARCH("RD",J90)))</formula>
    </cfRule>
    <cfRule type="containsText" dxfId="348" priority="213" operator="containsText" text="540">
      <formula>NOT(ISERROR(SEARCH("540",J90)))</formula>
    </cfRule>
    <cfRule type="cellIs" dxfId="347" priority="214" operator="between">
      <formula>1</formula>
      <formula>400</formula>
    </cfRule>
    <cfRule type="containsText" dxfId="346" priority="215" operator="containsText" text="LWOP UA">
      <formula>NOT(ISERROR(SEARCH("LWOP UA",J90)))</formula>
    </cfRule>
  </conditionalFormatting>
  <conditionalFormatting sqref="J90">
    <cfRule type="containsText" dxfId="345" priority="216" operator="containsText" text="P">
      <formula>NOT(ISERROR(SEARCH("P",J90)))</formula>
    </cfRule>
  </conditionalFormatting>
  <conditionalFormatting sqref="J91">
    <cfRule type="containsText" dxfId="344" priority="203" operator="containsText" text="TFO">
      <formula>NOT(ISERROR(SEARCH("TFO",J91)))</formula>
    </cfRule>
    <cfRule type="containsText" dxfId="343" priority="204" operator="containsText" text="AA">
      <formula>NOT(ISERROR(SEARCH("AA",J91)))</formula>
    </cfRule>
    <cfRule type="containsText" dxfId="342" priority="205" operator="containsText" text="RESIGNED">
      <formula>NOT(ISERROR(SEARCH("RESIGNED",J91)))</formula>
    </cfRule>
    <cfRule type="containsText" dxfId="341" priority="206" operator="containsText" text="P">
      <formula>NOT(ISERROR(SEARCH("P",J91)))</formula>
    </cfRule>
    <cfRule type="containsText" dxfId="340" priority="207" operator="containsText" text="TARDY">
      <formula>NOT(ISERROR(SEARCH("TARDY",J91)))</formula>
    </cfRule>
    <cfRule type="containsText" dxfId="339" priority="208" operator="containsText" text="REST DAY">
      <formula>NOT(ISERROR(SEARCH("REST DAY",J91)))</formula>
    </cfRule>
    <cfRule type="containsText" dxfId="338" priority="209" operator="containsText" text="UA">
      <formula>NOT(ISERROR(SEARCH("UA",J91)))</formula>
    </cfRule>
    <cfRule type="containsText" dxfId="337" priority="210" operator="containsText" text="LWOP UA">
      <formula>NOT(ISERROR(SEARCH("LWOP UA",J91)))</formula>
    </cfRule>
  </conditionalFormatting>
  <conditionalFormatting sqref="J91">
    <cfRule type="containsText" dxfId="336" priority="197" operator="containsText" text="VL">
      <formula>NOT(ISERROR(SEARCH("VL",J91)))</formula>
    </cfRule>
    <cfRule type="containsText" dxfId="335" priority="198" operator="containsText" text="RD">
      <formula>NOT(ISERROR(SEARCH("RD",J91)))</formula>
    </cfRule>
    <cfRule type="containsText" dxfId="334" priority="199" operator="containsText" text="540">
      <formula>NOT(ISERROR(SEARCH("540",J91)))</formula>
    </cfRule>
    <cfRule type="cellIs" dxfId="333" priority="200" operator="between">
      <formula>1</formula>
      <formula>400</formula>
    </cfRule>
    <cfRule type="containsText" dxfId="332" priority="201" operator="containsText" text="LWOP UA">
      <formula>NOT(ISERROR(SEARCH("LWOP UA",J91)))</formula>
    </cfRule>
  </conditionalFormatting>
  <conditionalFormatting sqref="J91">
    <cfRule type="containsText" dxfId="331" priority="202" operator="containsText" text="P">
      <formula>NOT(ISERROR(SEARCH("P",J91)))</formula>
    </cfRule>
  </conditionalFormatting>
  <conditionalFormatting sqref="J92">
    <cfRule type="containsText" dxfId="330" priority="189" operator="containsText" text="TFO">
      <formula>NOT(ISERROR(SEARCH("TFO",J92)))</formula>
    </cfRule>
    <cfRule type="containsText" dxfId="329" priority="190" operator="containsText" text="AA">
      <formula>NOT(ISERROR(SEARCH("AA",J92)))</formula>
    </cfRule>
    <cfRule type="containsText" dxfId="328" priority="191" operator="containsText" text="RESIGNED">
      <formula>NOT(ISERROR(SEARCH("RESIGNED",J92)))</formula>
    </cfRule>
    <cfRule type="containsText" dxfId="327" priority="192" operator="containsText" text="P">
      <formula>NOT(ISERROR(SEARCH("P",J92)))</formula>
    </cfRule>
    <cfRule type="containsText" dxfId="326" priority="193" operator="containsText" text="TARDY">
      <formula>NOT(ISERROR(SEARCH("TARDY",J92)))</formula>
    </cfRule>
    <cfRule type="containsText" dxfId="325" priority="194" operator="containsText" text="REST DAY">
      <formula>NOT(ISERROR(SEARCH("REST DAY",J92)))</formula>
    </cfRule>
    <cfRule type="containsText" dxfId="324" priority="195" operator="containsText" text="UA">
      <formula>NOT(ISERROR(SEARCH("UA",J92)))</formula>
    </cfRule>
    <cfRule type="containsText" dxfId="323" priority="196" operator="containsText" text="LWOP UA">
      <formula>NOT(ISERROR(SEARCH("LWOP UA",J92)))</formula>
    </cfRule>
  </conditionalFormatting>
  <conditionalFormatting sqref="J92">
    <cfRule type="containsText" dxfId="322" priority="183" operator="containsText" text="VL">
      <formula>NOT(ISERROR(SEARCH("VL",J92)))</formula>
    </cfRule>
    <cfRule type="containsText" dxfId="321" priority="184" operator="containsText" text="RD">
      <formula>NOT(ISERROR(SEARCH("RD",J92)))</formula>
    </cfRule>
    <cfRule type="containsText" dxfId="320" priority="185" operator="containsText" text="540">
      <formula>NOT(ISERROR(SEARCH("540",J92)))</formula>
    </cfRule>
    <cfRule type="cellIs" dxfId="319" priority="186" operator="between">
      <formula>1</formula>
      <formula>400</formula>
    </cfRule>
    <cfRule type="containsText" dxfId="318" priority="187" operator="containsText" text="LWOP UA">
      <formula>NOT(ISERROR(SEARCH("LWOP UA",J92)))</formula>
    </cfRule>
  </conditionalFormatting>
  <conditionalFormatting sqref="J92">
    <cfRule type="containsText" dxfId="317" priority="188" operator="containsText" text="P">
      <formula>NOT(ISERROR(SEARCH("P",J92)))</formula>
    </cfRule>
  </conditionalFormatting>
  <conditionalFormatting sqref="J78">
    <cfRule type="containsText" dxfId="316" priority="175" operator="containsText" text="TFO">
      <formula>NOT(ISERROR(SEARCH("TFO",J78)))</formula>
    </cfRule>
    <cfRule type="containsText" dxfId="315" priority="176" operator="containsText" text="AA">
      <formula>NOT(ISERROR(SEARCH("AA",J78)))</formula>
    </cfRule>
    <cfRule type="containsText" dxfId="314" priority="177" operator="containsText" text="RESIGNED">
      <formula>NOT(ISERROR(SEARCH("RESIGNED",J78)))</formula>
    </cfRule>
    <cfRule type="containsText" dxfId="313" priority="178" operator="containsText" text="P">
      <formula>NOT(ISERROR(SEARCH("P",J78)))</formula>
    </cfRule>
    <cfRule type="containsText" dxfId="312" priority="179" operator="containsText" text="TARDY">
      <formula>NOT(ISERROR(SEARCH("TARDY",J78)))</formula>
    </cfRule>
    <cfRule type="containsText" dxfId="311" priority="180" operator="containsText" text="REST DAY">
      <formula>NOT(ISERROR(SEARCH("REST DAY",J78)))</formula>
    </cfRule>
    <cfRule type="containsText" dxfId="310" priority="181" operator="containsText" text="UA">
      <formula>NOT(ISERROR(SEARCH("UA",J78)))</formula>
    </cfRule>
    <cfRule type="containsText" dxfId="309" priority="182" operator="containsText" text="LWOP UA">
      <formula>NOT(ISERROR(SEARCH("LWOP UA",J78)))</formula>
    </cfRule>
  </conditionalFormatting>
  <conditionalFormatting sqref="J78">
    <cfRule type="containsText" dxfId="308" priority="169" operator="containsText" text="VL">
      <formula>NOT(ISERROR(SEARCH("VL",J78)))</formula>
    </cfRule>
    <cfRule type="containsText" dxfId="307" priority="170" operator="containsText" text="RD">
      <formula>NOT(ISERROR(SEARCH("RD",J78)))</formula>
    </cfRule>
    <cfRule type="containsText" dxfId="306" priority="171" operator="containsText" text="540">
      <formula>NOT(ISERROR(SEARCH("540",J78)))</formula>
    </cfRule>
    <cfRule type="cellIs" dxfId="305" priority="172" operator="between">
      <formula>1</formula>
      <formula>400</formula>
    </cfRule>
    <cfRule type="containsText" dxfId="304" priority="173" operator="containsText" text="LWOP UA">
      <formula>NOT(ISERROR(SEARCH("LWOP UA",J78)))</formula>
    </cfRule>
  </conditionalFormatting>
  <conditionalFormatting sqref="J78">
    <cfRule type="containsText" dxfId="303" priority="174" operator="containsText" text="P">
      <formula>NOT(ISERROR(SEARCH("P",J78)))</formula>
    </cfRule>
  </conditionalFormatting>
  <conditionalFormatting sqref="I12:I14">
    <cfRule type="containsText" dxfId="302" priority="160" operator="containsText" text="P">
      <formula>NOT(ISERROR(SEARCH("P",I12)))</formula>
    </cfRule>
  </conditionalFormatting>
  <conditionalFormatting sqref="I12:I14">
    <cfRule type="containsText" dxfId="301" priority="168" operator="containsText" text="LWOP UA">
      <formula>NOT(ISERROR(SEARCH("LWOP UA",I12)))</formula>
    </cfRule>
  </conditionalFormatting>
  <conditionalFormatting sqref="I12:I14">
    <cfRule type="containsText" dxfId="300" priority="161" operator="containsText" text="TFO">
      <formula>NOT(ISERROR(SEARCH("TFO",I12)))</formula>
    </cfRule>
    <cfRule type="containsText" dxfId="299" priority="162" operator="containsText" text="AA">
      <formula>NOT(ISERROR(SEARCH("AA",I12)))</formula>
    </cfRule>
    <cfRule type="containsText" dxfId="298" priority="163" operator="containsText" text="RESIGNED">
      <formula>NOT(ISERROR(SEARCH("RESIGNED",I12)))</formula>
    </cfRule>
    <cfRule type="containsText" dxfId="297" priority="164" operator="containsText" text="P">
      <formula>NOT(ISERROR(SEARCH("P",I12)))</formula>
    </cfRule>
    <cfRule type="containsText" dxfId="296" priority="165" operator="containsText" text="TARDY">
      <formula>NOT(ISERROR(SEARCH("TARDY",I12)))</formula>
    </cfRule>
    <cfRule type="containsText" dxfId="295" priority="166" operator="containsText" text="REST DAY">
      <formula>NOT(ISERROR(SEARCH("REST DAY",I12)))</formula>
    </cfRule>
    <cfRule type="containsText" dxfId="294" priority="167" operator="containsText" text="UA">
      <formula>NOT(ISERROR(SEARCH("UA",I12)))</formula>
    </cfRule>
  </conditionalFormatting>
  <conditionalFormatting sqref="I12:I14">
    <cfRule type="containsText" dxfId="293" priority="159" operator="containsText" text="LWOP UA">
      <formula>NOT(ISERROR(SEARCH("LWOP UA",I12)))</formula>
    </cfRule>
  </conditionalFormatting>
  <conditionalFormatting sqref="I12:I14">
    <cfRule type="containsText" dxfId="292" priority="155" operator="containsText" text="VL">
      <formula>NOT(ISERROR(SEARCH("VL",I12)))</formula>
    </cfRule>
    <cfRule type="containsText" dxfId="291" priority="156" operator="containsText" text="RD">
      <formula>NOT(ISERROR(SEARCH("RD",I12)))</formula>
    </cfRule>
    <cfRule type="containsText" dxfId="290" priority="157" operator="containsText" text="540">
      <formula>NOT(ISERROR(SEARCH("540",I12)))</formula>
    </cfRule>
    <cfRule type="cellIs" dxfId="289" priority="158" operator="between">
      <formula>1</formula>
      <formula>400</formula>
    </cfRule>
  </conditionalFormatting>
  <conditionalFormatting sqref="I18">
    <cfRule type="containsText" dxfId="288" priority="146" operator="containsText" text="P">
      <formula>NOT(ISERROR(SEARCH("P",I18)))</formula>
    </cfRule>
  </conditionalFormatting>
  <conditionalFormatting sqref="I18">
    <cfRule type="containsText" dxfId="287" priority="154" operator="containsText" text="LWOP UA">
      <formula>NOT(ISERROR(SEARCH("LWOP UA",I18)))</formula>
    </cfRule>
  </conditionalFormatting>
  <conditionalFormatting sqref="I18">
    <cfRule type="containsText" dxfId="286" priority="147" operator="containsText" text="TFO">
      <formula>NOT(ISERROR(SEARCH("TFO",I18)))</formula>
    </cfRule>
    <cfRule type="containsText" dxfId="285" priority="148" operator="containsText" text="AA">
      <formula>NOT(ISERROR(SEARCH("AA",I18)))</formula>
    </cfRule>
    <cfRule type="containsText" dxfId="284" priority="149" operator="containsText" text="RESIGNED">
      <formula>NOT(ISERROR(SEARCH("RESIGNED",I18)))</formula>
    </cfRule>
    <cfRule type="containsText" dxfId="283" priority="150" operator="containsText" text="P">
      <formula>NOT(ISERROR(SEARCH("P",I18)))</formula>
    </cfRule>
    <cfRule type="containsText" dxfId="282" priority="151" operator="containsText" text="TARDY">
      <formula>NOT(ISERROR(SEARCH("TARDY",I18)))</formula>
    </cfRule>
    <cfRule type="containsText" dxfId="281" priority="152" operator="containsText" text="REST DAY">
      <formula>NOT(ISERROR(SEARCH("REST DAY",I18)))</formula>
    </cfRule>
    <cfRule type="containsText" dxfId="280" priority="153" operator="containsText" text="UA">
      <formula>NOT(ISERROR(SEARCH("UA",I18)))</formula>
    </cfRule>
  </conditionalFormatting>
  <conditionalFormatting sqref="I18">
    <cfRule type="containsText" dxfId="279" priority="145" operator="containsText" text="LWOP UA">
      <formula>NOT(ISERROR(SEARCH("LWOP UA",I18)))</formula>
    </cfRule>
  </conditionalFormatting>
  <conditionalFormatting sqref="I18">
    <cfRule type="containsText" dxfId="278" priority="141" operator="containsText" text="VL">
      <formula>NOT(ISERROR(SEARCH("VL",I18)))</formula>
    </cfRule>
    <cfRule type="containsText" dxfId="277" priority="142" operator="containsText" text="RD">
      <formula>NOT(ISERROR(SEARCH("RD",I18)))</formula>
    </cfRule>
    <cfRule type="containsText" dxfId="276" priority="143" operator="containsText" text="540">
      <formula>NOT(ISERROR(SEARCH("540",I18)))</formula>
    </cfRule>
    <cfRule type="cellIs" dxfId="275" priority="144" operator="between">
      <formula>1</formula>
      <formula>400</formula>
    </cfRule>
  </conditionalFormatting>
  <conditionalFormatting sqref="I22">
    <cfRule type="containsText" dxfId="274" priority="132" operator="containsText" text="P">
      <formula>NOT(ISERROR(SEARCH("P",I22)))</formula>
    </cfRule>
  </conditionalFormatting>
  <conditionalFormatting sqref="I22">
    <cfRule type="containsText" dxfId="273" priority="140" operator="containsText" text="LWOP UA">
      <formula>NOT(ISERROR(SEARCH("LWOP UA",I22)))</formula>
    </cfRule>
  </conditionalFormatting>
  <conditionalFormatting sqref="I22">
    <cfRule type="containsText" dxfId="272" priority="133" operator="containsText" text="TFO">
      <formula>NOT(ISERROR(SEARCH("TFO",I22)))</formula>
    </cfRule>
    <cfRule type="containsText" dxfId="271" priority="134" operator="containsText" text="AA">
      <formula>NOT(ISERROR(SEARCH("AA",I22)))</formula>
    </cfRule>
    <cfRule type="containsText" dxfId="270" priority="135" operator="containsText" text="RESIGNED">
      <formula>NOT(ISERROR(SEARCH("RESIGNED",I22)))</formula>
    </cfRule>
    <cfRule type="containsText" dxfId="269" priority="136" operator="containsText" text="P">
      <formula>NOT(ISERROR(SEARCH("P",I22)))</formula>
    </cfRule>
    <cfRule type="containsText" dxfId="268" priority="137" operator="containsText" text="TARDY">
      <formula>NOT(ISERROR(SEARCH("TARDY",I22)))</formula>
    </cfRule>
    <cfRule type="containsText" dxfId="267" priority="138" operator="containsText" text="REST DAY">
      <formula>NOT(ISERROR(SEARCH("REST DAY",I22)))</formula>
    </cfRule>
    <cfRule type="containsText" dxfId="266" priority="139" operator="containsText" text="UA">
      <formula>NOT(ISERROR(SEARCH("UA",I22)))</formula>
    </cfRule>
  </conditionalFormatting>
  <conditionalFormatting sqref="I22">
    <cfRule type="containsText" dxfId="265" priority="131" operator="containsText" text="LWOP UA">
      <formula>NOT(ISERROR(SEARCH("LWOP UA",I22)))</formula>
    </cfRule>
  </conditionalFormatting>
  <conditionalFormatting sqref="I22">
    <cfRule type="containsText" dxfId="264" priority="127" operator="containsText" text="VL">
      <formula>NOT(ISERROR(SEARCH("VL",I22)))</formula>
    </cfRule>
    <cfRule type="containsText" dxfId="263" priority="128" operator="containsText" text="RD">
      <formula>NOT(ISERROR(SEARCH("RD",I22)))</formula>
    </cfRule>
    <cfRule type="containsText" dxfId="262" priority="129" operator="containsText" text="540">
      <formula>NOT(ISERROR(SEARCH("540",I22)))</formula>
    </cfRule>
    <cfRule type="cellIs" dxfId="261" priority="130" operator="between">
      <formula>1</formula>
      <formula>400</formula>
    </cfRule>
  </conditionalFormatting>
  <conditionalFormatting sqref="I31">
    <cfRule type="containsText" dxfId="260" priority="118" operator="containsText" text="P">
      <formula>NOT(ISERROR(SEARCH("P",I31)))</formula>
    </cfRule>
  </conditionalFormatting>
  <conditionalFormatting sqref="I31">
    <cfRule type="containsText" dxfId="259" priority="126" operator="containsText" text="LWOP UA">
      <formula>NOT(ISERROR(SEARCH("LWOP UA",I31)))</formula>
    </cfRule>
  </conditionalFormatting>
  <conditionalFormatting sqref="I31">
    <cfRule type="containsText" dxfId="258" priority="119" operator="containsText" text="TFO">
      <formula>NOT(ISERROR(SEARCH("TFO",I31)))</formula>
    </cfRule>
    <cfRule type="containsText" dxfId="257" priority="120" operator="containsText" text="AA">
      <formula>NOT(ISERROR(SEARCH("AA",I31)))</formula>
    </cfRule>
    <cfRule type="containsText" dxfId="256" priority="121" operator="containsText" text="RESIGNED">
      <formula>NOT(ISERROR(SEARCH("RESIGNED",I31)))</formula>
    </cfRule>
    <cfRule type="containsText" dxfId="255" priority="122" operator="containsText" text="P">
      <formula>NOT(ISERROR(SEARCH("P",I31)))</formula>
    </cfRule>
    <cfRule type="containsText" dxfId="254" priority="123" operator="containsText" text="TARDY">
      <formula>NOT(ISERROR(SEARCH("TARDY",I31)))</formula>
    </cfRule>
    <cfRule type="containsText" dxfId="253" priority="124" operator="containsText" text="REST DAY">
      <formula>NOT(ISERROR(SEARCH("REST DAY",I31)))</formula>
    </cfRule>
    <cfRule type="containsText" dxfId="252" priority="125" operator="containsText" text="UA">
      <formula>NOT(ISERROR(SEARCH("UA",I31)))</formula>
    </cfRule>
  </conditionalFormatting>
  <conditionalFormatting sqref="I31">
    <cfRule type="containsText" dxfId="251" priority="117" operator="containsText" text="LWOP UA">
      <formula>NOT(ISERROR(SEARCH("LWOP UA",I31)))</formula>
    </cfRule>
  </conditionalFormatting>
  <conditionalFormatting sqref="I31">
    <cfRule type="containsText" dxfId="250" priority="113" operator="containsText" text="VL">
      <formula>NOT(ISERROR(SEARCH("VL",I31)))</formula>
    </cfRule>
    <cfRule type="containsText" dxfId="249" priority="114" operator="containsText" text="RD">
      <formula>NOT(ISERROR(SEARCH("RD",I31)))</formula>
    </cfRule>
    <cfRule type="containsText" dxfId="248" priority="115" operator="containsText" text="540">
      <formula>NOT(ISERROR(SEARCH("540",I31)))</formula>
    </cfRule>
    <cfRule type="cellIs" dxfId="247" priority="116" operator="between">
      <formula>1</formula>
      <formula>400</formula>
    </cfRule>
  </conditionalFormatting>
  <conditionalFormatting sqref="I33">
    <cfRule type="containsText" dxfId="246" priority="104" operator="containsText" text="P">
      <formula>NOT(ISERROR(SEARCH("P",I33)))</formula>
    </cfRule>
  </conditionalFormatting>
  <conditionalFormatting sqref="I33">
    <cfRule type="containsText" dxfId="245" priority="112" operator="containsText" text="LWOP UA">
      <formula>NOT(ISERROR(SEARCH("LWOP UA",I33)))</formula>
    </cfRule>
  </conditionalFormatting>
  <conditionalFormatting sqref="I33">
    <cfRule type="containsText" dxfId="244" priority="105" operator="containsText" text="TFO">
      <formula>NOT(ISERROR(SEARCH("TFO",I33)))</formula>
    </cfRule>
    <cfRule type="containsText" dxfId="243" priority="106" operator="containsText" text="AA">
      <formula>NOT(ISERROR(SEARCH("AA",I33)))</formula>
    </cfRule>
    <cfRule type="containsText" dxfId="242" priority="107" operator="containsText" text="RESIGNED">
      <formula>NOT(ISERROR(SEARCH("RESIGNED",I33)))</formula>
    </cfRule>
    <cfRule type="containsText" dxfId="241" priority="108" operator="containsText" text="P">
      <formula>NOT(ISERROR(SEARCH("P",I33)))</formula>
    </cfRule>
    <cfRule type="containsText" dxfId="240" priority="109" operator="containsText" text="TARDY">
      <formula>NOT(ISERROR(SEARCH("TARDY",I33)))</formula>
    </cfRule>
    <cfRule type="containsText" dxfId="239" priority="110" operator="containsText" text="REST DAY">
      <formula>NOT(ISERROR(SEARCH("REST DAY",I33)))</formula>
    </cfRule>
    <cfRule type="containsText" dxfId="238" priority="111" operator="containsText" text="UA">
      <formula>NOT(ISERROR(SEARCH("UA",I33)))</formula>
    </cfRule>
  </conditionalFormatting>
  <conditionalFormatting sqref="I33">
    <cfRule type="containsText" dxfId="237" priority="103" operator="containsText" text="LWOP UA">
      <formula>NOT(ISERROR(SEARCH("LWOP UA",I33)))</formula>
    </cfRule>
  </conditionalFormatting>
  <conditionalFormatting sqref="I33">
    <cfRule type="containsText" dxfId="236" priority="99" operator="containsText" text="VL">
      <formula>NOT(ISERROR(SEARCH("VL",I33)))</formula>
    </cfRule>
    <cfRule type="containsText" dxfId="235" priority="100" operator="containsText" text="RD">
      <formula>NOT(ISERROR(SEARCH("RD",I33)))</formula>
    </cfRule>
    <cfRule type="containsText" dxfId="234" priority="101" operator="containsText" text="540">
      <formula>NOT(ISERROR(SEARCH("540",I33)))</formula>
    </cfRule>
    <cfRule type="cellIs" dxfId="233" priority="102" operator="between">
      <formula>1</formula>
      <formula>400</formula>
    </cfRule>
  </conditionalFormatting>
  <conditionalFormatting sqref="J33">
    <cfRule type="containsText" dxfId="232" priority="90" operator="containsText" text="P">
      <formula>NOT(ISERROR(SEARCH("P",J33)))</formula>
    </cfRule>
  </conditionalFormatting>
  <conditionalFormatting sqref="J33">
    <cfRule type="containsText" dxfId="231" priority="98" operator="containsText" text="LWOP UA">
      <formula>NOT(ISERROR(SEARCH("LWOP UA",J33)))</formula>
    </cfRule>
  </conditionalFormatting>
  <conditionalFormatting sqref="J33">
    <cfRule type="containsText" dxfId="230" priority="91" operator="containsText" text="TFO">
      <formula>NOT(ISERROR(SEARCH("TFO",J33)))</formula>
    </cfRule>
    <cfRule type="containsText" dxfId="229" priority="92" operator="containsText" text="AA">
      <formula>NOT(ISERROR(SEARCH("AA",J33)))</formula>
    </cfRule>
    <cfRule type="containsText" dxfId="228" priority="93" operator="containsText" text="RESIGNED">
      <formula>NOT(ISERROR(SEARCH("RESIGNED",J33)))</formula>
    </cfRule>
    <cfRule type="containsText" dxfId="227" priority="94" operator="containsText" text="P">
      <formula>NOT(ISERROR(SEARCH("P",J33)))</formula>
    </cfRule>
    <cfRule type="containsText" dxfId="226" priority="95" operator="containsText" text="TARDY">
      <formula>NOT(ISERROR(SEARCH("TARDY",J33)))</formula>
    </cfRule>
    <cfRule type="containsText" dxfId="225" priority="96" operator="containsText" text="REST DAY">
      <formula>NOT(ISERROR(SEARCH("REST DAY",J33)))</formula>
    </cfRule>
    <cfRule type="containsText" dxfId="224" priority="97" operator="containsText" text="UA">
      <formula>NOT(ISERROR(SEARCH("UA",J33)))</formula>
    </cfRule>
  </conditionalFormatting>
  <conditionalFormatting sqref="J33">
    <cfRule type="containsText" dxfId="223" priority="89" operator="containsText" text="LWOP UA">
      <formula>NOT(ISERROR(SEARCH("LWOP UA",J33)))</formula>
    </cfRule>
  </conditionalFormatting>
  <conditionalFormatting sqref="J33">
    <cfRule type="containsText" dxfId="222" priority="85" operator="containsText" text="VL">
      <formula>NOT(ISERROR(SEARCH("VL",J33)))</formula>
    </cfRule>
    <cfRule type="containsText" dxfId="221" priority="86" operator="containsText" text="RD">
      <formula>NOT(ISERROR(SEARCH("RD",J33)))</formula>
    </cfRule>
    <cfRule type="containsText" dxfId="220" priority="87" operator="containsText" text="540">
      <formula>NOT(ISERROR(SEARCH("540",J33)))</formula>
    </cfRule>
    <cfRule type="cellIs" dxfId="219" priority="88" operator="between">
      <formula>1</formula>
      <formula>400</formula>
    </cfRule>
  </conditionalFormatting>
  <conditionalFormatting sqref="I46">
    <cfRule type="containsText" dxfId="218" priority="76" operator="containsText" text="P">
      <formula>NOT(ISERROR(SEARCH("P",I46)))</formula>
    </cfRule>
  </conditionalFormatting>
  <conditionalFormatting sqref="I46">
    <cfRule type="containsText" dxfId="217" priority="84" operator="containsText" text="LWOP UA">
      <formula>NOT(ISERROR(SEARCH("LWOP UA",I46)))</formula>
    </cfRule>
  </conditionalFormatting>
  <conditionalFormatting sqref="I46">
    <cfRule type="containsText" dxfId="216" priority="77" operator="containsText" text="TFO">
      <formula>NOT(ISERROR(SEARCH("TFO",I46)))</formula>
    </cfRule>
    <cfRule type="containsText" dxfId="215" priority="78" operator="containsText" text="AA">
      <formula>NOT(ISERROR(SEARCH("AA",I46)))</formula>
    </cfRule>
    <cfRule type="containsText" dxfId="214" priority="79" operator="containsText" text="RESIGNED">
      <formula>NOT(ISERROR(SEARCH("RESIGNED",I46)))</formula>
    </cfRule>
    <cfRule type="containsText" dxfId="213" priority="80" operator="containsText" text="P">
      <formula>NOT(ISERROR(SEARCH("P",I46)))</formula>
    </cfRule>
    <cfRule type="containsText" dxfId="212" priority="81" operator="containsText" text="TARDY">
      <formula>NOT(ISERROR(SEARCH("TARDY",I46)))</formula>
    </cfRule>
    <cfRule type="containsText" dxfId="211" priority="82" operator="containsText" text="REST DAY">
      <formula>NOT(ISERROR(SEARCH("REST DAY",I46)))</formula>
    </cfRule>
    <cfRule type="containsText" dxfId="210" priority="83" operator="containsText" text="UA">
      <formula>NOT(ISERROR(SEARCH("UA",I46)))</formula>
    </cfRule>
  </conditionalFormatting>
  <conditionalFormatting sqref="I46">
    <cfRule type="containsText" dxfId="209" priority="75" operator="containsText" text="LWOP UA">
      <formula>NOT(ISERROR(SEARCH("LWOP UA",I46)))</formula>
    </cfRule>
  </conditionalFormatting>
  <conditionalFormatting sqref="I46">
    <cfRule type="containsText" dxfId="208" priority="71" operator="containsText" text="VL">
      <formula>NOT(ISERROR(SEARCH("VL",I46)))</formula>
    </cfRule>
    <cfRule type="containsText" dxfId="207" priority="72" operator="containsText" text="RD">
      <formula>NOT(ISERROR(SEARCH("RD",I46)))</formula>
    </cfRule>
    <cfRule type="containsText" dxfId="206" priority="73" operator="containsText" text="540">
      <formula>NOT(ISERROR(SEARCH("540",I46)))</formula>
    </cfRule>
    <cfRule type="cellIs" dxfId="205" priority="74" operator="between">
      <formula>1</formula>
      <formula>400</formula>
    </cfRule>
  </conditionalFormatting>
  <conditionalFormatting sqref="I50">
    <cfRule type="containsText" dxfId="204" priority="62" operator="containsText" text="P">
      <formula>NOT(ISERROR(SEARCH("P",I50)))</formula>
    </cfRule>
  </conditionalFormatting>
  <conditionalFormatting sqref="I50">
    <cfRule type="containsText" dxfId="203" priority="70" operator="containsText" text="LWOP UA">
      <formula>NOT(ISERROR(SEARCH("LWOP UA",I50)))</formula>
    </cfRule>
  </conditionalFormatting>
  <conditionalFormatting sqref="I50">
    <cfRule type="containsText" dxfId="202" priority="63" operator="containsText" text="TFO">
      <formula>NOT(ISERROR(SEARCH("TFO",I50)))</formula>
    </cfRule>
    <cfRule type="containsText" dxfId="201" priority="64" operator="containsText" text="AA">
      <formula>NOT(ISERROR(SEARCH("AA",I50)))</formula>
    </cfRule>
    <cfRule type="containsText" dxfId="200" priority="65" operator="containsText" text="RESIGNED">
      <formula>NOT(ISERROR(SEARCH("RESIGNED",I50)))</formula>
    </cfRule>
    <cfRule type="containsText" dxfId="199" priority="66" operator="containsText" text="P">
      <formula>NOT(ISERROR(SEARCH("P",I50)))</formula>
    </cfRule>
    <cfRule type="containsText" dxfId="198" priority="67" operator="containsText" text="TARDY">
      <formula>NOT(ISERROR(SEARCH("TARDY",I50)))</formula>
    </cfRule>
    <cfRule type="containsText" dxfId="197" priority="68" operator="containsText" text="REST DAY">
      <formula>NOT(ISERROR(SEARCH("REST DAY",I50)))</formula>
    </cfRule>
    <cfRule type="containsText" dxfId="196" priority="69" operator="containsText" text="UA">
      <formula>NOT(ISERROR(SEARCH("UA",I50)))</formula>
    </cfRule>
  </conditionalFormatting>
  <conditionalFormatting sqref="I50">
    <cfRule type="containsText" dxfId="195" priority="61" operator="containsText" text="LWOP UA">
      <formula>NOT(ISERROR(SEARCH("LWOP UA",I50)))</formula>
    </cfRule>
  </conditionalFormatting>
  <conditionalFormatting sqref="I50">
    <cfRule type="containsText" dxfId="194" priority="57" operator="containsText" text="VL">
      <formula>NOT(ISERROR(SEARCH("VL",I50)))</formula>
    </cfRule>
    <cfRule type="containsText" dxfId="193" priority="58" operator="containsText" text="RD">
      <formula>NOT(ISERROR(SEARCH("RD",I50)))</formula>
    </cfRule>
    <cfRule type="containsText" dxfId="192" priority="59" operator="containsText" text="540">
      <formula>NOT(ISERROR(SEARCH("540",I50)))</formula>
    </cfRule>
    <cfRule type="cellIs" dxfId="191" priority="60" operator="between">
      <formula>1</formula>
      <formula>400</formula>
    </cfRule>
  </conditionalFormatting>
  <conditionalFormatting sqref="I73:J73">
    <cfRule type="containsText" dxfId="190" priority="48" operator="containsText" text="P">
      <formula>NOT(ISERROR(SEARCH("P",I73)))</formula>
    </cfRule>
  </conditionalFormatting>
  <conditionalFormatting sqref="I73:J73">
    <cfRule type="containsText" dxfId="189" priority="56" operator="containsText" text="LWOP UA">
      <formula>NOT(ISERROR(SEARCH("LWOP UA",I73)))</formula>
    </cfRule>
  </conditionalFormatting>
  <conditionalFormatting sqref="I73:J73">
    <cfRule type="containsText" dxfId="188" priority="49" operator="containsText" text="TFO">
      <formula>NOT(ISERROR(SEARCH("TFO",I73)))</formula>
    </cfRule>
    <cfRule type="containsText" dxfId="187" priority="50" operator="containsText" text="AA">
      <formula>NOT(ISERROR(SEARCH("AA",I73)))</formula>
    </cfRule>
    <cfRule type="containsText" dxfId="186" priority="51" operator="containsText" text="RESIGNED">
      <formula>NOT(ISERROR(SEARCH("RESIGNED",I73)))</formula>
    </cfRule>
    <cfRule type="containsText" dxfId="185" priority="52" operator="containsText" text="P">
      <formula>NOT(ISERROR(SEARCH("P",I73)))</formula>
    </cfRule>
    <cfRule type="containsText" dxfId="184" priority="53" operator="containsText" text="TARDY">
      <formula>NOT(ISERROR(SEARCH("TARDY",I73)))</formula>
    </cfRule>
    <cfRule type="containsText" dxfId="183" priority="54" operator="containsText" text="REST DAY">
      <formula>NOT(ISERROR(SEARCH("REST DAY",I73)))</formula>
    </cfRule>
    <cfRule type="containsText" dxfId="182" priority="55" operator="containsText" text="UA">
      <formula>NOT(ISERROR(SEARCH("UA",I73)))</formula>
    </cfRule>
  </conditionalFormatting>
  <conditionalFormatting sqref="I73:J73">
    <cfRule type="containsText" dxfId="181" priority="47" operator="containsText" text="LWOP UA">
      <formula>NOT(ISERROR(SEARCH("LWOP UA",I73)))</formula>
    </cfRule>
  </conditionalFormatting>
  <conditionalFormatting sqref="I73:J73">
    <cfRule type="containsText" dxfId="180" priority="43" operator="containsText" text="VL">
      <formula>NOT(ISERROR(SEARCH("VL",I73)))</formula>
    </cfRule>
    <cfRule type="containsText" dxfId="179" priority="44" operator="containsText" text="RD">
      <formula>NOT(ISERROR(SEARCH("RD",I73)))</formula>
    </cfRule>
    <cfRule type="containsText" dxfId="178" priority="45" operator="containsText" text="540">
      <formula>NOT(ISERROR(SEARCH("540",I73)))</formula>
    </cfRule>
    <cfRule type="cellIs" dxfId="177" priority="46" operator="between">
      <formula>1</formula>
      <formula>400</formula>
    </cfRule>
  </conditionalFormatting>
  <conditionalFormatting sqref="I81">
    <cfRule type="containsText" dxfId="176" priority="34" operator="containsText" text="P">
      <formula>NOT(ISERROR(SEARCH("P",I81)))</formula>
    </cfRule>
  </conditionalFormatting>
  <conditionalFormatting sqref="I81">
    <cfRule type="containsText" dxfId="175" priority="42" operator="containsText" text="LWOP UA">
      <formula>NOT(ISERROR(SEARCH("LWOP UA",I81)))</formula>
    </cfRule>
  </conditionalFormatting>
  <conditionalFormatting sqref="I81">
    <cfRule type="containsText" dxfId="174" priority="35" operator="containsText" text="TFO">
      <formula>NOT(ISERROR(SEARCH("TFO",I81)))</formula>
    </cfRule>
    <cfRule type="containsText" dxfId="173" priority="36" operator="containsText" text="AA">
      <formula>NOT(ISERROR(SEARCH("AA",I81)))</formula>
    </cfRule>
    <cfRule type="containsText" dxfId="172" priority="37" operator="containsText" text="RESIGNED">
      <formula>NOT(ISERROR(SEARCH("RESIGNED",I81)))</formula>
    </cfRule>
    <cfRule type="containsText" dxfId="171" priority="38" operator="containsText" text="P">
      <formula>NOT(ISERROR(SEARCH("P",I81)))</formula>
    </cfRule>
    <cfRule type="containsText" dxfId="170" priority="39" operator="containsText" text="TARDY">
      <formula>NOT(ISERROR(SEARCH("TARDY",I81)))</formula>
    </cfRule>
    <cfRule type="containsText" dxfId="169" priority="40" operator="containsText" text="REST DAY">
      <formula>NOT(ISERROR(SEARCH("REST DAY",I81)))</formula>
    </cfRule>
    <cfRule type="containsText" dxfId="168" priority="41" operator="containsText" text="UA">
      <formula>NOT(ISERROR(SEARCH("UA",I81)))</formula>
    </cfRule>
  </conditionalFormatting>
  <conditionalFormatting sqref="I81">
    <cfRule type="containsText" dxfId="167" priority="33" operator="containsText" text="LWOP UA">
      <formula>NOT(ISERROR(SEARCH("LWOP UA",I81)))</formula>
    </cfRule>
  </conditionalFormatting>
  <conditionalFormatting sqref="I81">
    <cfRule type="containsText" dxfId="166" priority="29" operator="containsText" text="VL">
      <formula>NOT(ISERROR(SEARCH("VL",I81)))</formula>
    </cfRule>
    <cfRule type="containsText" dxfId="165" priority="30" operator="containsText" text="RD">
      <formula>NOT(ISERROR(SEARCH("RD",I81)))</formula>
    </cfRule>
    <cfRule type="containsText" dxfId="164" priority="31" operator="containsText" text="540">
      <formula>NOT(ISERROR(SEARCH("540",I81)))</formula>
    </cfRule>
    <cfRule type="cellIs" dxfId="163" priority="32" operator="between">
      <formula>1</formula>
      <formula>400</formula>
    </cfRule>
  </conditionalFormatting>
  <conditionalFormatting sqref="I85">
    <cfRule type="containsText" dxfId="162" priority="20" operator="containsText" text="P">
      <formula>NOT(ISERROR(SEARCH("P",I85)))</formula>
    </cfRule>
  </conditionalFormatting>
  <conditionalFormatting sqref="I85">
    <cfRule type="containsText" dxfId="161" priority="28" operator="containsText" text="LWOP UA">
      <formula>NOT(ISERROR(SEARCH("LWOP UA",I85)))</formula>
    </cfRule>
  </conditionalFormatting>
  <conditionalFormatting sqref="I85">
    <cfRule type="containsText" dxfId="160" priority="21" operator="containsText" text="TFO">
      <formula>NOT(ISERROR(SEARCH("TFO",I85)))</formula>
    </cfRule>
    <cfRule type="containsText" dxfId="159" priority="22" operator="containsText" text="AA">
      <formula>NOT(ISERROR(SEARCH("AA",I85)))</formula>
    </cfRule>
    <cfRule type="containsText" dxfId="158" priority="23" operator="containsText" text="RESIGNED">
      <formula>NOT(ISERROR(SEARCH("RESIGNED",I85)))</formula>
    </cfRule>
    <cfRule type="containsText" dxfId="157" priority="24" operator="containsText" text="P">
      <formula>NOT(ISERROR(SEARCH("P",I85)))</formula>
    </cfRule>
    <cfRule type="containsText" dxfId="156" priority="25" operator="containsText" text="TARDY">
      <formula>NOT(ISERROR(SEARCH("TARDY",I85)))</formula>
    </cfRule>
    <cfRule type="containsText" dxfId="155" priority="26" operator="containsText" text="REST DAY">
      <formula>NOT(ISERROR(SEARCH("REST DAY",I85)))</formula>
    </cfRule>
    <cfRule type="containsText" dxfId="154" priority="27" operator="containsText" text="UA">
      <formula>NOT(ISERROR(SEARCH("UA",I85)))</formula>
    </cfRule>
  </conditionalFormatting>
  <conditionalFormatting sqref="I85">
    <cfRule type="containsText" dxfId="153" priority="19" operator="containsText" text="LWOP UA">
      <formula>NOT(ISERROR(SEARCH("LWOP UA",I85)))</formula>
    </cfRule>
  </conditionalFormatting>
  <conditionalFormatting sqref="I85">
    <cfRule type="containsText" dxfId="152" priority="15" operator="containsText" text="VL">
      <formula>NOT(ISERROR(SEARCH("VL",I85)))</formula>
    </cfRule>
    <cfRule type="containsText" dxfId="151" priority="16" operator="containsText" text="RD">
      <formula>NOT(ISERROR(SEARCH("RD",I85)))</formula>
    </cfRule>
    <cfRule type="containsText" dxfId="150" priority="17" operator="containsText" text="540">
      <formula>NOT(ISERROR(SEARCH("540",I85)))</formula>
    </cfRule>
    <cfRule type="cellIs" dxfId="149" priority="18" operator="between">
      <formula>1</formula>
      <formula>400</formula>
    </cfRule>
  </conditionalFormatting>
  <conditionalFormatting sqref="I91">
    <cfRule type="containsText" dxfId="148" priority="6" operator="containsText" text="P">
      <formula>NOT(ISERROR(SEARCH("P",I91)))</formula>
    </cfRule>
  </conditionalFormatting>
  <conditionalFormatting sqref="I91">
    <cfRule type="containsText" dxfId="147" priority="14" operator="containsText" text="LWOP UA">
      <formula>NOT(ISERROR(SEARCH("LWOP UA",I91)))</formula>
    </cfRule>
  </conditionalFormatting>
  <conditionalFormatting sqref="I91">
    <cfRule type="containsText" dxfId="146" priority="7" operator="containsText" text="TFO">
      <formula>NOT(ISERROR(SEARCH("TFO",I91)))</formula>
    </cfRule>
    <cfRule type="containsText" dxfId="145" priority="8" operator="containsText" text="AA">
      <formula>NOT(ISERROR(SEARCH("AA",I91)))</formula>
    </cfRule>
    <cfRule type="containsText" dxfId="144" priority="9" operator="containsText" text="RESIGNED">
      <formula>NOT(ISERROR(SEARCH("RESIGNED",I91)))</formula>
    </cfRule>
    <cfRule type="containsText" dxfId="143" priority="10" operator="containsText" text="P">
      <formula>NOT(ISERROR(SEARCH("P",I91)))</formula>
    </cfRule>
    <cfRule type="containsText" dxfId="142" priority="11" operator="containsText" text="TARDY">
      <formula>NOT(ISERROR(SEARCH("TARDY",I91)))</formula>
    </cfRule>
    <cfRule type="containsText" dxfId="141" priority="12" operator="containsText" text="REST DAY">
      <formula>NOT(ISERROR(SEARCH("REST DAY",I91)))</formula>
    </cfRule>
    <cfRule type="containsText" dxfId="140" priority="13" operator="containsText" text="UA">
      <formula>NOT(ISERROR(SEARCH("UA",I91)))</formula>
    </cfRule>
  </conditionalFormatting>
  <conditionalFormatting sqref="I91">
    <cfRule type="containsText" dxfId="139" priority="5" operator="containsText" text="LWOP UA">
      <formula>NOT(ISERROR(SEARCH("LWOP UA",I91)))</formula>
    </cfRule>
  </conditionalFormatting>
  <conditionalFormatting sqref="I91">
    <cfRule type="containsText" dxfId="138" priority="1" operator="containsText" text="VL">
      <formula>NOT(ISERROR(SEARCH("VL",I91)))</formula>
    </cfRule>
    <cfRule type="containsText" dxfId="137" priority="2" operator="containsText" text="RD">
      <formula>NOT(ISERROR(SEARCH("RD",I91)))</formula>
    </cfRule>
    <cfRule type="containsText" dxfId="136" priority="3" operator="containsText" text="540">
      <formula>NOT(ISERROR(SEARCH("540",I91)))</formula>
    </cfRule>
    <cfRule type="cellIs" dxfId="135" priority="4" operator="between">
      <formula>1</formula>
      <formula>400</formula>
    </cfRule>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C84C07-A48E-4FFB-A7A5-361C7DA59C06}">
  <dimension ref="A1:U29"/>
  <sheetViews>
    <sheetView showGridLines="0" workbookViewId="0">
      <selection activeCell="E5" sqref="E5"/>
    </sheetView>
  </sheetViews>
  <sheetFormatPr defaultRowHeight="15"/>
  <cols>
    <col min="1" max="1" width="17.7109375" bestFit="1" customWidth="1"/>
    <col min="10" max="11" width="10.42578125" bestFit="1" customWidth="1"/>
  </cols>
  <sheetData>
    <row r="1" spans="1:21">
      <c r="C1" s="58"/>
      <c r="D1" s="50">
        <v>45839</v>
      </c>
      <c r="E1" s="50">
        <v>45840</v>
      </c>
      <c r="F1" s="50">
        <v>45841</v>
      </c>
      <c r="G1" s="50">
        <v>45842</v>
      </c>
      <c r="H1" s="50">
        <v>45843</v>
      </c>
    </row>
    <row r="2" spans="1:21">
      <c r="A2" s="1" t="s">
        <v>2</v>
      </c>
      <c r="B2" s="1" t="s">
        <v>0</v>
      </c>
      <c r="C2" s="17" t="s">
        <v>3</v>
      </c>
      <c r="D2" s="8" t="s">
        <v>137</v>
      </c>
      <c r="E2" s="8" t="s">
        <v>138</v>
      </c>
      <c r="F2" s="8" t="s">
        <v>139</v>
      </c>
      <c r="G2" s="8" t="s">
        <v>140</v>
      </c>
      <c r="H2" s="8" t="s">
        <v>141</v>
      </c>
      <c r="I2" s="53" t="s">
        <v>4</v>
      </c>
      <c r="J2" s="1" t="s">
        <v>186</v>
      </c>
      <c r="K2" s="1" t="s">
        <v>5</v>
      </c>
      <c r="L2" s="1" t="s">
        <v>6</v>
      </c>
      <c r="M2" s="1" t="s">
        <v>7</v>
      </c>
      <c r="N2" s="1" t="s">
        <v>8</v>
      </c>
      <c r="O2" s="1" t="s">
        <v>9</v>
      </c>
      <c r="P2" s="1" t="s">
        <v>182</v>
      </c>
      <c r="Q2" s="1" t="s">
        <v>183</v>
      </c>
      <c r="R2" s="1" t="s">
        <v>147</v>
      </c>
      <c r="S2" s="2" t="s">
        <v>12</v>
      </c>
      <c r="T2" s="2" t="s">
        <v>14</v>
      </c>
      <c r="U2" s="3" t="s">
        <v>184</v>
      </c>
    </row>
    <row r="3" spans="1:21">
      <c r="A3" s="61" t="s">
        <v>208</v>
      </c>
      <c r="B3" s="62" t="s">
        <v>37</v>
      </c>
      <c r="C3" s="61" t="s">
        <v>340</v>
      </c>
      <c r="D3" s="9" t="s">
        <v>147</v>
      </c>
      <c r="E3" s="9">
        <v>450</v>
      </c>
      <c r="F3" s="9">
        <v>17</v>
      </c>
      <c r="G3" s="9" t="s">
        <v>148</v>
      </c>
      <c r="H3" s="9" t="s">
        <v>148</v>
      </c>
      <c r="I3" s="54">
        <f>SUM(D3:H3)</f>
        <v>467</v>
      </c>
      <c r="J3" s="16">
        <f>I3-K3</f>
        <v>17</v>
      </c>
      <c r="K3" s="5">
        <f>SUMIF(D3:H3,"450")</f>
        <v>450</v>
      </c>
      <c r="L3" s="16">
        <f>J3+K3</f>
        <v>467</v>
      </c>
      <c r="M3">
        <f>P3*450</f>
        <v>1800</v>
      </c>
      <c r="N3">
        <f>M3-L3</f>
        <v>1333</v>
      </c>
      <c r="O3">
        <f>N3/M3</f>
        <v>0.74055555555555552</v>
      </c>
      <c r="P3">
        <f>Q3-(S3+T3)</f>
        <v>4</v>
      </c>
      <c r="Q3">
        <f>5-R3</f>
        <v>4</v>
      </c>
      <c r="R3" s="5">
        <f>COUNTIF(D3:H3,"RD")</f>
        <v>1</v>
      </c>
      <c r="S3" s="5">
        <f>COUNTIF(D3:H3,"VL")</f>
        <v>0</v>
      </c>
      <c r="T3" s="5">
        <f>COUNTIF(D3:H3,"LWOP")</f>
        <v>0</v>
      </c>
      <c r="U3" s="5">
        <f>COUNTIF(D3:H3,"450")</f>
        <v>1</v>
      </c>
    </row>
    <row r="4" spans="1:21">
      <c r="A4" s="63" t="s">
        <v>215</v>
      </c>
      <c r="B4" s="62" t="s">
        <v>37</v>
      </c>
      <c r="C4" s="63" t="s">
        <v>340</v>
      </c>
      <c r="D4" s="9" t="s">
        <v>147</v>
      </c>
      <c r="E4" s="9" t="s">
        <v>148</v>
      </c>
      <c r="F4" s="9" t="s">
        <v>148</v>
      </c>
      <c r="G4" s="9" t="s">
        <v>148</v>
      </c>
      <c r="H4" s="9" t="s">
        <v>148</v>
      </c>
      <c r="I4" s="54">
        <f t="shared" ref="I4:I26" si="0">SUM(D4:H4)</f>
        <v>0</v>
      </c>
      <c r="J4" s="16">
        <f t="shared" ref="J4:J26" si="1">I4-K4</f>
        <v>0</v>
      </c>
      <c r="K4" s="5">
        <f t="shared" ref="K4:K26" si="2">SUMIF(D4:H4,"450")</f>
        <v>0</v>
      </c>
      <c r="L4" s="16">
        <f t="shared" ref="L4:L26" si="3">J4+K4</f>
        <v>0</v>
      </c>
      <c r="M4">
        <f t="shared" ref="M4:M26" si="4">P4*450</f>
        <v>1800</v>
      </c>
      <c r="N4">
        <f t="shared" ref="N4:N26" si="5">M4-L4</f>
        <v>1800</v>
      </c>
      <c r="O4">
        <f t="shared" ref="O4:O26" si="6">N4/M4</f>
        <v>1</v>
      </c>
      <c r="P4">
        <f t="shared" ref="P4:P26" si="7">Q4-(S4+T4)</f>
        <v>4</v>
      </c>
      <c r="Q4">
        <f t="shared" ref="Q4:Q26" si="8">5-R4</f>
        <v>4</v>
      </c>
      <c r="R4" s="5">
        <f t="shared" ref="R4:R26" si="9">COUNTIF(D4:H4,"RD")</f>
        <v>1</v>
      </c>
      <c r="S4" s="5">
        <f t="shared" ref="S4:S26" si="10">COUNTIF(D4:H4,"VL")</f>
        <v>0</v>
      </c>
      <c r="T4" s="5">
        <f t="shared" ref="T4:T26" si="11">COUNTIF(D4:H4,"LWOP")</f>
        <v>0</v>
      </c>
      <c r="U4" s="5">
        <f t="shared" ref="U4:U26" si="12">COUNTIF(D4:H4,"450")</f>
        <v>0</v>
      </c>
    </row>
    <row r="5" spans="1:21">
      <c r="A5" s="63" t="s">
        <v>318</v>
      </c>
      <c r="B5" s="62" t="s">
        <v>341</v>
      </c>
      <c r="C5" s="63" t="s">
        <v>340</v>
      </c>
      <c r="D5" s="9" t="s">
        <v>148</v>
      </c>
      <c r="E5" s="9" t="s">
        <v>148</v>
      </c>
      <c r="F5" s="9" t="s">
        <v>148</v>
      </c>
      <c r="G5" s="9" t="s">
        <v>148</v>
      </c>
      <c r="H5" s="9" t="s">
        <v>147</v>
      </c>
      <c r="I5" s="54">
        <f t="shared" si="0"/>
        <v>0</v>
      </c>
      <c r="J5" s="16">
        <f t="shared" si="1"/>
        <v>0</v>
      </c>
      <c r="K5" s="5">
        <f t="shared" si="2"/>
        <v>0</v>
      </c>
      <c r="L5" s="16">
        <f t="shared" si="3"/>
        <v>0</v>
      </c>
      <c r="M5">
        <f t="shared" si="4"/>
        <v>1800</v>
      </c>
      <c r="N5">
        <f t="shared" si="5"/>
        <v>1800</v>
      </c>
      <c r="O5">
        <f t="shared" si="6"/>
        <v>1</v>
      </c>
      <c r="P5">
        <f t="shared" si="7"/>
        <v>4</v>
      </c>
      <c r="Q5">
        <f t="shared" si="8"/>
        <v>4</v>
      </c>
      <c r="R5" s="5">
        <f t="shared" si="9"/>
        <v>1</v>
      </c>
      <c r="S5" s="5">
        <f t="shared" si="10"/>
        <v>0</v>
      </c>
      <c r="T5" s="5">
        <f t="shared" si="11"/>
        <v>0</v>
      </c>
      <c r="U5" s="5">
        <f t="shared" si="12"/>
        <v>0</v>
      </c>
    </row>
    <row r="6" spans="1:21">
      <c r="A6" s="63" t="s">
        <v>217</v>
      </c>
      <c r="B6" s="62" t="s">
        <v>341</v>
      </c>
      <c r="C6" s="63" t="s">
        <v>340</v>
      </c>
      <c r="D6" s="9" t="s">
        <v>148</v>
      </c>
      <c r="E6" s="9" t="s">
        <v>148</v>
      </c>
      <c r="F6" s="9" t="s">
        <v>148</v>
      </c>
      <c r="G6" s="9" t="s">
        <v>148</v>
      </c>
      <c r="H6" s="9" t="s">
        <v>147</v>
      </c>
      <c r="I6" s="54">
        <f t="shared" si="0"/>
        <v>0</v>
      </c>
      <c r="J6" s="16">
        <f t="shared" si="1"/>
        <v>0</v>
      </c>
      <c r="K6" s="5">
        <f t="shared" si="2"/>
        <v>0</v>
      </c>
      <c r="L6" s="16">
        <f t="shared" si="3"/>
        <v>0</v>
      </c>
      <c r="M6">
        <f t="shared" si="4"/>
        <v>1800</v>
      </c>
      <c r="N6">
        <f t="shared" si="5"/>
        <v>1800</v>
      </c>
      <c r="O6">
        <f t="shared" si="6"/>
        <v>1</v>
      </c>
      <c r="P6">
        <f t="shared" si="7"/>
        <v>4</v>
      </c>
      <c r="Q6">
        <f t="shared" si="8"/>
        <v>4</v>
      </c>
      <c r="R6" s="5">
        <f t="shared" si="9"/>
        <v>1</v>
      </c>
      <c r="S6" s="5">
        <f t="shared" si="10"/>
        <v>0</v>
      </c>
      <c r="T6" s="5">
        <f t="shared" si="11"/>
        <v>0</v>
      </c>
      <c r="U6" s="5">
        <f t="shared" si="12"/>
        <v>0</v>
      </c>
    </row>
    <row r="7" spans="1:21">
      <c r="A7" s="63" t="s">
        <v>218</v>
      </c>
      <c r="B7" s="62" t="s">
        <v>22</v>
      </c>
      <c r="C7" s="63" t="s">
        <v>340</v>
      </c>
      <c r="D7" s="9" t="s">
        <v>148</v>
      </c>
      <c r="E7" s="9" t="s">
        <v>148</v>
      </c>
      <c r="F7" s="9" t="s">
        <v>148</v>
      </c>
      <c r="G7" s="9" t="s">
        <v>148</v>
      </c>
      <c r="H7" s="9" t="s">
        <v>147</v>
      </c>
      <c r="I7" s="54">
        <f t="shared" si="0"/>
        <v>0</v>
      </c>
      <c r="J7" s="16">
        <f t="shared" si="1"/>
        <v>0</v>
      </c>
      <c r="K7" s="5">
        <f t="shared" si="2"/>
        <v>0</v>
      </c>
      <c r="L7" s="16">
        <f t="shared" si="3"/>
        <v>0</v>
      </c>
      <c r="M7">
        <f t="shared" si="4"/>
        <v>1800</v>
      </c>
      <c r="N7">
        <f t="shared" si="5"/>
        <v>1800</v>
      </c>
      <c r="O7">
        <f t="shared" si="6"/>
        <v>1</v>
      </c>
      <c r="P7">
        <f t="shared" si="7"/>
        <v>4</v>
      </c>
      <c r="Q7">
        <f t="shared" si="8"/>
        <v>4</v>
      </c>
      <c r="R7" s="5">
        <f t="shared" si="9"/>
        <v>1</v>
      </c>
      <c r="S7" s="5">
        <f t="shared" si="10"/>
        <v>0</v>
      </c>
      <c r="T7" s="5">
        <f t="shared" si="11"/>
        <v>0</v>
      </c>
      <c r="U7" s="5">
        <f t="shared" si="12"/>
        <v>0</v>
      </c>
    </row>
    <row r="8" spans="1:21">
      <c r="A8" s="63" t="s">
        <v>220</v>
      </c>
      <c r="B8" s="62" t="s">
        <v>267</v>
      </c>
      <c r="C8" s="63" t="s">
        <v>340</v>
      </c>
      <c r="D8" s="9">
        <v>450</v>
      </c>
      <c r="E8" s="9" t="s">
        <v>148</v>
      </c>
      <c r="F8" s="9" t="s">
        <v>148</v>
      </c>
      <c r="G8" s="9" t="s">
        <v>148</v>
      </c>
      <c r="H8" s="9" t="s">
        <v>147</v>
      </c>
      <c r="I8" s="54">
        <f t="shared" si="0"/>
        <v>450</v>
      </c>
      <c r="J8" s="16">
        <f t="shared" si="1"/>
        <v>0</v>
      </c>
      <c r="K8" s="5">
        <f t="shared" si="2"/>
        <v>450</v>
      </c>
      <c r="L8" s="16">
        <f t="shared" si="3"/>
        <v>450</v>
      </c>
      <c r="M8">
        <f t="shared" si="4"/>
        <v>1800</v>
      </c>
      <c r="N8">
        <f t="shared" si="5"/>
        <v>1350</v>
      </c>
      <c r="O8">
        <f t="shared" si="6"/>
        <v>0.75</v>
      </c>
      <c r="P8">
        <f t="shared" si="7"/>
        <v>4</v>
      </c>
      <c r="Q8">
        <f t="shared" si="8"/>
        <v>4</v>
      </c>
      <c r="R8" s="5">
        <f t="shared" si="9"/>
        <v>1</v>
      </c>
      <c r="S8" s="5">
        <f t="shared" si="10"/>
        <v>0</v>
      </c>
      <c r="T8" s="5">
        <f t="shared" si="11"/>
        <v>0</v>
      </c>
      <c r="U8" s="5">
        <f t="shared" si="12"/>
        <v>1</v>
      </c>
    </row>
    <row r="9" spans="1:21">
      <c r="A9" s="63" t="s">
        <v>321</v>
      </c>
      <c r="B9" s="62" t="s">
        <v>341</v>
      </c>
      <c r="C9" s="63" t="s">
        <v>340</v>
      </c>
      <c r="D9" s="9" t="s">
        <v>148</v>
      </c>
      <c r="E9" s="9" t="s">
        <v>148</v>
      </c>
      <c r="F9" s="9" t="s">
        <v>148</v>
      </c>
      <c r="G9" s="9" t="s">
        <v>148</v>
      </c>
      <c r="H9" s="9" t="s">
        <v>147</v>
      </c>
      <c r="I9" s="54">
        <f t="shared" si="0"/>
        <v>0</v>
      </c>
      <c r="J9" s="16">
        <f t="shared" si="1"/>
        <v>0</v>
      </c>
      <c r="K9" s="5">
        <f t="shared" si="2"/>
        <v>0</v>
      </c>
      <c r="L9" s="16">
        <f t="shared" si="3"/>
        <v>0</v>
      </c>
      <c r="M9">
        <f t="shared" si="4"/>
        <v>1800</v>
      </c>
      <c r="N9">
        <f t="shared" si="5"/>
        <v>1800</v>
      </c>
      <c r="O9">
        <f t="shared" si="6"/>
        <v>1</v>
      </c>
      <c r="P9">
        <f t="shared" si="7"/>
        <v>4</v>
      </c>
      <c r="Q9">
        <f t="shared" si="8"/>
        <v>4</v>
      </c>
      <c r="R9" s="5">
        <f t="shared" si="9"/>
        <v>1</v>
      </c>
      <c r="S9" s="5">
        <f t="shared" si="10"/>
        <v>0</v>
      </c>
      <c r="T9" s="5">
        <f t="shared" si="11"/>
        <v>0</v>
      </c>
      <c r="U9" s="5">
        <f t="shared" si="12"/>
        <v>0</v>
      </c>
    </row>
    <row r="10" spans="1:21">
      <c r="A10" s="63" t="s">
        <v>224</v>
      </c>
      <c r="B10" s="62" t="s">
        <v>37</v>
      </c>
      <c r="C10" s="63" t="s">
        <v>340</v>
      </c>
      <c r="D10" s="9" t="s">
        <v>147</v>
      </c>
      <c r="E10" s="9" t="s">
        <v>148</v>
      </c>
      <c r="F10" s="9" t="s">
        <v>148</v>
      </c>
      <c r="G10" s="9">
        <v>21</v>
      </c>
      <c r="H10" s="9" t="s">
        <v>148</v>
      </c>
      <c r="I10" s="54">
        <f t="shared" si="0"/>
        <v>21</v>
      </c>
      <c r="J10" s="16">
        <f t="shared" si="1"/>
        <v>21</v>
      </c>
      <c r="K10" s="5">
        <f t="shared" si="2"/>
        <v>0</v>
      </c>
      <c r="L10" s="16">
        <f t="shared" si="3"/>
        <v>21</v>
      </c>
      <c r="M10">
        <f t="shared" si="4"/>
        <v>1800</v>
      </c>
      <c r="N10">
        <f t="shared" si="5"/>
        <v>1779</v>
      </c>
      <c r="O10">
        <f t="shared" si="6"/>
        <v>0.98833333333333329</v>
      </c>
      <c r="P10">
        <f t="shared" si="7"/>
        <v>4</v>
      </c>
      <c r="Q10">
        <f t="shared" si="8"/>
        <v>4</v>
      </c>
      <c r="R10" s="5">
        <f t="shared" si="9"/>
        <v>1</v>
      </c>
      <c r="S10" s="5">
        <f t="shared" si="10"/>
        <v>0</v>
      </c>
      <c r="T10" s="5">
        <f t="shared" si="11"/>
        <v>0</v>
      </c>
      <c r="U10" s="5">
        <f t="shared" si="12"/>
        <v>0</v>
      </c>
    </row>
    <row r="11" spans="1:21">
      <c r="A11" s="61" t="s">
        <v>225</v>
      </c>
      <c r="B11" s="62" t="s">
        <v>22</v>
      </c>
      <c r="C11" s="61" t="s">
        <v>63</v>
      </c>
      <c r="D11" s="9" t="s">
        <v>148</v>
      </c>
      <c r="E11" s="9" t="s">
        <v>148</v>
      </c>
      <c r="F11" s="9" t="s">
        <v>148</v>
      </c>
      <c r="G11" s="9" t="s">
        <v>148</v>
      </c>
      <c r="H11" s="9" t="s">
        <v>147</v>
      </c>
      <c r="I11" s="54">
        <f t="shared" si="0"/>
        <v>0</v>
      </c>
      <c r="J11" s="16">
        <f t="shared" si="1"/>
        <v>0</v>
      </c>
      <c r="K11" s="5">
        <f t="shared" si="2"/>
        <v>0</v>
      </c>
      <c r="L11" s="16">
        <f t="shared" si="3"/>
        <v>0</v>
      </c>
      <c r="M11">
        <f t="shared" si="4"/>
        <v>1800</v>
      </c>
      <c r="N11">
        <f t="shared" si="5"/>
        <v>1800</v>
      </c>
      <c r="O11">
        <f t="shared" si="6"/>
        <v>1</v>
      </c>
      <c r="P11">
        <f t="shared" si="7"/>
        <v>4</v>
      </c>
      <c r="Q11">
        <f t="shared" si="8"/>
        <v>4</v>
      </c>
      <c r="R11" s="5">
        <f t="shared" si="9"/>
        <v>1</v>
      </c>
      <c r="S11" s="5">
        <f t="shared" si="10"/>
        <v>0</v>
      </c>
      <c r="T11" s="5">
        <f t="shared" si="11"/>
        <v>0</v>
      </c>
      <c r="U11" s="5">
        <f t="shared" si="12"/>
        <v>0</v>
      </c>
    </row>
    <row r="12" spans="1:21">
      <c r="A12" s="63" t="s">
        <v>227</v>
      </c>
      <c r="B12" s="62" t="s">
        <v>22</v>
      </c>
      <c r="C12" s="63" t="s">
        <v>63</v>
      </c>
      <c r="D12" s="9" t="s">
        <v>148</v>
      </c>
      <c r="E12" s="9" t="s">
        <v>148</v>
      </c>
      <c r="F12" s="9" t="s">
        <v>148</v>
      </c>
      <c r="G12" s="9" t="s">
        <v>148</v>
      </c>
      <c r="H12" s="9" t="s">
        <v>147</v>
      </c>
      <c r="I12" s="54">
        <f t="shared" si="0"/>
        <v>0</v>
      </c>
      <c r="J12" s="16">
        <f t="shared" si="1"/>
        <v>0</v>
      </c>
      <c r="K12" s="5">
        <f t="shared" si="2"/>
        <v>0</v>
      </c>
      <c r="L12" s="16">
        <f t="shared" si="3"/>
        <v>0</v>
      </c>
      <c r="M12">
        <f t="shared" si="4"/>
        <v>1800</v>
      </c>
      <c r="N12">
        <f t="shared" si="5"/>
        <v>1800</v>
      </c>
      <c r="O12">
        <f t="shared" si="6"/>
        <v>1</v>
      </c>
      <c r="P12">
        <f t="shared" si="7"/>
        <v>4</v>
      </c>
      <c r="Q12">
        <f t="shared" si="8"/>
        <v>4</v>
      </c>
      <c r="R12" s="5">
        <f t="shared" si="9"/>
        <v>1</v>
      </c>
      <c r="S12" s="5">
        <f t="shared" si="10"/>
        <v>0</v>
      </c>
      <c r="T12" s="5">
        <f t="shared" si="11"/>
        <v>0</v>
      </c>
      <c r="U12" s="5">
        <f t="shared" si="12"/>
        <v>0</v>
      </c>
    </row>
    <row r="13" spans="1:21">
      <c r="A13" s="63" t="s">
        <v>281</v>
      </c>
      <c r="B13" s="62" t="s">
        <v>22</v>
      </c>
      <c r="C13" s="63" t="s">
        <v>63</v>
      </c>
      <c r="D13" s="9" t="s">
        <v>148</v>
      </c>
      <c r="E13" s="9" t="s">
        <v>148</v>
      </c>
      <c r="F13" s="9" t="s">
        <v>148</v>
      </c>
      <c r="G13" s="9" t="s">
        <v>148</v>
      </c>
      <c r="H13" s="9" t="s">
        <v>147</v>
      </c>
      <c r="I13" s="54">
        <f t="shared" si="0"/>
        <v>0</v>
      </c>
      <c r="J13" s="16">
        <f t="shared" si="1"/>
        <v>0</v>
      </c>
      <c r="K13" s="5">
        <f t="shared" si="2"/>
        <v>0</v>
      </c>
      <c r="L13" s="16">
        <f t="shared" si="3"/>
        <v>0</v>
      </c>
      <c r="M13">
        <f t="shared" si="4"/>
        <v>1800</v>
      </c>
      <c r="N13">
        <f t="shared" si="5"/>
        <v>1800</v>
      </c>
      <c r="O13">
        <f t="shared" si="6"/>
        <v>1</v>
      </c>
      <c r="P13">
        <f t="shared" si="7"/>
        <v>4</v>
      </c>
      <c r="Q13">
        <f t="shared" si="8"/>
        <v>4</v>
      </c>
      <c r="R13" s="5">
        <f t="shared" si="9"/>
        <v>1</v>
      </c>
      <c r="S13" s="5">
        <f t="shared" si="10"/>
        <v>0</v>
      </c>
      <c r="T13" s="5">
        <f t="shared" si="11"/>
        <v>0</v>
      </c>
      <c r="U13" s="5">
        <f t="shared" si="12"/>
        <v>0</v>
      </c>
    </row>
    <row r="14" spans="1:21">
      <c r="A14" s="63" t="s">
        <v>286</v>
      </c>
      <c r="B14" s="62" t="s">
        <v>22</v>
      </c>
      <c r="C14" s="63" t="s">
        <v>63</v>
      </c>
      <c r="D14" s="9" t="s">
        <v>148</v>
      </c>
      <c r="E14" s="9" t="s">
        <v>148</v>
      </c>
      <c r="F14" s="9" t="s">
        <v>148</v>
      </c>
      <c r="G14" s="9" t="s">
        <v>148</v>
      </c>
      <c r="H14" s="9" t="s">
        <v>147</v>
      </c>
      <c r="I14" s="54">
        <f t="shared" si="0"/>
        <v>0</v>
      </c>
      <c r="J14" s="16">
        <f t="shared" si="1"/>
        <v>0</v>
      </c>
      <c r="K14" s="5">
        <f t="shared" si="2"/>
        <v>0</v>
      </c>
      <c r="L14" s="16">
        <f t="shared" si="3"/>
        <v>0</v>
      </c>
      <c r="M14">
        <f t="shared" si="4"/>
        <v>1800</v>
      </c>
      <c r="N14">
        <f t="shared" si="5"/>
        <v>1800</v>
      </c>
      <c r="O14">
        <f t="shared" si="6"/>
        <v>1</v>
      </c>
      <c r="P14">
        <f t="shared" si="7"/>
        <v>4</v>
      </c>
      <c r="Q14">
        <f t="shared" si="8"/>
        <v>4</v>
      </c>
      <c r="R14" s="5">
        <f t="shared" si="9"/>
        <v>1</v>
      </c>
      <c r="S14" s="5">
        <f t="shared" si="10"/>
        <v>0</v>
      </c>
      <c r="T14" s="5">
        <f t="shared" si="11"/>
        <v>0</v>
      </c>
      <c r="U14" s="5">
        <f t="shared" si="12"/>
        <v>0</v>
      </c>
    </row>
    <row r="15" spans="1:21">
      <c r="A15" s="63" t="s">
        <v>229</v>
      </c>
      <c r="B15" s="62" t="s">
        <v>22</v>
      </c>
      <c r="C15" s="63" t="s">
        <v>33</v>
      </c>
      <c r="D15" s="9" t="s">
        <v>148</v>
      </c>
      <c r="E15" s="9" t="s">
        <v>148</v>
      </c>
      <c r="F15" s="9" t="s">
        <v>148</v>
      </c>
      <c r="G15" s="9" t="s">
        <v>148</v>
      </c>
      <c r="H15" s="9" t="s">
        <v>147</v>
      </c>
      <c r="I15" s="54">
        <f t="shared" si="0"/>
        <v>0</v>
      </c>
      <c r="J15" s="16">
        <f t="shared" si="1"/>
        <v>0</v>
      </c>
      <c r="K15" s="5">
        <f t="shared" si="2"/>
        <v>0</v>
      </c>
      <c r="L15" s="16">
        <f t="shared" si="3"/>
        <v>0</v>
      </c>
      <c r="M15">
        <f t="shared" si="4"/>
        <v>1800</v>
      </c>
      <c r="N15">
        <f t="shared" si="5"/>
        <v>1800</v>
      </c>
      <c r="O15">
        <f t="shared" si="6"/>
        <v>1</v>
      </c>
      <c r="P15">
        <f t="shared" si="7"/>
        <v>4</v>
      </c>
      <c r="Q15">
        <f t="shared" si="8"/>
        <v>4</v>
      </c>
      <c r="R15" s="5">
        <f t="shared" si="9"/>
        <v>1</v>
      </c>
      <c r="S15" s="5">
        <f t="shared" si="10"/>
        <v>0</v>
      </c>
      <c r="T15" s="5">
        <f t="shared" si="11"/>
        <v>0</v>
      </c>
      <c r="U15" s="5">
        <f t="shared" si="12"/>
        <v>0</v>
      </c>
    </row>
    <row r="16" spans="1:21">
      <c r="A16" s="63" t="s">
        <v>230</v>
      </c>
      <c r="B16" s="62" t="s">
        <v>60</v>
      </c>
      <c r="C16" s="63" t="s">
        <v>340</v>
      </c>
      <c r="D16" s="9" t="s">
        <v>148</v>
      </c>
      <c r="E16" s="9" t="s">
        <v>148</v>
      </c>
      <c r="F16" s="9">
        <v>31</v>
      </c>
      <c r="G16" s="9" t="s">
        <v>148</v>
      </c>
      <c r="H16" s="9" t="s">
        <v>147</v>
      </c>
      <c r="I16" s="54">
        <f t="shared" si="0"/>
        <v>31</v>
      </c>
      <c r="J16" s="16">
        <f t="shared" si="1"/>
        <v>31</v>
      </c>
      <c r="K16" s="5">
        <f t="shared" si="2"/>
        <v>0</v>
      </c>
      <c r="L16" s="16">
        <f t="shared" si="3"/>
        <v>31</v>
      </c>
      <c r="M16">
        <f t="shared" si="4"/>
        <v>1800</v>
      </c>
      <c r="N16">
        <f t="shared" si="5"/>
        <v>1769</v>
      </c>
      <c r="O16">
        <f t="shared" si="6"/>
        <v>0.98277777777777775</v>
      </c>
      <c r="P16">
        <f t="shared" si="7"/>
        <v>4</v>
      </c>
      <c r="Q16">
        <f t="shared" si="8"/>
        <v>4</v>
      </c>
      <c r="R16" s="5">
        <f t="shared" si="9"/>
        <v>1</v>
      </c>
      <c r="S16" s="5">
        <f t="shared" si="10"/>
        <v>0</v>
      </c>
      <c r="T16" s="5">
        <f t="shared" si="11"/>
        <v>0</v>
      </c>
      <c r="U16" s="5">
        <f t="shared" si="12"/>
        <v>0</v>
      </c>
    </row>
    <row r="17" spans="1:21">
      <c r="A17" s="63" t="s">
        <v>231</v>
      </c>
      <c r="B17" s="62" t="s">
        <v>22</v>
      </c>
      <c r="C17" s="63" t="s">
        <v>33</v>
      </c>
      <c r="D17" s="9" t="s">
        <v>148</v>
      </c>
      <c r="E17" s="9" t="s">
        <v>148</v>
      </c>
      <c r="F17" s="9" t="s">
        <v>148</v>
      </c>
      <c r="G17" s="9" t="s">
        <v>148</v>
      </c>
      <c r="H17" s="9" t="s">
        <v>147</v>
      </c>
      <c r="I17" s="54">
        <f t="shared" si="0"/>
        <v>0</v>
      </c>
      <c r="J17" s="16">
        <f t="shared" si="1"/>
        <v>0</v>
      </c>
      <c r="K17" s="5">
        <f t="shared" si="2"/>
        <v>0</v>
      </c>
      <c r="L17" s="16">
        <f t="shared" si="3"/>
        <v>0</v>
      </c>
      <c r="M17">
        <f t="shared" si="4"/>
        <v>1800</v>
      </c>
      <c r="N17">
        <f t="shared" si="5"/>
        <v>1800</v>
      </c>
      <c r="O17">
        <f t="shared" si="6"/>
        <v>1</v>
      </c>
      <c r="P17">
        <f t="shared" si="7"/>
        <v>4</v>
      </c>
      <c r="Q17">
        <f t="shared" si="8"/>
        <v>4</v>
      </c>
      <c r="R17" s="5">
        <f t="shared" si="9"/>
        <v>1</v>
      </c>
      <c r="S17" s="5">
        <f t="shared" si="10"/>
        <v>0</v>
      </c>
      <c r="T17" s="5">
        <f t="shared" si="11"/>
        <v>0</v>
      </c>
      <c r="U17" s="5">
        <f t="shared" si="12"/>
        <v>0</v>
      </c>
    </row>
    <row r="18" spans="1:21">
      <c r="A18" s="61" t="s">
        <v>232</v>
      </c>
      <c r="B18" s="62" t="s">
        <v>341</v>
      </c>
      <c r="C18" s="63" t="s">
        <v>340</v>
      </c>
      <c r="D18" s="9" t="s">
        <v>148</v>
      </c>
      <c r="E18" s="9" t="s">
        <v>148</v>
      </c>
      <c r="F18" s="9" t="s">
        <v>148</v>
      </c>
      <c r="G18" s="9" t="s">
        <v>148</v>
      </c>
      <c r="H18" s="9" t="s">
        <v>147</v>
      </c>
      <c r="I18" s="54">
        <f t="shared" si="0"/>
        <v>0</v>
      </c>
      <c r="J18" s="16">
        <f t="shared" si="1"/>
        <v>0</v>
      </c>
      <c r="K18" s="5">
        <f t="shared" si="2"/>
        <v>0</v>
      </c>
      <c r="L18" s="16">
        <f t="shared" si="3"/>
        <v>0</v>
      </c>
      <c r="M18">
        <f t="shared" si="4"/>
        <v>1800</v>
      </c>
      <c r="N18">
        <f t="shared" si="5"/>
        <v>1800</v>
      </c>
      <c r="O18">
        <f t="shared" si="6"/>
        <v>1</v>
      </c>
      <c r="P18">
        <f t="shared" si="7"/>
        <v>4</v>
      </c>
      <c r="Q18">
        <f t="shared" si="8"/>
        <v>4</v>
      </c>
      <c r="R18" s="5">
        <f t="shared" si="9"/>
        <v>1</v>
      </c>
      <c r="S18" s="5">
        <f t="shared" si="10"/>
        <v>0</v>
      </c>
      <c r="T18" s="5">
        <f t="shared" si="11"/>
        <v>0</v>
      </c>
      <c r="U18" s="5">
        <f t="shared" si="12"/>
        <v>0</v>
      </c>
    </row>
    <row r="19" spans="1:21">
      <c r="A19" s="63" t="s">
        <v>333</v>
      </c>
      <c r="B19" s="62" t="s">
        <v>341</v>
      </c>
      <c r="C19" s="63" t="s">
        <v>340</v>
      </c>
      <c r="D19" s="9" t="s">
        <v>148</v>
      </c>
      <c r="E19" s="9" t="s">
        <v>148</v>
      </c>
      <c r="F19" s="9" t="s">
        <v>148</v>
      </c>
      <c r="G19" s="9" t="s">
        <v>148</v>
      </c>
      <c r="H19" s="9" t="s">
        <v>147</v>
      </c>
      <c r="I19" s="54">
        <f t="shared" si="0"/>
        <v>0</v>
      </c>
      <c r="J19" s="16">
        <f t="shared" si="1"/>
        <v>0</v>
      </c>
      <c r="K19" s="5">
        <f t="shared" si="2"/>
        <v>0</v>
      </c>
      <c r="L19" s="16">
        <f t="shared" si="3"/>
        <v>0</v>
      </c>
      <c r="M19">
        <f t="shared" si="4"/>
        <v>1800</v>
      </c>
      <c r="N19">
        <f t="shared" si="5"/>
        <v>1800</v>
      </c>
      <c r="O19">
        <f t="shared" si="6"/>
        <v>1</v>
      </c>
      <c r="P19">
        <f t="shared" si="7"/>
        <v>4</v>
      </c>
      <c r="Q19">
        <f t="shared" si="8"/>
        <v>4</v>
      </c>
      <c r="R19" s="5">
        <f t="shared" si="9"/>
        <v>1</v>
      </c>
      <c r="S19" s="5">
        <f t="shared" si="10"/>
        <v>0</v>
      </c>
      <c r="T19" s="5">
        <f t="shared" si="11"/>
        <v>0</v>
      </c>
      <c r="U19" s="5">
        <f t="shared" si="12"/>
        <v>0</v>
      </c>
    </row>
    <row r="20" spans="1:21">
      <c r="A20" s="63" t="s">
        <v>235</v>
      </c>
      <c r="B20" s="62" t="s">
        <v>341</v>
      </c>
      <c r="C20" s="63" t="s">
        <v>340</v>
      </c>
      <c r="D20" s="9" t="s">
        <v>148</v>
      </c>
      <c r="E20" s="9" t="s">
        <v>148</v>
      </c>
      <c r="F20" s="9" t="s">
        <v>148</v>
      </c>
      <c r="G20" s="9" t="s">
        <v>148</v>
      </c>
      <c r="H20" s="9" t="s">
        <v>147</v>
      </c>
      <c r="I20" s="54">
        <f t="shared" si="0"/>
        <v>0</v>
      </c>
      <c r="J20" s="16">
        <f t="shared" si="1"/>
        <v>0</v>
      </c>
      <c r="K20" s="5">
        <f t="shared" si="2"/>
        <v>0</v>
      </c>
      <c r="L20" s="16">
        <f t="shared" si="3"/>
        <v>0</v>
      </c>
      <c r="M20">
        <f t="shared" si="4"/>
        <v>1800</v>
      </c>
      <c r="N20">
        <f t="shared" si="5"/>
        <v>1800</v>
      </c>
      <c r="O20">
        <f t="shared" si="6"/>
        <v>1</v>
      </c>
      <c r="P20">
        <f t="shared" si="7"/>
        <v>4</v>
      </c>
      <c r="Q20">
        <f t="shared" si="8"/>
        <v>4</v>
      </c>
      <c r="R20" s="5">
        <f t="shared" si="9"/>
        <v>1</v>
      </c>
      <c r="S20" s="5">
        <f t="shared" si="10"/>
        <v>0</v>
      </c>
      <c r="T20" s="5">
        <f t="shared" si="11"/>
        <v>0</v>
      </c>
      <c r="U20" s="5">
        <f t="shared" si="12"/>
        <v>0</v>
      </c>
    </row>
    <row r="21" spans="1:21">
      <c r="A21" s="63" t="s">
        <v>268</v>
      </c>
      <c r="B21" s="62" t="s">
        <v>267</v>
      </c>
      <c r="C21" s="63" t="s">
        <v>340</v>
      </c>
      <c r="D21" s="9" t="s">
        <v>148</v>
      </c>
      <c r="E21" s="9" t="s">
        <v>148</v>
      </c>
      <c r="F21" s="9" t="s">
        <v>148</v>
      </c>
      <c r="G21" s="9" t="s">
        <v>148</v>
      </c>
      <c r="H21" s="9" t="s">
        <v>147</v>
      </c>
      <c r="I21" s="54">
        <f t="shared" si="0"/>
        <v>0</v>
      </c>
      <c r="J21" s="16">
        <f t="shared" si="1"/>
        <v>0</v>
      </c>
      <c r="K21" s="5">
        <f t="shared" si="2"/>
        <v>0</v>
      </c>
      <c r="L21" s="16">
        <f t="shared" si="3"/>
        <v>0</v>
      </c>
      <c r="M21">
        <f t="shared" si="4"/>
        <v>1800</v>
      </c>
      <c r="N21">
        <f t="shared" si="5"/>
        <v>1800</v>
      </c>
      <c r="O21">
        <f t="shared" si="6"/>
        <v>1</v>
      </c>
      <c r="P21">
        <f t="shared" si="7"/>
        <v>4</v>
      </c>
      <c r="Q21">
        <f t="shared" si="8"/>
        <v>4</v>
      </c>
      <c r="R21" s="5">
        <f t="shared" si="9"/>
        <v>1</v>
      </c>
      <c r="S21" s="5">
        <f t="shared" si="10"/>
        <v>0</v>
      </c>
      <c r="T21" s="5">
        <f t="shared" si="11"/>
        <v>0</v>
      </c>
      <c r="U21" s="5">
        <f t="shared" si="12"/>
        <v>0</v>
      </c>
    </row>
    <row r="22" spans="1:21">
      <c r="A22" s="63" t="s">
        <v>236</v>
      </c>
      <c r="B22" s="62" t="s">
        <v>37</v>
      </c>
      <c r="C22" s="63" t="s">
        <v>340</v>
      </c>
      <c r="D22" s="9" t="s">
        <v>147</v>
      </c>
      <c r="E22" s="9" t="s">
        <v>148</v>
      </c>
      <c r="F22" s="9" t="s">
        <v>148</v>
      </c>
      <c r="G22" s="9">
        <v>22</v>
      </c>
      <c r="H22" s="9" t="s">
        <v>148</v>
      </c>
      <c r="I22" s="54">
        <f t="shared" si="0"/>
        <v>22</v>
      </c>
      <c r="J22" s="16">
        <f t="shared" si="1"/>
        <v>22</v>
      </c>
      <c r="K22" s="5">
        <f t="shared" si="2"/>
        <v>0</v>
      </c>
      <c r="L22" s="16">
        <f t="shared" si="3"/>
        <v>22</v>
      </c>
      <c r="M22">
        <f t="shared" si="4"/>
        <v>1800</v>
      </c>
      <c r="N22">
        <f t="shared" si="5"/>
        <v>1778</v>
      </c>
      <c r="O22">
        <f t="shared" si="6"/>
        <v>0.98777777777777775</v>
      </c>
      <c r="P22">
        <f t="shared" si="7"/>
        <v>4</v>
      </c>
      <c r="Q22">
        <f t="shared" si="8"/>
        <v>4</v>
      </c>
      <c r="R22" s="5">
        <f t="shared" si="9"/>
        <v>1</v>
      </c>
      <c r="S22" s="5">
        <f t="shared" si="10"/>
        <v>0</v>
      </c>
      <c r="T22" s="5">
        <f t="shared" si="11"/>
        <v>0</v>
      </c>
      <c r="U22" s="5">
        <f t="shared" si="12"/>
        <v>0</v>
      </c>
    </row>
    <row r="23" spans="1:21">
      <c r="A23" s="63" t="s">
        <v>237</v>
      </c>
      <c r="B23" s="62" t="s">
        <v>22</v>
      </c>
      <c r="C23" s="63" t="s">
        <v>30</v>
      </c>
      <c r="D23" s="9" t="s">
        <v>148</v>
      </c>
      <c r="E23" s="9" t="s">
        <v>148</v>
      </c>
      <c r="F23" s="9" t="s">
        <v>148</v>
      </c>
      <c r="G23" s="9" t="s">
        <v>148</v>
      </c>
      <c r="H23" s="9" t="s">
        <v>147</v>
      </c>
      <c r="I23" s="54">
        <f t="shared" si="0"/>
        <v>0</v>
      </c>
      <c r="J23" s="16">
        <f t="shared" si="1"/>
        <v>0</v>
      </c>
      <c r="K23" s="5">
        <f t="shared" si="2"/>
        <v>0</v>
      </c>
      <c r="L23" s="16">
        <f t="shared" si="3"/>
        <v>0</v>
      </c>
      <c r="M23">
        <f t="shared" si="4"/>
        <v>1800</v>
      </c>
      <c r="N23">
        <f t="shared" si="5"/>
        <v>1800</v>
      </c>
      <c r="O23">
        <f t="shared" si="6"/>
        <v>1</v>
      </c>
      <c r="P23">
        <f t="shared" si="7"/>
        <v>4</v>
      </c>
      <c r="Q23">
        <f t="shared" si="8"/>
        <v>4</v>
      </c>
      <c r="R23" s="5">
        <f t="shared" si="9"/>
        <v>1</v>
      </c>
      <c r="S23" s="5">
        <f t="shared" si="10"/>
        <v>0</v>
      </c>
      <c r="T23" s="5">
        <f t="shared" si="11"/>
        <v>0</v>
      </c>
      <c r="U23" s="5">
        <f t="shared" si="12"/>
        <v>0</v>
      </c>
    </row>
    <row r="24" spans="1:21">
      <c r="A24" s="61" t="s">
        <v>238</v>
      </c>
      <c r="B24" s="62" t="s">
        <v>22</v>
      </c>
      <c r="C24" s="63" t="s">
        <v>30</v>
      </c>
      <c r="D24" s="9" t="s">
        <v>148</v>
      </c>
      <c r="E24" s="9" t="s">
        <v>148</v>
      </c>
      <c r="F24" s="9">
        <v>17</v>
      </c>
      <c r="G24" s="9" t="s">
        <v>148</v>
      </c>
      <c r="H24" s="9" t="s">
        <v>147</v>
      </c>
      <c r="I24" s="54">
        <f t="shared" si="0"/>
        <v>17</v>
      </c>
      <c r="J24" s="16">
        <f t="shared" si="1"/>
        <v>17</v>
      </c>
      <c r="K24" s="5">
        <f t="shared" si="2"/>
        <v>0</v>
      </c>
      <c r="L24" s="16">
        <f t="shared" si="3"/>
        <v>17</v>
      </c>
      <c r="M24">
        <f t="shared" si="4"/>
        <v>1800</v>
      </c>
      <c r="N24">
        <f t="shared" si="5"/>
        <v>1783</v>
      </c>
      <c r="O24">
        <f t="shared" si="6"/>
        <v>0.99055555555555552</v>
      </c>
      <c r="P24">
        <f t="shared" si="7"/>
        <v>4</v>
      </c>
      <c r="Q24">
        <f t="shared" si="8"/>
        <v>4</v>
      </c>
      <c r="R24" s="5">
        <f t="shared" si="9"/>
        <v>1</v>
      </c>
      <c r="S24" s="5">
        <f t="shared" si="10"/>
        <v>0</v>
      </c>
      <c r="T24" s="5">
        <f t="shared" si="11"/>
        <v>0</v>
      </c>
      <c r="U24" s="5">
        <f t="shared" si="12"/>
        <v>0</v>
      </c>
    </row>
    <row r="25" spans="1:21">
      <c r="A25" s="63" t="s">
        <v>240</v>
      </c>
      <c r="B25" s="62" t="s">
        <v>37</v>
      </c>
      <c r="C25" s="63" t="s">
        <v>340</v>
      </c>
      <c r="D25" s="9" t="s">
        <v>147</v>
      </c>
      <c r="E25" s="9" t="s">
        <v>148</v>
      </c>
      <c r="F25" s="9" t="s">
        <v>148</v>
      </c>
      <c r="G25" s="9">
        <v>124</v>
      </c>
      <c r="H25" s="9" t="s">
        <v>148</v>
      </c>
      <c r="I25" s="54">
        <f t="shared" si="0"/>
        <v>124</v>
      </c>
      <c r="J25" s="16">
        <f t="shared" si="1"/>
        <v>124</v>
      </c>
      <c r="K25" s="5">
        <f t="shared" si="2"/>
        <v>0</v>
      </c>
      <c r="L25" s="16">
        <f t="shared" si="3"/>
        <v>124</v>
      </c>
      <c r="M25">
        <f t="shared" si="4"/>
        <v>1800</v>
      </c>
      <c r="N25">
        <f t="shared" si="5"/>
        <v>1676</v>
      </c>
      <c r="O25">
        <f t="shared" si="6"/>
        <v>0.93111111111111111</v>
      </c>
      <c r="P25">
        <f t="shared" si="7"/>
        <v>4</v>
      </c>
      <c r="Q25">
        <f t="shared" si="8"/>
        <v>4</v>
      </c>
      <c r="R25" s="5">
        <f t="shared" si="9"/>
        <v>1</v>
      </c>
      <c r="S25" s="5">
        <f t="shared" si="10"/>
        <v>0</v>
      </c>
      <c r="T25" s="5">
        <f t="shared" si="11"/>
        <v>0</v>
      </c>
      <c r="U25" s="5">
        <f t="shared" si="12"/>
        <v>0</v>
      </c>
    </row>
    <row r="26" spans="1:21">
      <c r="A26" s="61" t="s">
        <v>239</v>
      </c>
      <c r="B26" s="62" t="s">
        <v>37</v>
      </c>
      <c r="C26" s="63" t="s">
        <v>340</v>
      </c>
      <c r="D26" s="9" t="s">
        <v>147</v>
      </c>
      <c r="E26" s="9" t="s">
        <v>148</v>
      </c>
      <c r="F26" s="9">
        <v>24</v>
      </c>
      <c r="G26" s="9">
        <v>48</v>
      </c>
      <c r="H26" s="9">
        <v>39</v>
      </c>
      <c r="I26" s="54">
        <f t="shared" si="0"/>
        <v>111</v>
      </c>
      <c r="J26" s="16">
        <f t="shared" si="1"/>
        <v>111</v>
      </c>
      <c r="K26" s="5">
        <f t="shared" si="2"/>
        <v>0</v>
      </c>
      <c r="L26" s="16">
        <f t="shared" si="3"/>
        <v>111</v>
      </c>
      <c r="M26">
        <f t="shared" si="4"/>
        <v>1800</v>
      </c>
      <c r="N26">
        <f t="shared" si="5"/>
        <v>1689</v>
      </c>
      <c r="O26">
        <f t="shared" si="6"/>
        <v>0.93833333333333335</v>
      </c>
      <c r="P26">
        <f t="shared" si="7"/>
        <v>4</v>
      </c>
      <c r="Q26">
        <f t="shared" si="8"/>
        <v>4</v>
      </c>
      <c r="R26" s="5">
        <f t="shared" si="9"/>
        <v>1</v>
      </c>
      <c r="S26" s="5">
        <f t="shared" si="10"/>
        <v>0</v>
      </c>
      <c r="T26" s="5">
        <f t="shared" si="11"/>
        <v>0</v>
      </c>
      <c r="U26" s="5">
        <f t="shared" si="12"/>
        <v>0</v>
      </c>
    </row>
    <row r="27" spans="1:21">
      <c r="J27">
        <f>SUM(J3:J26)</f>
        <v>343</v>
      </c>
      <c r="K27">
        <f t="shared" ref="K27:N27" si="13">SUM(K3:K26)</f>
        <v>900</v>
      </c>
      <c r="L27">
        <f t="shared" si="13"/>
        <v>1243</v>
      </c>
      <c r="N27">
        <f t="shared" si="13"/>
        <v>41957</v>
      </c>
      <c r="O27" s="39">
        <f>AVERAGE(O3:O26)</f>
        <v>0.97122685185185187</v>
      </c>
    </row>
    <row r="29" spans="1:21">
      <c r="J29" s="39">
        <f>J27/N27</f>
        <v>8.1750363467359439E-3</v>
      </c>
      <c r="K29" s="39">
        <f>K27/N27</f>
        <v>2.1450532688228423E-2</v>
      </c>
    </row>
  </sheetData>
  <autoFilter ref="A2:U2" xr:uid="{33C84C07-A48E-4FFB-A7A5-361C7DA59C06}"/>
  <conditionalFormatting sqref="D3:H26">
    <cfRule type="containsText" dxfId="134" priority="7" operator="containsText" text="TFO">
      <formula>NOT(ISERROR(SEARCH("TFO",D3)))</formula>
    </cfRule>
    <cfRule type="containsText" dxfId="133" priority="8" operator="containsText" text="AA">
      <formula>NOT(ISERROR(SEARCH("AA",D3)))</formula>
    </cfRule>
    <cfRule type="containsText" dxfId="132" priority="9" operator="containsText" text="RESIGNED">
      <formula>NOT(ISERROR(SEARCH("RESIGNED",D3)))</formula>
    </cfRule>
    <cfRule type="containsText" dxfId="131" priority="10" operator="containsText" text="P">
      <formula>NOT(ISERROR(SEARCH("P",D3)))</formula>
    </cfRule>
    <cfRule type="containsText" dxfId="130" priority="11" operator="containsText" text="TARDY">
      <formula>NOT(ISERROR(SEARCH("TARDY",D3)))</formula>
    </cfRule>
    <cfRule type="containsText" dxfId="129" priority="12" operator="containsText" text="REST DAY">
      <formula>NOT(ISERROR(SEARCH("REST DAY",D3)))</formula>
    </cfRule>
    <cfRule type="containsText" dxfId="128" priority="13" operator="containsText" text="UA">
      <formula>NOT(ISERROR(SEARCH("UA",D3)))</formula>
    </cfRule>
    <cfRule type="containsText" dxfId="127" priority="14" operator="containsText" text="LWOP UA">
      <formula>NOT(ISERROR(SEARCH("LWOP UA",D3)))</formula>
    </cfRule>
  </conditionalFormatting>
  <conditionalFormatting sqref="D3:H26">
    <cfRule type="containsText" dxfId="126" priority="1" operator="containsText" text="VL">
      <formula>NOT(ISERROR(SEARCH("VL",D3)))</formula>
    </cfRule>
    <cfRule type="containsText" dxfId="125" priority="2" operator="containsText" text="RD">
      <formula>NOT(ISERROR(SEARCH("RD",D3)))</formula>
    </cfRule>
    <cfRule type="containsText" dxfId="124" priority="3" operator="containsText" text="540">
      <formula>NOT(ISERROR(SEARCH("540",D3)))</formula>
    </cfRule>
    <cfRule type="cellIs" dxfId="123" priority="4" operator="between">
      <formula>1</formula>
      <formula>400</formula>
    </cfRule>
    <cfRule type="containsText" dxfId="122" priority="5" operator="containsText" text="LWOP UA">
      <formula>NOT(ISERROR(SEARCH("LWOP UA",D3)))</formula>
    </cfRule>
  </conditionalFormatting>
  <conditionalFormatting sqref="D3:H26">
    <cfRule type="containsText" dxfId="121" priority="6" operator="containsText" text="P">
      <formula>NOT(ISERROR(SEARCH("P",D3)))</formula>
    </cfRule>
  </conditionalFormatting>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EF256-2BF3-41B3-9A72-72240FB6A176}">
  <dimension ref="A1:J176"/>
  <sheetViews>
    <sheetView workbookViewId="0">
      <selection activeCell="F5" sqref="F5"/>
    </sheetView>
  </sheetViews>
  <sheetFormatPr defaultRowHeight="15"/>
  <cols>
    <col min="1" max="5" width="25.5703125" style="15" customWidth="1"/>
    <col min="6" max="6" width="40.42578125" style="15" bestFit="1" customWidth="1"/>
    <col min="7" max="7" width="20.28515625" style="15" customWidth="1"/>
    <col min="8" max="8" width="48.5703125" style="15" customWidth="1"/>
    <col min="9" max="9" width="25.5703125" style="15" customWidth="1"/>
    <col min="10" max="10" width="25" style="15" customWidth="1"/>
  </cols>
  <sheetData>
    <row r="1" spans="1:10">
      <c r="A1" s="266" t="s">
        <v>385</v>
      </c>
      <c r="B1" s="266" t="s">
        <v>386</v>
      </c>
      <c r="C1" s="266" t="s">
        <v>344</v>
      </c>
      <c r="D1" s="266" t="s">
        <v>387</v>
      </c>
      <c r="E1" s="266" t="s">
        <v>388</v>
      </c>
      <c r="F1" s="266" t="s">
        <v>389</v>
      </c>
      <c r="G1" s="266" t="s">
        <v>390</v>
      </c>
      <c r="H1" s="266" t="s">
        <v>391</v>
      </c>
      <c r="I1" s="266" t="s">
        <v>392</v>
      </c>
      <c r="J1" s="266" t="s">
        <v>393</v>
      </c>
    </row>
    <row r="2" spans="1:10" ht="78" customHeight="1">
      <c r="A2" s="15" t="s">
        <v>394</v>
      </c>
      <c r="B2" s="15" t="s">
        <v>38</v>
      </c>
      <c r="C2" s="15" t="s">
        <v>37</v>
      </c>
      <c r="D2" s="15" t="s">
        <v>40</v>
      </c>
      <c r="E2" s="245">
        <v>45884</v>
      </c>
      <c r="F2" s="245" t="s">
        <v>395</v>
      </c>
      <c r="H2" s="296" t="s">
        <v>396</v>
      </c>
      <c r="I2" s="15" t="s">
        <v>397</v>
      </c>
    </row>
    <row r="3" spans="1:10" ht="60.75">
      <c r="A3" s="15" t="s">
        <v>28</v>
      </c>
      <c r="B3" s="15" t="s">
        <v>27</v>
      </c>
      <c r="C3" s="15" t="s">
        <v>341</v>
      </c>
      <c r="D3" s="15" t="s">
        <v>398</v>
      </c>
      <c r="E3" s="245">
        <v>45884</v>
      </c>
      <c r="F3" s="245" t="s">
        <v>399</v>
      </c>
      <c r="G3" s="15" t="s">
        <v>400</v>
      </c>
      <c r="H3" s="294" t="s">
        <v>401</v>
      </c>
      <c r="I3" s="15" t="s">
        <v>397</v>
      </c>
    </row>
    <row r="4" spans="1:10" ht="48" customHeight="1">
      <c r="A4" s="15" t="s">
        <v>23</v>
      </c>
      <c r="B4" s="15" t="s">
        <v>402</v>
      </c>
      <c r="C4" s="15" t="s">
        <v>22</v>
      </c>
      <c r="D4" s="15" t="s">
        <v>403</v>
      </c>
      <c r="E4" s="245">
        <v>45884</v>
      </c>
      <c r="F4" s="245" t="s">
        <v>404</v>
      </c>
      <c r="H4" s="294" t="s">
        <v>405</v>
      </c>
      <c r="I4" s="15" t="s">
        <v>397</v>
      </c>
    </row>
    <row r="5" spans="1:10" ht="137.25">
      <c r="A5" s="15" t="s">
        <v>406</v>
      </c>
      <c r="B5" s="15" t="s">
        <v>55</v>
      </c>
      <c r="C5" s="15" t="s">
        <v>22</v>
      </c>
      <c r="D5" s="15" t="s">
        <v>407</v>
      </c>
      <c r="E5" s="245">
        <v>45884</v>
      </c>
      <c r="F5" s="15" t="s">
        <v>408</v>
      </c>
      <c r="H5" s="294" t="s">
        <v>409</v>
      </c>
      <c r="I5" s="15" t="s">
        <v>397</v>
      </c>
    </row>
    <row r="6" spans="1:10" ht="45.75">
      <c r="A6" s="15" t="s">
        <v>410</v>
      </c>
      <c r="B6" s="15" t="s">
        <v>27</v>
      </c>
      <c r="C6" s="15" t="s">
        <v>341</v>
      </c>
      <c r="D6" s="15" t="s">
        <v>40</v>
      </c>
      <c r="E6" s="245">
        <v>45884</v>
      </c>
      <c r="F6" s="245" t="s">
        <v>404</v>
      </c>
      <c r="G6" s="295"/>
      <c r="H6" s="295" t="s">
        <v>411</v>
      </c>
      <c r="I6" s="15" t="s">
        <v>397</v>
      </c>
    </row>
    <row r="7" spans="1:10" ht="45.75">
      <c r="A7" s="15" t="s">
        <v>293</v>
      </c>
      <c r="B7" s="15" t="s">
        <v>31</v>
      </c>
      <c r="C7" s="15" t="s">
        <v>22</v>
      </c>
      <c r="D7" s="15" t="s">
        <v>398</v>
      </c>
      <c r="E7" s="245">
        <v>45884</v>
      </c>
      <c r="F7" s="245" t="s">
        <v>412</v>
      </c>
      <c r="H7" s="294" t="s">
        <v>413</v>
      </c>
      <c r="I7" s="15" t="s">
        <v>397</v>
      </c>
    </row>
    <row r="8" spans="1:10" ht="76.5">
      <c r="A8" s="193" t="s">
        <v>43</v>
      </c>
      <c r="B8" s="193" t="s">
        <v>23</v>
      </c>
      <c r="C8" s="193" t="s">
        <v>22</v>
      </c>
      <c r="D8" s="193" t="s">
        <v>403</v>
      </c>
      <c r="E8" s="298">
        <v>45884</v>
      </c>
      <c r="F8" s="193" t="s">
        <v>399</v>
      </c>
      <c r="G8" s="193" t="s">
        <v>414</v>
      </c>
      <c r="H8" s="297" t="s">
        <v>415</v>
      </c>
      <c r="I8" s="15" t="s">
        <v>397</v>
      </c>
    </row>
    <row r="9" spans="1:10" ht="45.75">
      <c r="A9" s="193" t="s">
        <v>275</v>
      </c>
      <c r="B9" s="193" t="s">
        <v>61</v>
      </c>
      <c r="C9" s="193" t="s">
        <v>22</v>
      </c>
      <c r="D9" s="193" t="s">
        <v>416</v>
      </c>
      <c r="E9" s="298">
        <v>45884</v>
      </c>
      <c r="F9" s="193" t="s">
        <v>395</v>
      </c>
      <c r="G9" s="193"/>
      <c r="H9" s="297" t="s">
        <v>396</v>
      </c>
      <c r="I9" s="15" t="s">
        <v>397</v>
      </c>
    </row>
    <row r="10" spans="1:10" ht="45.75">
      <c r="A10" s="193" t="s">
        <v>189</v>
      </c>
      <c r="B10" s="193" t="s">
        <v>61</v>
      </c>
      <c r="C10" s="193" t="s">
        <v>22</v>
      </c>
      <c r="D10" s="193" t="s">
        <v>416</v>
      </c>
      <c r="E10" s="298">
        <v>45884</v>
      </c>
      <c r="F10" s="193" t="s">
        <v>395</v>
      </c>
      <c r="G10" s="193"/>
      <c r="H10" s="297" t="s">
        <v>396</v>
      </c>
      <c r="I10" s="15" t="s">
        <v>397</v>
      </c>
    </row>
    <row r="11" spans="1:10" ht="45.75">
      <c r="A11" s="15" t="s">
        <v>106</v>
      </c>
      <c r="B11" s="15" t="s">
        <v>66</v>
      </c>
      <c r="C11" s="15" t="s">
        <v>22</v>
      </c>
      <c r="D11" s="15" t="s">
        <v>417</v>
      </c>
      <c r="E11" s="298">
        <v>45884</v>
      </c>
      <c r="F11" s="245" t="s">
        <v>404</v>
      </c>
      <c r="H11" s="294" t="s">
        <v>418</v>
      </c>
      <c r="I11" s="15" t="s">
        <v>397</v>
      </c>
    </row>
    <row r="12" spans="1:10" ht="45.75">
      <c r="A12" s="15" t="s">
        <v>52</v>
      </c>
      <c r="B12" s="15" t="s">
        <v>38</v>
      </c>
      <c r="C12" s="15" t="s">
        <v>37</v>
      </c>
      <c r="D12" s="15" t="s">
        <v>40</v>
      </c>
      <c r="E12" s="298">
        <v>45884</v>
      </c>
      <c r="F12" s="15" t="s">
        <v>419</v>
      </c>
      <c r="H12" s="294" t="s">
        <v>420</v>
      </c>
      <c r="I12" s="15" t="s">
        <v>397</v>
      </c>
    </row>
    <row r="13" spans="1:10">
      <c r="F13" s="245"/>
    </row>
    <row r="14" spans="1:10">
      <c r="F14" s="245"/>
    </row>
    <row r="15" spans="1:10">
      <c r="F15" s="245"/>
    </row>
    <row r="16" spans="1:10">
      <c r="F16" s="245"/>
    </row>
    <row r="17" spans="6:6">
      <c r="F17" s="245"/>
    </row>
    <row r="18" spans="6:6">
      <c r="F18" s="245"/>
    </row>
    <row r="19" spans="6:6">
      <c r="F19" s="245"/>
    </row>
    <row r="20" spans="6:6">
      <c r="F20" s="245"/>
    </row>
    <row r="21" spans="6:6">
      <c r="F21" s="245"/>
    </row>
    <row r="22" spans="6:6">
      <c r="F22" s="245"/>
    </row>
    <row r="23" spans="6:6">
      <c r="F23" s="245"/>
    </row>
    <row r="24" spans="6:6">
      <c r="F24" s="245"/>
    </row>
    <row r="25" spans="6:6">
      <c r="F25" s="245"/>
    </row>
    <row r="26" spans="6:6">
      <c r="F26" s="245"/>
    </row>
    <row r="27" spans="6:6">
      <c r="F27" s="245"/>
    </row>
    <row r="28" spans="6:6">
      <c r="F28" s="245"/>
    </row>
    <row r="29" spans="6:6">
      <c r="F29" s="245"/>
    </row>
    <row r="30" spans="6:6">
      <c r="F30" s="245"/>
    </row>
    <row r="31" spans="6:6">
      <c r="F31" s="245"/>
    </row>
    <row r="32" spans="6:6">
      <c r="F32" s="245"/>
    </row>
    <row r="33" spans="6:6">
      <c r="F33" s="245"/>
    </row>
    <row r="34" spans="6:6">
      <c r="F34" s="245"/>
    </row>
    <row r="35" spans="6:6">
      <c r="F35" s="245"/>
    </row>
    <row r="36" spans="6:6">
      <c r="F36" s="245"/>
    </row>
    <row r="37" spans="6:6">
      <c r="F37" s="245"/>
    </row>
    <row r="38" spans="6:6">
      <c r="F38" s="245"/>
    </row>
    <row r="39" spans="6:6">
      <c r="F39" s="245"/>
    </row>
    <row r="40" spans="6:6">
      <c r="F40" s="245"/>
    </row>
    <row r="41" spans="6:6">
      <c r="F41" s="245"/>
    </row>
    <row r="42" spans="6:6">
      <c r="F42" s="245"/>
    </row>
    <row r="43" spans="6:6">
      <c r="F43" s="245"/>
    </row>
    <row r="44" spans="6:6">
      <c r="F44" s="245"/>
    </row>
    <row r="45" spans="6:6">
      <c r="F45" s="245"/>
    </row>
    <row r="46" spans="6:6">
      <c r="F46" s="245"/>
    </row>
    <row r="47" spans="6:6">
      <c r="F47" s="245"/>
    </row>
    <row r="48" spans="6:6">
      <c r="F48" s="245"/>
    </row>
    <row r="49" spans="6:6">
      <c r="F49" s="245"/>
    </row>
    <row r="50" spans="6:6">
      <c r="F50" s="245"/>
    </row>
    <row r="51" spans="6:6">
      <c r="F51" s="245"/>
    </row>
    <row r="52" spans="6:6">
      <c r="F52" s="245"/>
    </row>
    <row r="53" spans="6:6">
      <c r="F53" s="245"/>
    </row>
    <row r="54" spans="6:6">
      <c r="F54" s="245"/>
    </row>
    <row r="55" spans="6:6">
      <c r="F55" s="245"/>
    </row>
    <row r="56" spans="6:6">
      <c r="F56" s="245"/>
    </row>
    <row r="57" spans="6:6">
      <c r="F57" s="245"/>
    </row>
    <row r="58" spans="6:6">
      <c r="F58" s="245"/>
    </row>
    <row r="59" spans="6:6">
      <c r="F59" s="245"/>
    </row>
    <row r="60" spans="6:6">
      <c r="F60" s="245"/>
    </row>
    <row r="61" spans="6:6">
      <c r="F61" s="245"/>
    </row>
    <row r="62" spans="6:6">
      <c r="F62" s="245"/>
    </row>
    <row r="63" spans="6:6">
      <c r="F63" s="245"/>
    </row>
    <row r="64" spans="6:6">
      <c r="F64" s="245"/>
    </row>
    <row r="65" spans="6:6">
      <c r="F65" s="245"/>
    </row>
    <row r="66" spans="6:6">
      <c r="F66" s="245"/>
    </row>
    <row r="67" spans="6:6">
      <c r="F67" s="245"/>
    </row>
    <row r="68" spans="6:6">
      <c r="F68" s="245"/>
    </row>
    <row r="69" spans="6:6">
      <c r="F69" s="245"/>
    </row>
    <row r="70" spans="6:6">
      <c r="F70" s="245"/>
    </row>
    <row r="71" spans="6:6">
      <c r="F71" s="245"/>
    </row>
    <row r="72" spans="6:6">
      <c r="F72" s="245"/>
    </row>
    <row r="73" spans="6:6">
      <c r="F73" s="245"/>
    </row>
    <row r="74" spans="6:6">
      <c r="F74" s="245"/>
    </row>
    <row r="75" spans="6:6">
      <c r="F75" s="245"/>
    </row>
    <row r="76" spans="6:6">
      <c r="F76" s="245"/>
    </row>
    <row r="77" spans="6:6">
      <c r="F77" s="245"/>
    </row>
    <row r="78" spans="6:6">
      <c r="F78" s="245"/>
    </row>
    <row r="79" spans="6:6">
      <c r="F79" s="245"/>
    </row>
    <row r="80" spans="6:6">
      <c r="F80" s="245"/>
    </row>
    <row r="81" spans="6:6">
      <c r="F81" s="245"/>
    </row>
    <row r="82" spans="6:6">
      <c r="F82" s="245"/>
    </row>
    <row r="83" spans="6:6">
      <c r="F83" s="245"/>
    </row>
    <row r="84" spans="6:6">
      <c r="F84" s="245"/>
    </row>
    <row r="85" spans="6:6">
      <c r="F85" s="245"/>
    </row>
    <row r="86" spans="6:6">
      <c r="F86" s="245"/>
    </row>
    <row r="87" spans="6:6">
      <c r="F87" s="245"/>
    </row>
    <row r="88" spans="6:6">
      <c r="F88" s="245"/>
    </row>
    <row r="89" spans="6:6">
      <c r="F89" s="245"/>
    </row>
    <row r="90" spans="6:6">
      <c r="F90" s="245"/>
    </row>
    <row r="91" spans="6:6">
      <c r="F91" s="245"/>
    </row>
    <row r="92" spans="6:6">
      <c r="F92" s="245"/>
    </row>
    <row r="93" spans="6:6">
      <c r="F93" s="245"/>
    </row>
    <row r="94" spans="6:6">
      <c r="F94" s="245"/>
    </row>
    <row r="95" spans="6:6">
      <c r="F95" s="245"/>
    </row>
    <row r="96" spans="6:6">
      <c r="F96" s="245"/>
    </row>
    <row r="97" spans="6:6">
      <c r="F97" s="245"/>
    </row>
    <row r="98" spans="6:6">
      <c r="F98" s="245"/>
    </row>
    <row r="99" spans="6:6">
      <c r="F99" s="245"/>
    </row>
    <row r="100" spans="6:6">
      <c r="F100" s="245"/>
    </row>
    <row r="101" spans="6:6">
      <c r="F101" s="245"/>
    </row>
    <row r="102" spans="6:6">
      <c r="F102" s="245"/>
    </row>
    <row r="103" spans="6:6">
      <c r="F103" s="245"/>
    </row>
    <row r="104" spans="6:6">
      <c r="F104" s="245"/>
    </row>
    <row r="105" spans="6:6">
      <c r="F105" s="245"/>
    </row>
    <row r="106" spans="6:6">
      <c r="F106" s="245"/>
    </row>
    <row r="107" spans="6:6">
      <c r="F107" s="245"/>
    </row>
    <row r="108" spans="6:6">
      <c r="F108" s="245"/>
    </row>
    <row r="109" spans="6:6">
      <c r="F109" s="245"/>
    </row>
    <row r="110" spans="6:6">
      <c r="F110" s="245"/>
    </row>
    <row r="111" spans="6:6">
      <c r="F111" s="245"/>
    </row>
    <row r="112" spans="6:6">
      <c r="F112" s="245"/>
    </row>
    <row r="113" spans="6:6">
      <c r="F113" s="245"/>
    </row>
    <row r="114" spans="6:6">
      <c r="F114" s="245"/>
    </row>
    <row r="115" spans="6:6">
      <c r="F115" s="245"/>
    </row>
    <row r="116" spans="6:6">
      <c r="F116" s="245"/>
    </row>
    <row r="117" spans="6:6">
      <c r="F117" s="245"/>
    </row>
    <row r="118" spans="6:6">
      <c r="F118" s="245"/>
    </row>
    <row r="119" spans="6:6">
      <c r="F119" s="245"/>
    </row>
    <row r="120" spans="6:6">
      <c r="F120" s="245"/>
    </row>
    <row r="121" spans="6:6">
      <c r="F121" s="245"/>
    </row>
    <row r="122" spans="6:6">
      <c r="F122" s="245"/>
    </row>
    <row r="123" spans="6:6">
      <c r="F123" s="245"/>
    </row>
    <row r="124" spans="6:6">
      <c r="F124" s="245"/>
    </row>
    <row r="125" spans="6:6">
      <c r="F125" s="245"/>
    </row>
    <row r="126" spans="6:6">
      <c r="F126" s="245"/>
    </row>
    <row r="127" spans="6:6">
      <c r="F127" s="245"/>
    </row>
    <row r="128" spans="6:6">
      <c r="F128" s="245"/>
    </row>
    <row r="129" spans="6:6">
      <c r="F129" s="245"/>
    </row>
    <row r="130" spans="6:6">
      <c r="F130" s="245"/>
    </row>
    <row r="131" spans="6:6">
      <c r="F131" s="245"/>
    </row>
    <row r="132" spans="6:6">
      <c r="F132" s="245"/>
    </row>
    <row r="133" spans="6:6">
      <c r="F133" s="245"/>
    </row>
    <row r="134" spans="6:6">
      <c r="F134" s="245"/>
    </row>
    <row r="135" spans="6:6">
      <c r="F135" s="245"/>
    </row>
    <row r="136" spans="6:6">
      <c r="F136" s="245"/>
    </row>
    <row r="137" spans="6:6">
      <c r="F137" s="245"/>
    </row>
    <row r="138" spans="6:6">
      <c r="F138" s="245"/>
    </row>
    <row r="139" spans="6:6">
      <c r="F139" s="245"/>
    </row>
    <row r="140" spans="6:6">
      <c r="F140" s="245"/>
    </row>
    <row r="141" spans="6:6">
      <c r="F141" s="245"/>
    </row>
    <row r="142" spans="6:6">
      <c r="F142" s="245"/>
    </row>
    <row r="143" spans="6:6">
      <c r="F143" s="245"/>
    </row>
    <row r="144" spans="6:6">
      <c r="F144" s="245"/>
    </row>
    <row r="145" spans="6:6">
      <c r="F145" s="245"/>
    </row>
    <row r="146" spans="6:6">
      <c r="F146" s="245"/>
    </row>
    <row r="147" spans="6:6">
      <c r="F147" s="245"/>
    </row>
    <row r="148" spans="6:6">
      <c r="F148" s="245"/>
    </row>
    <row r="149" spans="6:6">
      <c r="F149" s="245"/>
    </row>
    <row r="150" spans="6:6">
      <c r="F150" s="245"/>
    </row>
    <row r="151" spans="6:6">
      <c r="F151" s="245"/>
    </row>
    <row r="152" spans="6:6">
      <c r="F152" s="245"/>
    </row>
    <row r="153" spans="6:6">
      <c r="F153" s="245"/>
    </row>
    <row r="154" spans="6:6">
      <c r="F154" s="245"/>
    </row>
    <row r="155" spans="6:6">
      <c r="F155" s="245"/>
    </row>
    <row r="156" spans="6:6">
      <c r="F156" s="245"/>
    </row>
    <row r="157" spans="6:6">
      <c r="F157" s="245"/>
    </row>
    <row r="158" spans="6:6">
      <c r="F158" s="245"/>
    </row>
    <row r="159" spans="6:6">
      <c r="F159" s="245"/>
    </row>
    <row r="160" spans="6:6">
      <c r="F160" s="245"/>
    </row>
    <row r="161" spans="6:6">
      <c r="F161" s="245"/>
    </row>
    <row r="162" spans="6:6">
      <c r="F162" s="245"/>
    </row>
    <row r="163" spans="6:6">
      <c r="F163" s="245"/>
    </row>
    <row r="164" spans="6:6">
      <c r="F164" s="245"/>
    </row>
    <row r="165" spans="6:6">
      <c r="F165" s="245"/>
    </row>
    <row r="166" spans="6:6">
      <c r="F166" s="245"/>
    </row>
    <row r="167" spans="6:6">
      <c r="F167" s="245"/>
    </row>
    <row r="168" spans="6:6">
      <c r="F168" s="245"/>
    </row>
    <row r="169" spans="6:6">
      <c r="F169" s="245"/>
    </row>
    <row r="170" spans="6:6">
      <c r="F170" s="245"/>
    </row>
    <row r="171" spans="6:6">
      <c r="F171" s="245"/>
    </row>
    <row r="172" spans="6:6">
      <c r="F172" s="245"/>
    </row>
    <row r="173" spans="6:6">
      <c r="F173" s="245"/>
    </row>
    <row r="174" spans="6:6">
      <c r="F174" s="245"/>
    </row>
    <row r="175" spans="6:6">
      <c r="F175" s="245"/>
    </row>
    <row r="176" spans="6:6">
      <c r="F176" s="245"/>
    </row>
  </sheetData>
  <dataValidations count="6">
    <dataValidation type="list" allowBlank="1" showInputMessage="1" showErrorMessage="1" sqref="I2:I45" xr:uid="{91FF4F5D-2C0A-42B2-82AF-F4E75C78D756}">
      <formula1>"Yes,No,"</formula1>
    </dataValidation>
    <dataValidation type="list" allowBlank="1" showInputMessage="1" showErrorMessage="1" sqref="C2:C7 C11:C139" xr:uid="{F268BBB7-F5F5-4BD0-A0FB-A4215E062E6C}">
      <formula1>"Billing,Intake,Mpen,Rebill,Eligibility,Rejections,"</formula1>
    </dataValidation>
    <dataValidation type="list" allowBlank="1" showInputMessage="1" showErrorMessage="1" sqref="D1:D7 D11:D1048576" xr:uid="{404AA0ED-B985-48CA-AE80-600F69B81693}">
      <formula1>"Illinois,Kentucky,Massachusetts,New Jersey,New York,Multi,"</formula1>
    </dataValidation>
    <dataValidation type="list" allowBlank="1" showInputMessage="1" showErrorMessage="1" sqref="F2:F4" xr:uid="{A31388EE-7C89-4163-806B-758ABD6D5D66}">
      <formula1>"Salary Dispute,Overtime Dispute,One time Performance Dispute,Holiday Dispute,13th Month Pay Dispute,HMO Dispute,"</formula1>
    </dataValidation>
    <dataValidation type="list" allowBlank="1" showInputMessage="1" showErrorMessage="1" sqref="B2:B7 B11:B161" xr:uid="{02EBC1A6-DACD-4A13-8FA3-E32D85192326}">
      <formula1>"Rhoda Dejesus,Kate Constantino,Jason Cruz,Eldrick Loreno,Vladimir Patio,Kiana Brown,HANS RUAN,Edmark Bania,Louis Cantillion,Noemi Landerito,"</formula1>
    </dataValidation>
    <dataValidation type="list" allowBlank="1" showInputMessage="1" showErrorMessage="1" sqref="F6:F7 F11 F13:F176" xr:uid="{EBECD2F1-5922-4171-A3BB-6AEE4A0F0622}">
      <formula1>"RD Overtime Disute,Salary Dispute,Overtime Dispute,One time Performance Dispute,Holiday Dispute,13th Month Pay Dispute,HMO Dispute,"</formula1>
    </dataValidation>
  </dataValidation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E2B91-F490-441D-9C61-90CEF49E287D}">
  <dimension ref="A1:X103"/>
  <sheetViews>
    <sheetView topLeftCell="G1" workbookViewId="0">
      <pane ySplit="1" topLeftCell="A2" activePane="bottomLeft" state="frozen"/>
      <selection pane="bottomLeft" activeCell="N43" sqref="N43"/>
      <selection activeCell="C1" sqref="C1"/>
    </sheetView>
  </sheetViews>
  <sheetFormatPr defaultRowHeight="15"/>
  <cols>
    <col min="1" max="1" width="9.140625" style="6"/>
    <col min="2" max="2" width="21.42578125" style="6" bestFit="1" customWidth="1"/>
    <col min="3" max="3" width="12" style="6" bestFit="1" customWidth="1"/>
    <col min="4" max="10" width="9.85546875" style="6" bestFit="1" customWidth="1"/>
    <col min="20" max="20" width="13.140625" bestFit="1" customWidth="1"/>
    <col min="21" max="22" width="16.140625" bestFit="1" customWidth="1"/>
    <col min="23" max="23" width="17.7109375" bestFit="1" customWidth="1"/>
    <col min="24" max="24" width="13.28515625" bestFit="1" customWidth="1"/>
  </cols>
  <sheetData>
    <row r="1" spans="1:24">
      <c r="A1" s="1" t="s">
        <v>0</v>
      </c>
      <c r="B1" s="1" t="s">
        <v>2</v>
      </c>
      <c r="C1" s="1" t="s">
        <v>3</v>
      </c>
      <c r="D1" s="8" t="s">
        <v>170</v>
      </c>
      <c r="E1" s="8" t="s">
        <v>171</v>
      </c>
      <c r="F1" s="8" t="s">
        <v>172</v>
      </c>
      <c r="G1" s="8" t="s">
        <v>173</v>
      </c>
      <c r="H1" s="8" t="s">
        <v>167</v>
      </c>
      <c r="I1" s="8" t="s">
        <v>168</v>
      </c>
      <c r="J1" s="8" t="s">
        <v>169</v>
      </c>
      <c r="K1" s="1" t="s">
        <v>4</v>
      </c>
      <c r="L1" s="1" t="s">
        <v>5</v>
      </c>
      <c r="M1" s="1" t="s">
        <v>6</v>
      </c>
      <c r="N1" s="1" t="s">
        <v>7</v>
      </c>
      <c r="O1" s="1" t="s">
        <v>8</v>
      </c>
      <c r="P1" s="1" t="s">
        <v>9</v>
      </c>
      <c r="Q1" s="2" t="s">
        <v>12</v>
      </c>
      <c r="R1" s="2" t="s">
        <v>14</v>
      </c>
      <c r="T1" s="13" t="s">
        <v>142</v>
      </c>
      <c r="U1" t="s">
        <v>143</v>
      </c>
      <c r="V1" t="s">
        <v>144</v>
      </c>
      <c r="W1" t="s">
        <v>146</v>
      </c>
      <c r="X1" t="s">
        <v>145</v>
      </c>
    </row>
    <row r="2" spans="1:24">
      <c r="A2" s="5" t="s">
        <v>22</v>
      </c>
      <c r="B2" s="5" t="s">
        <v>24</v>
      </c>
      <c r="C2" s="5" t="s">
        <v>25</v>
      </c>
      <c r="D2" s="9" t="s">
        <v>147</v>
      </c>
      <c r="E2" s="9" t="s">
        <v>148</v>
      </c>
      <c r="F2" s="9" t="s">
        <v>148</v>
      </c>
      <c r="G2" s="9">
        <v>20</v>
      </c>
      <c r="H2" s="9" t="s">
        <v>148</v>
      </c>
      <c r="I2" s="9" t="s">
        <v>148</v>
      </c>
      <c r="J2" s="9" t="s">
        <v>147</v>
      </c>
      <c r="K2">
        <f>G2</f>
        <v>20</v>
      </c>
      <c r="L2" s="6">
        <f>SUMIF(A2:J2,"450")</f>
        <v>0</v>
      </c>
      <c r="M2">
        <f>SUM(K2:L2)</f>
        <v>20</v>
      </c>
      <c r="N2">
        <f>450*5</f>
        <v>2250</v>
      </c>
      <c r="O2">
        <f>N2-M2</f>
        <v>2230</v>
      </c>
      <c r="P2">
        <f>O2/N2*100%</f>
        <v>0.99111111111111116</v>
      </c>
      <c r="T2" s="14" t="s">
        <v>111</v>
      </c>
      <c r="V2">
        <v>0</v>
      </c>
      <c r="W2">
        <v>1350</v>
      </c>
      <c r="X2">
        <v>1350</v>
      </c>
    </row>
    <row r="3" spans="1:24">
      <c r="A3" s="5" t="s">
        <v>26</v>
      </c>
      <c r="B3" s="7" t="s">
        <v>28</v>
      </c>
      <c r="C3" s="34" t="s">
        <v>25</v>
      </c>
      <c r="D3" s="9" t="s">
        <v>148</v>
      </c>
      <c r="E3" s="9">
        <v>56</v>
      </c>
      <c r="F3" s="9" t="s">
        <v>147</v>
      </c>
      <c r="G3" s="9" t="s">
        <v>147</v>
      </c>
      <c r="H3" s="9">
        <v>32</v>
      </c>
      <c r="I3" s="9" t="s">
        <v>14</v>
      </c>
      <c r="J3" s="9" t="s">
        <v>148</v>
      </c>
      <c r="K3">
        <f>E3+H3</f>
        <v>88</v>
      </c>
      <c r="L3" s="6">
        <f t="shared" ref="L3:L66" si="0">SUMIF(A3:J3,"450")</f>
        <v>0</v>
      </c>
      <c r="M3">
        <f t="shared" ref="M3:M66" si="1">SUM(K3:L3)</f>
        <v>88</v>
      </c>
      <c r="N3">
        <f>450*4</f>
        <v>1800</v>
      </c>
      <c r="O3">
        <f t="shared" ref="O3:O66" si="2">N3-M3</f>
        <v>1712</v>
      </c>
      <c r="P3">
        <f t="shared" ref="P3:P66" si="3">O3/N3*100%</f>
        <v>0.95111111111111113</v>
      </c>
      <c r="R3">
        <v>1</v>
      </c>
      <c r="T3" s="14" t="s">
        <v>22</v>
      </c>
      <c r="U3">
        <v>815</v>
      </c>
      <c r="V3">
        <v>7650</v>
      </c>
      <c r="W3">
        <v>85585</v>
      </c>
      <c r="X3">
        <v>94050</v>
      </c>
    </row>
    <row r="4" spans="1:24">
      <c r="A4" s="5" t="s">
        <v>26</v>
      </c>
      <c r="B4" s="7" t="s">
        <v>29</v>
      </c>
      <c r="C4" s="34" t="s">
        <v>30</v>
      </c>
      <c r="D4" s="9">
        <v>21</v>
      </c>
      <c r="E4" s="9">
        <v>2</v>
      </c>
      <c r="F4" s="9" t="s">
        <v>147</v>
      </c>
      <c r="G4" s="9" t="s">
        <v>147</v>
      </c>
      <c r="H4" s="9" t="s">
        <v>148</v>
      </c>
      <c r="I4" s="9" t="s">
        <v>148</v>
      </c>
      <c r="J4" s="9">
        <v>116</v>
      </c>
      <c r="K4">
        <f>D4+E4+J4</f>
        <v>139</v>
      </c>
      <c r="L4" s="6">
        <f t="shared" si="0"/>
        <v>0</v>
      </c>
      <c r="M4">
        <f t="shared" si="1"/>
        <v>139</v>
      </c>
      <c r="N4">
        <f t="shared" ref="N4:N9" si="4">450*5</f>
        <v>2250</v>
      </c>
      <c r="O4">
        <f t="shared" si="2"/>
        <v>2111</v>
      </c>
      <c r="P4">
        <f t="shared" si="3"/>
        <v>0.93822222222222218</v>
      </c>
      <c r="T4" s="14" t="s">
        <v>37</v>
      </c>
      <c r="U4">
        <v>633</v>
      </c>
      <c r="V4">
        <v>450</v>
      </c>
      <c r="W4">
        <v>21417</v>
      </c>
      <c r="X4">
        <v>22500</v>
      </c>
    </row>
    <row r="5" spans="1:24">
      <c r="A5" s="5" t="s">
        <v>22</v>
      </c>
      <c r="B5" s="5" t="s">
        <v>32</v>
      </c>
      <c r="C5" s="5" t="s">
        <v>33</v>
      </c>
      <c r="D5" s="9" t="s">
        <v>147</v>
      </c>
      <c r="E5" s="9" t="s">
        <v>148</v>
      </c>
      <c r="F5" s="9" t="s">
        <v>148</v>
      </c>
      <c r="G5" s="9" t="s">
        <v>148</v>
      </c>
      <c r="H5" s="9" t="s">
        <v>148</v>
      </c>
      <c r="I5" s="9" t="s">
        <v>148</v>
      </c>
      <c r="J5" s="9" t="s">
        <v>147</v>
      </c>
      <c r="L5" s="6">
        <f t="shared" si="0"/>
        <v>0</v>
      </c>
      <c r="M5">
        <f t="shared" si="1"/>
        <v>0</v>
      </c>
      <c r="N5">
        <f t="shared" si="4"/>
        <v>2250</v>
      </c>
      <c r="O5">
        <f t="shared" si="2"/>
        <v>2250</v>
      </c>
      <c r="P5">
        <f t="shared" si="3"/>
        <v>1</v>
      </c>
      <c r="T5" s="14" t="s">
        <v>57</v>
      </c>
      <c r="U5">
        <v>8</v>
      </c>
      <c r="V5">
        <v>450</v>
      </c>
      <c r="W5">
        <v>7642</v>
      </c>
      <c r="X5">
        <v>8100</v>
      </c>
    </row>
    <row r="6" spans="1:24">
      <c r="A6" s="5" t="s">
        <v>26</v>
      </c>
      <c r="B6" s="7" t="s">
        <v>35</v>
      </c>
      <c r="C6" s="34" t="s">
        <v>36</v>
      </c>
      <c r="D6" s="9" t="s">
        <v>147</v>
      </c>
      <c r="E6" s="9" t="s">
        <v>148</v>
      </c>
      <c r="F6" s="9" t="s">
        <v>148</v>
      </c>
      <c r="G6" s="9">
        <v>12</v>
      </c>
      <c r="H6" s="9">
        <v>7</v>
      </c>
      <c r="I6" s="9">
        <v>2</v>
      </c>
      <c r="J6" s="9" t="s">
        <v>147</v>
      </c>
      <c r="K6">
        <f>SUM(G6:I6)</f>
        <v>21</v>
      </c>
      <c r="L6" s="6">
        <f t="shared" si="0"/>
        <v>0</v>
      </c>
      <c r="M6">
        <f t="shared" si="1"/>
        <v>21</v>
      </c>
      <c r="N6">
        <f t="shared" si="4"/>
        <v>2250</v>
      </c>
      <c r="O6">
        <f t="shared" si="2"/>
        <v>2229</v>
      </c>
      <c r="P6">
        <f t="shared" si="3"/>
        <v>0.9906666666666667</v>
      </c>
      <c r="T6" s="14" t="s">
        <v>60</v>
      </c>
      <c r="V6">
        <v>0</v>
      </c>
      <c r="W6">
        <v>4500</v>
      </c>
      <c r="X6">
        <v>4500</v>
      </c>
    </row>
    <row r="7" spans="1:24">
      <c r="A7" s="5" t="s">
        <v>37</v>
      </c>
      <c r="B7" s="5" t="s">
        <v>39</v>
      </c>
      <c r="C7" s="5" t="s">
        <v>40</v>
      </c>
      <c r="D7" s="9">
        <v>218</v>
      </c>
      <c r="E7" s="9" t="s">
        <v>148</v>
      </c>
      <c r="F7" s="9">
        <v>450</v>
      </c>
      <c r="G7" s="9">
        <v>265</v>
      </c>
      <c r="H7" s="9" t="s">
        <v>148</v>
      </c>
      <c r="I7" s="9" t="s">
        <v>147</v>
      </c>
      <c r="J7" s="9" t="s">
        <v>147</v>
      </c>
      <c r="K7">
        <f>SUM(D7,G7)</f>
        <v>483</v>
      </c>
      <c r="L7" s="6">
        <f t="shared" si="0"/>
        <v>450</v>
      </c>
      <c r="M7">
        <f t="shared" si="1"/>
        <v>933</v>
      </c>
      <c r="N7">
        <f t="shared" si="4"/>
        <v>2250</v>
      </c>
      <c r="O7">
        <f t="shared" si="2"/>
        <v>1317</v>
      </c>
      <c r="P7">
        <f t="shared" si="3"/>
        <v>0.58533333333333337</v>
      </c>
      <c r="T7" s="14" t="s">
        <v>26</v>
      </c>
      <c r="U7">
        <v>743</v>
      </c>
      <c r="V7">
        <v>4500</v>
      </c>
      <c r="W7">
        <v>79447</v>
      </c>
      <c r="X7">
        <v>84690</v>
      </c>
    </row>
    <row r="8" spans="1:24">
      <c r="A8" s="5" t="s">
        <v>22</v>
      </c>
      <c r="B8" s="5" t="s">
        <v>41</v>
      </c>
      <c r="C8" s="5" t="s">
        <v>33</v>
      </c>
      <c r="D8" s="9" t="s">
        <v>147</v>
      </c>
      <c r="E8" s="9">
        <v>7</v>
      </c>
      <c r="F8" s="9" t="s">
        <v>148</v>
      </c>
      <c r="G8" s="9" t="s">
        <v>148</v>
      </c>
      <c r="H8" s="9">
        <v>450</v>
      </c>
      <c r="I8" s="9" t="s">
        <v>148</v>
      </c>
      <c r="J8" s="9" t="s">
        <v>147</v>
      </c>
      <c r="K8">
        <f>E8</f>
        <v>7</v>
      </c>
      <c r="L8" s="6">
        <f t="shared" si="0"/>
        <v>450</v>
      </c>
      <c r="M8">
        <f t="shared" si="1"/>
        <v>457</v>
      </c>
      <c r="N8">
        <f t="shared" si="4"/>
        <v>2250</v>
      </c>
      <c r="O8">
        <f t="shared" si="2"/>
        <v>1793</v>
      </c>
      <c r="P8">
        <f t="shared" si="3"/>
        <v>0.79688888888888887</v>
      </c>
      <c r="T8" s="14" t="s">
        <v>149</v>
      </c>
      <c r="U8">
        <v>2199</v>
      </c>
      <c r="V8">
        <v>13050</v>
      </c>
      <c r="W8">
        <v>199941</v>
      </c>
      <c r="X8">
        <v>215190</v>
      </c>
    </row>
    <row r="9" spans="1:24">
      <c r="A9" s="5" t="s">
        <v>22</v>
      </c>
      <c r="B9" s="5" t="s">
        <v>42</v>
      </c>
      <c r="C9" s="5" t="s">
        <v>25</v>
      </c>
      <c r="D9" s="9" t="s">
        <v>147</v>
      </c>
      <c r="E9" s="9">
        <v>28</v>
      </c>
      <c r="F9" s="9" t="s">
        <v>148</v>
      </c>
      <c r="G9" s="9" t="s">
        <v>148</v>
      </c>
      <c r="H9" s="9">
        <v>1</v>
      </c>
      <c r="I9" s="9" t="s">
        <v>148</v>
      </c>
      <c r="J9" s="9" t="s">
        <v>147</v>
      </c>
      <c r="K9">
        <f>SUM(E9,H9)</f>
        <v>29</v>
      </c>
      <c r="L9" s="6">
        <f t="shared" si="0"/>
        <v>0</v>
      </c>
      <c r="M9">
        <f t="shared" si="1"/>
        <v>29</v>
      </c>
      <c r="N9">
        <f t="shared" si="4"/>
        <v>2250</v>
      </c>
      <c r="O9">
        <f t="shared" si="2"/>
        <v>2221</v>
      </c>
      <c r="P9">
        <f t="shared" si="3"/>
        <v>0.98711111111111116</v>
      </c>
    </row>
    <row r="10" spans="1:24">
      <c r="A10" s="5" t="s">
        <v>22</v>
      </c>
      <c r="B10" s="5" t="s">
        <v>43</v>
      </c>
      <c r="C10" s="5" t="s">
        <v>25</v>
      </c>
      <c r="D10" s="9" t="s">
        <v>147</v>
      </c>
      <c r="E10" s="9" t="s">
        <v>148</v>
      </c>
      <c r="F10" s="9" t="s">
        <v>148</v>
      </c>
      <c r="G10" s="9" t="s">
        <v>148</v>
      </c>
      <c r="H10" s="9" t="s">
        <v>12</v>
      </c>
      <c r="I10" s="9" t="s">
        <v>12</v>
      </c>
      <c r="J10" s="9" t="s">
        <v>147</v>
      </c>
      <c r="L10" s="6">
        <f t="shared" si="0"/>
        <v>0</v>
      </c>
      <c r="M10">
        <f t="shared" si="1"/>
        <v>0</v>
      </c>
      <c r="N10">
        <f>450*3</f>
        <v>1350</v>
      </c>
      <c r="O10">
        <f t="shared" si="2"/>
        <v>1350</v>
      </c>
      <c r="P10">
        <f t="shared" si="3"/>
        <v>1</v>
      </c>
      <c r="Q10">
        <v>2</v>
      </c>
    </row>
    <row r="11" spans="1:24">
      <c r="A11" s="5" t="s">
        <v>37</v>
      </c>
      <c r="B11" s="5" t="s">
        <v>44</v>
      </c>
      <c r="C11" s="5" t="s">
        <v>40</v>
      </c>
      <c r="D11" s="9" t="s">
        <v>147</v>
      </c>
      <c r="E11" s="9" t="s">
        <v>147</v>
      </c>
      <c r="F11" s="9" t="s">
        <v>148</v>
      </c>
      <c r="G11" s="9" t="s">
        <v>148</v>
      </c>
      <c r="H11" s="9" t="s">
        <v>148</v>
      </c>
      <c r="I11" s="9">
        <v>4</v>
      </c>
      <c r="J11" s="9" t="s">
        <v>148</v>
      </c>
      <c r="K11">
        <f>I11</f>
        <v>4</v>
      </c>
      <c r="L11" s="6">
        <f t="shared" si="0"/>
        <v>0</v>
      </c>
      <c r="M11">
        <f t="shared" si="1"/>
        <v>4</v>
      </c>
      <c r="N11">
        <f t="shared" ref="N11:N20" si="5">450*5</f>
        <v>2250</v>
      </c>
      <c r="O11">
        <f t="shared" si="2"/>
        <v>2246</v>
      </c>
      <c r="P11">
        <f t="shared" si="3"/>
        <v>0.99822222222222223</v>
      </c>
    </row>
    <row r="12" spans="1:24">
      <c r="A12" s="5" t="s">
        <v>26</v>
      </c>
      <c r="B12" s="7" t="s">
        <v>45</v>
      </c>
      <c r="C12" s="34" t="s">
        <v>30</v>
      </c>
      <c r="D12" s="9" t="s">
        <v>148</v>
      </c>
      <c r="E12" s="9" t="s">
        <v>148</v>
      </c>
      <c r="F12" s="9" t="s">
        <v>148</v>
      </c>
      <c r="G12" s="9" t="s">
        <v>147</v>
      </c>
      <c r="H12" s="9" t="s">
        <v>147</v>
      </c>
      <c r="I12" s="9" t="s">
        <v>148</v>
      </c>
      <c r="J12" s="9" t="s">
        <v>148</v>
      </c>
      <c r="L12" s="6">
        <f t="shared" si="0"/>
        <v>0</v>
      </c>
      <c r="M12">
        <f t="shared" si="1"/>
        <v>0</v>
      </c>
      <c r="N12">
        <f t="shared" si="5"/>
        <v>2250</v>
      </c>
      <c r="O12">
        <f t="shared" si="2"/>
        <v>2250</v>
      </c>
      <c r="P12">
        <f t="shared" si="3"/>
        <v>1</v>
      </c>
    </row>
    <row r="13" spans="1:24">
      <c r="A13" s="5" t="s">
        <v>26</v>
      </c>
      <c r="B13" s="7" t="s">
        <v>46</v>
      </c>
      <c r="C13" s="34" t="s">
        <v>33</v>
      </c>
      <c r="D13" s="9" t="s">
        <v>148</v>
      </c>
      <c r="E13" s="9" t="s">
        <v>148</v>
      </c>
      <c r="F13" s="9">
        <v>450</v>
      </c>
      <c r="G13" s="9" t="s">
        <v>148</v>
      </c>
      <c r="H13" s="9" t="s">
        <v>148</v>
      </c>
      <c r="I13" s="9" t="s">
        <v>147</v>
      </c>
      <c r="J13" s="9" t="s">
        <v>147</v>
      </c>
      <c r="L13" s="6">
        <f t="shared" si="0"/>
        <v>450</v>
      </c>
      <c r="M13">
        <f t="shared" si="1"/>
        <v>450</v>
      </c>
      <c r="N13">
        <f t="shared" si="5"/>
        <v>2250</v>
      </c>
      <c r="O13">
        <f t="shared" si="2"/>
        <v>1800</v>
      </c>
      <c r="P13">
        <f t="shared" si="3"/>
        <v>0.8</v>
      </c>
    </row>
    <row r="14" spans="1:24">
      <c r="A14" s="5" t="s">
        <v>26</v>
      </c>
      <c r="B14" s="7" t="s">
        <v>47</v>
      </c>
      <c r="C14" s="34" t="s">
        <v>33</v>
      </c>
      <c r="D14" s="9" t="s">
        <v>147</v>
      </c>
      <c r="E14" s="9">
        <v>3</v>
      </c>
      <c r="F14" s="9" t="s">
        <v>148</v>
      </c>
      <c r="G14" s="9">
        <v>24</v>
      </c>
      <c r="H14" s="9" t="s">
        <v>147</v>
      </c>
      <c r="I14" s="9" t="s">
        <v>147</v>
      </c>
      <c r="J14" s="9" t="s">
        <v>148</v>
      </c>
      <c r="K14">
        <f>E14+G14</f>
        <v>27</v>
      </c>
      <c r="L14" s="6">
        <f t="shared" si="0"/>
        <v>0</v>
      </c>
      <c r="M14">
        <f t="shared" si="1"/>
        <v>27</v>
      </c>
      <c r="N14">
        <f t="shared" si="5"/>
        <v>2250</v>
      </c>
      <c r="O14">
        <f t="shared" si="2"/>
        <v>2223</v>
      </c>
      <c r="P14">
        <f t="shared" si="3"/>
        <v>0.98799999999999999</v>
      </c>
    </row>
    <row r="15" spans="1:24">
      <c r="A15" s="5" t="s">
        <v>26</v>
      </c>
      <c r="B15" s="7" t="s">
        <v>48</v>
      </c>
      <c r="C15" s="34" t="s">
        <v>33</v>
      </c>
      <c r="D15" s="9" t="s">
        <v>147</v>
      </c>
      <c r="E15" s="9" t="s">
        <v>148</v>
      </c>
      <c r="F15" s="9" t="s">
        <v>148</v>
      </c>
      <c r="G15" s="9" t="s">
        <v>148</v>
      </c>
      <c r="H15" s="9" t="s">
        <v>148</v>
      </c>
      <c r="I15" s="9">
        <v>450</v>
      </c>
      <c r="J15" s="9" t="s">
        <v>147</v>
      </c>
      <c r="L15" s="6">
        <f t="shared" si="0"/>
        <v>450</v>
      </c>
      <c r="M15">
        <f t="shared" si="1"/>
        <v>450</v>
      </c>
      <c r="N15">
        <f t="shared" si="5"/>
        <v>2250</v>
      </c>
      <c r="O15">
        <f t="shared" si="2"/>
        <v>1800</v>
      </c>
      <c r="P15">
        <f t="shared" si="3"/>
        <v>0.8</v>
      </c>
    </row>
    <row r="16" spans="1:24">
      <c r="A16" s="5" t="s">
        <v>26</v>
      </c>
      <c r="B16" s="7" t="s">
        <v>49</v>
      </c>
      <c r="C16" s="34" t="s">
        <v>50</v>
      </c>
      <c r="D16" s="9" t="s">
        <v>147</v>
      </c>
      <c r="E16" s="9" t="s">
        <v>148</v>
      </c>
      <c r="F16" s="9" t="s">
        <v>148</v>
      </c>
      <c r="G16" s="9" t="s">
        <v>148</v>
      </c>
      <c r="H16" s="9" t="s">
        <v>148</v>
      </c>
      <c r="I16" s="9" t="s">
        <v>148</v>
      </c>
      <c r="J16" s="9" t="s">
        <v>147</v>
      </c>
      <c r="L16" s="6">
        <f t="shared" si="0"/>
        <v>0</v>
      </c>
      <c r="M16">
        <f t="shared" si="1"/>
        <v>0</v>
      </c>
      <c r="N16">
        <f t="shared" si="5"/>
        <v>2250</v>
      </c>
      <c r="O16">
        <f t="shared" si="2"/>
        <v>2250</v>
      </c>
      <c r="P16">
        <f t="shared" si="3"/>
        <v>1</v>
      </c>
    </row>
    <row r="17" spans="1:17">
      <c r="A17" s="5" t="s">
        <v>26</v>
      </c>
      <c r="B17" s="7" t="s">
        <v>51</v>
      </c>
      <c r="C17" s="34" t="s">
        <v>25</v>
      </c>
      <c r="D17" s="9" t="s">
        <v>147</v>
      </c>
      <c r="E17" s="9" t="s">
        <v>148</v>
      </c>
      <c r="F17" s="9">
        <v>2</v>
      </c>
      <c r="G17" s="9" t="s">
        <v>148</v>
      </c>
      <c r="H17" s="9" t="s">
        <v>148</v>
      </c>
      <c r="I17" s="9" t="s">
        <v>148</v>
      </c>
      <c r="J17" s="9" t="s">
        <v>147</v>
      </c>
      <c r="K17">
        <f>F17</f>
        <v>2</v>
      </c>
      <c r="L17" s="6">
        <f t="shared" si="0"/>
        <v>0</v>
      </c>
      <c r="M17">
        <f t="shared" si="1"/>
        <v>2</v>
      </c>
      <c r="N17">
        <f t="shared" si="5"/>
        <v>2250</v>
      </c>
      <c r="O17">
        <f t="shared" si="2"/>
        <v>2248</v>
      </c>
      <c r="P17">
        <f t="shared" si="3"/>
        <v>0.99911111111111106</v>
      </c>
    </row>
    <row r="18" spans="1:17">
      <c r="A18" s="5" t="s">
        <v>37</v>
      </c>
      <c r="B18" s="5" t="s">
        <v>52</v>
      </c>
      <c r="C18" s="5" t="s">
        <v>40</v>
      </c>
      <c r="D18" s="9" t="s">
        <v>148</v>
      </c>
      <c r="E18" s="9" t="s">
        <v>148</v>
      </c>
      <c r="F18" s="9" t="s">
        <v>148</v>
      </c>
      <c r="G18" s="9">
        <v>9</v>
      </c>
      <c r="H18" s="9" t="s">
        <v>148</v>
      </c>
      <c r="I18" s="9" t="s">
        <v>147</v>
      </c>
      <c r="J18" s="9" t="s">
        <v>147</v>
      </c>
      <c r="K18">
        <f>G18</f>
        <v>9</v>
      </c>
      <c r="L18" s="6">
        <f t="shared" si="0"/>
        <v>0</v>
      </c>
      <c r="M18">
        <f t="shared" si="1"/>
        <v>9</v>
      </c>
      <c r="N18">
        <f t="shared" si="5"/>
        <v>2250</v>
      </c>
      <c r="O18">
        <f t="shared" si="2"/>
        <v>2241</v>
      </c>
      <c r="P18">
        <f t="shared" si="3"/>
        <v>0.996</v>
      </c>
    </row>
    <row r="19" spans="1:17">
      <c r="A19" s="5" t="s">
        <v>26</v>
      </c>
      <c r="B19" s="7" t="s">
        <v>53</v>
      </c>
      <c r="C19" s="34" t="s">
        <v>25</v>
      </c>
      <c r="D19" s="9" t="s">
        <v>147</v>
      </c>
      <c r="E19" s="9" t="s">
        <v>148</v>
      </c>
      <c r="F19" s="9" t="s">
        <v>148</v>
      </c>
      <c r="G19" s="9" t="s">
        <v>148</v>
      </c>
      <c r="H19" s="9" t="s">
        <v>148</v>
      </c>
      <c r="I19" s="9" t="s">
        <v>14</v>
      </c>
      <c r="J19" s="9" t="s">
        <v>147</v>
      </c>
      <c r="L19" s="6">
        <f t="shared" si="0"/>
        <v>0</v>
      </c>
      <c r="M19">
        <f t="shared" si="1"/>
        <v>0</v>
      </c>
      <c r="N19">
        <f t="shared" si="5"/>
        <v>2250</v>
      </c>
      <c r="O19">
        <f t="shared" si="2"/>
        <v>2250</v>
      </c>
      <c r="P19">
        <f t="shared" si="3"/>
        <v>1</v>
      </c>
    </row>
    <row r="20" spans="1:17">
      <c r="A20" s="5" t="s">
        <v>26</v>
      </c>
      <c r="B20" s="5" t="s">
        <v>34</v>
      </c>
      <c r="C20" s="5" t="s">
        <v>40</v>
      </c>
      <c r="D20" s="9" t="s">
        <v>147</v>
      </c>
      <c r="E20" s="9" t="s">
        <v>148</v>
      </c>
      <c r="F20" s="9" t="s">
        <v>148</v>
      </c>
      <c r="G20" s="9" t="s">
        <v>148</v>
      </c>
      <c r="H20" s="9" t="s">
        <v>148</v>
      </c>
      <c r="I20" s="9">
        <v>450</v>
      </c>
      <c r="J20" s="9" t="s">
        <v>147</v>
      </c>
      <c r="L20" s="6">
        <f t="shared" si="0"/>
        <v>450</v>
      </c>
      <c r="M20">
        <f t="shared" si="1"/>
        <v>450</v>
      </c>
      <c r="N20">
        <f t="shared" si="5"/>
        <v>2250</v>
      </c>
      <c r="O20">
        <f t="shared" si="2"/>
        <v>1800</v>
      </c>
      <c r="P20">
        <f t="shared" si="3"/>
        <v>0.8</v>
      </c>
    </row>
    <row r="21" spans="1:17">
      <c r="A21" s="5" t="s">
        <v>22</v>
      </c>
      <c r="B21" s="5" t="s">
        <v>55</v>
      </c>
      <c r="C21" s="5" t="s">
        <v>56</v>
      </c>
      <c r="D21" s="9" t="s">
        <v>147</v>
      </c>
      <c r="E21" s="9" t="s">
        <v>12</v>
      </c>
      <c r="F21" s="9" t="s">
        <v>148</v>
      </c>
      <c r="G21" s="9" t="s">
        <v>148</v>
      </c>
      <c r="H21" s="9" t="s">
        <v>148</v>
      </c>
      <c r="I21" s="9" t="s">
        <v>147</v>
      </c>
      <c r="J21" s="9" t="s">
        <v>148</v>
      </c>
      <c r="L21" s="6">
        <f t="shared" si="0"/>
        <v>0</v>
      </c>
      <c r="M21">
        <f t="shared" si="1"/>
        <v>0</v>
      </c>
      <c r="N21">
        <f>450*4</f>
        <v>1800</v>
      </c>
      <c r="O21">
        <f t="shared" si="2"/>
        <v>1800</v>
      </c>
      <c r="P21">
        <f t="shared" si="3"/>
        <v>1</v>
      </c>
      <c r="Q21">
        <v>1</v>
      </c>
    </row>
    <row r="22" spans="1:17">
      <c r="A22" s="5" t="s">
        <v>60</v>
      </c>
      <c r="B22" s="5" t="s">
        <v>59</v>
      </c>
      <c r="C22" s="5" t="s">
        <v>40</v>
      </c>
      <c r="D22" s="9" t="s">
        <v>147</v>
      </c>
      <c r="E22" s="9" t="s">
        <v>148</v>
      </c>
      <c r="F22" s="9" t="s">
        <v>148</v>
      </c>
      <c r="G22" s="9" t="s">
        <v>148</v>
      </c>
      <c r="H22" s="9" t="s">
        <v>148</v>
      </c>
      <c r="I22" s="9" t="s">
        <v>148</v>
      </c>
      <c r="J22" s="9" t="s">
        <v>147</v>
      </c>
      <c r="L22" s="6">
        <f t="shared" si="0"/>
        <v>0</v>
      </c>
      <c r="M22">
        <f t="shared" si="1"/>
        <v>0</v>
      </c>
      <c r="N22">
        <f t="shared" ref="N22:N42" si="6">450*5</f>
        <v>2250</v>
      </c>
      <c r="O22">
        <f t="shared" si="2"/>
        <v>2250</v>
      </c>
      <c r="P22">
        <f t="shared" si="3"/>
        <v>1</v>
      </c>
    </row>
    <row r="23" spans="1:17">
      <c r="A23" s="5" t="s">
        <v>22</v>
      </c>
      <c r="B23" s="5" t="s">
        <v>62</v>
      </c>
      <c r="C23" s="5" t="s">
        <v>63</v>
      </c>
      <c r="D23" s="9" t="s">
        <v>147</v>
      </c>
      <c r="E23" s="9">
        <v>20</v>
      </c>
      <c r="F23" s="9">
        <v>10</v>
      </c>
      <c r="G23" s="9">
        <v>17</v>
      </c>
      <c r="H23" s="9">
        <v>11</v>
      </c>
      <c r="I23" s="9">
        <v>16</v>
      </c>
      <c r="J23" s="9" t="s">
        <v>147</v>
      </c>
      <c r="K23">
        <f>SUM(D23:J23)</f>
        <v>74</v>
      </c>
      <c r="L23" s="6">
        <f t="shared" si="0"/>
        <v>0</v>
      </c>
      <c r="M23">
        <f t="shared" si="1"/>
        <v>74</v>
      </c>
      <c r="N23">
        <f t="shared" si="6"/>
        <v>2250</v>
      </c>
      <c r="O23">
        <f t="shared" si="2"/>
        <v>2176</v>
      </c>
      <c r="P23">
        <f t="shared" si="3"/>
        <v>0.96711111111111114</v>
      </c>
    </row>
    <row r="24" spans="1:17">
      <c r="A24" s="5" t="s">
        <v>22</v>
      </c>
      <c r="B24" s="5" t="s">
        <v>64</v>
      </c>
      <c r="C24" s="5" t="s">
        <v>63</v>
      </c>
      <c r="D24" s="9" t="s">
        <v>147</v>
      </c>
      <c r="E24" s="9" t="s">
        <v>148</v>
      </c>
      <c r="F24" s="9">
        <v>4</v>
      </c>
      <c r="G24" s="9" t="s">
        <v>148</v>
      </c>
      <c r="H24" s="9" t="s">
        <v>148</v>
      </c>
      <c r="I24" s="9">
        <v>10</v>
      </c>
      <c r="J24" s="9" t="s">
        <v>147</v>
      </c>
      <c r="K24">
        <f t="shared" ref="K24:K35" si="7">SUM(D24:J24)</f>
        <v>14</v>
      </c>
      <c r="L24" s="6">
        <f t="shared" si="0"/>
        <v>0</v>
      </c>
      <c r="M24">
        <f t="shared" si="1"/>
        <v>14</v>
      </c>
      <c r="N24">
        <f t="shared" si="6"/>
        <v>2250</v>
      </c>
      <c r="O24">
        <f t="shared" si="2"/>
        <v>2236</v>
      </c>
      <c r="P24">
        <f t="shared" si="3"/>
        <v>0.99377777777777776</v>
      </c>
    </row>
    <row r="25" spans="1:17">
      <c r="A25" s="5" t="s">
        <v>26</v>
      </c>
      <c r="B25" s="7" t="s">
        <v>65</v>
      </c>
      <c r="C25" s="34" t="s">
        <v>56</v>
      </c>
      <c r="D25" s="9" t="s">
        <v>147</v>
      </c>
      <c r="E25" s="9" t="s">
        <v>148</v>
      </c>
      <c r="F25" s="9" t="s">
        <v>148</v>
      </c>
      <c r="G25" s="9" t="s">
        <v>148</v>
      </c>
      <c r="H25" s="9" t="s">
        <v>148</v>
      </c>
      <c r="I25" s="9" t="s">
        <v>148</v>
      </c>
      <c r="J25" s="9" t="s">
        <v>147</v>
      </c>
      <c r="K25">
        <f t="shared" si="7"/>
        <v>0</v>
      </c>
      <c r="L25" s="6">
        <f t="shared" si="0"/>
        <v>0</v>
      </c>
      <c r="M25">
        <f t="shared" si="1"/>
        <v>0</v>
      </c>
      <c r="N25">
        <f t="shared" si="6"/>
        <v>2250</v>
      </c>
      <c r="O25">
        <f t="shared" si="2"/>
        <v>2250</v>
      </c>
      <c r="P25">
        <f t="shared" si="3"/>
        <v>1</v>
      </c>
    </row>
    <row r="26" spans="1:17">
      <c r="A26" s="5" t="s">
        <v>22</v>
      </c>
      <c r="B26" s="5" t="s">
        <v>67</v>
      </c>
      <c r="C26" s="5" t="s">
        <v>30</v>
      </c>
      <c r="D26" s="9" t="s">
        <v>147</v>
      </c>
      <c r="E26" s="9" t="s">
        <v>14</v>
      </c>
      <c r="F26" s="9" t="s">
        <v>148</v>
      </c>
      <c r="G26" s="9" t="s">
        <v>148</v>
      </c>
      <c r="H26" s="9" t="s">
        <v>148</v>
      </c>
      <c r="I26" s="9" t="s">
        <v>148</v>
      </c>
      <c r="J26" s="9" t="s">
        <v>147</v>
      </c>
      <c r="K26">
        <f t="shared" si="7"/>
        <v>0</v>
      </c>
      <c r="L26" s="6">
        <f t="shared" si="0"/>
        <v>0</v>
      </c>
      <c r="M26">
        <f t="shared" si="1"/>
        <v>0</v>
      </c>
      <c r="N26">
        <f t="shared" si="6"/>
        <v>2250</v>
      </c>
      <c r="O26">
        <f t="shared" si="2"/>
        <v>2250</v>
      </c>
      <c r="P26">
        <f t="shared" si="3"/>
        <v>1</v>
      </c>
    </row>
    <row r="27" spans="1:17">
      <c r="A27" s="5" t="s">
        <v>26</v>
      </c>
      <c r="B27" s="7" t="s">
        <v>68</v>
      </c>
      <c r="C27" s="34" t="s">
        <v>40</v>
      </c>
      <c r="D27" s="9" t="s">
        <v>147</v>
      </c>
      <c r="E27" s="9" t="s">
        <v>148</v>
      </c>
      <c r="F27" s="9">
        <v>2</v>
      </c>
      <c r="G27" s="9" t="s">
        <v>148</v>
      </c>
      <c r="H27" s="9" t="s">
        <v>148</v>
      </c>
      <c r="I27" s="9" t="s">
        <v>147</v>
      </c>
      <c r="J27" s="9" t="s">
        <v>148</v>
      </c>
      <c r="K27">
        <f t="shared" si="7"/>
        <v>2</v>
      </c>
      <c r="L27" s="6">
        <f t="shared" si="0"/>
        <v>0</v>
      </c>
      <c r="M27">
        <f t="shared" si="1"/>
        <v>2</v>
      </c>
      <c r="N27">
        <f t="shared" si="6"/>
        <v>2250</v>
      </c>
      <c r="O27">
        <f t="shared" si="2"/>
        <v>2248</v>
      </c>
      <c r="P27">
        <f t="shared" si="3"/>
        <v>0.99911111111111106</v>
      </c>
    </row>
    <row r="28" spans="1:17">
      <c r="A28" s="5" t="s">
        <v>22</v>
      </c>
      <c r="B28" s="5" t="s">
        <v>69</v>
      </c>
      <c r="C28" s="5" t="s">
        <v>30</v>
      </c>
      <c r="D28" s="9" t="s">
        <v>147</v>
      </c>
      <c r="E28" s="9" t="s">
        <v>148</v>
      </c>
      <c r="F28" s="9" t="s">
        <v>148</v>
      </c>
      <c r="G28" s="9" t="s">
        <v>148</v>
      </c>
      <c r="H28" s="9" t="s">
        <v>148</v>
      </c>
      <c r="I28" s="9" t="s">
        <v>148</v>
      </c>
      <c r="J28" s="9" t="s">
        <v>147</v>
      </c>
      <c r="K28">
        <f t="shared" si="7"/>
        <v>0</v>
      </c>
      <c r="L28" s="6">
        <f t="shared" si="0"/>
        <v>0</v>
      </c>
      <c r="M28">
        <f t="shared" si="1"/>
        <v>0</v>
      </c>
      <c r="N28">
        <f t="shared" si="6"/>
        <v>2250</v>
      </c>
      <c r="O28">
        <f t="shared" si="2"/>
        <v>2250</v>
      </c>
      <c r="P28">
        <f t="shared" si="3"/>
        <v>1</v>
      </c>
    </row>
    <row r="29" spans="1:17">
      <c r="A29" s="5" t="s">
        <v>22</v>
      </c>
      <c r="B29" s="5" t="s">
        <v>70</v>
      </c>
      <c r="C29" s="5" t="s">
        <v>63</v>
      </c>
      <c r="D29" s="9" t="s">
        <v>147</v>
      </c>
      <c r="E29" s="9">
        <v>9</v>
      </c>
      <c r="F29" s="9" t="s">
        <v>148</v>
      </c>
      <c r="G29" s="9" t="s">
        <v>148</v>
      </c>
      <c r="H29" s="9" t="s">
        <v>148</v>
      </c>
      <c r="I29" s="9" t="s">
        <v>148</v>
      </c>
      <c r="J29" s="9" t="s">
        <v>147</v>
      </c>
      <c r="K29">
        <f t="shared" si="7"/>
        <v>9</v>
      </c>
      <c r="L29" s="6">
        <f t="shared" si="0"/>
        <v>0</v>
      </c>
      <c r="M29">
        <f t="shared" si="1"/>
        <v>9</v>
      </c>
      <c r="N29">
        <f t="shared" si="6"/>
        <v>2250</v>
      </c>
      <c r="O29">
        <f t="shared" si="2"/>
        <v>2241</v>
      </c>
      <c r="P29">
        <f t="shared" si="3"/>
        <v>0.996</v>
      </c>
    </row>
    <row r="30" spans="1:17">
      <c r="A30" s="5" t="s">
        <v>26</v>
      </c>
      <c r="B30" s="7" t="s">
        <v>71</v>
      </c>
      <c r="C30" s="34" t="s">
        <v>25</v>
      </c>
      <c r="D30" s="9" t="s">
        <v>147</v>
      </c>
      <c r="E30" s="9" t="s">
        <v>148</v>
      </c>
      <c r="F30" s="9" t="s">
        <v>148</v>
      </c>
      <c r="G30" s="9" t="s">
        <v>148</v>
      </c>
      <c r="H30" s="9" t="s">
        <v>148</v>
      </c>
      <c r="I30" s="9" t="s">
        <v>148</v>
      </c>
      <c r="J30" s="9" t="s">
        <v>147</v>
      </c>
      <c r="K30">
        <f t="shared" si="7"/>
        <v>0</v>
      </c>
      <c r="L30" s="6">
        <f t="shared" si="0"/>
        <v>0</v>
      </c>
      <c r="M30">
        <f t="shared" si="1"/>
        <v>0</v>
      </c>
      <c r="N30">
        <f t="shared" si="6"/>
        <v>2250</v>
      </c>
      <c r="O30">
        <f t="shared" si="2"/>
        <v>2250</v>
      </c>
      <c r="P30">
        <f t="shared" si="3"/>
        <v>1</v>
      </c>
    </row>
    <row r="31" spans="1:17">
      <c r="A31" s="5" t="s">
        <v>22</v>
      </c>
      <c r="B31" s="5" t="s">
        <v>72</v>
      </c>
      <c r="C31" s="5" t="s">
        <v>30</v>
      </c>
      <c r="D31" s="9" t="s">
        <v>147</v>
      </c>
      <c r="E31" s="9">
        <v>450</v>
      </c>
      <c r="F31" s="9" t="s">
        <v>148</v>
      </c>
      <c r="G31" s="9" t="s">
        <v>148</v>
      </c>
      <c r="H31" s="9" t="s">
        <v>148</v>
      </c>
      <c r="I31" s="9" t="s">
        <v>148</v>
      </c>
      <c r="J31" s="9" t="s">
        <v>147</v>
      </c>
      <c r="L31" s="6">
        <f t="shared" si="0"/>
        <v>450</v>
      </c>
      <c r="M31">
        <f t="shared" si="1"/>
        <v>450</v>
      </c>
      <c r="N31">
        <f t="shared" si="6"/>
        <v>2250</v>
      </c>
      <c r="O31">
        <f t="shared" si="2"/>
        <v>1800</v>
      </c>
      <c r="P31">
        <f t="shared" si="3"/>
        <v>0.8</v>
      </c>
    </row>
    <row r="32" spans="1:17">
      <c r="A32" s="5" t="s">
        <v>26</v>
      </c>
      <c r="B32" s="7" t="s">
        <v>73</v>
      </c>
      <c r="C32" s="34" t="s">
        <v>25</v>
      </c>
      <c r="D32" s="9" t="s">
        <v>147</v>
      </c>
      <c r="E32" s="9" t="s">
        <v>148</v>
      </c>
      <c r="F32" s="9" t="s">
        <v>148</v>
      </c>
      <c r="G32" s="9">
        <v>27</v>
      </c>
      <c r="H32" s="9">
        <v>15</v>
      </c>
      <c r="I32" s="9">
        <v>6</v>
      </c>
      <c r="J32" s="9" t="s">
        <v>147</v>
      </c>
      <c r="K32">
        <f t="shared" si="7"/>
        <v>48</v>
      </c>
      <c r="L32" s="6">
        <f t="shared" si="0"/>
        <v>0</v>
      </c>
      <c r="M32">
        <f t="shared" si="1"/>
        <v>48</v>
      </c>
      <c r="N32">
        <f t="shared" si="6"/>
        <v>2250</v>
      </c>
      <c r="O32">
        <f t="shared" si="2"/>
        <v>2202</v>
      </c>
      <c r="P32">
        <f t="shared" si="3"/>
        <v>0.97866666666666668</v>
      </c>
    </row>
    <row r="33" spans="1:16">
      <c r="A33" s="5" t="s">
        <v>57</v>
      </c>
      <c r="B33" s="5" t="s">
        <v>58</v>
      </c>
      <c r="C33" s="5" t="s">
        <v>40</v>
      </c>
      <c r="D33" s="9" t="s">
        <v>147</v>
      </c>
      <c r="E33" s="9" t="s">
        <v>148</v>
      </c>
      <c r="F33" s="9" t="s">
        <v>148</v>
      </c>
      <c r="G33" s="9" t="s">
        <v>148</v>
      </c>
      <c r="H33" s="9" t="s">
        <v>148</v>
      </c>
      <c r="I33" s="9">
        <v>450</v>
      </c>
      <c r="J33" s="9" t="s">
        <v>147</v>
      </c>
      <c r="L33" s="6">
        <f t="shared" si="0"/>
        <v>450</v>
      </c>
      <c r="M33">
        <f t="shared" si="1"/>
        <v>450</v>
      </c>
      <c r="N33">
        <f t="shared" si="6"/>
        <v>2250</v>
      </c>
      <c r="O33">
        <f t="shared" si="2"/>
        <v>1800</v>
      </c>
      <c r="P33">
        <f t="shared" si="3"/>
        <v>0.8</v>
      </c>
    </row>
    <row r="34" spans="1:16">
      <c r="A34" s="5" t="s">
        <v>37</v>
      </c>
      <c r="B34" s="5" t="s">
        <v>74</v>
      </c>
      <c r="C34" s="5" t="s">
        <v>40</v>
      </c>
      <c r="D34" s="9" t="s">
        <v>148</v>
      </c>
      <c r="E34" s="9" t="s">
        <v>148</v>
      </c>
      <c r="F34" s="9" t="s">
        <v>147</v>
      </c>
      <c r="G34" s="9" t="s">
        <v>147</v>
      </c>
      <c r="H34" s="9" t="s">
        <v>148</v>
      </c>
      <c r="I34" s="9">
        <v>28</v>
      </c>
      <c r="J34" s="9">
        <v>93</v>
      </c>
      <c r="K34">
        <f t="shared" si="7"/>
        <v>121</v>
      </c>
      <c r="L34" s="6">
        <f t="shared" si="0"/>
        <v>0</v>
      </c>
      <c r="M34">
        <f t="shared" si="1"/>
        <v>121</v>
      </c>
      <c r="N34">
        <f t="shared" si="6"/>
        <v>2250</v>
      </c>
      <c r="O34">
        <f t="shared" si="2"/>
        <v>2129</v>
      </c>
      <c r="P34">
        <f t="shared" si="3"/>
        <v>0.94622222222222219</v>
      </c>
    </row>
    <row r="35" spans="1:16">
      <c r="A35" s="5" t="s">
        <v>26</v>
      </c>
      <c r="B35" s="7" t="s">
        <v>75</v>
      </c>
      <c r="C35" s="34" t="s">
        <v>40</v>
      </c>
      <c r="D35" s="9" t="s">
        <v>148</v>
      </c>
      <c r="E35" s="9" t="s">
        <v>148</v>
      </c>
      <c r="F35" s="9">
        <v>8</v>
      </c>
      <c r="G35" s="9" t="s">
        <v>147</v>
      </c>
      <c r="H35" s="9" t="s">
        <v>147</v>
      </c>
      <c r="I35" s="9" t="s">
        <v>148</v>
      </c>
      <c r="J35" s="9" t="s">
        <v>148</v>
      </c>
      <c r="K35">
        <f t="shared" si="7"/>
        <v>8</v>
      </c>
      <c r="L35" s="6">
        <f t="shared" si="0"/>
        <v>0</v>
      </c>
      <c r="M35">
        <f t="shared" si="1"/>
        <v>8</v>
      </c>
      <c r="N35">
        <f t="shared" si="6"/>
        <v>2250</v>
      </c>
      <c r="O35">
        <f t="shared" si="2"/>
        <v>2242</v>
      </c>
      <c r="P35">
        <f t="shared" si="3"/>
        <v>0.99644444444444447</v>
      </c>
    </row>
    <row r="36" spans="1:16">
      <c r="A36" s="5" t="s">
        <v>37</v>
      </c>
      <c r="B36" s="5" t="s">
        <v>76</v>
      </c>
      <c r="C36" s="5" t="s">
        <v>40</v>
      </c>
      <c r="D36" s="9" t="s">
        <v>147</v>
      </c>
      <c r="E36" s="9" t="s">
        <v>148</v>
      </c>
      <c r="F36" s="9" t="s">
        <v>148</v>
      </c>
      <c r="G36" s="9" t="s">
        <v>148</v>
      </c>
      <c r="H36" s="9" t="s">
        <v>148</v>
      </c>
      <c r="I36" s="9" t="s">
        <v>147</v>
      </c>
      <c r="J36" s="9" t="s">
        <v>147</v>
      </c>
      <c r="L36" s="6">
        <f t="shared" si="0"/>
        <v>0</v>
      </c>
      <c r="M36">
        <f t="shared" si="1"/>
        <v>0</v>
      </c>
      <c r="N36">
        <f t="shared" si="6"/>
        <v>2250</v>
      </c>
      <c r="O36">
        <f t="shared" si="2"/>
        <v>2250</v>
      </c>
      <c r="P36">
        <f t="shared" si="3"/>
        <v>1</v>
      </c>
    </row>
    <row r="37" spans="1:16">
      <c r="A37" s="5" t="s">
        <v>22</v>
      </c>
      <c r="B37" s="5" t="s">
        <v>77</v>
      </c>
      <c r="C37" s="5" t="s">
        <v>30</v>
      </c>
      <c r="D37" s="9" t="s">
        <v>147</v>
      </c>
      <c r="E37" s="9">
        <v>103</v>
      </c>
      <c r="F37" s="9">
        <v>17</v>
      </c>
      <c r="G37" s="9">
        <v>450</v>
      </c>
      <c r="H37" s="9" t="s">
        <v>148</v>
      </c>
      <c r="I37" s="9">
        <v>14</v>
      </c>
      <c r="J37" s="9" t="s">
        <v>147</v>
      </c>
      <c r="K37">
        <f>SUM(E37,F37,I37)</f>
        <v>134</v>
      </c>
      <c r="L37" s="6">
        <f t="shared" si="0"/>
        <v>450</v>
      </c>
      <c r="M37">
        <f t="shared" si="1"/>
        <v>584</v>
      </c>
      <c r="N37">
        <f t="shared" si="6"/>
        <v>2250</v>
      </c>
      <c r="O37">
        <f t="shared" si="2"/>
        <v>1666</v>
      </c>
      <c r="P37">
        <f t="shared" si="3"/>
        <v>0.74044444444444446</v>
      </c>
    </row>
    <row r="38" spans="1:16">
      <c r="A38" s="5" t="s">
        <v>22</v>
      </c>
      <c r="B38" s="5" t="s">
        <v>61</v>
      </c>
      <c r="C38" s="5" t="s">
        <v>63</v>
      </c>
      <c r="D38" s="9" t="s">
        <v>147</v>
      </c>
      <c r="E38" s="9" t="s">
        <v>148</v>
      </c>
      <c r="F38" s="9" t="s">
        <v>148</v>
      </c>
      <c r="G38" s="9" t="s">
        <v>148</v>
      </c>
      <c r="H38" s="9" t="s">
        <v>148</v>
      </c>
      <c r="I38" s="9" t="s">
        <v>148</v>
      </c>
      <c r="J38" s="9" t="s">
        <v>147</v>
      </c>
      <c r="L38" s="6">
        <f t="shared" si="0"/>
        <v>0</v>
      </c>
      <c r="M38">
        <f t="shared" si="1"/>
        <v>0</v>
      </c>
      <c r="N38">
        <f t="shared" si="6"/>
        <v>2250</v>
      </c>
      <c r="O38">
        <f t="shared" si="2"/>
        <v>2250</v>
      </c>
      <c r="P38">
        <f t="shared" si="3"/>
        <v>1</v>
      </c>
    </row>
    <row r="39" spans="1:16">
      <c r="A39" s="5" t="s">
        <v>26</v>
      </c>
      <c r="B39" s="7" t="s">
        <v>78</v>
      </c>
      <c r="C39" s="34" t="s">
        <v>79</v>
      </c>
      <c r="D39" s="9" t="s">
        <v>147</v>
      </c>
      <c r="E39" s="9" t="s">
        <v>148</v>
      </c>
      <c r="F39" s="9">
        <v>1</v>
      </c>
      <c r="G39" s="9" t="s">
        <v>148</v>
      </c>
      <c r="H39" s="9" t="s">
        <v>148</v>
      </c>
      <c r="I39" s="9" t="s">
        <v>148</v>
      </c>
      <c r="J39" s="9" t="s">
        <v>147</v>
      </c>
      <c r="K39">
        <f t="shared" ref="K39" si="8">SUM(D39:J39)</f>
        <v>1</v>
      </c>
      <c r="L39" s="6">
        <f t="shared" si="0"/>
        <v>0</v>
      </c>
      <c r="M39">
        <f t="shared" si="1"/>
        <v>1</v>
      </c>
      <c r="N39">
        <f t="shared" si="6"/>
        <v>2250</v>
      </c>
      <c r="O39">
        <f t="shared" si="2"/>
        <v>2249</v>
      </c>
      <c r="P39">
        <f t="shared" si="3"/>
        <v>0.99955555555555553</v>
      </c>
    </row>
    <row r="40" spans="1:16">
      <c r="A40" s="5" t="s">
        <v>26</v>
      </c>
      <c r="B40" s="7" t="s">
        <v>80</v>
      </c>
      <c r="C40" s="34" t="s">
        <v>40</v>
      </c>
      <c r="D40" s="9" t="s">
        <v>148</v>
      </c>
      <c r="E40" s="9" t="s">
        <v>148</v>
      </c>
      <c r="F40" s="9" t="s">
        <v>147</v>
      </c>
      <c r="G40" s="9" t="s">
        <v>147</v>
      </c>
      <c r="H40" s="9" t="s">
        <v>148</v>
      </c>
      <c r="I40" s="9" t="s">
        <v>148</v>
      </c>
      <c r="J40" s="9">
        <v>450</v>
      </c>
      <c r="L40" s="6">
        <f t="shared" si="0"/>
        <v>450</v>
      </c>
      <c r="M40">
        <f t="shared" si="1"/>
        <v>450</v>
      </c>
      <c r="N40">
        <f t="shared" si="6"/>
        <v>2250</v>
      </c>
      <c r="O40">
        <f t="shared" si="2"/>
        <v>1800</v>
      </c>
      <c r="P40">
        <f t="shared" si="3"/>
        <v>0.8</v>
      </c>
    </row>
    <row r="41" spans="1:16">
      <c r="A41" s="5" t="s">
        <v>26</v>
      </c>
      <c r="B41" s="7" t="s">
        <v>81</v>
      </c>
      <c r="C41" s="34" t="s">
        <v>33</v>
      </c>
      <c r="D41" s="9" t="s">
        <v>147</v>
      </c>
      <c r="E41" s="9" t="s">
        <v>148</v>
      </c>
      <c r="F41" s="9" t="s">
        <v>148</v>
      </c>
      <c r="G41" s="9" t="s">
        <v>148</v>
      </c>
      <c r="H41" s="9" t="s">
        <v>148</v>
      </c>
      <c r="I41" s="9" t="s">
        <v>148</v>
      </c>
      <c r="J41" s="9" t="s">
        <v>147</v>
      </c>
      <c r="L41" s="6">
        <f t="shared" si="0"/>
        <v>0</v>
      </c>
      <c r="M41">
        <f t="shared" si="1"/>
        <v>0</v>
      </c>
      <c r="N41">
        <f t="shared" si="6"/>
        <v>2250</v>
      </c>
      <c r="O41">
        <f t="shared" si="2"/>
        <v>2250</v>
      </c>
      <c r="P41">
        <f t="shared" si="3"/>
        <v>1</v>
      </c>
    </row>
    <row r="42" spans="1:16">
      <c r="A42" s="5" t="s">
        <v>22</v>
      </c>
      <c r="B42" s="5" t="s">
        <v>82</v>
      </c>
      <c r="C42" s="5" t="s">
        <v>33</v>
      </c>
      <c r="D42" s="9" t="s">
        <v>147</v>
      </c>
      <c r="E42" s="9" t="s">
        <v>148</v>
      </c>
      <c r="F42" s="9" t="s">
        <v>148</v>
      </c>
      <c r="G42" s="9" t="s">
        <v>148</v>
      </c>
      <c r="H42" s="9">
        <v>5</v>
      </c>
      <c r="I42" s="9" t="s">
        <v>148</v>
      </c>
      <c r="J42" s="9" t="s">
        <v>147</v>
      </c>
      <c r="K42">
        <f t="shared" ref="K42:K43" si="9">SUM(D42:J42)</f>
        <v>5</v>
      </c>
      <c r="L42" s="6">
        <f t="shared" si="0"/>
        <v>0</v>
      </c>
      <c r="M42">
        <f t="shared" si="1"/>
        <v>5</v>
      </c>
      <c r="N42">
        <f t="shared" si="6"/>
        <v>2250</v>
      </c>
      <c r="O42">
        <f t="shared" si="2"/>
        <v>2245</v>
      </c>
      <c r="P42">
        <f t="shared" si="3"/>
        <v>0.99777777777777776</v>
      </c>
    </row>
    <row r="43" spans="1:16">
      <c r="A43" s="5" t="s">
        <v>26</v>
      </c>
      <c r="B43" s="7" t="s">
        <v>83</v>
      </c>
      <c r="C43" s="34" t="s">
        <v>40</v>
      </c>
      <c r="D43" s="9">
        <v>81</v>
      </c>
      <c r="E43" s="9" t="s">
        <v>148</v>
      </c>
      <c r="F43" s="9" t="s">
        <v>148</v>
      </c>
      <c r="G43" s="9" t="s">
        <v>148</v>
      </c>
      <c r="H43" s="9" t="s">
        <v>148</v>
      </c>
      <c r="I43" s="9" t="s">
        <v>147</v>
      </c>
      <c r="J43" s="9" t="s">
        <v>148</v>
      </c>
      <c r="K43">
        <f t="shared" si="9"/>
        <v>81</v>
      </c>
      <c r="L43" s="6">
        <f t="shared" si="0"/>
        <v>0</v>
      </c>
      <c r="M43">
        <f t="shared" si="1"/>
        <v>81</v>
      </c>
      <c r="N43">
        <f>540*6</f>
        <v>3240</v>
      </c>
      <c r="O43">
        <f t="shared" si="2"/>
        <v>3159</v>
      </c>
      <c r="P43">
        <f t="shared" si="3"/>
        <v>0.97499999999999998</v>
      </c>
    </row>
    <row r="44" spans="1:16">
      <c r="A44" s="5" t="s">
        <v>60</v>
      </c>
      <c r="B44" s="5" t="s">
        <v>84</v>
      </c>
      <c r="C44" s="5" t="s">
        <v>40</v>
      </c>
      <c r="D44" s="9" t="s">
        <v>147</v>
      </c>
      <c r="E44" s="9" t="s">
        <v>148</v>
      </c>
      <c r="F44" s="9" t="s">
        <v>148</v>
      </c>
      <c r="G44" s="9" t="s">
        <v>148</v>
      </c>
      <c r="H44" s="9" t="s">
        <v>148</v>
      </c>
      <c r="I44" s="9" t="s">
        <v>148</v>
      </c>
      <c r="J44" s="9" t="s">
        <v>147</v>
      </c>
      <c r="L44" s="6">
        <f t="shared" si="0"/>
        <v>0</v>
      </c>
      <c r="M44">
        <f t="shared" si="1"/>
        <v>0</v>
      </c>
      <c r="N44">
        <f t="shared" ref="N44:N48" si="10">450*5</f>
        <v>2250</v>
      </c>
      <c r="O44">
        <f t="shared" si="2"/>
        <v>2250</v>
      </c>
      <c r="P44">
        <f t="shared" si="3"/>
        <v>1</v>
      </c>
    </row>
    <row r="45" spans="1:16">
      <c r="A45" s="5" t="s">
        <v>22</v>
      </c>
      <c r="B45" s="5" t="s">
        <v>85</v>
      </c>
      <c r="C45" s="5" t="s">
        <v>63</v>
      </c>
      <c r="D45" s="9" t="s">
        <v>147</v>
      </c>
      <c r="E45" s="9" t="s">
        <v>148</v>
      </c>
      <c r="F45" s="9" t="s">
        <v>148</v>
      </c>
      <c r="G45" s="9" t="s">
        <v>148</v>
      </c>
      <c r="H45" s="9" t="s">
        <v>148</v>
      </c>
      <c r="I45" s="9" t="s">
        <v>148</v>
      </c>
      <c r="J45" s="9" t="s">
        <v>147</v>
      </c>
      <c r="L45" s="6">
        <f t="shared" si="0"/>
        <v>0</v>
      </c>
      <c r="M45">
        <f t="shared" si="1"/>
        <v>0</v>
      </c>
      <c r="N45">
        <f t="shared" si="10"/>
        <v>2250</v>
      </c>
      <c r="O45">
        <f t="shared" si="2"/>
        <v>2250</v>
      </c>
      <c r="P45">
        <f t="shared" si="3"/>
        <v>1</v>
      </c>
    </row>
    <row r="46" spans="1:16">
      <c r="A46" s="5" t="s">
        <v>26</v>
      </c>
      <c r="B46" s="7" t="s">
        <v>86</v>
      </c>
      <c r="C46" s="34" t="s">
        <v>56</v>
      </c>
      <c r="D46" s="9" t="s">
        <v>147</v>
      </c>
      <c r="E46" s="9" t="s">
        <v>148</v>
      </c>
      <c r="F46" s="9" t="s">
        <v>148</v>
      </c>
      <c r="G46" s="9" t="s">
        <v>148</v>
      </c>
      <c r="H46" s="9" t="s">
        <v>148</v>
      </c>
      <c r="I46" s="9" t="s">
        <v>148</v>
      </c>
      <c r="J46" s="9" t="s">
        <v>147</v>
      </c>
      <c r="L46" s="6">
        <f t="shared" si="0"/>
        <v>0</v>
      </c>
      <c r="M46">
        <f t="shared" si="1"/>
        <v>0</v>
      </c>
      <c r="N46">
        <f t="shared" si="10"/>
        <v>2250</v>
      </c>
      <c r="O46">
        <f t="shared" si="2"/>
        <v>2250</v>
      </c>
      <c r="P46">
        <f t="shared" si="3"/>
        <v>1</v>
      </c>
    </row>
    <row r="47" spans="1:16">
      <c r="A47" s="5" t="s">
        <v>26</v>
      </c>
      <c r="B47" s="7" t="s">
        <v>87</v>
      </c>
      <c r="C47" s="34" t="s">
        <v>33</v>
      </c>
      <c r="D47" s="9" t="s">
        <v>147</v>
      </c>
      <c r="E47" s="9">
        <v>3</v>
      </c>
      <c r="F47" s="9">
        <v>450</v>
      </c>
      <c r="G47" s="9" t="s">
        <v>148</v>
      </c>
      <c r="H47" s="9" t="s">
        <v>148</v>
      </c>
      <c r="I47" s="9" t="s">
        <v>148</v>
      </c>
      <c r="J47" s="9" t="s">
        <v>147</v>
      </c>
      <c r="K47">
        <f>E47</f>
        <v>3</v>
      </c>
      <c r="L47" s="6">
        <f t="shared" si="0"/>
        <v>450</v>
      </c>
      <c r="M47">
        <f t="shared" si="1"/>
        <v>453</v>
      </c>
      <c r="N47">
        <f t="shared" si="10"/>
        <v>2250</v>
      </c>
      <c r="O47">
        <f t="shared" si="2"/>
        <v>1797</v>
      </c>
      <c r="P47">
        <f t="shared" si="3"/>
        <v>0.79866666666666664</v>
      </c>
    </row>
    <row r="48" spans="1:16">
      <c r="A48" s="5" t="s">
        <v>22</v>
      </c>
      <c r="B48" s="5" t="s">
        <v>88</v>
      </c>
      <c r="C48" s="5" t="s">
        <v>25</v>
      </c>
      <c r="D48" s="9" t="s">
        <v>147</v>
      </c>
      <c r="E48" s="9" t="s">
        <v>148</v>
      </c>
      <c r="F48" s="9" t="s">
        <v>148</v>
      </c>
      <c r="G48" s="9" t="s">
        <v>148</v>
      </c>
      <c r="H48" s="9">
        <v>450</v>
      </c>
      <c r="I48" s="9" t="s">
        <v>148</v>
      </c>
      <c r="J48" s="9" t="s">
        <v>147</v>
      </c>
      <c r="L48" s="6">
        <f t="shared" si="0"/>
        <v>450</v>
      </c>
      <c r="M48">
        <f t="shared" si="1"/>
        <v>450</v>
      </c>
      <c r="N48">
        <f t="shared" si="10"/>
        <v>2250</v>
      </c>
      <c r="O48">
        <f t="shared" si="2"/>
        <v>1800</v>
      </c>
      <c r="P48">
        <f t="shared" si="3"/>
        <v>0.8</v>
      </c>
    </row>
    <row r="49" spans="1:17">
      <c r="A49" s="5" t="s">
        <v>26</v>
      </c>
      <c r="B49" s="7" t="s">
        <v>89</v>
      </c>
      <c r="C49" s="34" t="s">
        <v>40</v>
      </c>
      <c r="D49" s="9" t="s">
        <v>147</v>
      </c>
      <c r="E49" s="9" t="s">
        <v>148</v>
      </c>
      <c r="F49" s="9" t="s">
        <v>148</v>
      </c>
      <c r="G49" s="9" t="s">
        <v>148</v>
      </c>
      <c r="H49" s="9" t="s">
        <v>147</v>
      </c>
      <c r="I49" s="9" t="s">
        <v>147</v>
      </c>
      <c r="J49" s="9" t="s">
        <v>148</v>
      </c>
      <c r="L49" s="6">
        <f t="shared" si="0"/>
        <v>0</v>
      </c>
      <c r="M49">
        <f t="shared" si="1"/>
        <v>0</v>
      </c>
      <c r="N49">
        <f>450*4</f>
        <v>1800</v>
      </c>
      <c r="O49">
        <f t="shared" si="2"/>
        <v>1800</v>
      </c>
      <c r="P49">
        <f t="shared" si="3"/>
        <v>1</v>
      </c>
    </row>
    <row r="50" spans="1:17">
      <c r="A50" s="5" t="s">
        <v>37</v>
      </c>
      <c r="B50" s="5" t="s">
        <v>90</v>
      </c>
      <c r="C50" s="5" t="s">
        <v>40</v>
      </c>
      <c r="D50" s="9" t="s">
        <v>147</v>
      </c>
      <c r="E50" s="9" t="s">
        <v>147</v>
      </c>
      <c r="F50" s="9" t="s">
        <v>148</v>
      </c>
      <c r="G50" s="9" t="s">
        <v>148</v>
      </c>
      <c r="H50" s="9" t="s">
        <v>148</v>
      </c>
      <c r="I50" s="9" t="s">
        <v>148</v>
      </c>
      <c r="J50" s="9" t="s">
        <v>148</v>
      </c>
      <c r="L50" s="6">
        <f t="shared" si="0"/>
        <v>0</v>
      </c>
      <c r="M50">
        <f t="shared" si="1"/>
        <v>0</v>
      </c>
      <c r="N50">
        <f t="shared" ref="N50:N52" si="11">450*5</f>
        <v>2250</v>
      </c>
      <c r="O50">
        <f t="shared" si="2"/>
        <v>2250</v>
      </c>
      <c r="P50">
        <f t="shared" si="3"/>
        <v>1</v>
      </c>
    </row>
    <row r="51" spans="1:17">
      <c r="A51" s="5" t="s">
        <v>22</v>
      </c>
      <c r="B51" s="5" t="s">
        <v>91</v>
      </c>
      <c r="C51" s="5" t="s">
        <v>30</v>
      </c>
      <c r="D51" s="9" t="s">
        <v>147</v>
      </c>
      <c r="E51" s="9" t="s">
        <v>148</v>
      </c>
      <c r="F51" s="9" t="s">
        <v>148</v>
      </c>
      <c r="G51" s="9" t="s">
        <v>148</v>
      </c>
      <c r="H51" s="9" t="s">
        <v>148</v>
      </c>
      <c r="I51" s="9" t="s">
        <v>148</v>
      </c>
      <c r="J51" s="9" t="s">
        <v>147</v>
      </c>
      <c r="L51" s="6">
        <f t="shared" si="0"/>
        <v>0</v>
      </c>
      <c r="M51">
        <f t="shared" si="1"/>
        <v>0</v>
      </c>
      <c r="N51">
        <f t="shared" si="11"/>
        <v>2250</v>
      </c>
      <c r="O51">
        <f t="shared" si="2"/>
        <v>2250</v>
      </c>
      <c r="P51">
        <f t="shared" si="3"/>
        <v>1</v>
      </c>
    </row>
    <row r="52" spans="1:17">
      <c r="A52" s="5" t="s">
        <v>22</v>
      </c>
      <c r="B52" s="5" t="s">
        <v>150</v>
      </c>
      <c r="C52" s="5" t="s">
        <v>33</v>
      </c>
      <c r="D52" s="9" t="s">
        <v>147</v>
      </c>
      <c r="E52" s="9" t="s">
        <v>148</v>
      </c>
      <c r="F52" s="9" t="s">
        <v>148</v>
      </c>
      <c r="G52" s="9" t="s">
        <v>148</v>
      </c>
      <c r="H52" s="9" t="s">
        <v>148</v>
      </c>
      <c r="I52" s="9" t="s">
        <v>148</v>
      </c>
      <c r="J52" s="9" t="s">
        <v>147</v>
      </c>
      <c r="L52" s="6">
        <f t="shared" si="0"/>
        <v>0</v>
      </c>
      <c r="M52">
        <f t="shared" si="1"/>
        <v>0</v>
      </c>
      <c r="N52">
        <f t="shared" si="11"/>
        <v>2250</v>
      </c>
      <c r="O52">
        <f t="shared" si="2"/>
        <v>2250</v>
      </c>
      <c r="P52">
        <f t="shared" si="3"/>
        <v>1</v>
      </c>
    </row>
    <row r="53" spans="1:17">
      <c r="A53" s="5" t="s">
        <v>22</v>
      </c>
      <c r="B53" s="5" t="s">
        <v>92</v>
      </c>
      <c r="C53" s="5" t="s">
        <v>63</v>
      </c>
      <c r="D53" s="9" t="s">
        <v>147</v>
      </c>
      <c r="E53" s="9">
        <v>450</v>
      </c>
      <c r="F53" s="9" t="s">
        <v>12</v>
      </c>
      <c r="G53" s="9" t="s">
        <v>148</v>
      </c>
      <c r="H53" s="9" t="s">
        <v>148</v>
      </c>
      <c r="I53" s="9" t="s">
        <v>148</v>
      </c>
      <c r="J53" s="9" t="s">
        <v>147</v>
      </c>
      <c r="L53" s="6">
        <f t="shared" si="0"/>
        <v>450</v>
      </c>
      <c r="M53">
        <f t="shared" si="1"/>
        <v>450</v>
      </c>
      <c r="N53">
        <f>450*4</f>
        <v>1800</v>
      </c>
      <c r="O53">
        <f t="shared" si="2"/>
        <v>1350</v>
      </c>
      <c r="P53">
        <f t="shared" si="3"/>
        <v>0.75</v>
      </c>
      <c r="Q53">
        <v>1</v>
      </c>
    </row>
    <row r="54" spans="1:17">
      <c r="A54" s="5" t="s">
        <v>26</v>
      </c>
      <c r="B54" s="7" t="s">
        <v>93</v>
      </c>
      <c r="C54" s="34" t="s">
        <v>56</v>
      </c>
      <c r="D54" s="9" t="s">
        <v>147</v>
      </c>
      <c r="E54" s="9" t="s">
        <v>148</v>
      </c>
      <c r="F54" s="9" t="s">
        <v>148</v>
      </c>
      <c r="G54" s="9" t="s">
        <v>148</v>
      </c>
      <c r="H54" s="9" t="s">
        <v>148</v>
      </c>
      <c r="I54" s="9" t="s">
        <v>148</v>
      </c>
      <c r="J54" s="9" t="s">
        <v>147</v>
      </c>
      <c r="L54" s="6">
        <f t="shared" si="0"/>
        <v>0</v>
      </c>
      <c r="M54">
        <f t="shared" si="1"/>
        <v>0</v>
      </c>
      <c r="N54">
        <f>450*5</f>
        <v>2250</v>
      </c>
      <c r="O54">
        <f t="shared" si="2"/>
        <v>2250</v>
      </c>
      <c r="P54">
        <f t="shared" si="3"/>
        <v>1</v>
      </c>
    </row>
    <row r="55" spans="1:17">
      <c r="A55" s="5" t="s">
        <v>57</v>
      </c>
      <c r="B55" s="7" t="s">
        <v>94</v>
      </c>
      <c r="C55" s="5" t="s">
        <v>40</v>
      </c>
      <c r="D55" s="9" t="s">
        <v>147</v>
      </c>
      <c r="E55" s="9" t="s">
        <v>12</v>
      </c>
      <c r="F55" s="9" t="s">
        <v>12</v>
      </c>
      <c r="G55" s="9" t="s">
        <v>148</v>
      </c>
      <c r="H55" s="9" t="s">
        <v>148</v>
      </c>
      <c r="I55" s="9" t="s">
        <v>148</v>
      </c>
      <c r="J55" s="9" t="s">
        <v>147</v>
      </c>
      <c r="L55" s="6">
        <f t="shared" si="0"/>
        <v>0</v>
      </c>
      <c r="M55">
        <f t="shared" si="1"/>
        <v>0</v>
      </c>
      <c r="N55">
        <f t="shared" ref="N55:N56" si="12">450*3</f>
        <v>1350</v>
      </c>
      <c r="O55">
        <f t="shared" si="2"/>
        <v>1350</v>
      </c>
      <c r="P55">
        <f t="shared" si="3"/>
        <v>1</v>
      </c>
      <c r="Q55">
        <v>2</v>
      </c>
    </row>
    <row r="56" spans="1:17">
      <c r="A56" s="5" t="s">
        <v>26</v>
      </c>
      <c r="B56" s="7" t="s">
        <v>95</v>
      </c>
      <c r="C56" s="34" t="s">
        <v>33</v>
      </c>
      <c r="D56" s="9" t="s">
        <v>147</v>
      </c>
      <c r="E56" s="9" t="s">
        <v>147</v>
      </c>
      <c r="F56" s="9">
        <v>450</v>
      </c>
      <c r="G56" s="9">
        <v>450</v>
      </c>
      <c r="H56" s="9" t="s">
        <v>148</v>
      </c>
      <c r="I56" s="9" t="s">
        <v>147</v>
      </c>
      <c r="J56" s="9" t="s">
        <v>147</v>
      </c>
      <c r="L56" s="6">
        <f t="shared" si="0"/>
        <v>900</v>
      </c>
      <c r="M56">
        <f t="shared" si="1"/>
        <v>900</v>
      </c>
      <c r="N56">
        <f t="shared" si="12"/>
        <v>1350</v>
      </c>
      <c r="O56">
        <f t="shared" si="2"/>
        <v>450</v>
      </c>
      <c r="P56">
        <f t="shared" si="3"/>
        <v>0.33333333333333331</v>
      </c>
    </row>
    <row r="57" spans="1:17">
      <c r="A57" s="5" t="s">
        <v>22</v>
      </c>
      <c r="B57" s="5" t="s">
        <v>23</v>
      </c>
      <c r="C57" s="5" t="s">
        <v>25</v>
      </c>
      <c r="D57" s="9" t="s">
        <v>147</v>
      </c>
      <c r="E57" s="9" t="s">
        <v>148</v>
      </c>
      <c r="F57" s="9" t="s">
        <v>148</v>
      </c>
      <c r="G57" s="9" t="s">
        <v>148</v>
      </c>
      <c r="H57" s="9" t="s">
        <v>148</v>
      </c>
      <c r="I57" s="9" t="s">
        <v>148</v>
      </c>
      <c r="J57" s="9" t="s">
        <v>147</v>
      </c>
      <c r="L57" s="6">
        <f t="shared" si="0"/>
        <v>0</v>
      </c>
      <c r="M57">
        <f t="shared" si="1"/>
        <v>0</v>
      </c>
      <c r="N57">
        <f t="shared" ref="N57:N67" si="13">450*5</f>
        <v>2250</v>
      </c>
      <c r="O57">
        <f t="shared" si="2"/>
        <v>2250</v>
      </c>
      <c r="P57">
        <f t="shared" si="3"/>
        <v>1</v>
      </c>
    </row>
    <row r="58" spans="1:17">
      <c r="A58" s="5" t="s">
        <v>37</v>
      </c>
      <c r="B58" s="5" t="s">
        <v>96</v>
      </c>
      <c r="C58" s="5" t="s">
        <v>40</v>
      </c>
      <c r="D58" s="9" t="s">
        <v>147</v>
      </c>
      <c r="E58" s="9" t="s">
        <v>147</v>
      </c>
      <c r="F58" s="9" t="s">
        <v>148</v>
      </c>
      <c r="G58" s="9" t="s">
        <v>148</v>
      </c>
      <c r="H58" s="9" t="s">
        <v>148</v>
      </c>
      <c r="I58" s="9" t="s">
        <v>148</v>
      </c>
      <c r="J58" s="9" t="s">
        <v>148</v>
      </c>
      <c r="L58" s="6">
        <f t="shared" si="0"/>
        <v>0</v>
      </c>
      <c r="M58">
        <f t="shared" si="1"/>
        <v>0</v>
      </c>
      <c r="N58">
        <f t="shared" si="13"/>
        <v>2250</v>
      </c>
      <c r="O58">
        <f t="shared" si="2"/>
        <v>2250</v>
      </c>
      <c r="P58">
        <f t="shared" si="3"/>
        <v>1</v>
      </c>
    </row>
    <row r="59" spans="1:17">
      <c r="A59" s="5" t="s">
        <v>26</v>
      </c>
      <c r="B59" s="7" t="s">
        <v>97</v>
      </c>
      <c r="C59" s="34" t="s">
        <v>56</v>
      </c>
      <c r="D59" s="9" t="s">
        <v>147</v>
      </c>
      <c r="E59" s="9" t="s">
        <v>148</v>
      </c>
      <c r="F59" s="9" t="s">
        <v>148</v>
      </c>
      <c r="G59" s="9">
        <v>1</v>
      </c>
      <c r="H59" s="9">
        <v>4</v>
      </c>
      <c r="I59" s="9" t="s">
        <v>148</v>
      </c>
      <c r="J59" s="9" t="s">
        <v>147</v>
      </c>
      <c r="K59">
        <f t="shared" ref="K59" si="14">SUM(D59:J59)</f>
        <v>5</v>
      </c>
      <c r="L59" s="6">
        <f t="shared" si="0"/>
        <v>0</v>
      </c>
      <c r="M59">
        <f t="shared" si="1"/>
        <v>5</v>
      </c>
      <c r="N59">
        <f t="shared" si="13"/>
        <v>2250</v>
      </c>
      <c r="O59">
        <f t="shared" si="2"/>
        <v>2245</v>
      </c>
      <c r="P59">
        <f t="shared" si="3"/>
        <v>0.99777777777777776</v>
      </c>
    </row>
    <row r="60" spans="1:17">
      <c r="A60" s="5" t="s">
        <v>37</v>
      </c>
      <c r="B60" s="5" t="s">
        <v>38</v>
      </c>
      <c r="C60" s="5" t="s">
        <v>40</v>
      </c>
      <c r="D60" s="9" t="s">
        <v>147</v>
      </c>
      <c r="E60" s="9" t="s">
        <v>147</v>
      </c>
      <c r="F60" s="9" t="s">
        <v>148</v>
      </c>
      <c r="G60" s="9" t="s">
        <v>148</v>
      </c>
      <c r="H60" s="9" t="s">
        <v>148</v>
      </c>
      <c r="I60" s="9" t="s">
        <v>148</v>
      </c>
      <c r="J60" s="9" t="s">
        <v>148</v>
      </c>
      <c r="L60" s="6">
        <f t="shared" si="0"/>
        <v>0</v>
      </c>
      <c r="M60">
        <f t="shared" si="1"/>
        <v>0</v>
      </c>
      <c r="N60">
        <f t="shared" si="13"/>
        <v>2250</v>
      </c>
      <c r="O60">
        <f t="shared" si="2"/>
        <v>2250</v>
      </c>
      <c r="P60">
        <f t="shared" si="3"/>
        <v>1</v>
      </c>
    </row>
    <row r="61" spans="1:17">
      <c r="A61" s="5" t="s">
        <v>26</v>
      </c>
      <c r="B61" s="7" t="s">
        <v>98</v>
      </c>
      <c r="C61" s="34" t="s">
        <v>30</v>
      </c>
      <c r="D61" s="9" t="s">
        <v>147</v>
      </c>
      <c r="E61" s="9" t="s">
        <v>148</v>
      </c>
      <c r="F61" s="9">
        <v>1</v>
      </c>
      <c r="G61" s="9">
        <v>55</v>
      </c>
      <c r="H61" s="9" t="s">
        <v>148</v>
      </c>
      <c r="I61" s="9" t="s">
        <v>148</v>
      </c>
      <c r="J61" s="9" t="s">
        <v>147</v>
      </c>
      <c r="K61">
        <f t="shared" ref="K61" si="15">SUM(D61:J61)</f>
        <v>56</v>
      </c>
      <c r="L61" s="6">
        <f t="shared" si="0"/>
        <v>0</v>
      </c>
      <c r="M61">
        <f t="shared" si="1"/>
        <v>56</v>
      </c>
      <c r="N61">
        <f t="shared" si="13"/>
        <v>2250</v>
      </c>
      <c r="O61">
        <f t="shared" si="2"/>
        <v>2194</v>
      </c>
      <c r="P61">
        <f t="shared" si="3"/>
        <v>0.97511111111111115</v>
      </c>
    </row>
    <row r="62" spans="1:17">
      <c r="A62" s="5" t="s">
        <v>22</v>
      </c>
      <c r="B62" s="5" t="s">
        <v>99</v>
      </c>
      <c r="C62" s="5" t="s">
        <v>63</v>
      </c>
      <c r="D62" s="9" t="s">
        <v>147</v>
      </c>
      <c r="E62" s="9" t="s">
        <v>148</v>
      </c>
      <c r="F62" s="9" t="s">
        <v>148</v>
      </c>
      <c r="G62" s="9" t="s">
        <v>148</v>
      </c>
      <c r="H62" s="9" t="s">
        <v>148</v>
      </c>
      <c r="I62" s="9" t="s">
        <v>148</v>
      </c>
      <c r="J62" s="9" t="s">
        <v>147</v>
      </c>
      <c r="L62" s="6">
        <f t="shared" si="0"/>
        <v>0</v>
      </c>
      <c r="M62">
        <f t="shared" si="1"/>
        <v>0</v>
      </c>
      <c r="N62">
        <f t="shared" si="13"/>
        <v>2250</v>
      </c>
      <c r="O62">
        <f t="shared" si="2"/>
        <v>2250</v>
      </c>
      <c r="P62">
        <f t="shared" si="3"/>
        <v>1</v>
      </c>
    </row>
    <row r="63" spans="1:17">
      <c r="A63" s="5" t="s">
        <v>22</v>
      </c>
      <c r="B63" s="32" t="s">
        <v>100</v>
      </c>
      <c r="C63" s="35" t="s">
        <v>63</v>
      </c>
      <c r="D63" s="9" t="s">
        <v>147</v>
      </c>
      <c r="E63" s="9" t="s">
        <v>148</v>
      </c>
      <c r="F63" s="9" t="s">
        <v>148</v>
      </c>
      <c r="G63" s="9" t="s">
        <v>148</v>
      </c>
      <c r="H63" s="9" t="s">
        <v>148</v>
      </c>
      <c r="I63" s="9" t="s">
        <v>148</v>
      </c>
      <c r="J63" s="9" t="s">
        <v>147</v>
      </c>
      <c r="L63" s="6">
        <f t="shared" si="0"/>
        <v>0</v>
      </c>
      <c r="M63">
        <f t="shared" si="1"/>
        <v>0</v>
      </c>
      <c r="N63">
        <f t="shared" si="13"/>
        <v>2250</v>
      </c>
      <c r="O63">
        <f t="shared" si="2"/>
        <v>2250</v>
      </c>
      <c r="P63">
        <f t="shared" si="3"/>
        <v>1</v>
      </c>
    </row>
    <row r="64" spans="1:17">
      <c r="A64" s="5" t="s">
        <v>57</v>
      </c>
      <c r="B64" s="10" t="s">
        <v>101</v>
      </c>
      <c r="C64" s="35" t="s">
        <v>40</v>
      </c>
      <c r="D64" s="9" t="s">
        <v>147</v>
      </c>
      <c r="E64" s="9" t="s">
        <v>148</v>
      </c>
      <c r="F64" s="9" t="s">
        <v>148</v>
      </c>
      <c r="G64" s="9" t="s">
        <v>148</v>
      </c>
      <c r="H64" s="9" t="s">
        <v>148</v>
      </c>
      <c r="I64" s="9" t="s">
        <v>148</v>
      </c>
      <c r="J64" s="9" t="s">
        <v>147</v>
      </c>
      <c r="L64" s="6">
        <f t="shared" si="0"/>
        <v>0</v>
      </c>
      <c r="M64">
        <f t="shared" si="1"/>
        <v>0</v>
      </c>
      <c r="N64">
        <f t="shared" si="13"/>
        <v>2250</v>
      </c>
      <c r="O64">
        <f t="shared" si="2"/>
        <v>2250</v>
      </c>
      <c r="P64">
        <f t="shared" si="3"/>
        <v>1</v>
      </c>
    </row>
    <row r="65" spans="1:18">
      <c r="A65" s="5" t="s">
        <v>22</v>
      </c>
      <c r="B65" s="32" t="s">
        <v>102</v>
      </c>
      <c r="C65" s="35" t="s">
        <v>33</v>
      </c>
      <c r="D65" s="9" t="s">
        <v>147</v>
      </c>
      <c r="E65" s="9" t="s">
        <v>148</v>
      </c>
      <c r="F65" s="9" t="s">
        <v>148</v>
      </c>
      <c r="G65" s="9" t="s">
        <v>148</v>
      </c>
      <c r="H65" s="9" t="s">
        <v>148</v>
      </c>
      <c r="I65" s="9" t="s">
        <v>148</v>
      </c>
      <c r="J65" s="9" t="s">
        <v>147</v>
      </c>
      <c r="L65" s="6">
        <f t="shared" si="0"/>
        <v>0</v>
      </c>
      <c r="M65">
        <f t="shared" si="1"/>
        <v>0</v>
      </c>
      <c r="N65">
        <f t="shared" si="13"/>
        <v>2250</v>
      </c>
      <c r="O65">
        <f t="shared" si="2"/>
        <v>2250</v>
      </c>
      <c r="P65">
        <f t="shared" si="3"/>
        <v>1</v>
      </c>
    </row>
    <row r="66" spans="1:18">
      <c r="A66" s="5" t="s">
        <v>22</v>
      </c>
      <c r="B66" s="32" t="s">
        <v>31</v>
      </c>
      <c r="C66" s="35" t="s">
        <v>33</v>
      </c>
      <c r="D66" s="9" t="s">
        <v>147</v>
      </c>
      <c r="E66" s="9" t="s">
        <v>148</v>
      </c>
      <c r="F66" s="9" t="s">
        <v>148</v>
      </c>
      <c r="G66" s="9" t="s">
        <v>148</v>
      </c>
      <c r="H66" s="9" t="s">
        <v>148</v>
      </c>
      <c r="I66" s="9" t="s">
        <v>148</v>
      </c>
      <c r="J66" s="9" t="s">
        <v>147</v>
      </c>
      <c r="L66" s="6">
        <f t="shared" si="0"/>
        <v>0</v>
      </c>
      <c r="M66">
        <f t="shared" si="1"/>
        <v>0</v>
      </c>
      <c r="N66">
        <f t="shared" si="13"/>
        <v>2250</v>
      </c>
      <c r="O66">
        <f t="shared" si="2"/>
        <v>2250</v>
      </c>
      <c r="P66">
        <f t="shared" si="3"/>
        <v>1</v>
      </c>
    </row>
    <row r="67" spans="1:18">
      <c r="A67" s="5" t="s">
        <v>26</v>
      </c>
      <c r="B67" s="10" t="s">
        <v>103</v>
      </c>
      <c r="C67" s="11" t="s">
        <v>40</v>
      </c>
      <c r="D67" s="9" t="s">
        <v>148</v>
      </c>
      <c r="E67" s="9" t="s">
        <v>148</v>
      </c>
      <c r="F67" s="9" t="s">
        <v>148</v>
      </c>
      <c r="G67" s="9" t="s">
        <v>147</v>
      </c>
      <c r="H67" s="9" t="s">
        <v>147</v>
      </c>
      <c r="I67" s="9" t="s">
        <v>148</v>
      </c>
      <c r="J67" s="9" t="s">
        <v>148</v>
      </c>
      <c r="L67" s="6">
        <f t="shared" ref="L67:L99" si="16">SUMIF(A67:J67,"450")</f>
        <v>0</v>
      </c>
      <c r="M67">
        <f t="shared" ref="M67:M99" si="17">SUM(K67:L67)</f>
        <v>0</v>
      </c>
      <c r="N67">
        <f t="shared" si="13"/>
        <v>2250</v>
      </c>
      <c r="O67">
        <f t="shared" ref="O67:O99" si="18">N67-M67</f>
        <v>2250</v>
      </c>
      <c r="P67">
        <f t="shared" ref="P67:P99" si="19">O67/N67*100%</f>
        <v>1</v>
      </c>
    </row>
    <row r="68" spans="1:18">
      <c r="A68" s="5" t="s">
        <v>22</v>
      </c>
      <c r="B68" s="32" t="s">
        <v>104</v>
      </c>
      <c r="C68" s="35" t="s">
        <v>25</v>
      </c>
      <c r="D68" s="9" t="s">
        <v>147</v>
      </c>
      <c r="E68" s="9">
        <v>12</v>
      </c>
      <c r="F68" s="9" t="s">
        <v>14</v>
      </c>
      <c r="G68" s="9">
        <v>450</v>
      </c>
      <c r="H68" s="9">
        <v>450</v>
      </c>
      <c r="I68" s="9">
        <v>450</v>
      </c>
      <c r="J68" s="9" t="s">
        <v>147</v>
      </c>
      <c r="K68">
        <f>E68</f>
        <v>12</v>
      </c>
      <c r="L68" s="6">
        <f t="shared" si="16"/>
        <v>1350</v>
      </c>
      <c r="M68">
        <f t="shared" si="17"/>
        <v>1362</v>
      </c>
      <c r="N68">
        <f>450*4</f>
        <v>1800</v>
      </c>
      <c r="O68">
        <f t="shared" si="18"/>
        <v>438</v>
      </c>
      <c r="P68">
        <f t="shared" si="19"/>
        <v>0.24333333333333335</v>
      </c>
      <c r="R68">
        <v>1</v>
      </c>
    </row>
    <row r="69" spans="1:18">
      <c r="A69" s="5" t="s">
        <v>22</v>
      </c>
      <c r="B69" s="32" t="s">
        <v>105</v>
      </c>
      <c r="C69" s="35" t="s">
        <v>56</v>
      </c>
      <c r="D69" s="9" t="s">
        <v>147</v>
      </c>
      <c r="E69" s="9" t="s">
        <v>148</v>
      </c>
      <c r="F69" s="9" t="s">
        <v>148</v>
      </c>
      <c r="G69" s="9" t="s">
        <v>148</v>
      </c>
      <c r="H69" s="9" t="s">
        <v>148</v>
      </c>
      <c r="I69" s="9">
        <v>2</v>
      </c>
      <c r="J69" s="9" t="s">
        <v>147</v>
      </c>
      <c r="K69">
        <f t="shared" ref="K69:K71" si="20">SUM(D69:J69)</f>
        <v>2</v>
      </c>
      <c r="L69" s="6">
        <f t="shared" si="16"/>
        <v>0</v>
      </c>
      <c r="M69">
        <f t="shared" si="17"/>
        <v>2</v>
      </c>
      <c r="N69">
        <f t="shared" ref="N69:N73" si="21">450*5</f>
        <v>2250</v>
      </c>
      <c r="O69">
        <f t="shared" si="18"/>
        <v>2248</v>
      </c>
      <c r="P69">
        <f t="shared" si="19"/>
        <v>0.99911111111111106</v>
      </c>
    </row>
    <row r="70" spans="1:18">
      <c r="A70" s="5" t="s">
        <v>22</v>
      </c>
      <c r="B70" s="32" t="s">
        <v>106</v>
      </c>
      <c r="C70" s="35" t="s">
        <v>30</v>
      </c>
      <c r="D70" s="9" t="s">
        <v>147</v>
      </c>
      <c r="E70" s="9" t="s">
        <v>148</v>
      </c>
      <c r="F70" s="9" t="s">
        <v>148</v>
      </c>
      <c r="G70" s="9" t="s">
        <v>148</v>
      </c>
      <c r="H70" s="9" t="s">
        <v>148</v>
      </c>
      <c r="I70" s="9">
        <v>270</v>
      </c>
      <c r="J70" s="9" t="s">
        <v>147</v>
      </c>
      <c r="K70">
        <f t="shared" si="20"/>
        <v>270</v>
      </c>
      <c r="L70" s="6">
        <f t="shared" si="16"/>
        <v>0</v>
      </c>
      <c r="M70">
        <f t="shared" si="17"/>
        <v>270</v>
      </c>
      <c r="N70">
        <f t="shared" si="21"/>
        <v>2250</v>
      </c>
      <c r="O70">
        <f t="shared" si="18"/>
        <v>1980</v>
      </c>
      <c r="P70">
        <f t="shared" si="19"/>
        <v>0.88</v>
      </c>
    </row>
    <row r="71" spans="1:18">
      <c r="A71" s="5" t="s">
        <v>57</v>
      </c>
      <c r="B71" s="10" t="s">
        <v>107</v>
      </c>
      <c r="C71" s="35" t="s">
        <v>40</v>
      </c>
      <c r="D71" s="9" t="s">
        <v>147</v>
      </c>
      <c r="E71" s="9">
        <v>8</v>
      </c>
      <c r="F71" s="9" t="s">
        <v>148</v>
      </c>
      <c r="G71" s="9" t="s">
        <v>148</v>
      </c>
      <c r="H71" s="9" t="s">
        <v>148</v>
      </c>
      <c r="I71" s="9" t="s">
        <v>148</v>
      </c>
      <c r="J71" s="9" t="s">
        <v>147</v>
      </c>
      <c r="K71">
        <f t="shared" si="20"/>
        <v>8</v>
      </c>
      <c r="L71" s="6">
        <f t="shared" si="16"/>
        <v>0</v>
      </c>
      <c r="M71">
        <f t="shared" si="17"/>
        <v>8</v>
      </c>
      <c r="N71">
        <f t="shared" si="21"/>
        <v>2250</v>
      </c>
      <c r="O71">
        <f t="shared" si="18"/>
        <v>2242</v>
      </c>
      <c r="P71">
        <f t="shared" si="19"/>
        <v>0.99644444444444447</v>
      </c>
    </row>
    <row r="72" spans="1:18">
      <c r="A72" s="5" t="s">
        <v>26</v>
      </c>
      <c r="B72" s="10" t="s">
        <v>108</v>
      </c>
      <c r="C72" s="11" t="s">
        <v>30</v>
      </c>
      <c r="D72" s="9" t="s">
        <v>147</v>
      </c>
      <c r="E72" s="9" t="s">
        <v>148</v>
      </c>
      <c r="F72" s="9" t="s">
        <v>148</v>
      </c>
      <c r="G72" s="9" t="s">
        <v>148</v>
      </c>
      <c r="H72" s="9" t="s">
        <v>148</v>
      </c>
      <c r="I72" s="9" t="s">
        <v>148</v>
      </c>
      <c r="J72" s="9" t="s">
        <v>147</v>
      </c>
      <c r="L72" s="6">
        <f t="shared" si="16"/>
        <v>0</v>
      </c>
      <c r="M72">
        <f t="shared" si="17"/>
        <v>0</v>
      </c>
      <c r="N72">
        <f t="shared" si="21"/>
        <v>2250</v>
      </c>
      <c r="O72">
        <f t="shared" si="18"/>
        <v>2250</v>
      </c>
      <c r="P72">
        <f t="shared" si="19"/>
        <v>1</v>
      </c>
    </row>
    <row r="73" spans="1:18">
      <c r="A73" s="5" t="s">
        <v>26</v>
      </c>
      <c r="B73" s="10" t="s">
        <v>109</v>
      </c>
      <c r="C73" s="11" t="s">
        <v>36</v>
      </c>
      <c r="D73" s="9" t="s">
        <v>147</v>
      </c>
      <c r="E73" s="9" t="s">
        <v>148</v>
      </c>
      <c r="F73" s="9" t="s">
        <v>148</v>
      </c>
      <c r="G73" s="9" t="s">
        <v>148</v>
      </c>
      <c r="H73" s="9" t="s">
        <v>148</v>
      </c>
      <c r="I73" s="9" t="s">
        <v>148</v>
      </c>
      <c r="J73" s="9" t="s">
        <v>147</v>
      </c>
      <c r="L73" s="6">
        <f t="shared" si="16"/>
        <v>0</v>
      </c>
      <c r="M73">
        <f t="shared" si="17"/>
        <v>0</v>
      </c>
      <c r="N73">
        <f t="shared" si="21"/>
        <v>2250</v>
      </c>
      <c r="O73">
        <f t="shared" si="18"/>
        <v>2250</v>
      </c>
      <c r="P73">
        <f t="shared" si="19"/>
        <v>1</v>
      </c>
    </row>
    <row r="74" spans="1:18">
      <c r="A74" s="5" t="s">
        <v>111</v>
      </c>
      <c r="B74" s="10" t="s">
        <v>110</v>
      </c>
      <c r="C74" s="35" t="s">
        <v>40</v>
      </c>
      <c r="D74" s="9" t="s">
        <v>147</v>
      </c>
      <c r="E74" s="9" t="s">
        <v>148</v>
      </c>
      <c r="F74" s="9" t="s">
        <v>148</v>
      </c>
      <c r="G74" s="9" t="s">
        <v>12</v>
      </c>
      <c r="H74" s="9" t="s">
        <v>12</v>
      </c>
      <c r="I74" s="9" t="s">
        <v>148</v>
      </c>
      <c r="J74" s="9" t="s">
        <v>147</v>
      </c>
      <c r="L74" s="6">
        <f t="shared" si="16"/>
        <v>0</v>
      </c>
      <c r="M74">
        <f t="shared" si="17"/>
        <v>0</v>
      </c>
      <c r="N74">
        <f>450*3</f>
        <v>1350</v>
      </c>
      <c r="O74">
        <f t="shared" si="18"/>
        <v>1350</v>
      </c>
      <c r="P74">
        <f t="shared" si="19"/>
        <v>1</v>
      </c>
      <c r="Q74">
        <v>2</v>
      </c>
    </row>
    <row r="75" spans="1:18">
      <c r="A75" s="5" t="s">
        <v>22</v>
      </c>
      <c r="B75" s="32" t="s">
        <v>112</v>
      </c>
      <c r="C75" s="35" t="s">
        <v>25</v>
      </c>
      <c r="D75" s="9" t="s">
        <v>147</v>
      </c>
      <c r="E75" s="9" t="s">
        <v>148</v>
      </c>
      <c r="F75" s="9" t="s">
        <v>148</v>
      </c>
      <c r="G75" s="9" t="s">
        <v>148</v>
      </c>
      <c r="H75" s="9" t="s">
        <v>148</v>
      </c>
      <c r="I75" s="9" t="s">
        <v>148</v>
      </c>
      <c r="J75" s="9" t="s">
        <v>147</v>
      </c>
      <c r="L75" s="6">
        <f t="shared" si="16"/>
        <v>0</v>
      </c>
      <c r="M75">
        <f t="shared" si="17"/>
        <v>0</v>
      </c>
      <c r="N75">
        <f t="shared" ref="N75:N95" si="22">450*5</f>
        <v>2250</v>
      </c>
      <c r="O75">
        <f t="shared" si="18"/>
        <v>2250</v>
      </c>
      <c r="P75">
        <f t="shared" si="19"/>
        <v>1</v>
      </c>
    </row>
    <row r="76" spans="1:18">
      <c r="A76" s="5" t="s">
        <v>26</v>
      </c>
      <c r="B76" s="10" t="s">
        <v>113</v>
      </c>
      <c r="C76" s="11" t="s">
        <v>40</v>
      </c>
      <c r="D76" s="9" t="s">
        <v>148</v>
      </c>
      <c r="E76" s="9" t="s">
        <v>148</v>
      </c>
      <c r="F76" s="9" t="s">
        <v>147</v>
      </c>
      <c r="G76" s="9" t="s">
        <v>147</v>
      </c>
      <c r="H76" s="9" t="s">
        <v>148</v>
      </c>
      <c r="I76" s="9" t="s">
        <v>148</v>
      </c>
      <c r="J76" s="9" t="s">
        <v>148</v>
      </c>
      <c r="L76" s="6">
        <f t="shared" si="16"/>
        <v>0</v>
      </c>
      <c r="M76">
        <f t="shared" si="17"/>
        <v>0</v>
      </c>
      <c r="N76">
        <f t="shared" si="22"/>
        <v>2250</v>
      </c>
      <c r="O76">
        <f t="shared" si="18"/>
        <v>2250</v>
      </c>
      <c r="P76">
        <f t="shared" si="19"/>
        <v>1</v>
      </c>
    </row>
    <row r="77" spans="1:18">
      <c r="A77" s="5" t="s">
        <v>37</v>
      </c>
      <c r="B77" s="32" t="s">
        <v>114</v>
      </c>
      <c r="C77" s="35" t="s">
        <v>40</v>
      </c>
      <c r="D77" s="9" t="s">
        <v>147</v>
      </c>
      <c r="E77" s="9" t="s">
        <v>147</v>
      </c>
      <c r="F77" s="9" t="s">
        <v>148</v>
      </c>
      <c r="G77" s="9" t="s">
        <v>148</v>
      </c>
      <c r="H77" s="9" t="s">
        <v>148</v>
      </c>
      <c r="I77" s="9" t="s">
        <v>148</v>
      </c>
      <c r="J77" s="9" t="s">
        <v>148</v>
      </c>
      <c r="L77" s="6">
        <f t="shared" si="16"/>
        <v>0</v>
      </c>
      <c r="M77">
        <f t="shared" si="17"/>
        <v>0</v>
      </c>
      <c r="N77">
        <f t="shared" si="22"/>
        <v>2250</v>
      </c>
      <c r="O77">
        <f t="shared" si="18"/>
        <v>2250</v>
      </c>
      <c r="P77">
        <f t="shared" si="19"/>
        <v>1</v>
      </c>
    </row>
    <row r="78" spans="1:18">
      <c r="A78" s="5" t="s">
        <v>22</v>
      </c>
      <c r="B78" s="32" t="s">
        <v>66</v>
      </c>
      <c r="C78" s="35" t="s">
        <v>30</v>
      </c>
      <c r="D78" s="9" t="s">
        <v>147</v>
      </c>
      <c r="E78" s="9" t="s">
        <v>148</v>
      </c>
      <c r="F78" s="9">
        <v>450</v>
      </c>
      <c r="G78" s="9">
        <v>450</v>
      </c>
      <c r="H78" s="9">
        <v>450</v>
      </c>
      <c r="I78" s="9">
        <v>450</v>
      </c>
      <c r="J78" s="9" t="s">
        <v>147</v>
      </c>
      <c r="L78" s="6">
        <f t="shared" si="16"/>
        <v>1800</v>
      </c>
      <c r="M78">
        <f t="shared" si="17"/>
        <v>1800</v>
      </c>
      <c r="N78">
        <f t="shared" si="22"/>
        <v>2250</v>
      </c>
      <c r="O78">
        <f t="shared" si="18"/>
        <v>450</v>
      </c>
      <c r="P78">
        <f t="shared" si="19"/>
        <v>0.2</v>
      </c>
    </row>
    <row r="79" spans="1:18">
      <c r="A79" s="5" t="s">
        <v>22</v>
      </c>
      <c r="B79" s="32" t="s">
        <v>115</v>
      </c>
      <c r="C79" s="35" t="s">
        <v>33</v>
      </c>
      <c r="D79" s="9" t="s">
        <v>147</v>
      </c>
      <c r="E79" s="9" t="s">
        <v>148</v>
      </c>
      <c r="F79" s="9" t="s">
        <v>148</v>
      </c>
      <c r="G79" s="9" t="s">
        <v>148</v>
      </c>
      <c r="H79" s="9" t="s">
        <v>148</v>
      </c>
      <c r="I79" s="9" t="s">
        <v>148</v>
      </c>
      <c r="J79" s="9" t="s">
        <v>147</v>
      </c>
      <c r="L79" s="6">
        <f t="shared" si="16"/>
        <v>0</v>
      </c>
      <c r="M79">
        <f t="shared" si="17"/>
        <v>0</v>
      </c>
      <c r="N79">
        <f t="shared" si="22"/>
        <v>2250</v>
      </c>
      <c r="O79">
        <f t="shared" si="18"/>
        <v>2250</v>
      </c>
      <c r="P79">
        <f t="shared" si="19"/>
        <v>1</v>
      </c>
    </row>
    <row r="80" spans="1:18">
      <c r="A80" s="5" t="s">
        <v>22</v>
      </c>
      <c r="B80" s="32" t="s">
        <v>116</v>
      </c>
      <c r="C80" s="35" t="s">
        <v>63</v>
      </c>
      <c r="D80" s="9" t="s">
        <v>147</v>
      </c>
      <c r="E80" s="9">
        <v>450</v>
      </c>
      <c r="F80" s="9" t="s">
        <v>148</v>
      </c>
      <c r="G80" s="9" t="s">
        <v>148</v>
      </c>
      <c r="H80" s="9" t="s">
        <v>148</v>
      </c>
      <c r="I80" s="9" t="s">
        <v>148</v>
      </c>
      <c r="J80" s="9" t="s">
        <v>147</v>
      </c>
      <c r="L80" s="6">
        <f t="shared" si="16"/>
        <v>450</v>
      </c>
      <c r="M80">
        <f t="shared" si="17"/>
        <v>450</v>
      </c>
      <c r="N80">
        <f t="shared" si="22"/>
        <v>2250</v>
      </c>
      <c r="O80">
        <f t="shared" si="18"/>
        <v>1800</v>
      </c>
      <c r="P80">
        <f t="shared" si="19"/>
        <v>0.8</v>
      </c>
    </row>
    <row r="81" spans="1:17">
      <c r="A81" s="5" t="s">
        <v>22</v>
      </c>
      <c r="B81" s="32" t="s">
        <v>117</v>
      </c>
      <c r="C81" s="35" t="s">
        <v>30</v>
      </c>
      <c r="D81" s="9" t="s">
        <v>147</v>
      </c>
      <c r="E81" s="9" t="s">
        <v>148</v>
      </c>
      <c r="F81" s="9" t="s">
        <v>148</v>
      </c>
      <c r="G81" s="9" t="s">
        <v>148</v>
      </c>
      <c r="H81" s="9" t="s">
        <v>148</v>
      </c>
      <c r="I81" s="9" t="s">
        <v>148</v>
      </c>
      <c r="J81" s="9" t="s">
        <v>147</v>
      </c>
      <c r="L81" s="6">
        <f t="shared" si="16"/>
        <v>0</v>
      </c>
      <c r="M81">
        <f t="shared" si="17"/>
        <v>0</v>
      </c>
      <c r="N81">
        <f t="shared" si="22"/>
        <v>2250</v>
      </c>
      <c r="O81">
        <f t="shared" si="18"/>
        <v>2250</v>
      </c>
      <c r="P81">
        <f t="shared" si="19"/>
        <v>1</v>
      </c>
    </row>
    <row r="82" spans="1:17">
      <c r="A82" s="5" t="s">
        <v>37</v>
      </c>
      <c r="B82" s="32" t="s">
        <v>118</v>
      </c>
      <c r="C82" s="35" t="s">
        <v>40</v>
      </c>
      <c r="D82" s="9" t="s">
        <v>147</v>
      </c>
      <c r="E82" s="9" t="s">
        <v>148</v>
      </c>
      <c r="F82" s="9" t="s">
        <v>148</v>
      </c>
      <c r="G82" s="9" t="s">
        <v>148</v>
      </c>
      <c r="H82" s="9" t="s">
        <v>148</v>
      </c>
      <c r="I82" s="9">
        <v>16</v>
      </c>
      <c r="J82" s="9" t="s">
        <v>147</v>
      </c>
      <c r="K82">
        <f t="shared" ref="K82" si="23">SUM(D82:J82)</f>
        <v>16</v>
      </c>
      <c r="L82" s="6">
        <f t="shared" si="16"/>
        <v>0</v>
      </c>
      <c r="M82">
        <f t="shared" si="17"/>
        <v>16</v>
      </c>
      <c r="N82">
        <f t="shared" si="22"/>
        <v>2250</v>
      </c>
      <c r="O82">
        <f t="shared" si="18"/>
        <v>2234</v>
      </c>
      <c r="P82">
        <f t="shared" si="19"/>
        <v>0.99288888888888893</v>
      </c>
    </row>
    <row r="83" spans="1:17">
      <c r="A83" s="5" t="s">
        <v>26</v>
      </c>
      <c r="B83" s="10" t="s">
        <v>119</v>
      </c>
      <c r="C83" s="11" t="s">
        <v>25</v>
      </c>
      <c r="D83" s="9" t="s">
        <v>148</v>
      </c>
      <c r="E83" s="9" t="s">
        <v>148</v>
      </c>
      <c r="F83" s="9" t="s">
        <v>148</v>
      </c>
      <c r="G83" s="9" t="s">
        <v>147</v>
      </c>
      <c r="H83" s="9" t="s">
        <v>147</v>
      </c>
      <c r="I83" s="9" t="s">
        <v>148</v>
      </c>
      <c r="J83" s="9" t="s">
        <v>148</v>
      </c>
      <c r="L83" s="6">
        <f t="shared" si="16"/>
        <v>0</v>
      </c>
      <c r="M83">
        <f t="shared" si="17"/>
        <v>0</v>
      </c>
      <c r="N83">
        <f t="shared" si="22"/>
        <v>2250</v>
      </c>
      <c r="O83">
        <f t="shared" si="18"/>
        <v>2250</v>
      </c>
      <c r="P83">
        <f t="shared" si="19"/>
        <v>1</v>
      </c>
    </row>
    <row r="84" spans="1:17">
      <c r="A84" s="5" t="s">
        <v>22</v>
      </c>
      <c r="B84" s="32" t="s">
        <v>120</v>
      </c>
      <c r="C84" s="35" t="s">
        <v>30</v>
      </c>
      <c r="D84" s="9" t="s">
        <v>147</v>
      </c>
      <c r="E84" s="9" t="s">
        <v>148</v>
      </c>
      <c r="F84" s="9">
        <v>17</v>
      </c>
      <c r="G84" s="9">
        <v>450</v>
      </c>
      <c r="H84" s="9" t="s">
        <v>148</v>
      </c>
      <c r="I84" s="9" t="s">
        <v>148</v>
      </c>
      <c r="J84" s="9" t="s">
        <v>147</v>
      </c>
      <c r="K84">
        <f>F84</f>
        <v>17</v>
      </c>
      <c r="L84" s="6">
        <f t="shared" si="16"/>
        <v>450</v>
      </c>
      <c r="M84">
        <f t="shared" si="17"/>
        <v>467</v>
      </c>
      <c r="N84">
        <f t="shared" si="22"/>
        <v>2250</v>
      </c>
      <c r="O84">
        <f t="shared" si="18"/>
        <v>1783</v>
      </c>
      <c r="P84">
        <f t="shared" si="19"/>
        <v>0.7924444444444444</v>
      </c>
    </row>
    <row r="85" spans="1:17">
      <c r="A85" s="5" t="s">
        <v>22</v>
      </c>
      <c r="B85" s="32" t="s">
        <v>121</v>
      </c>
      <c r="C85" s="35" t="s">
        <v>63</v>
      </c>
      <c r="D85" s="9" t="s">
        <v>147</v>
      </c>
      <c r="E85" s="9">
        <v>3</v>
      </c>
      <c r="F85" s="9">
        <v>2</v>
      </c>
      <c r="G85" s="9" t="s">
        <v>148</v>
      </c>
      <c r="H85" s="9" t="s">
        <v>148</v>
      </c>
      <c r="I85" s="9" t="s">
        <v>148</v>
      </c>
      <c r="J85" s="9" t="s">
        <v>147</v>
      </c>
      <c r="K85">
        <f t="shared" ref="K85" si="24">SUM(D85:J85)</f>
        <v>5</v>
      </c>
      <c r="L85" s="6">
        <f t="shared" si="16"/>
        <v>0</v>
      </c>
      <c r="M85">
        <f t="shared" si="17"/>
        <v>5</v>
      </c>
      <c r="N85">
        <f t="shared" si="22"/>
        <v>2250</v>
      </c>
      <c r="O85">
        <f t="shared" si="18"/>
        <v>2245</v>
      </c>
      <c r="P85">
        <f t="shared" si="19"/>
        <v>0.99777777777777776</v>
      </c>
    </row>
    <row r="86" spans="1:17">
      <c r="A86" s="5" t="s">
        <v>22</v>
      </c>
      <c r="B86" s="32" t="s">
        <v>122</v>
      </c>
      <c r="C86" s="35" t="s">
        <v>30</v>
      </c>
      <c r="D86" s="9" t="s">
        <v>147</v>
      </c>
      <c r="E86" s="9" t="s">
        <v>148</v>
      </c>
      <c r="F86" s="9" t="s">
        <v>148</v>
      </c>
      <c r="G86" s="9" t="s">
        <v>148</v>
      </c>
      <c r="H86" s="9" t="s">
        <v>148</v>
      </c>
      <c r="I86" s="9" t="s">
        <v>148</v>
      </c>
      <c r="J86" s="9" t="s">
        <v>147</v>
      </c>
      <c r="L86" s="6">
        <f t="shared" si="16"/>
        <v>0</v>
      </c>
      <c r="M86">
        <f t="shared" si="17"/>
        <v>0</v>
      </c>
      <c r="N86">
        <f t="shared" si="22"/>
        <v>2250</v>
      </c>
      <c r="O86">
        <f t="shared" si="18"/>
        <v>2250</v>
      </c>
      <c r="P86">
        <f t="shared" si="19"/>
        <v>1</v>
      </c>
    </row>
    <row r="87" spans="1:17">
      <c r="A87" s="5" t="s">
        <v>26</v>
      </c>
      <c r="B87" s="10" t="s">
        <v>123</v>
      </c>
      <c r="C87" s="11" t="s">
        <v>40</v>
      </c>
      <c r="D87" s="9" t="s">
        <v>147</v>
      </c>
      <c r="E87" s="9" t="s">
        <v>148</v>
      </c>
      <c r="F87" s="9" t="s">
        <v>148</v>
      </c>
      <c r="G87" s="9" t="s">
        <v>148</v>
      </c>
      <c r="H87" s="9" t="s">
        <v>148</v>
      </c>
      <c r="I87" s="9" t="s">
        <v>148</v>
      </c>
      <c r="J87" s="9" t="s">
        <v>147</v>
      </c>
      <c r="L87" s="6">
        <f t="shared" si="16"/>
        <v>0</v>
      </c>
      <c r="M87">
        <f t="shared" si="17"/>
        <v>0</v>
      </c>
      <c r="N87">
        <f t="shared" si="22"/>
        <v>2250</v>
      </c>
      <c r="O87">
        <f t="shared" si="18"/>
        <v>2250</v>
      </c>
      <c r="P87">
        <f t="shared" si="19"/>
        <v>1</v>
      </c>
    </row>
    <row r="88" spans="1:17">
      <c r="A88" s="5" t="s">
        <v>26</v>
      </c>
      <c r="B88" s="10" t="s">
        <v>124</v>
      </c>
      <c r="C88" s="11" t="s">
        <v>36</v>
      </c>
      <c r="D88" s="9" t="s">
        <v>147</v>
      </c>
      <c r="E88" s="9" t="s">
        <v>148</v>
      </c>
      <c r="F88" s="9" t="s">
        <v>148</v>
      </c>
      <c r="G88" s="9" t="s">
        <v>148</v>
      </c>
      <c r="H88" s="9" t="s">
        <v>148</v>
      </c>
      <c r="I88" s="9" t="s">
        <v>148</v>
      </c>
      <c r="J88" s="9" t="s">
        <v>147</v>
      </c>
      <c r="L88" s="6">
        <f t="shared" si="16"/>
        <v>0</v>
      </c>
      <c r="M88">
        <f t="shared" si="17"/>
        <v>0</v>
      </c>
      <c r="N88">
        <f t="shared" si="22"/>
        <v>2250</v>
      </c>
      <c r="O88">
        <f t="shared" si="18"/>
        <v>2250</v>
      </c>
      <c r="P88">
        <f t="shared" si="19"/>
        <v>1</v>
      </c>
    </row>
    <row r="89" spans="1:17">
      <c r="A89" s="5" t="s">
        <v>22</v>
      </c>
      <c r="B89" s="32" t="s">
        <v>125</v>
      </c>
      <c r="C89" s="35" t="s">
        <v>25</v>
      </c>
      <c r="D89" s="9" t="s">
        <v>147</v>
      </c>
      <c r="E89" s="9">
        <v>24</v>
      </c>
      <c r="F89" s="9">
        <v>2</v>
      </c>
      <c r="G89" s="9" t="s">
        <v>148</v>
      </c>
      <c r="H89" s="9" t="s">
        <v>148</v>
      </c>
      <c r="I89" s="9" t="s">
        <v>148</v>
      </c>
      <c r="J89" s="9" t="s">
        <v>147</v>
      </c>
      <c r="K89">
        <f t="shared" ref="K89" si="25">SUM(D89:J89)</f>
        <v>26</v>
      </c>
      <c r="L89" s="6">
        <f t="shared" si="16"/>
        <v>0</v>
      </c>
      <c r="M89">
        <f t="shared" si="17"/>
        <v>26</v>
      </c>
      <c r="N89">
        <f t="shared" si="22"/>
        <v>2250</v>
      </c>
      <c r="O89">
        <f t="shared" si="18"/>
        <v>2224</v>
      </c>
      <c r="P89">
        <f t="shared" si="19"/>
        <v>0.98844444444444446</v>
      </c>
    </row>
    <row r="90" spans="1:17">
      <c r="A90" s="5" t="s">
        <v>26</v>
      </c>
      <c r="B90" s="10" t="s">
        <v>126</v>
      </c>
      <c r="C90" s="11" t="s">
        <v>30</v>
      </c>
      <c r="D90" s="9" t="s">
        <v>147</v>
      </c>
      <c r="E90" s="9" t="s">
        <v>148</v>
      </c>
      <c r="F90" s="9">
        <v>450</v>
      </c>
      <c r="G90" s="9" t="s">
        <v>148</v>
      </c>
      <c r="H90" s="9">
        <v>7</v>
      </c>
      <c r="I90" s="9">
        <v>3</v>
      </c>
      <c r="J90" s="9" t="s">
        <v>147</v>
      </c>
      <c r="K90">
        <f>H90+I90</f>
        <v>10</v>
      </c>
      <c r="L90" s="6">
        <f t="shared" si="16"/>
        <v>450</v>
      </c>
      <c r="M90">
        <f t="shared" si="17"/>
        <v>460</v>
      </c>
      <c r="N90">
        <f t="shared" si="22"/>
        <v>2250</v>
      </c>
      <c r="O90">
        <f t="shared" si="18"/>
        <v>1790</v>
      </c>
      <c r="P90">
        <f t="shared" si="19"/>
        <v>0.79555555555555557</v>
      </c>
    </row>
    <row r="91" spans="1:17">
      <c r="A91" s="5" t="s">
        <v>22</v>
      </c>
      <c r="B91" s="32" t="s">
        <v>127</v>
      </c>
      <c r="C91" s="35" t="s">
        <v>33</v>
      </c>
      <c r="D91" s="9" t="s">
        <v>147</v>
      </c>
      <c r="E91" s="9" t="s">
        <v>148</v>
      </c>
      <c r="F91" s="9" t="s">
        <v>148</v>
      </c>
      <c r="G91" s="9" t="s">
        <v>148</v>
      </c>
      <c r="H91" s="9" t="s">
        <v>148</v>
      </c>
      <c r="I91" s="9" t="s">
        <v>148</v>
      </c>
      <c r="J91" s="9" t="s">
        <v>147</v>
      </c>
      <c r="L91" s="6">
        <f t="shared" si="16"/>
        <v>0</v>
      </c>
      <c r="M91">
        <f t="shared" si="17"/>
        <v>0</v>
      </c>
      <c r="N91">
        <f t="shared" si="22"/>
        <v>2250</v>
      </c>
      <c r="O91">
        <f t="shared" si="18"/>
        <v>2250</v>
      </c>
      <c r="P91">
        <f t="shared" si="19"/>
        <v>1</v>
      </c>
    </row>
    <row r="92" spans="1:17">
      <c r="A92" s="5" t="s">
        <v>22</v>
      </c>
      <c r="B92" s="32" t="s">
        <v>128</v>
      </c>
      <c r="C92" s="35" t="s">
        <v>33</v>
      </c>
      <c r="D92" s="9" t="s">
        <v>147</v>
      </c>
      <c r="E92" s="9">
        <v>9</v>
      </c>
      <c r="F92" s="9" t="s">
        <v>148</v>
      </c>
      <c r="G92" s="9">
        <v>1</v>
      </c>
      <c r="H92" s="9">
        <v>3</v>
      </c>
      <c r="I92" s="9" t="s">
        <v>148</v>
      </c>
      <c r="J92" s="9" t="s">
        <v>147</v>
      </c>
      <c r="K92">
        <f t="shared" ref="K92" si="26">SUM(D92:J92)</f>
        <v>13</v>
      </c>
      <c r="L92" s="6">
        <f t="shared" si="16"/>
        <v>0</v>
      </c>
      <c r="M92">
        <f t="shared" si="17"/>
        <v>13</v>
      </c>
      <c r="N92">
        <f t="shared" si="22"/>
        <v>2250</v>
      </c>
      <c r="O92">
        <f t="shared" si="18"/>
        <v>2237</v>
      </c>
      <c r="P92">
        <f t="shared" si="19"/>
        <v>0.99422222222222223</v>
      </c>
    </row>
    <row r="93" spans="1:17">
      <c r="A93" s="5" t="s">
        <v>22</v>
      </c>
      <c r="B93" s="32" t="s">
        <v>129</v>
      </c>
      <c r="C93" s="35" t="s">
        <v>56</v>
      </c>
      <c r="D93" s="9" t="s">
        <v>147</v>
      </c>
      <c r="E93" s="9">
        <v>1</v>
      </c>
      <c r="F93" s="9">
        <v>2</v>
      </c>
      <c r="G93" s="9" t="s">
        <v>148</v>
      </c>
      <c r="H93" s="9">
        <v>450</v>
      </c>
      <c r="I93" s="9" t="s">
        <v>148</v>
      </c>
      <c r="J93" s="9" t="s">
        <v>147</v>
      </c>
      <c r="K93">
        <f>E93+F93</f>
        <v>3</v>
      </c>
      <c r="L93" s="6">
        <f t="shared" si="16"/>
        <v>450</v>
      </c>
      <c r="M93">
        <f t="shared" si="17"/>
        <v>453</v>
      </c>
      <c r="N93">
        <f t="shared" si="22"/>
        <v>2250</v>
      </c>
      <c r="O93">
        <f t="shared" si="18"/>
        <v>1797</v>
      </c>
      <c r="P93">
        <f t="shared" si="19"/>
        <v>0.79866666666666664</v>
      </c>
    </row>
    <row r="94" spans="1:17">
      <c r="A94" s="5" t="s">
        <v>22</v>
      </c>
      <c r="B94" s="32" t="s">
        <v>130</v>
      </c>
      <c r="C94" s="35" t="s">
        <v>33</v>
      </c>
      <c r="D94" s="9" t="s">
        <v>147</v>
      </c>
      <c r="E94" s="9" t="s">
        <v>148</v>
      </c>
      <c r="F94" s="9">
        <v>450</v>
      </c>
      <c r="G94" s="9" t="s">
        <v>148</v>
      </c>
      <c r="H94" s="9">
        <v>152</v>
      </c>
      <c r="I94" s="9">
        <v>4</v>
      </c>
      <c r="J94" s="9" t="s">
        <v>147</v>
      </c>
      <c r="K94">
        <f>H94+I94</f>
        <v>156</v>
      </c>
      <c r="L94" s="6">
        <f t="shared" si="16"/>
        <v>450</v>
      </c>
      <c r="M94">
        <f t="shared" si="17"/>
        <v>606</v>
      </c>
      <c r="N94">
        <f t="shared" si="22"/>
        <v>2250</v>
      </c>
      <c r="O94">
        <f t="shared" si="18"/>
        <v>1644</v>
      </c>
      <c r="P94">
        <f t="shared" si="19"/>
        <v>0.73066666666666669</v>
      </c>
    </row>
    <row r="95" spans="1:17">
      <c r="A95" s="5" t="s">
        <v>26</v>
      </c>
      <c r="B95" s="10" t="s">
        <v>131</v>
      </c>
      <c r="C95" s="11" t="s">
        <v>33</v>
      </c>
      <c r="D95" s="9" t="s">
        <v>147</v>
      </c>
      <c r="E95" s="9">
        <v>10</v>
      </c>
      <c r="F95" s="9" t="s">
        <v>148</v>
      </c>
      <c r="G95" s="9" t="s">
        <v>148</v>
      </c>
      <c r="H95" s="9" t="s">
        <v>148</v>
      </c>
      <c r="I95" s="9">
        <v>450</v>
      </c>
      <c r="J95" s="9" t="s">
        <v>147</v>
      </c>
      <c r="K95">
        <f>E95</f>
        <v>10</v>
      </c>
      <c r="L95" s="6">
        <f t="shared" si="16"/>
        <v>450</v>
      </c>
      <c r="M95">
        <f t="shared" si="17"/>
        <v>460</v>
      </c>
      <c r="N95">
        <f t="shared" si="22"/>
        <v>2250</v>
      </c>
      <c r="O95">
        <f t="shared" si="18"/>
        <v>1790</v>
      </c>
      <c r="P95">
        <f t="shared" si="19"/>
        <v>0.79555555555555557</v>
      </c>
    </row>
    <row r="96" spans="1:17">
      <c r="A96" s="5" t="s">
        <v>22</v>
      </c>
      <c r="B96" s="32" t="s">
        <v>132</v>
      </c>
      <c r="C96" s="35" t="s">
        <v>56</v>
      </c>
      <c r="D96" s="9" t="s">
        <v>147</v>
      </c>
      <c r="E96" s="9">
        <v>1</v>
      </c>
      <c r="F96" s="9" t="s">
        <v>148</v>
      </c>
      <c r="G96" s="9" t="s">
        <v>148</v>
      </c>
      <c r="H96" s="9" t="s">
        <v>148</v>
      </c>
      <c r="I96" s="9" t="s">
        <v>12</v>
      </c>
      <c r="J96" s="9" t="s">
        <v>147</v>
      </c>
      <c r="K96">
        <f>E96</f>
        <v>1</v>
      </c>
      <c r="L96" s="6">
        <f t="shared" si="16"/>
        <v>0</v>
      </c>
      <c r="M96">
        <f t="shared" si="17"/>
        <v>1</v>
      </c>
      <c r="N96">
        <f>450*4</f>
        <v>1800</v>
      </c>
      <c r="O96">
        <f t="shared" si="18"/>
        <v>1799</v>
      </c>
      <c r="P96">
        <f t="shared" si="19"/>
        <v>0.99944444444444447</v>
      </c>
      <c r="Q96">
        <v>1</v>
      </c>
    </row>
    <row r="97" spans="1:16">
      <c r="A97" s="5" t="s">
        <v>26</v>
      </c>
      <c r="B97" s="10" t="s">
        <v>133</v>
      </c>
      <c r="C97" s="11" t="s">
        <v>40</v>
      </c>
      <c r="D97" s="9" t="s">
        <v>147</v>
      </c>
      <c r="E97" s="9">
        <v>63</v>
      </c>
      <c r="F97" s="9">
        <v>45</v>
      </c>
      <c r="G97" s="9">
        <v>450</v>
      </c>
      <c r="H97" s="9">
        <v>134</v>
      </c>
      <c r="I97" s="9" t="s">
        <v>147</v>
      </c>
      <c r="J97" s="9" t="s">
        <v>148</v>
      </c>
      <c r="K97">
        <f>E97+F97+H97</f>
        <v>242</v>
      </c>
      <c r="L97" s="6">
        <f t="shared" si="16"/>
        <v>450</v>
      </c>
      <c r="M97">
        <f t="shared" si="17"/>
        <v>692</v>
      </c>
      <c r="N97">
        <f t="shared" ref="N97:N99" si="27">450*5</f>
        <v>2250</v>
      </c>
      <c r="O97">
        <f t="shared" si="18"/>
        <v>1558</v>
      </c>
      <c r="P97">
        <f t="shared" si="19"/>
        <v>0.69244444444444442</v>
      </c>
    </row>
    <row r="98" spans="1:16">
      <c r="A98" s="12" t="s">
        <v>26</v>
      </c>
      <c r="B98" s="33" t="s">
        <v>27</v>
      </c>
      <c r="C98" s="36" t="s">
        <v>40</v>
      </c>
      <c r="D98" s="9" t="s">
        <v>147</v>
      </c>
      <c r="E98" s="9" t="s">
        <v>148</v>
      </c>
      <c r="F98" s="9" t="s">
        <v>148</v>
      </c>
      <c r="G98" s="9" t="s">
        <v>148</v>
      </c>
      <c r="H98" s="9" t="s">
        <v>148</v>
      </c>
      <c r="I98" s="9" t="s">
        <v>148</v>
      </c>
      <c r="J98" s="9" t="s">
        <v>147</v>
      </c>
      <c r="L98" s="6">
        <f t="shared" si="16"/>
        <v>0</v>
      </c>
      <c r="M98">
        <f t="shared" si="17"/>
        <v>0</v>
      </c>
      <c r="N98">
        <f t="shared" si="27"/>
        <v>2250</v>
      </c>
      <c r="O98">
        <f t="shared" si="18"/>
        <v>2250</v>
      </c>
      <c r="P98">
        <f t="shared" si="19"/>
        <v>1</v>
      </c>
    </row>
    <row r="99" spans="1:16">
      <c r="A99" s="5" t="s">
        <v>22</v>
      </c>
      <c r="B99" s="5" t="s">
        <v>134</v>
      </c>
      <c r="C99" s="5" t="s">
        <v>56</v>
      </c>
      <c r="D99" s="9" t="s">
        <v>147</v>
      </c>
      <c r="E99" s="9" t="s">
        <v>148</v>
      </c>
      <c r="F99" s="9">
        <v>450</v>
      </c>
      <c r="G99" s="9" t="s">
        <v>148</v>
      </c>
      <c r="H99" s="9" t="s">
        <v>148</v>
      </c>
      <c r="I99" s="9">
        <v>18</v>
      </c>
      <c r="J99" s="9" t="s">
        <v>147</v>
      </c>
      <c r="K99">
        <f>I99</f>
        <v>18</v>
      </c>
      <c r="L99" s="6">
        <f t="shared" si="16"/>
        <v>450</v>
      </c>
      <c r="M99">
        <f t="shared" si="17"/>
        <v>468</v>
      </c>
      <c r="N99">
        <f t="shared" si="27"/>
        <v>2250</v>
      </c>
      <c r="O99">
        <f t="shared" si="18"/>
        <v>1782</v>
      </c>
      <c r="P99">
        <f t="shared" si="19"/>
        <v>0.79200000000000004</v>
      </c>
    </row>
    <row r="100" spans="1:16">
      <c r="K100">
        <f>SUM(K2:K99)</f>
        <v>2199</v>
      </c>
      <c r="L100">
        <f t="shared" ref="L100:O100" si="28">SUM(L2:L99)</f>
        <v>13050</v>
      </c>
      <c r="M100">
        <f t="shared" si="28"/>
        <v>15249</v>
      </c>
      <c r="N100">
        <f t="shared" si="28"/>
        <v>215190</v>
      </c>
      <c r="O100">
        <f t="shared" si="28"/>
        <v>199941</v>
      </c>
      <c r="P100" s="38">
        <f>AVERAGE(P2:P99)</f>
        <v>0.92607936507936495</v>
      </c>
    </row>
    <row r="103" spans="1:16">
      <c r="M103" s="29">
        <f>M100/N100*100%</f>
        <v>7.0862958315906874E-2</v>
      </c>
    </row>
  </sheetData>
  <autoFilter ref="N1:N103" xr:uid="{F99E2B91-F490-441D-9C61-90CEF49E287D}"/>
  <sortState xmlns:xlrd2="http://schemas.microsoft.com/office/spreadsheetml/2017/richdata2" ref="A2:J100">
    <sortCondition ref="B2:B100"/>
  </sortState>
  <conditionalFormatting sqref="D98">
    <cfRule type="containsText" dxfId="120" priority="15" operator="containsText" text="LWOP UA">
      <formula>NOT(ISERROR(SEARCH("LWOP UA",D98)))</formula>
    </cfRule>
    <cfRule type="containsText" dxfId="119" priority="16" operator="containsText" text="P">
      <formula>NOT(ISERROR(SEARCH("P",D98)))</formula>
    </cfRule>
    <cfRule type="containsText" dxfId="118" priority="17" operator="containsText" text="TFO">
      <formula>NOT(ISERROR(SEARCH("TFO",D98)))</formula>
    </cfRule>
    <cfRule type="containsText" dxfId="117" priority="18" operator="containsText" text="AA">
      <formula>NOT(ISERROR(SEARCH("AA",D98)))</formula>
    </cfRule>
    <cfRule type="containsText" dxfId="116" priority="19" operator="containsText" text="RESIGNED">
      <formula>NOT(ISERROR(SEARCH("RESIGNED",D98)))</formula>
    </cfRule>
    <cfRule type="containsText" dxfId="115" priority="20" operator="containsText" text="P">
      <formula>NOT(ISERROR(SEARCH("P",D98)))</formula>
    </cfRule>
    <cfRule type="containsText" dxfId="114" priority="21" operator="containsText" text="TARDY">
      <formula>NOT(ISERROR(SEARCH("TARDY",D98)))</formula>
    </cfRule>
    <cfRule type="containsText" dxfId="113" priority="22" operator="containsText" text="REST DAY">
      <formula>NOT(ISERROR(SEARCH("REST DAY",D98)))</formula>
    </cfRule>
    <cfRule type="containsText" dxfId="112" priority="23" operator="containsText" text="UA">
      <formula>NOT(ISERROR(SEARCH("UA",D98)))</formula>
    </cfRule>
  </conditionalFormatting>
  <conditionalFormatting sqref="D98:I98">
    <cfRule type="containsText" dxfId="111" priority="24" operator="containsText" text="LWOP UA">
      <formula>NOT(ISERROR(SEARCH("LWOP UA",D98)))</formula>
    </cfRule>
  </conditionalFormatting>
  <conditionalFormatting sqref="D2:J97">
    <cfRule type="containsText" dxfId="110" priority="35" operator="containsText" text="LWOP UA">
      <formula>NOT(ISERROR(SEARCH("LWOP UA",D2)))</formula>
    </cfRule>
    <cfRule type="containsText" dxfId="109" priority="36" operator="containsText" text="P">
      <formula>NOT(ISERROR(SEARCH("P",D2)))</formula>
    </cfRule>
    <cfRule type="containsText" dxfId="108" priority="37" operator="containsText" text="TFO">
      <formula>NOT(ISERROR(SEARCH("TFO",D2)))</formula>
    </cfRule>
    <cfRule type="containsText" dxfId="107" priority="38" operator="containsText" text="AA">
      <formula>NOT(ISERROR(SEARCH("AA",D2)))</formula>
    </cfRule>
    <cfRule type="containsText" dxfId="106" priority="39" operator="containsText" text="RESIGNED">
      <formula>NOT(ISERROR(SEARCH("RESIGNED",D2)))</formula>
    </cfRule>
    <cfRule type="containsText" dxfId="105" priority="40" operator="containsText" text="P">
      <formula>NOT(ISERROR(SEARCH("P",D2)))</formula>
    </cfRule>
    <cfRule type="containsText" dxfId="104" priority="41" operator="containsText" text="TARDY">
      <formula>NOT(ISERROR(SEARCH("TARDY",D2)))</formula>
    </cfRule>
    <cfRule type="containsText" dxfId="103" priority="42" operator="containsText" text="REST DAY">
      <formula>NOT(ISERROR(SEARCH("REST DAY",D2)))</formula>
    </cfRule>
    <cfRule type="containsText" dxfId="102" priority="43" operator="containsText" text="UA">
      <formula>NOT(ISERROR(SEARCH("UA",D2)))</formula>
    </cfRule>
    <cfRule type="containsText" dxfId="101" priority="44" operator="containsText" text="LWOP UA">
      <formula>NOT(ISERROR(SEARCH("LWOP UA",D2)))</formula>
    </cfRule>
  </conditionalFormatting>
  <conditionalFormatting sqref="D2:J99">
    <cfRule type="containsText" dxfId="100" priority="1" operator="containsText" text="VL">
      <formula>NOT(ISERROR(SEARCH("VL",D2)))</formula>
    </cfRule>
    <cfRule type="containsText" dxfId="99" priority="2" operator="containsText" text="RD">
      <formula>NOT(ISERROR(SEARCH("RD",D2)))</formula>
    </cfRule>
    <cfRule type="containsText" dxfId="98" priority="3" operator="containsText" text="540">
      <formula>NOT(ISERROR(SEARCH("540",D2)))</formula>
    </cfRule>
    <cfRule type="cellIs" dxfId="97" priority="4" operator="between">
      <formula>1</formula>
      <formula>400</formula>
    </cfRule>
  </conditionalFormatting>
  <conditionalFormatting sqref="D99:J99 E98:I98">
    <cfRule type="containsText" dxfId="96" priority="26" operator="containsText" text="P">
      <formula>NOT(ISERROR(SEARCH("P",D98)))</formula>
    </cfRule>
  </conditionalFormatting>
  <conditionalFormatting sqref="D99:J99">
    <cfRule type="containsText" dxfId="95" priority="25" operator="containsText" text="LWOP UA">
      <formula>NOT(ISERROR(SEARCH("LWOP UA",D99)))</formula>
    </cfRule>
  </conditionalFormatting>
  <conditionalFormatting sqref="E98:I98 D99:J99">
    <cfRule type="containsText" dxfId="94" priority="27" operator="containsText" text="TFO">
      <formula>NOT(ISERROR(SEARCH("TFO",D98)))</formula>
    </cfRule>
    <cfRule type="containsText" dxfId="93" priority="28" operator="containsText" text="AA">
      <formula>NOT(ISERROR(SEARCH("AA",D98)))</formula>
    </cfRule>
    <cfRule type="containsText" dxfId="92" priority="29" operator="containsText" text="RESIGNED">
      <formula>NOT(ISERROR(SEARCH("RESIGNED",D98)))</formula>
    </cfRule>
    <cfRule type="containsText" dxfId="91" priority="30" operator="containsText" text="P">
      <formula>NOT(ISERROR(SEARCH("P",D98)))</formula>
    </cfRule>
    <cfRule type="containsText" dxfId="90" priority="31" operator="containsText" text="TARDY">
      <formula>NOT(ISERROR(SEARCH("TARDY",D98)))</formula>
    </cfRule>
    <cfRule type="containsText" dxfId="89" priority="32" operator="containsText" text="REST DAY">
      <formula>NOT(ISERROR(SEARCH("REST DAY",D98)))</formula>
    </cfRule>
    <cfRule type="containsText" dxfId="88" priority="33" operator="containsText" text="UA">
      <formula>NOT(ISERROR(SEARCH("UA",D98)))</formula>
    </cfRule>
    <cfRule type="containsText" dxfId="87" priority="34" operator="containsText" text="LWOP UA">
      <formula>NOT(ISERROR(SEARCH("LWOP UA",D98)))</formula>
    </cfRule>
  </conditionalFormatting>
  <conditionalFormatting sqref="J98">
    <cfRule type="containsText" dxfId="86" priority="5" operator="containsText" text="LWOP UA">
      <formula>NOT(ISERROR(SEARCH("LWOP UA",J98)))</formula>
    </cfRule>
    <cfRule type="containsText" dxfId="85" priority="6" operator="containsText" text="P">
      <formula>NOT(ISERROR(SEARCH("P",J98)))</formula>
    </cfRule>
    <cfRule type="containsText" dxfId="84" priority="7" operator="containsText" text="TFO">
      <formula>NOT(ISERROR(SEARCH("TFO",J98)))</formula>
    </cfRule>
    <cfRule type="containsText" dxfId="83" priority="8" operator="containsText" text="AA">
      <formula>NOT(ISERROR(SEARCH("AA",J98)))</formula>
    </cfRule>
    <cfRule type="containsText" dxfId="82" priority="9" operator="containsText" text="RESIGNED">
      <formula>NOT(ISERROR(SEARCH("RESIGNED",J98)))</formula>
    </cfRule>
    <cfRule type="containsText" dxfId="81" priority="10" operator="containsText" text="P">
      <formula>NOT(ISERROR(SEARCH("P",J98)))</formula>
    </cfRule>
    <cfRule type="containsText" dxfId="80" priority="11" operator="containsText" text="TARDY">
      <formula>NOT(ISERROR(SEARCH("TARDY",J98)))</formula>
    </cfRule>
    <cfRule type="containsText" dxfId="79" priority="12" operator="containsText" text="REST DAY">
      <formula>NOT(ISERROR(SEARCH("REST DAY",J98)))</formula>
    </cfRule>
    <cfRule type="containsText" dxfId="78" priority="13" operator="containsText" text="UA">
      <formula>NOT(ISERROR(SEARCH("UA",J98)))</formula>
    </cfRule>
    <cfRule type="containsText" dxfId="77" priority="14" operator="containsText" text="LWOP UA">
      <formula>NOT(ISERROR(SEARCH("LWOP UA",J98)))</formula>
    </cfRule>
  </conditionalFormatting>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265D24-5B35-44A5-80E3-4236704A5322}">
  <dimension ref="A1:X102"/>
  <sheetViews>
    <sheetView topLeftCell="G1" workbookViewId="0">
      <pane ySplit="1" topLeftCell="A2" activePane="bottomLeft" state="frozen"/>
      <selection pane="bottomLeft" activeCell="V16" sqref="V16"/>
      <selection activeCell="C1" sqref="C1"/>
    </sheetView>
  </sheetViews>
  <sheetFormatPr defaultRowHeight="15"/>
  <cols>
    <col min="1" max="1" width="9.140625" style="6"/>
    <col min="2" max="2" width="21.42578125" style="6" bestFit="1" customWidth="1"/>
    <col min="3" max="3" width="12" style="6" bestFit="1" customWidth="1"/>
    <col min="4" max="10" width="9.85546875" style="6" bestFit="1" customWidth="1"/>
    <col min="20" max="20" width="13.140625" bestFit="1" customWidth="1"/>
    <col min="21" max="22" width="16.140625" bestFit="1" customWidth="1"/>
    <col min="23" max="23" width="17.7109375" bestFit="1" customWidth="1"/>
    <col min="24" max="24" width="13.28515625" bestFit="1" customWidth="1"/>
  </cols>
  <sheetData>
    <row r="1" spans="1:24">
      <c r="A1" s="1" t="s">
        <v>0</v>
      </c>
      <c r="B1" s="1" t="s">
        <v>2</v>
      </c>
      <c r="C1" s="1" t="s">
        <v>3</v>
      </c>
      <c r="D1" s="8" t="s">
        <v>170</v>
      </c>
      <c r="E1" s="8" t="s">
        <v>171</v>
      </c>
      <c r="F1" s="8" t="s">
        <v>172</v>
      </c>
      <c r="G1" s="8" t="s">
        <v>173</v>
      </c>
      <c r="H1" s="8" t="s">
        <v>167</v>
      </c>
      <c r="I1" s="8" t="s">
        <v>168</v>
      </c>
      <c r="J1" s="8" t="s">
        <v>169</v>
      </c>
      <c r="K1" s="1" t="s">
        <v>4</v>
      </c>
      <c r="L1" s="1" t="s">
        <v>5</v>
      </c>
      <c r="M1" s="1" t="s">
        <v>6</v>
      </c>
      <c r="N1" s="1" t="s">
        <v>7</v>
      </c>
      <c r="O1" s="1" t="s">
        <v>8</v>
      </c>
      <c r="P1" s="1" t="s">
        <v>9</v>
      </c>
      <c r="Q1" s="2" t="s">
        <v>12</v>
      </c>
      <c r="R1" s="2" t="s">
        <v>14</v>
      </c>
      <c r="T1" s="13" t="s">
        <v>142</v>
      </c>
      <c r="U1" t="s">
        <v>143</v>
      </c>
      <c r="V1" t="s">
        <v>144</v>
      </c>
      <c r="W1" t="s">
        <v>146</v>
      </c>
      <c r="X1" t="s">
        <v>145</v>
      </c>
    </row>
    <row r="2" spans="1:24">
      <c r="A2" s="5" t="s">
        <v>22</v>
      </c>
      <c r="B2" s="5" t="s">
        <v>24</v>
      </c>
      <c r="C2" s="5" t="s">
        <v>25</v>
      </c>
      <c r="D2" s="9" t="s">
        <v>147</v>
      </c>
      <c r="E2" s="9" t="s">
        <v>148</v>
      </c>
      <c r="F2" s="9">
        <v>37</v>
      </c>
      <c r="G2" s="9" t="s">
        <v>14</v>
      </c>
      <c r="H2" s="9" t="s">
        <v>148</v>
      </c>
      <c r="I2" s="9" t="s">
        <v>14</v>
      </c>
      <c r="J2" s="9" t="s">
        <v>147</v>
      </c>
      <c r="K2">
        <f>F2</f>
        <v>37</v>
      </c>
      <c r="L2" s="6">
        <f t="shared" ref="L2:L3" si="0">SUMIF(A2:J2,"540")</f>
        <v>0</v>
      </c>
      <c r="M2">
        <f t="shared" ref="M2:M3" si="1">SUM(K2:L2)</f>
        <v>37</v>
      </c>
      <c r="N2">
        <f>450*3</f>
        <v>1350</v>
      </c>
      <c r="O2">
        <f t="shared" ref="O2" si="2">N2-M2</f>
        <v>1313</v>
      </c>
      <c r="P2">
        <f t="shared" ref="P2" si="3">O2/N2*100%</f>
        <v>0.97259259259259256</v>
      </c>
      <c r="R2">
        <v>2</v>
      </c>
      <c r="T2" s="14" t="s">
        <v>111</v>
      </c>
      <c r="U2">
        <v>0</v>
      </c>
      <c r="V2">
        <v>0</v>
      </c>
      <c r="W2">
        <v>2250</v>
      </c>
      <c r="X2">
        <v>2250</v>
      </c>
    </row>
    <row r="3" spans="1:24">
      <c r="A3" s="5" t="s">
        <v>26</v>
      </c>
      <c r="B3" s="7" t="s">
        <v>28</v>
      </c>
      <c r="C3" s="34" t="s">
        <v>25</v>
      </c>
      <c r="D3" s="9" t="s">
        <v>148</v>
      </c>
      <c r="E3" s="9" t="s">
        <v>148</v>
      </c>
      <c r="F3" s="9" t="s">
        <v>147</v>
      </c>
      <c r="G3" s="9" t="s">
        <v>147</v>
      </c>
      <c r="H3" s="9">
        <v>32</v>
      </c>
      <c r="I3" s="9" t="s">
        <v>14</v>
      </c>
      <c r="J3" s="9" t="s">
        <v>148</v>
      </c>
      <c r="K3">
        <f>H3</f>
        <v>32</v>
      </c>
      <c r="L3" s="6">
        <f t="shared" si="0"/>
        <v>0</v>
      </c>
      <c r="M3">
        <f t="shared" si="1"/>
        <v>32</v>
      </c>
      <c r="N3">
        <f>450*4</f>
        <v>1800</v>
      </c>
      <c r="O3">
        <f t="shared" ref="O3" si="4">N3-M3</f>
        <v>1768</v>
      </c>
      <c r="P3">
        <f t="shared" ref="P3" si="5">O3/N3*100%</f>
        <v>0.98222222222222222</v>
      </c>
      <c r="R3">
        <v>1</v>
      </c>
      <c r="T3" s="14" t="s">
        <v>22</v>
      </c>
      <c r="U3">
        <v>674</v>
      </c>
      <c r="V3">
        <v>7740</v>
      </c>
      <c r="W3">
        <v>82576</v>
      </c>
      <c r="X3">
        <v>92250</v>
      </c>
    </row>
    <row r="4" spans="1:24">
      <c r="A4" s="5" t="s">
        <v>26</v>
      </c>
      <c r="B4" s="7" t="s">
        <v>29</v>
      </c>
      <c r="C4" s="34" t="s">
        <v>30</v>
      </c>
      <c r="D4" s="9">
        <v>1</v>
      </c>
      <c r="E4" s="9" t="s">
        <v>148</v>
      </c>
      <c r="F4" s="9" t="s">
        <v>147</v>
      </c>
      <c r="G4" s="9" t="s">
        <v>147</v>
      </c>
      <c r="H4" s="9" t="s">
        <v>148</v>
      </c>
      <c r="I4" s="9" t="s">
        <v>148</v>
      </c>
      <c r="J4" s="9" t="s">
        <v>148</v>
      </c>
      <c r="K4">
        <f>SUM(D4:J4)</f>
        <v>1</v>
      </c>
      <c r="L4" s="6">
        <f>SUMIF(A4:J4,"450")</f>
        <v>0</v>
      </c>
      <c r="M4">
        <f>SUM(K4:L4)</f>
        <v>1</v>
      </c>
      <c r="N4">
        <f>450*5</f>
        <v>2250</v>
      </c>
      <c r="O4">
        <f>N4-M4</f>
        <v>2249</v>
      </c>
      <c r="P4">
        <f>O4/N4*100%</f>
        <v>0.99955555555555553</v>
      </c>
      <c r="T4" s="14" t="s">
        <v>37</v>
      </c>
      <c r="U4">
        <v>181</v>
      </c>
      <c r="V4">
        <v>900</v>
      </c>
      <c r="W4">
        <v>21419</v>
      </c>
      <c r="X4">
        <v>22500</v>
      </c>
    </row>
    <row r="5" spans="1:24">
      <c r="A5" s="5" t="s">
        <v>22</v>
      </c>
      <c r="B5" s="5" t="s">
        <v>32</v>
      </c>
      <c r="C5" s="5" t="s">
        <v>33</v>
      </c>
      <c r="D5" s="9" t="s">
        <v>147</v>
      </c>
      <c r="E5" s="9">
        <v>12</v>
      </c>
      <c r="F5" s="9">
        <v>450</v>
      </c>
      <c r="G5" s="9" t="s">
        <v>148</v>
      </c>
      <c r="H5" s="9" t="s">
        <v>148</v>
      </c>
      <c r="I5" s="9">
        <v>26</v>
      </c>
      <c r="J5" s="9" t="s">
        <v>147</v>
      </c>
      <c r="K5">
        <f>E5+I5</f>
        <v>38</v>
      </c>
      <c r="L5" s="6">
        <f t="shared" ref="L5:L7" si="6">SUMIF(A5:J5,"450")</f>
        <v>450</v>
      </c>
      <c r="M5">
        <f t="shared" ref="M5:M8" si="7">SUM(K5:L5)</f>
        <v>488</v>
      </c>
      <c r="N5">
        <f t="shared" ref="N5:N7" si="8">450*5</f>
        <v>2250</v>
      </c>
      <c r="O5">
        <f t="shared" ref="O5:O8" si="9">N5-M5</f>
        <v>1762</v>
      </c>
      <c r="P5">
        <f t="shared" ref="P5:P8" si="10">O5/N5*100%</f>
        <v>0.78311111111111109</v>
      </c>
      <c r="T5" s="14" t="s">
        <v>57</v>
      </c>
      <c r="U5">
        <v>9</v>
      </c>
      <c r="V5">
        <v>450</v>
      </c>
      <c r="W5">
        <v>8091</v>
      </c>
      <c r="X5">
        <v>8550</v>
      </c>
    </row>
    <row r="6" spans="1:24">
      <c r="A6" s="5" t="s">
        <v>26</v>
      </c>
      <c r="B6" s="7" t="s">
        <v>35</v>
      </c>
      <c r="C6" s="34" t="s">
        <v>36</v>
      </c>
      <c r="D6" s="9" t="s">
        <v>147</v>
      </c>
      <c r="E6" s="9">
        <v>2</v>
      </c>
      <c r="F6" s="9">
        <v>2</v>
      </c>
      <c r="G6" s="9" t="s">
        <v>148</v>
      </c>
      <c r="H6" s="9" t="s">
        <v>148</v>
      </c>
      <c r="I6" s="9" t="s">
        <v>148</v>
      </c>
      <c r="J6" s="9" t="s">
        <v>147</v>
      </c>
      <c r="K6">
        <f>SUM(D6:J6)</f>
        <v>4</v>
      </c>
      <c r="L6" s="6">
        <f t="shared" si="6"/>
        <v>0</v>
      </c>
      <c r="M6">
        <f t="shared" si="7"/>
        <v>4</v>
      </c>
      <c r="N6">
        <f t="shared" si="8"/>
        <v>2250</v>
      </c>
      <c r="O6">
        <f t="shared" si="9"/>
        <v>2246</v>
      </c>
      <c r="P6">
        <f t="shared" si="10"/>
        <v>0.99822222222222223</v>
      </c>
      <c r="T6" s="14" t="s">
        <v>60</v>
      </c>
      <c r="U6">
        <v>16</v>
      </c>
      <c r="V6">
        <v>450</v>
      </c>
      <c r="W6">
        <v>4034</v>
      </c>
      <c r="X6">
        <v>4500</v>
      </c>
    </row>
    <row r="7" spans="1:24">
      <c r="A7" s="5" t="s">
        <v>37</v>
      </c>
      <c r="B7" s="5" t="s">
        <v>39</v>
      </c>
      <c r="C7" s="5" t="s">
        <v>40</v>
      </c>
      <c r="D7" s="9">
        <v>3</v>
      </c>
      <c r="E7" s="9" t="s">
        <v>148</v>
      </c>
      <c r="F7" s="9" t="s">
        <v>148</v>
      </c>
      <c r="G7" s="9" t="s">
        <v>148</v>
      </c>
      <c r="H7" s="9" t="s">
        <v>148</v>
      </c>
      <c r="I7" s="9" t="s">
        <v>147</v>
      </c>
      <c r="J7" s="9" t="s">
        <v>147</v>
      </c>
      <c r="K7">
        <f>SUM(D7:J7)</f>
        <v>3</v>
      </c>
      <c r="L7" s="6">
        <f t="shared" si="6"/>
        <v>0</v>
      </c>
      <c r="M7">
        <f t="shared" si="7"/>
        <v>3</v>
      </c>
      <c r="N7">
        <f t="shared" si="8"/>
        <v>2250</v>
      </c>
      <c r="O7">
        <f t="shared" si="9"/>
        <v>2247</v>
      </c>
      <c r="P7">
        <f t="shared" si="10"/>
        <v>0.9986666666666667</v>
      </c>
      <c r="T7" s="14" t="s">
        <v>26</v>
      </c>
      <c r="U7">
        <v>460</v>
      </c>
      <c r="V7">
        <v>8100</v>
      </c>
      <c r="W7">
        <v>74690</v>
      </c>
      <c r="X7">
        <v>83250</v>
      </c>
    </row>
    <row r="8" spans="1:24">
      <c r="A8" s="5" t="s">
        <v>22</v>
      </c>
      <c r="B8" s="5" t="s">
        <v>41</v>
      </c>
      <c r="C8" s="5" t="s">
        <v>33</v>
      </c>
      <c r="D8" s="9" t="s">
        <v>147</v>
      </c>
      <c r="E8" s="9" t="s">
        <v>148</v>
      </c>
      <c r="F8" s="9">
        <v>2</v>
      </c>
      <c r="G8" s="9">
        <v>11</v>
      </c>
      <c r="H8" s="9" t="s">
        <v>14</v>
      </c>
      <c r="I8" s="9">
        <v>450</v>
      </c>
      <c r="J8" s="9" t="s">
        <v>147</v>
      </c>
      <c r="K8">
        <f>F8+G8</f>
        <v>13</v>
      </c>
      <c r="L8" s="6">
        <f>SUMIF(A8:J8,"450")</f>
        <v>450</v>
      </c>
      <c r="M8">
        <f t="shared" si="7"/>
        <v>463</v>
      </c>
      <c r="N8">
        <f>450*4</f>
        <v>1800</v>
      </c>
      <c r="O8">
        <f t="shared" si="9"/>
        <v>1337</v>
      </c>
      <c r="P8">
        <f t="shared" si="10"/>
        <v>0.74277777777777776</v>
      </c>
      <c r="R8">
        <v>1</v>
      </c>
      <c r="T8" s="14" t="s">
        <v>149</v>
      </c>
      <c r="U8">
        <v>1340</v>
      </c>
      <c r="V8">
        <v>17640</v>
      </c>
      <c r="W8">
        <v>193060</v>
      </c>
      <c r="X8">
        <v>213300</v>
      </c>
    </row>
    <row r="9" spans="1:24">
      <c r="A9" s="5" t="s">
        <v>22</v>
      </c>
      <c r="B9" s="5" t="s">
        <v>42</v>
      </c>
      <c r="C9" s="5" t="s">
        <v>25</v>
      </c>
      <c r="D9" s="9" t="s">
        <v>147</v>
      </c>
      <c r="E9" s="9" t="s">
        <v>148</v>
      </c>
      <c r="F9" s="9">
        <v>2</v>
      </c>
      <c r="G9" s="9" t="s">
        <v>148</v>
      </c>
      <c r="H9" s="9" t="s">
        <v>148</v>
      </c>
      <c r="I9" s="9" t="s">
        <v>148</v>
      </c>
      <c r="J9" s="9" t="s">
        <v>147</v>
      </c>
      <c r="K9">
        <f>SUM(D9:J9)</f>
        <v>2</v>
      </c>
      <c r="L9" s="6">
        <f t="shared" ref="L9:L72" si="11">SUMIF(A9:J9,"450")</f>
        <v>0</v>
      </c>
      <c r="M9">
        <f t="shared" ref="M9:M72" si="12">SUM(K9:L9)</f>
        <v>2</v>
      </c>
      <c r="N9">
        <f t="shared" ref="N9:N12" si="13">450*5</f>
        <v>2250</v>
      </c>
      <c r="O9">
        <f t="shared" ref="O9:O72" si="14">N9-M9</f>
        <v>2248</v>
      </c>
      <c r="P9">
        <f t="shared" ref="P9:P72" si="15">O9/N9*100%</f>
        <v>0.99911111111111106</v>
      </c>
    </row>
    <row r="10" spans="1:24">
      <c r="A10" s="5" t="s">
        <v>22</v>
      </c>
      <c r="B10" s="5" t="s">
        <v>43</v>
      </c>
      <c r="C10" s="5" t="s">
        <v>25</v>
      </c>
      <c r="D10" s="9" t="s">
        <v>147</v>
      </c>
      <c r="E10" s="9" t="s">
        <v>148</v>
      </c>
      <c r="F10" s="9" t="s">
        <v>148</v>
      </c>
      <c r="G10" s="9" t="s">
        <v>148</v>
      </c>
      <c r="H10" s="9" t="s">
        <v>148</v>
      </c>
      <c r="I10" s="9" t="s">
        <v>148</v>
      </c>
      <c r="J10" s="9" t="s">
        <v>147</v>
      </c>
      <c r="K10">
        <f>SUM(D10:J10)</f>
        <v>0</v>
      </c>
      <c r="L10" s="6">
        <f t="shared" si="11"/>
        <v>0</v>
      </c>
      <c r="M10">
        <f t="shared" si="12"/>
        <v>0</v>
      </c>
      <c r="N10">
        <f t="shared" si="13"/>
        <v>2250</v>
      </c>
      <c r="O10">
        <f t="shared" si="14"/>
        <v>2250</v>
      </c>
      <c r="P10">
        <f t="shared" si="15"/>
        <v>1</v>
      </c>
    </row>
    <row r="11" spans="1:24">
      <c r="A11" s="5" t="s">
        <v>37</v>
      </c>
      <c r="B11" s="5" t="s">
        <v>44</v>
      </c>
      <c r="C11" s="5" t="s">
        <v>40</v>
      </c>
      <c r="D11" s="9" t="s">
        <v>147</v>
      </c>
      <c r="E11" s="9" t="s">
        <v>147</v>
      </c>
      <c r="F11" s="9" t="s">
        <v>148</v>
      </c>
      <c r="G11" s="9" t="s">
        <v>148</v>
      </c>
      <c r="H11" s="9" t="s">
        <v>148</v>
      </c>
      <c r="I11" s="9" t="s">
        <v>148</v>
      </c>
      <c r="J11" s="9">
        <v>4</v>
      </c>
      <c r="K11">
        <f>SUM(D11:J11)</f>
        <v>4</v>
      </c>
      <c r="L11" s="6">
        <f t="shared" si="11"/>
        <v>0</v>
      </c>
      <c r="M11">
        <f t="shared" si="12"/>
        <v>4</v>
      </c>
      <c r="N11">
        <f t="shared" si="13"/>
        <v>2250</v>
      </c>
      <c r="O11">
        <f t="shared" si="14"/>
        <v>2246</v>
      </c>
      <c r="P11">
        <f t="shared" si="15"/>
        <v>0.99822222222222223</v>
      </c>
    </row>
    <row r="12" spans="1:24">
      <c r="A12" s="5" t="s">
        <v>26</v>
      </c>
      <c r="B12" s="7" t="s">
        <v>45</v>
      </c>
      <c r="C12" s="34" t="s">
        <v>30</v>
      </c>
      <c r="D12" s="9" t="s">
        <v>148</v>
      </c>
      <c r="E12" s="9" t="s">
        <v>148</v>
      </c>
      <c r="F12" s="9" t="s">
        <v>148</v>
      </c>
      <c r="G12" s="9" t="s">
        <v>147</v>
      </c>
      <c r="H12" s="9" t="s">
        <v>147</v>
      </c>
      <c r="I12" s="9" t="s">
        <v>148</v>
      </c>
      <c r="J12" s="9" t="s">
        <v>148</v>
      </c>
      <c r="K12">
        <f>SUM(D12:J12)</f>
        <v>0</v>
      </c>
      <c r="L12" s="6">
        <f t="shared" si="11"/>
        <v>0</v>
      </c>
      <c r="M12">
        <f t="shared" si="12"/>
        <v>0</v>
      </c>
      <c r="N12">
        <f t="shared" si="13"/>
        <v>2250</v>
      </c>
      <c r="O12">
        <f t="shared" si="14"/>
        <v>2250</v>
      </c>
      <c r="P12">
        <f t="shared" si="15"/>
        <v>1</v>
      </c>
    </row>
    <row r="13" spans="1:24">
      <c r="A13" s="5" t="s">
        <v>26</v>
      </c>
      <c r="B13" s="7" t="s">
        <v>46</v>
      </c>
      <c r="C13" s="34" t="s">
        <v>33</v>
      </c>
      <c r="D13" s="9" t="s">
        <v>148</v>
      </c>
      <c r="E13" s="9" t="s">
        <v>148</v>
      </c>
      <c r="F13" s="9" t="s">
        <v>148</v>
      </c>
      <c r="G13" s="9" t="s">
        <v>12</v>
      </c>
      <c r="H13" s="9" t="s">
        <v>12</v>
      </c>
      <c r="I13" s="9">
        <v>450</v>
      </c>
      <c r="J13" s="9" t="s">
        <v>147</v>
      </c>
      <c r="L13" s="6">
        <f t="shared" si="11"/>
        <v>450</v>
      </c>
      <c r="M13">
        <f t="shared" si="12"/>
        <v>450</v>
      </c>
      <c r="N13">
        <f>450*4</f>
        <v>1800</v>
      </c>
      <c r="O13">
        <f t="shared" si="14"/>
        <v>1350</v>
      </c>
      <c r="P13">
        <f t="shared" si="15"/>
        <v>0.75</v>
      </c>
      <c r="Q13">
        <v>2</v>
      </c>
    </row>
    <row r="14" spans="1:24">
      <c r="A14" s="5" t="s">
        <v>26</v>
      </c>
      <c r="B14" s="7" t="s">
        <v>47</v>
      </c>
      <c r="C14" s="34" t="s">
        <v>33</v>
      </c>
      <c r="D14" s="9" t="s">
        <v>148</v>
      </c>
      <c r="E14" s="9" t="s">
        <v>148</v>
      </c>
      <c r="F14" s="9" t="s">
        <v>148</v>
      </c>
      <c r="G14" s="9">
        <v>450</v>
      </c>
      <c r="H14" s="9" t="s">
        <v>148</v>
      </c>
      <c r="I14" s="9" t="s">
        <v>148</v>
      </c>
      <c r="J14" s="9" t="s">
        <v>147</v>
      </c>
      <c r="L14" s="6">
        <f t="shared" si="11"/>
        <v>450</v>
      </c>
      <c r="M14">
        <f t="shared" si="12"/>
        <v>450</v>
      </c>
      <c r="N14">
        <f t="shared" ref="N14:N18" si="16">450*5</f>
        <v>2250</v>
      </c>
      <c r="O14">
        <f t="shared" si="14"/>
        <v>1800</v>
      </c>
      <c r="P14">
        <f t="shared" si="15"/>
        <v>0.8</v>
      </c>
    </row>
    <row r="15" spans="1:24">
      <c r="A15" s="5" t="s">
        <v>26</v>
      </c>
      <c r="B15" s="7" t="s">
        <v>48</v>
      </c>
      <c r="C15" s="34" t="s">
        <v>33</v>
      </c>
      <c r="D15" s="9" t="s">
        <v>147</v>
      </c>
      <c r="E15" s="9" t="s">
        <v>148</v>
      </c>
      <c r="F15" s="9" t="s">
        <v>148</v>
      </c>
      <c r="G15" s="9" t="s">
        <v>148</v>
      </c>
      <c r="H15" s="9" t="s">
        <v>148</v>
      </c>
      <c r="I15" s="9" t="s">
        <v>148</v>
      </c>
      <c r="J15" s="9" t="s">
        <v>147</v>
      </c>
      <c r="K15">
        <f>SUM(D15:J15)</f>
        <v>0</v>
      </c>
      <c r="L15" s="6">
        <f t="shared" si="11"/>
        <v>0</v>
      </c>
      <c r="M15">
        <f t="shared" si="12"/>
        <v>0</v>
      </c>
      <c r="N15">
        <f t="shared" si="16"/>
        <v>2250</v>
      </c>
      <c r="O15">
        <f t="shared" si="14"/>
        <v>2250</v>
      </c>
      <c r="P15">
        <f t="shared" si="15"/>
        <v>1</v>
      </c>
    </row>
    <row r="16" spans="1:24">
      <c r="A16" s="5" t="s">
        <v>26</v>
      </c>
      <c r="B16" s="7" t="s">
        <v>49</v>
      </c>
      <c r="C16" s="34" t="s">
        <v>50</v>
      </c>
      <c r="D16" s="9" t="s">
        <v>147</v>
      </c>
      <c r="E16" s="9" t="s">
        <v>148</v>
      </c>
      <c r="F16" s="9">
        <v>450</v>
      </c>
      <c r="G16" s="9" t="s">
        <v>148</v>
      </c>
      <c r="H16" s="9" t="s">
        <v>148</v>
      </c>
      <c r="I16" s="9" t="s">
        <v>148</v>
      </c>
      <c r="J16" s="9" t="s">
        <v>147</v>
      </c>
      <c r="L16" s="6">
        <f t="shared" si="11"/>
        <v>450</v>
      </c>
      <c r="M16">
        <f t="shared" si="12"/>
        <v>450</v>
      </c>
      <c r="N16">
        <f t="shared" si="16"/>
        <v>2250</v>
      </c>
      <c r="O16">
        <f t="shared" si="14"/>
        <v>1800</v>
      </c>
      <c r="P16">
        <f t="shared" si="15"/>
        <v>0.8</v>
      </c>
    </row>
    <row r="17" spans="1:18">
      <c r="A17" s="5" t="s">
        <v>26</v>
      </c>
      <c r="B17" s="7" t="s">
        <v>51</v>
      </c>
      <c r="C17" s="34" t="s">
        <v>25</v>
      </c>
      <c r="D17" s="9" t="s">
        <v>147</v>
      </c>
      <c r="E17" s="9" t="s">
        <v>148</v>
      </c>
      <c r="F17" s="9" t="s">
        <v>148</v>
      </c>
      <c r="G17" s="9" t="s">
        <v>148</v>
      </c>
      <c r="H17" s="9">
        <v>450</v>
      </c>
      <c r="I17" s="9">
        <v>450</v>
      </c>
      <c r="J17" s="9" t="s">
        <v>147</v>
      </c>
      <c r="L17" s="6">
        <f t="shared" si="11"/>
        <v>900</v>
      </c>
      <c r="M17">
        <f t="shared" si="12"/>
        <v>900</v>
      </c>
      <c r="N17">
        <f t="shared" si="16"/>
        <v>2250</v>
      </c>
      <c r="O17">
        <f t="shared" si="14"/>
        <v>1350</v>
      </c>
      <c r="P17">
        <f t="shared" si="15"/>
        <v>0.6</v>
      </c>
    </row>
    <row r="18" spans="1:18">
      <c r="A18" s="5" t="s">
        <v>37</v>
      </c>
      <c r="B18" s="5" t="s">
        <v>52</v>
      </c>
      <c r="C18" s="5" t="s">
        <v>40</v>
      </c>
      <c r="D18" s="9" t="s">
        <v>148</v>
      </c>
      <c r="E18" s="9" t="s">
        <v>148</v>
      </c>
      <c r="F18" s="9">
        <v>28</v>
      </c>
      <c r="G18" s="9" t="s">
        <v>148</v>
      </c>
      <c r="H18" s="9" t="s">
        <v>148</v>
      </c>
      <c r="I18" s="9" t="s">
        <v>147</v>
      </c>
      <c r="J18" s="9" t="s">
        <v>147</v>
      </c>
      <c r="K18">
        <f t="shared" ref="K18:K20" si="17">SUM(D18:J18)</f>
        <v>28</v>
      </c>
      <c r="L18" s="6">
        <f t="shared" si="11"/>
        <v>0</v>
      </c>
      <c r="M18">
        <f t="shared" si="12"/>
        <v>28</v>
      </c>
      <c r="N18">
        <f t="shared" si="16"/>
        <v>2250</v>
      </c>
      <c r="O18">
        <f t="shared" si="14"/>
        <v>2222</v>
      </c>
      <c r="P18">
        <f t="shared" si="15"/>
        <v>0.98755555555555552</v>
      </c>
    </row>
    <row r="19" spans="1:18">
      <c r="A19" s="5" t="s">
        <v>26</v>
      </c>
      <c r="B19" s="7" t="s">
        <v>53</v>
      </c>
      <c r="C19" s="34" t="s">
        <v>25</v>
      </c>
      <c r="D19" s="9" t="s">
        <v>147</v>
      </c>
      <c r="E19" s="9">
        <v>107</v>
      </c>
      <c r="F19" s="9" t="s">
        <v>148</v>
      </c>
      <c r="G19" s="9" t="s">
        <v>148</v>
      </c>
      <c r="H19" s="9" t="s">
        <v>148</v>
      </c>
      <c r="I19" s="9" t="s">
        <v>14</v>
      </c>
      <c r="J19" s="9" t="s">
        <v>147</v>
      </c>
      <c r="K19">
        <f t="shared" si="17"/>
        <v>107</v>
      </c>
      <c r="L19" s="6">
        <f t="shared" si="11"/>
        <v>0</v>
      </c>
      <c r="M19">
        <f t="shared" si="12"/>
        <v>107</v>
      </c>
      <c r="N19">
        <f>450*4</f>
        <v>1800</v>
      </c>
      <c r="O19">
        <f t="shared" si="14"/>
        <v>1693</v>
      </c>
      <c r="P19">
        <f t="shared" si="15"/>
        <v>0.94055555555555559</v>
      </c>
      <c r="R19">
        <v>1</v>
      </c>
    </row>
    <row r="20" spans="1:18">
      <c r="A20" s="5" t="s">
        <v>26</v>
      </c>
      <c r="B20" s="5" t="s">
        <v>34</v>
      </c>
      <c r="C20" s="5" t="s">
        <v>40</v>
      </c>
      <c r="D20" s="9" t="s">
        <v>147</v>
      </c>
      <c r="E20" s="9" t="s">
        <v>148</v>
      </c>
      <c r="F20" s="9" t="s">
        <v>148</v>
      </c>
      <c r="G20" s="9" t="s">
        <v>148</v>
      </c>
      <c r="H20" s="9" t="s">
        <v>148</v>
      </c>
      <c r="I20" s="9" t="s">
        <v>148</v>
      </c>
      <c r="J20" s="9" t="s">
        <v>147</v>
      </c>
      <c r="K20">
        <f t="shared" si="17"/>
        <v>0</v>
      </c>
      <c r="L20" s="6">
        <f t="shared" si="11"/>
        <v>0</v>
      </c>
      <c r="M20">
        <f t="shared" si="12"/>
        <v>0</v>
      </c>
      <c r="N20">
        <f>450*5</f>
        <v>2250</v>
      </c>
      <c r="O20">
        <f t="shared" si="14"/>
        <v>2250</v>
      </c>
      <c r="P20">
        <f t="shared" si="15"/>
        <v>1</v>
      </c>
    </row>
    <row r="21" spans="1:18">
      <c r="A21" s="5" t="s">
        <v>22</v>
      </c>
      <c r="B21" s="5" t="s">
        <v>55</v>
      </c>
      <c r="C21" s="5" t="s">
        <v>56</v>
      </c>
      <c r="D21" s="9" t="s">
        <v>147</v>
      </c>
      <c r="E21" s="9" t="s">
        <v>12</v>
      </c>
      <c r="F21" s="9" t="s">
        <v>148</v>
      </c>
      <c r="G21" s="9">
        <v>61</v>
      </c>
      <c r="H21" s="9">
        <v>450</v>
      </c>
      <c r="I21" s="9" t="s">
        <v>148</v>
      </c>
      <c r="J21" s="9" t="s">
        <v>147</v>
      </c>
      <c r="K21">
        <f>G21</f>
        <v>61</v>
      </c>
      <c r="L21" s="6">
        <f t="shared" si="11"/>
        <v>450</v>
      </c>
      <c r="M21">
        <f t="shared" si="12"/>
        <v>511</v>
      </c>
      <c r="N21">
        <f>450*4</f>
        <v>1800</v>
      </c>
      <c r="O21">
        <f t="shared" si="14"/>
        <v>1289</v>
      </c>
      <c r="P21">
        <f t="shared" si="15"/>
        <v>0.71611111111111114</v>
      </c>
      <c r="Q21">
        <v>1</v>
      </c>
    </row>
    <row r="22" spans="1:18">
      <c r="A22" s="5" t="s">
        <v>60</v>
      </c>
      <c r="B22" s="5" t="s">
        <v>59</v>
      </c>
      <c r="C22" s="5" t="s">
        <v>40</v>
      </c>
      <c r="D22" s="9" t="s">
        <v>147</v>
      </c>
      <c r="E22" s="9" t="s">
        <v>148</v>
      </c>
      <c r="F22" s="9">
        <v>16</v>
      </c>
      <c r="G22" s="9" t="s">
        <v>148</v>
      </c>
      <c r="H22" s="9" t="s">
        <v>148</v>
      </c>
      <c r="I22" s="9" t="s">
        <v>148</v>
      </c>
      <c r="J22" s="9" t="s">
        <v>147</v>
      </c>
      <c r="K22">
        <f>SUM(D22:J22)</f>
        <v>16</v>
      </c>
      <c r="L22" s="6">
        <f t="shared" si="11"/>
        <v>0</v>
      </c>
      <c r="M22">
        <f t="shared" si="12"/>
        <v>16</v>
      </c>
      <c r="N22">
        <f t="shared" ref="N22:N27" si="18">450*5</f>
        <v>2250</v>
      </c>
      <c r="O22">
        <f t="shared" si="14"/>
        <v>2234</v>
      </c>
      <c r="P22">
        <f t="shared" si="15"/>
        <v>0.99288888888888893</v>
      </c>
    </row>
    <row r="23" spans="1:18">
      <c r="A23" s="5" t="s">
        <v>22</v>
      </c>
      <c r="B23" s="5" t="s">
        <v>62</v>
      </c>
      <c r="C23" s="5" t="s">
        <v>63</v>
      </c>
      <c r="D23" s="9" t="s">
        <v>147</v>
      </c>
      <c r="E23" s="9" t="s">
        <v>148</v>
      </c>
      <c r="F23" s="9">
        <v>450</v>
      </c>
      <c r="G23" s="9">
        <v>12</v>
      </c>
      <c r="H23" s="9">
        <v>8</v>
      </c>
      <c r="I23" s="9">
        <v>13</v>
      </c>
      <c r="J23" s="9" t="s">
        <v>147</v>
      </c>
      <c r="K23">
        <f>SUM(G23:I23)</f>
        <v>33</v>
      </c>
      <c r="L23" s="6">
        <f t="shared" si="11"/>
        <v>450</v>
      </c>
      <c r="M23">
        <f t="shared" si="12"/>
        <v>483</v>
      </c>
      <c r="N23">
        <f t="shared" si="18"/>
        <v>2250</v>
      </c>
      <c r="O23">
        <f t="shared" si="14"/>
        <v>1767</v>
      </c>
      <c r="P23">
        <f t="shared" si="15"/>
        <v>0.78533333333333333</v>
      </c>
    </row>
    <row r="24" spans="1:18">
      <c r="A24" s="5" t="s">
        <v>22</v>
      </c>
      <c r="B24" s="5" t="s">
        <v>64</v>
      </c>
      <c r="C24" s="5" t="s">
        <v>63</v>
      </c>
      <c r="D24" s="9" t="s">
        <v>147</v>
      </c>
      <c r="E24" s="9" t="s">
        <v>148</v>
      </c>
      <c r="F24" s="9" t="s">
        <v>148</v>
      </c>
      <c r="G24" s="9" t="s">
        <v>148</v>
      </c>
      <c r="H24" s="9" t="s">
        <v>148</v>
      </c>
      <c r="I24" s="9" t="s">
        <v>148</v>
      </c>
      <c r="J24" s="9" t="s">
        <v>147</v>
      </c>
      <c r="K24">
        <f>SUM(D24:J24)</f>
        <v>0</v>
      </c>
      <c r="L24" s="6">
        <f t="shared" si="11"/>
        <v>0</v>
      </c>
      <c r="M24">
        <f t="shared" si="12"/>
        <v>0</v>
      </c>
      <c r="N24">
        <f t="shared" si="18"/>
        <v>2250</v>
      </c>
      <c r="O24">
        <f t="shared" si="14"/>
        <v>2250</v>
      </c>
      <c r="P24">
        <f t="shared" si="15"/>
        <v>1</v>
      </c>
    </row>
    <row r="25" spans="1:18">
      <c r="A25" s="5" t="s">
        <v>26</v>
      </c>
      <c r="B25" s="7" t="s">
        <v>65</v>
      </c>
      <c r="C25" s="34" t="s">
        <v>56</v>
      </c>
      <c r="D25" s="9" t="s">
        <v>147</v>
      </c>
      <c r="E25" s="9" t="s">
        <v>148</v>
      </c>
      <c r="F25" s="9" t="s">
        <v>148</v>
      </c>
      <c r="G25" s="9" t="s">
        <v>148</v>
      </c>
      <c r="H25" s="9" t="s">
        <v>148</v>
      </c>
      <c r="I25" s="9" t="s">
        <v>148</v>
      </c>
      <c r="J25" s="9" t="s">
        <v>147</v>
      </c>
      <c r="K25">
        <f>SUM(D25:J25)</f>
        <v>0</v>
      </c>
      <c r="L25" s="6">
        <f t="shared" si="11"/>
        <v>0</v>
      </c>
      <c r="M25">
        <f t="shared" si="12"/>
        <v>0</v>
      </c>
      <c r="N25">
        <f t="shared" si="18"/>
        <v>2250</v>
      </c>
      <c r="O25">
        <f t="shared" si="14"/>
        <v>2250</v>
      </c>
      <c r="P25">
        <f t="shared" si="15"/>
        <v>1</v>
      </c>
    </row>
    <row r="26" spans="1:18">
      <c r="A26" s="5" t="s">
        <v>22</v>
      </c>
      <c r="B26" s="5" t="s">
        <v>67</v>
      </c>
      <c r="C26" s="5" t="s">
        <v>30</v>
      </c>
      <c r="D26" s="9" t="s">
        <v>147</v>
      </c>
      <c r="E26" s="9" t="s">
        <v>148</v>
      </c>
      <c r="F26" s="9" t="s">
        <v>148</v>
      </c>
      <c r="G26" s="9" t="s">
        <v>148</v>
      </c>
      <c r="H26" s="9" t="s">
        <v>148</v>
      </c>
      <c r="I26" s="9" t="s">
        <v>148</v>
      </c>
      <c r="J26" s="9" t="s">
        <v>147</v>
      </c>
      <c r="K26">
        <f>SUM(D26:J26)</f>
        <v>0</v>
      </c>
      <c r="L26" s="6">
        <f t="shared" si="11"/>
        <v>0</v>
      </c>
      <c r="M26">
        <f t="shared" si="12"/>
        <v>0</v>
      </c>
      <c r="N26">
        <f t="shared" si="18"/>
        <v>2250</v>
      </c>
      <c r="O26">
        <f t="shared" si="14"/>
        <v>2250</v>
      </c>
      <c r="P26">
        <f t="shared" si="15"/>
        <v>1</v>
      </c>
    </row>
    <row r="27" spans="1:18">
      <c r="A27" s="5" t="s">
        <v>26</v>
      </c>
      <c r="B27" s="7" t="s">
        <v>68</v>
      </c>
      <c r="C27" s="34" t="s">
        <v>40</v>
      </c>
      <c r="D27" s="9" t="s">
        <v>147</v>
      </c>
      <c r="E27" s="9">
        <v>450</v>
      </c>
      <c r="F27" s="9" t="s">
        <v>148</v>
      </c>
      <c r="G27" s="9" t="s">
        <v>148</v>
      </c>
      <c r="H27" s="9" t="s">
        <v>148</v>
      </c>
      <c r="I27" s="9" t="s">
        <v>148</v>
      </c>
      <c r="J27" s="9" t="s">
        <v>147</v>
      </c>
      <c r="L27" s="6">
        <f t="shared" si="11"/>
        <v>450</v>
      </c>
      <c r="M27">
        <f t="shared" si="12"/>
        <v>450</v>
      </c>
      <c r="N27">
        <f t="shared" si="18"/>
        <v>2250</v>
      </c>
      <c r="O27">
        <f t="shared" si="14"/>
        <v>1800</v>
      </c>
      <c r="P27">
        <f t="shared" si="15"/>
        <v>0.8</v>
      </c>
    </row>
    <row r="28" spans="1:18">
      <c r="A28" s="5" t="s">
        <v>22</v>
      </c>
      <c r="B28" s="5" t="s">
        <v>69</v>
      </c>
      <c r="C28" s="5" t="s">
        <v>30</v>
      </c>
      <c r="D28" s="9" t="s">
        <v>147</v>
      </c>
      <c r="E28" s="9" t="s">
        <v>148</v>
      </c>
      <c r="F28" s="9" t="s">
        <v>148</v>
      </c>
      <c r="G28" s="9" t="s">
        <v>14</v>
      </c>
      <c r="H28" s="9" t="s">
        <v>148</v>
      </c>
      <c r="I28" s="9" t="s">
        <v>148</v>
      </c>
      <c r="J28" s="9" t="s">
        <v>147</v>
      </c>
      <c r="K28">
        <f>SUM(D28:J28)</f>
        <v>0</v>
      </c>
      <c r="L28" s="6">
        <f t="shared" si="11"/>
        <v>0</v>
      </c>
      <c r="M28">
        <f t="shared" si="12"/>
        <v>0</v>
      </c>
      <c r="N28">
        <f>450*4</f>
        <v>1800</v>
      </c>
      <c r="O28">
        <f t="shared" si="14"/>
        <v>1800</v>
      </c>
      <c r="P28">
        <f t="shared" si="15"/>
        <v>1</v>
      </c>
      <c r="R28">
        <v>1</v>
      </c>
    </row>
    <row r="29" spans="1:18">
      <c r="A29" s="5" t="s">
        <v>22</v>
      </c>
      <c r="B29" s="5" t="s">
        <v>70</v>
      </c>
      <c r="C29" s="5" t="s">
        <v>63</v>
      </c>
      <c r="D29" s="9" t="s">
        <v>147</v>
      </c>
      <c r="E29" s="9" t="s">
        <v>148</v>
      </c>
      <c r="F29" s="9">
        <v>5</v>
      </c>
      <c r="G29" s="9" t="s">
        <v>148</v>
      </c>
      <c r="H29" s="9" t="s">
        <v>148</v>
      </c>
      <c r="I29" s="9" t="s">
        <v>148</v>
      </c>
      <c r="J29" s="9" t="s">
        <v>147</v>
      </c>
      <c r="K29">
        <f>SUM(D29:J29)</f>
        <v>5</v>
      </c>
      <c r="L29" s="6">
        <f t="shared" si="11"/>
        <v>0</v>
      </c>
      <c r="M29">
        <f t="shared" si="12"/>
        <v>5</v>
      </c>
      <c r="N29">
        <f t="shared" ref="N29:N32" si="19">450*5</f>
        <v>2250</v>
      </c>
      <c r="O29">
        <f t="shared" si="14"/>
        <v>2245</v>
      </c>
      <c r="P29">
        <f t="shared" si="15"/>
        <v>0.99777777777777776</v>
      </c>
    </row>
    <row r="30" spans="1:18">
      <c r="A30" s="5" t="s">
        <v>26</v>
      </c>
      <c r="B30" s="7" t="s">
        <v>71</v>
      </c>
      <c r="C30" s="34" t="s">
        <v>25</v>
      </c>
      <c r="D30" s="9" t="s">
        <v>147</v>
      </c>
      <c r="E30" s="9" t="s">
        <v>148</v>
      </c>
      <c r="F30" s="9">
        <v>450</v>
      </c>
      <c r="G30" s="9">
        <v>450</v>
      </c>
      <c r="H30" s="9" t="s">
        <v>148</v>
      </c>
      <c r="I30" s="9" t="s">
        <v>148</v>
      </c>
      <c r="J30" s="9" t="s">
        <v>147</v>
      </c>
      <c r="L30" s="6">
        <f t="shared" si="11"/>
        <v>900</v>
      </c>
      <c r="M30">
        <f t="shared" si="12"/>
        <v>900</v>
      </c>
      <c r="N30">
        <f t="shared" si="19"/>
        <v>2250</v>
      </c>
      <c r="O30">
        <f t="shared" si="14"/>
        <v>1350</v>
      </c>
      <c r="P30">
        <f t="shared" si="15"/>
        <v>0.6</v>
      </c>
    </row>
    <row r="31" spans="1:18">
      <c r="A31" s="5" t="s">
        <v>22</v>
      </c>
      <c r="B31" s="5" t="s">
        <v>72</v>
      </c>
      <c r="C31" s="5" t="s">
        <v>30</v>
      </c>
      <c r="D31" s="9" t="s">
        <v>147</v>
      </c>
      <c r="E31" s="9">
        <v>3</v>
      </c>
      <c r="F31" s="9" t="s">
        <v>148</v>
      </c>
      <c r="G31" s="9" t="s">
        <v>148</v>
      </c>
      <c r="H31" s="9">
        <v>12</v>
      </c>
      <c r="I31" s="9" t="s">
        <v>148</v>
      </c>
      <c r="J31" s="9" t="s">
        <v>147</v>
      </c>
      <c r="K31">
        <f>SUM(D31:J31)</f>
        <v>15</v>
      </c>
      <c r="L31" s="6">
        <f t="shared" si="11"/>
        <v>0</v>
      </c>
      <c r="M31">
        <f t="shared" si="12"/>
        <v>15</v>
      </c>
      <c r="N31">
        <f t="shared" si="19"/>
        <v>2250</v>
      </c>
      <c r="O31">
        <f t="shared" si="14"/>
        <v>2235</v>
      </c>
      <c r="P31">
        <f t="shared" si="15"/>
        <v>0.99333333333333329</v>
      </c>
    </row>
    <row r="32" spans="1:18">
      <c r="A32" s="5" t="s">
        <v>26</v>
      </c>
      <c r="B32" s="7" t="s">
        <v>73</v>
      </c>
      <c r="C32" s="34" t="s">
        <v>25</v>
      </c>
      <c r="D32" s="9" t="s">
        <v>147</v>
      </c>
      <c r="E32" s="9" t="s">
        <v>148</v>
      </c>
      <c r="F32" s="9">
        <v>5</v>
      </c>
      <c r="G32" s="9" t="s">
        <v>148</v>
      </c>
      <c r="H32" s="9" t="s">
        <v>148</v>
      </c>
      <c r="I32" s="9" t="s">
        <v>148</v>
      </c>
      <c r="J32" s="9" t="s">
        <v>147</v>
      </c>
      <c r="K32">
        <f t="shared" ref="K32:K42" si="20">SUM(D32:J32)</f>
        <v>5</v>
      </c>
      <c r="L32" s="6">
        <f t="shared" si="11"/>
        <v>0</v>
      </c>
      <c r="M32">
        <f t="shared" si="12"/>
        <v>5</v>
      </c>
      <c r="N32">
        <f t="shared" si="19"/>
        <v>2250</v>
      </c>
      <c r="O32">
        <f t="shared" si="14"/>
        <v>2245</v>
      </c>
      <c r="P32">
        <f t="shared" si="15"/>
        <v>0.99777777777777776</v>
      </c>
    </row>
    <row r="33" spans="1:17">
      <c r="A33" s="5" t="s">
        <v>57</v>
      </c>
      <c r="B33" s="5" t="s">
        <v>58</v>
      </c>
      <c r="C33" s="5" t="s">
        <v>40</v>
      </c>
      <c r="D33" s="9" t="s">
        <v>147</v>
      </c>
      <c r="E33" s="9" t="s">
        <v>12</v>
      </c>
      <c r="F33" s="9" t="s">
        <v>148</v>
      </c>
      <c r="G33" s="9" t="s">
        <v>148</v>
      </c>
      <c r="H33" s="9" t="s">
        <v>148</v>
      </c>
      <c r="I33" s="9">
        <v>9</v>
      </c>
      <c r="J33" s="9" t="s">
        <v>147</v>
      </c>
      <c r="K33">
        <f t="shared" si="20"/>
        <v>9</v>
      </c>
      <c r="L33" s="6">
        <f t="shared" si="11"/>
        <v>0</v>
      </c>
      <c r="M33">
        <f t="shared" si="12"/>
        <v>9</v>
      </c>
      <c r="N33">
        <f>450*4</f>
        <v>1800</v>
      </c>
      <c r="O33">
        <f t="shared" si="14"/>
        <v>1791</v>
      </c>
      <c r="P33">
        <f t="shared" si="15"/>
        <v>0.995</v>
      </c>
      <c r="Q33">
        <v>1</v>
      </c>
    </row>
    <row r="34" spans="1:17">
      <c r="A34" s="5" t="s">
        <v>37</v>
      </c>
      <c r="B34" s="5" t="s">
        <v>74</v>
      </c>
      <c r="C34" s="5" t="s">
        <v>40</v>
      </c>
      <c r="D34" s="9" t="s">
        <v>148</v>
      </c>
      <c r="E34" s="9" t="s">
        <v>148</v>
      </c>
      <c r="F34" s="9" t="s">
        <v>147</v>
      </c>
      <c r="G34" s="9" t="s">
        <v>147</v>
      </c>
      <c r="H34" s="9">
        <v>15</v>
      </c>
      <c r="I34" s="9" t="s">
        <v>148</v>
      </c>
      <c r="J34" s="9">
        <v>43</v>
      </c>
      <c r="K34">
        <f t="shared" si="20"/>
        <v>58</v>
      </c>
      <c r="L34" s="6">
        <f t="shared" si="11"/>
        <v>0</v>
      </c>
      <c r="M34">
        <f t="shared" si="12"/>
        <v>58</v>
      </c>
      <c r="N34">
        <f t="shared" ref="N34:N37" si="21">450*5</f>
        <v>2250</v>
      </c>
      <c r="O34">
        <f t="shared" si="14"/>
        <v>2192</v>
      </c>
      <c r="P34">
        <f t="shared" si="15"/>
        <v>0.97422222222222221</v>
      </c>
    </row>
    <row r="35" spans="1:17">
      <c r="A35" s="5" t="s">
        <v>26</v>
      </c>
      <c r="B35" s="7" t="s">
        <v>75</v>
      </c>
      <c r="C35" s="34" t="s">
        <v>40</v>
      </c>
      <c r="D35" s="9" t="s">
        <v>148</v>
      </c>
      <c r="E35" s="9" t="s">
        <v>148</v>
      </c>
      <c r="F35" s="9" t="s">
        <v>148</v>
      </c>
      <c r="G35" s="9" t="s">
        <v>147</v>
      </c>
      <c r="H35" s="9" t="s">
        <v>147</v>
      </c>
      <c r="I35" s="9">
        <v>1</v>
      </c>
      <c r="J35" s="9" t="s">
        <v>148</v>
      </c>
      <c r="K35">
        <f t="shared" si="20"/>
        <v>1</v>
      </c>
      <c r="L35" s="6">
        <f t="shared" si="11"/>
        <v>0</v>
      </c>
      <c r="M35">
        <f t="shared" si="12"/>
        <v>1</v>
      </c>
      <c r="N35">
        <f t="shared" si="21"/>
        <v>2250</v>
      </c>
      <c r="O35">
        <f t="shared" si="14"/>
        <v>2249</v>
      </c>
      <c r="P35">
        <f t="shared" si="15"/>
        <v>0.99955555555555553</v>
      </c>
    </row>
    <row r="36" spans="1:17">
      <c r="A36" s="5" t="s">
        <v>37</v>
      </c>
      <c r="B36" s="5" t="s">
        <v>76</v>
      </c>
      <c r="C36" s="5" t="s">
        <v>40</v>
      </c>
      <c r="D36" s="9" t="s">
        <v>148</v>
      </c>
      <c r="E36" s="9">
        <v>4</v>
      </c>
      <c r="F36" s="9" t="s">
        <v>148</v>
      </c>
      <c r="G36" s="9" t="s">
        <v>148</v>
      </c>
      <c r="H36" s="9" t="s">
        <v>148</v>
      </c>
      <c r="I36" s="9" t="s">
        <v>147</v>
      </c>
      <c r="J36" s="9" t="s">
        <v>147</v>
      </c>
      <c r="K36">
        <f t="shared" si="20"/>
        <v>4</v>
      </c>
      <c r="L36" s="6">
        <f t="shared" si="11"/>
        <v>0</v>
      </c>
      <c r="M36">
        <f t="shared" si="12"/>
        <v>4</v>
      </c>
      <c r="N36">
        <f t="shared" si="21"/>
        <v>2250</v>
      </c>
      <c r="O36">
        <f t="shared" si="14"/>
        <v>2246</v>
      </c>
      <c r="P36">
        <f t="shared" si="15"/>
        <v>0.99822222222222223</v>
      </c>
    </row>
    <row r="37" spans="1:17">
      <c r="A37" s="5" t="s">
        <v>22</v>
      </c>
      <c r="B37" s="5" t="s">
        <v>77</v>
      </c>
      <c r="C37" s="5" t="s">
        <v>30</v>
      </c>
      <c r="D37" s="9" t="s">
        <v>147</v>
      </c>
      <c r="E37" s="9" t="s">
        <v>148</v>
      </c>
      <c r="F37" s="9" t="s">
        <v>148</v>
      </c>
      <c r="G37" s="9">
        <v>8</v>
      </c>
      <c r="H37" s="9" t="s">
        <v>148</v>
      </c>
      <c r="I37" s="9" t="s">
        <v>148</v>
      </c>
      <c r="J37" s="9" t="s">
        <v>147</v>
      </c>
      <c r="K37">
        <f t="shared" si="20"/>
        <v>8</v>
      </c>
      <c r="L37" s="6">
        <f t="shared" si="11"/>
        <v>0</v>
      </c>
      <c r="M37">
        <f t="shared" si="12"/>
        <v>8</v>
      </c>
      <c r="N37">
        <f t="shared" si="21"/>
        <v>2250</v>
      </c>
      <c r="O37">
        <f t="shared" si="14"/>
        <v>2242</v>
      </c>
      <c r="P37">
        <f t="shared" si="15"/>
        <v>0.99644444444444447</v>
      </c>
    </row>
    <row r="38" spans="1:17">
      <c r="A38" s="5" t="s">
        <v>22</v>
      </c>
      <c r="B38" s="5" t="s">
        <v>61</v>
      </c>
      <c r="C38" s="5" t="s">
        <v>63</v>
      </c>
      <c r="D38" s="9" t="s">
        <v>147</v>
      </c>
      <c r="E38" s="9">
        <v>15</v>
      </c>
      <c r="F38" s="9" t="s">
        <v>12</v>
      </c>
      <c r="G38" s="9" t="s">
        <v>148</v>
      </c>
      <c r="H38" s="9" t="s">
        <v>148</v>
      </c>
      <c r="I38" s="9" t="s">
        <v>148</v>
      </c>
      <c r="J38" s="9" t="s">
        <v>147</v>
      </c>
      <c r="K38">
        <f t="shared" si="20"/>
        <v>15</v>
      </c>
      <c r="L38" s="6">
        <f t="shared" si="11"/>
        <v>0</v>
      </c>
      <c r="M38">
        <f t="shared" si="12"/>
        <v>15</v>
      </c>
      <c r="N38">
        <f>450*4</f>
        <v>1800</v>
      </c>
      <c r="O38">
        <f t="shared" si="14"/>
        <v>1785</v>
      </c>
      <c r="P38">
        <f t="shared" si="15"/>
        <v>0.9916666666666667</v>
      </c>
      <c r="Q38">
        <v>1</v>
      </c>
    </row>
    <row r="39" spans="1:17">
      <c r="A39" s="5" t="s">
        <v>26</v>
      </c>
      <c r="B39" s="7" t="s">
        <v>78</v>
      </c>
      <c r="C39" s="34" t="s">
        <v>79</v>
      </c>
      <c r="D39" s="9" t="s">
        <v>147</v>
      </c>
      <c r="E39" s="9" t="s">
        <v>148</v>
      </c>
      <c r="F39" s="9" t="s">
        <v>148</v>
      </c>
      <c r="G39" s="9" t="s">
        <v>148</v>
      </c>
      <c r="H39" s="9" t="s">
        <v>148</v>
      </c>
      <c r="I39" s="9" t="s">
        <v>148</v>
      </c>
      <c r="J39" s="9" t="s">
        <v>147</v>
      </c>
      <c r="K39">
        <f t="shared" si="20"/>
        <v>0</v>
      </c>
      <c r="L39" s="6">
        <f t="shared" si="11"/>
        <v>0</v>
      </c>
      <c r="M39">
        <f t="shared" si="12"/>
        <v>0</v>
      </c>
      <c r="N39">
        <f t="shared" ref="N39:N56" si="22">450*5</f>
        <v>2250</v>
      </c>
      <c r="O39">
        <f t="shared" si="14"/>
        <v>2250</v>
      </c>
      <c r="P39">
        <f t="shared" si="15"/>
        <v>1</v>
      </c>
    </row>
    <row r="40" spans="1:17">
      <c r="A40" s="5" t="s">
        <v>26</v>
      </c>
      <c r="B40" s="7" t="s">
        <v>80</v>
      </c>
      <c r="C40" s="34" t="s">
        <v>40</v>
      </c>
      <c r="D40" s="9" t="s">
        <v>148</v>
      </c>
      <c r="E40" s="9" t="s">
        <v>148</v>
      </c>
      <c r="F40" s="9" t="s">
        <v>147</v>
      </c>
      <c r="G40" s="9" t="s">
        <v>147</v>
      </c>
      <c r="H40" s="9" t="s">
        <v>148</v>
      </c>
      <c r="I40" s="9" t="s">
        <v>148</v>
      </c>
      <c r="J40" s="9" t="s">
        <v>148</v>
      </c>
      <c r="K40">
        <f t="shared" si="20"/>
        <v>0</v>
      </c>
      <c r="L40" s="6">
        <f t="shared" si="11"/>
        <v>0</v>
      </c>
      <c r="M40">
        <f t="shared" si="12"/>
        <v>0</v>
      </c>
      <c r="N40">
        <f t="shared" si="22"/>
        <v>2250</v>
      </c>
      <c r="O40">
        <f t="shared" si="14"/>
        <v>2250</v>
      </c>
      <c r="P40">
        <f t="shared" si="15"/>
        <v>1</v>
      </c>
    </row>
    <row r="41" spans="1:17">
      <c r="A41" s="5" t="s">
        <v>26</v>
      </c>
      <c r="B41" s="7" t="s">
        <v>81</v>
      </c>
      <c r="C41" s="34" t="s">
        <v>33</v>
      </c>
      <c r="D41" s="9" t="s">
        <v>147</v>
      </c>
      <c r="E41" s="9" t="s">
        <v>148</v>
      </c>
      <c r="F41" s="9" t="s">
        <v>148</v>
      </c>
      <c r="G41" s="9" t="s">
        <v>148</v>
      </c>
      <c r="H41" s="9" t="s">
        <v>148</v>
      </c>
      <c r="I41" s="9" t="s">
        <v>148</v>
      </c>
      <c r="J41" s="9" t="s">
        <v>147</v>
      </c>
      <c r="K41">
        <f t="shared" si="20"/>
        <v>0</v>
      </c>
      <c r="L41" s="6">
        <f t="shared" si="11"/>
        <v>0</v>
      </c>
      <c r="M41">
        <f t="shared" si="12"/>
        <v>0</v>
      </c>
      <c r="N41">
        <f t="shared" si="22"/>
        <v>2250</v>
      </c>
      <c r="O41">
        <f t="shared" si="14"/>
        <v>2250</v>
      </c>
      <c r="P41">
        <f t="shared" si="15"/>
        <v>1</v>
      </c>
    </row>
    <row r="42" spans="1:17">
      <c r="A42" s="5" t="s">
        <v>22</v>
      </c>
      <c r="B42" s="5" t="s">
        <v>82</v>
      </c>
      <c r="C42" s="5" t="s">
        <v>33</v>
      </c>
      <c r="D42" s="9" t="s">
        <v>147</v>
      </c>
      <c r="E42" s="9" t="s">
        <v>148</v>
      </c>
      <c r="F42" s="9" t="s">
        <v>148</v>
      </c>
      <c r="G42" s="9" t="s">
        <v>148</v>
      </c>
      <c r="H42" s="9">
        <v>283</v>
      </c>
      <c r="I42" s="9">
        <v>44</v>
      </c>
      <c r="J42" s="9" t="s">
        <v>147</v>
      </c>
      <c r="K42">
        <f t="shared" si="20"/>
        <v>327</v>
      </c>
      <c r="L42" s="6">
        <f t="shared" si="11"/>
        <v>0</v>
      </c>
      <c r="M42">
        <f t="shared" si="12"/>
        <v>327</v>
      </c>
      <c r="N42">
        <f t="shared" si="22"/>
        <v>2250</v>
      </c>
      <c r="O42">
        <f t="shared" si="14"/>
        <v>1923</v>
      </c>
      <c r="P42">
        <f t="shared" si="15"/>
        <v>0.85466666666666669</v>
      </c>
    </row>
    <row r="43" spans="1:17">
      <c r="A43" s="5" t="s">
        <v>26</v>
      </c>
      <c r="B43" s="7" t="s">
        <v>83</v>
      </c>
      <c r="C43" s="34" t="s">
        <v>40</v>
      </c>
      <c r="D43" s="9" t="s">
        <v>148</v>
      </c>
      <c r="E43" s="9">
        <v>450</v>
      </c>
      <c r="F43" s="9" t="s">
        <v>148</v>
      </c>
      <c r="G43" s="9" t="s">
        <v>147</v>
      </c>
      <c r="H43" s="9" t="s">
        <v>148</v>
      </c>
      <c r="I43" s="9" t="s">
        <v>148</v>
      </c>
      <c r="J43" s="9" t="s">
        <v>147</v>
      </c>
      <c r="L43" s="6">
        <f t="shared" si="11"/>
        <v>450</v>
      </c>
      <c r="M43">
        <f t="shared" si="12"/>
        <v>450</v>
      </c>
      <c r="N43">
        <f t="shared" si="22"/>
        <v>2250</v>
      </c>
      <c r="O43">
        <f t="shared" si="14"/>
        <v>1800</v>
      </c>
      <c r="P43">
        <f t="shared" si="15"/>
        <v>0.8</v>
      </c>
    </row>
    <row r="44" spans="1:17">
      <c r="A44" s="5" t="s">
        <v>60</v>
      </c>
      <c r="B44" s="5" t="s">
        <v>84</v>
      </c>
      <c r="C44" s="5" t="s">
        <v>40</v>
      </c>
      <c r="D44" s="9" t="s">
        <v>147</v>
      </c>
      <c r="E44" s="9" t="s">
        <v>148</v>
      </c>
      <c r="F44" s="9">
        <v>450</v>
      </c>
      <c r="G44" s="9" t="s">
        <v>148</v>
      </c>
      <c r="H44" s="9" t="s">
        <v>148</v>
      </c>
      <c r="I44" s="9" t="s">
        <v>148</v>
      </c>
      <c r="J44" s="9" t="s">
        <v>147</v>
      </c>
      <c r="L44" s="6">
        <f t="shared" si="11"/>
        <v>450</v>
      </c>
      <c r="M44">
        <f t="shared" si="12"/>
        <v>450</v>
      </c>
      <c r="N44">
        <f t="shared" si="22"/>
        <v>2250</v>
      </c>
      <c r="O44">
        <f t="shared" si="14"/>
        <v>1800</v>
      </c>
      <c r="P44">
        <f t="shared" si="15"/>
        <v>0.8</v>
      </c>
    </row>
    <row r="45" spans="1:17">
      <c r="A45" s="5" t="s">
        <v>22</v>
      </c>
      <c r="B45" s="5" t="s">
        <v>85</v>
      </c>
      <c r="C45" s="5" t="s">
        <v>63</v>
      </c>
      <c r="D45" s="9" t="s">
        <v>147</v>
      </c>
      <c r="E45" s="9" t="s">
        <v>148</v>
      </c>
      <c r="F45" s="9">
        <v>1</v>
      </c>
      <c r="G45" s="9" t="s">
        <v>148</v>
      </c>
      <c r="H45" s="9" t="s">
        <v>148</v>
      </c>
      <c r="I45" s="9" t="s">
        <v>148</v>
      </c>
      <c r="J45" s="9" t="s">
        <v>147</v>
      </c>
      <c r="K45">
        <f t="shared" ref="K45:K87" si="23">SUM(D45:J45)</f>
        <v>1</v>
      </c>
      <c r="L45" s="6">
        <f t="shared" si="11"/>
        <v>0</v>
      </c>
      <c r="M45">
        <f t="shared" si="12"/>
        <v>1</v>
      </c>
      <c r="N45">
        <f t="shared" si="22"/>
        <v>2250</v>
      </c>
      <c r="O45">
        <f t="shared" si="14"/>
        <v>2249</v>
      </c>
      <c r="P45">
        <f t="shared" si="15"/>
        <v>0.99955555555555553</v>
      </c>
    </row>
    <row r="46" spans="1:17">
      <c r="A46" s="5" t="s">
        <v>26</v>
      </c>
      <c r="B46" s="7" t="s">
        <v>86</v>
      </c>
      <c r="C46" s="34" t="s">
        <v>56</v>
      </c>
      <c r="D46" s="9" t="s">
        <v>147</v>
      </c>
      <c r="E46" s="9" t="s">
        <v>148</v>
      </c>
      <c r="F46" s="9" t="s">
        <v>148</v>
      </c>
      <c r="G46" s="9" t="s">
        <v>148</v>
      </c>
      <c r="H46" s="9" t="s">
        <v>148</v>
      </c>
      <c r="I46" s="9" t="s">
        <v>148</v>
      </c>
      <c r="J46" s="9" t="s">
        <v>147</v>
      </c>
      <c r="K46">
        <f t="shared" si="23"/>
        <v>0</v>
      </c>
      <c r="L46" s="6">
        <f t="shared" si="11"/>
        <v>0</v>
      </c>
      <c r="M46">
        <f t="shared" si="12"/>
        <v>0</v>
      </c>
      <c r="N46">
        <f t="shared" si="22"/>
        <v>2250</v>
      </c>
      <c r="O46">
        <f t="shared" si="14"/>
        <v>2250</v>
      </c>
      <c r="P46">
        <f t="shared" si="15"/>
        <v>1</v>
      </c>
    </row>
    <row r="47" spans="1:17">
      <c r="A47" s="5" t="s">
        <v>26</v>
      </c>
      <c r="B47" s="7" t="s">
        <v>87</v>
      </c>
      <c r="C47" s="34" t="s">
        <v>33</v>
      </c>
      <c r="D47" s="9" t="s">
        <v>147</v>
      </c>
      <c r="E47" s="9" t="s">
        <v>148</v>
      </c>
      <c r="F47" s="9" t="s">
        <v>148</v>
      </c>
      <c r="G47" s="9" t="s">
        <v>148</v>
      </c>
      <c r="H47" s="9" t="s">
        <v>148</v>
      </c>
      <c r="I47" s="9" t="s">
        <v>148</v>
      </c>
      <c r="J47" s="9" t="s">
        <v>147</v>
      </c>
      <c r="K47">
        <f t="shared" si="23"/>
        <v>0</v>
      </c>
      <c r="L47" s="6">
        <f t="shared" si="11"/>
        <v>0</v>
      </c>
      <c r="M47">
        <f t="shared" si="12"/>
        <v>0</v>
      </c>
      <c r="N47">
        <f t="shared" si="22"/>
        <v>2250</v>
      </c>
      <c r="O47">
        <f t="shared" si="14"/>
        <v>2250</v>
      </c>
      <c r="P47">
        <f t="shared" si="15"/>
        <v>1</v>
      </c>
    </row>
    <row r="48" spans="1:17">
      <c r="A48" s="5" t="s">
        <v>22</v>
      </c>
      <c r="B48" s="5" t="s">
        <v>88</v>
      </c>
      <c r="C48" s="5" t="s">
        <v>25</v>
      </c>
      <c r="D48" s="9" t="s">
        <v>147</v>
      </c>
      <c r="E48" s="9" t="s">
        <v>148</v>
      </c>
      <c r="F48" s="9" t="s">
        <v>148</v>
      </c>
      <c r="G48" s="9">
        <v>5</v>
      </c>
      <c r="H48" s="9" t="s">
        <v>148</v>
      </c>
      <c r="I48" s="9" t="s">
        <v>148</v>
      </c>
      <c r="J48" s="9" t="s">
        <v>147</v>
      </c>
      <c r="K48">
        <f t="shared" si="23"/>
        <v>5</v>
      </c>
      <c r="L48" s="6">
        <f t="shared" si="11"/>
        <v>0</v>
      </c>
      <c r="M48">
        <f t="shared" si="12"/>
        <v>5</v>
      </c>
      <c r="N48">
        <f t="shared" si="22"/>
        <v>2250</v>
      </c>
      <c r="O48">
        <f t="shared" si="14"/>
        <v>2245</v>
      </c>
      <c r="P48">
        <f t="shared" si="15"/>
        <v>0.99777777777777776</v>
      </c>
    </row>
    <row r="49" spans="1:17">
      <c r="A49" s="5" t="s">
        <v>26</v>
      </c>
      <c r="B49" s="7" t="s">
        <v>89</v>
      </c>
      <c r="C49" s="34" t="s">
        <v>40</v>
      </c>
      <c r="D49" s="9" t="s">
        <v>147</v>
      </c>
      <c r="E49" s="9">
        <v>9</v>
      </c>
      <c r="F49" s="9">
        <v>2</v>
      </c>
      <c r="G49" s="9" t="s">
        <v>148</v>
      </c>
      <c r="H49" s="9">
        <v>18</v>
      </c>
      <c r="I49" s="9">
        <v>3</v>
      </c>
      <c r="J49" s="9">
        <v>14</v>
      </c>
      <c r="K49">
        <f t="shared" si="23"/>
        <v>46</v>
      </c>
      <c r="L49" s="6">
        <f t="shared" si="11"/>
        <v>0</v>
      </c>
      <c r="M49">
        <f t="shared" si="12"/>
        <v>46</v>
      </c>
      <c r="N49">
        <f t="shared" si="22"/>
        <v>2250</v>
      </c>
      <c r="O49">
        <f t="shared" si="14"/>
        <v>2204</v>
      </c>
      <c r="P49">
        <f t="shared" si="15"/>
        <v>0.97955555555555551</v>
      </c>
    </row>
    <row r="50" spans="1:17">
      <c r="A50" s="5" t="s">
        <v>37</v>
      </c>
      <c r="B50" s="5" t="s">
        <v>90</v>
      </c>
      <c r="C50" s="5" t="s">
        <v>40</v>
      </c>
      <c r="D50" s="9" t="s">
        <v>147</v>
      </c>
      <c r="E50" s="9" t="s">
        <v>147</v>
      </c>
      <c r="F50" s="9">
        <v>28</v>
      </c>
      <c r="G50" s="9" t="s">
        <v>148</v>
      </c>
      <c r="H50" s="9" t="s">
        <v>148</v>
      </c>
      <c r="I50" s="9" t="s">
        <v>148</v>
      </c>
      <c r="J50" s="9" t="s">
        <v>148</v>
      </c>
      <c r="K50">
        <f t="shared" si="23"/>
        <v>28</v>
      </c>
      <c r="L50" s="6">
        <f t="shared" si="11"/>
        <v>0</v>
      </c>
      <c r="M50">
        <f t="shared" si="12"/>
        <v>28</v>
      </c>
      <c r="N50">
        <f t="shared" si="22"/>
        <v>2250</v>
      </c>
      <c r="O50">
        <f t="shared" si="14"/>
        <v>2222</v>
      </c>
      <c r="P50">
        <f t="shared" si="15"/>
        <v>0.98755555555555552</v>
      </c>
    </row>
    <row r="51" spans="1:17">
      <c r="A51" s="5" t="s">
        <v>22</v>
      </c>
      <c r="B51" s="5" t="s">
        <v>91</v>
      </c>
      <c r="C51" s="5" t="s">
        <v>30</v>
      </c>
      <c r="D51" s="9" t="s">
        <v>147</v>
      </c>
      <c r="E51" s="9" t="s">
        <v>148</v>
      </c>
      <c r="F51" s="9" t="s">
        <v>148</v>
      </c>
      <c r="G51" s="9" t="s">
        <v>148</v>
      </c>
      <c r="H51" s="9" t="s">
        <v>148</v>
      </c>
      <c r="I51" s="9" t="s">
        <v>148</v>
      </c>
      <c r="J51" s="9" t="s">
        <v>147</v>
      </c>
      <c r="K51">
        <f t="shared" si="23"/>
        <v>0</v>
      </c>
      <c r="L51" s="6">
        <f t="shared" si="11"/>
        <v>0</v>
      </c>
      <c r="M51">
        <f t="shared" si="12"/>
        <v>0</v>
      </c>
      <c r="N51">
        <f t="shared" si="22"/>
        <v>2250</v>
      </c>
      <c r="O51">
        <f t="shared" si="14"/>
        <v>2250</v>
      </c>
      <c r="P51">
        <f t="shared" si="15"/>
        <v>1</v>
      </c>
    </row>
    <row r="52" spans="1:17">
      <c r="A52" s="5" t="s">
        <v>22</v>
      </c>
      <c r="B52" s="5" t="s">
        <v>150</v>
      </c>
      <c r="C52" s="5" t="s">
        <v>33</v>
      </c>
      <c r="D52" s="9" t="s">
        <v>147</v>
      </c>
      <c r="E52" s="9" t="s">
        <v>148</v>
      </c>
      <c r="F52" s="9" t="s">
        <v>148</v>
      </c>
      <c r="G52" s="9" t="s">
        <v>148</v>
      </c>
      <c r="H52" s="9" t="s">
        <v>148</v>
      </c>
      <c r="I52" s="9" t="s">
        <v>148</v>
      </c>
      <c r="J52" s="9" t="s">
        <v>147</v>
      </c>
      <c r="K52">
        <f t="shared" si="23"/>
        <v>0</v>
      </c>
      <c r="L52" s="6">
        <f t="shared" si="11"/>
        <v>0</v>
      </c>
      <c r="M52">
        <f t="shared" si="12"/>
        <v>0</v>
      </c>
      <c r="N52">
        <f t="shared" si="22"/>
        <v>2250</v>
      </c>
      <c r="O52">
        <f t="shared" si="14"/>
        <v>2250</v>
      </c>
      <c r="P52">
        <f t="shared" si="15"/>
        <v>1</v>
      </c>
    </row>
    <row r="53" spans="1:17">
      <c r="A53" s="5" t="s">
        <v>22</v>
      </c>
      <c r="B53" s="5" t="s">
        <v>92</v>
      </c>
      <c r="C53" s="5" t="s">
        <v>63</v>
      </c>
      <c r="D53" s="9" t="s">
        <v>147</v>
      </c>
      <c r="E53" s="9" t="s">
        <v>148</v>
      </c>
      <c r="F53" s="9" t="s">
        <v>148</v>
      </c>
      <c r="G53" s="9" t="s">
        <v>148</v>
      </c>
      <c r="H53" s="9" t="s">
        <v>148</v>
      </c>
      <c r="I53" s="9" t="s">
        <v>148</v>
      </c>
      <c r="J53" s="9" t="s">
        <v>147</v>
      </c>
      <c r="K53">
        <f t="shared" si="23"/>
        <v>0</v>
      </c>
      <c r="L53" s="6">
        <f t="shared" si="11"/>
        <v>0</v>
      </c>
      <c r="M53">
        <f t="shared" si="12"/>
        <v>0</v>
      </c>
      <c r="N53">
        <f t="shared" si="22"/>
        <v>2250</v>
      </c>
      <c r="O53">
        <f t="shared" si="14"/>
        <v>2250</v>
      </c>
      <c r="P53">
        <f t="shared" si="15"/>
        <v>1</v>
      </c>
    </row>
    <row r="54" spans="1:17">
      <c r="A54" s="5" t="s">
        <v>26</v>
      </c>
      <c r="B54" s="7" t="s">
        <v>93</v>
      </c>
      <c r="C54" s="34" t="s">
        <v>56</v>
      </c>
      <c r="D54" s="9" t="s">
        <v>147</v>
      </c>
      <c r="E54" s="9" t="s">
        <v>148</v>
      </c>
      <c r="F54" s="9" t="s">
        <v>148</v>
      </c>
      <c r="G54" s="9" t="s">
        <v>148</v>
      </c>
      <c r="H54" s="9" t="s">
        <v>148</v>
      </c>
      <c r="I54" s="9" t="s">
        <v>148</v>
      </c>
      <c r="J54" s="9" t="s">
        <v>147</v>
      </c>
      <c r="K54">
        <f t="shared" si="23"/>
        <v>0</v>
      </c>
      <c r="L54" s="6">
        <f t="shared" si="11"/>
        <v>0</v>
      </c>
      <c r="M54">
        <f t="shared" si="12"/>
        <v>0</v>
      </c>
      <c r="N54">
        <f t="shared" si="22"/>
        <v>2250</v>
      </c>
      <c r="O54">
        <f t="shared" si="14"/>
        <v>2250</v>
      </c>
      <c r="P54">
        <f t="shared" si="15"/>
        <v>1</v>
      </c>
    </row>
    <row r="55" spans="1:17">
      <c r="A55" s="5" t="s">
        <v>57</v>
      </c>
      <c r="B55" s="7" t="s">
        <v>94</v>
      </c>
      <c r="C55" s="5" t="s">
        <v>40</v>
      </c>
      <c r="D55" s="9" t="s">
        <v>147</v>
      </c>
      <c r="E55" s="9" t="s">
        <v>148</v>
      </c>
      <c r="F55" s="9" t="s">
        <v>148</v>
      </c>
      <c r="G55" s="9" t="s">
        <v>148</v>
      </c>
      <c r="H55" s="9" t="s">
        <v>148</v>
      </c>
      <c r="I55" s="9" t="s">
        <v>148</v>
      </c>
      <c r="J55" s="9" t="s">
        <v>147</v>
      </c>
      <c r="K55">
        <f t="shared" si="23"/>
        <v>0</v>
      </c>
      <c r="L55" s="6">
        <f t="shared" si="11"/>
        <v>0</v>
      </c>
      <c r="M55">
        <f t="shared" si="12"/>
        <v>0</v>
      </c>
      <c r="N55">
        <f t="shared" si="22"/>
        <v>2250</v>
      </c>
      <c r="O55">
        <f t="shared" si="14"/>
        <v>2250</v>
      </c>
      <c r="P55">
        <f t="shared" si="15"/>
        <v>1</v>
      </c>
    </row>
    <row r="56" spans="1:17">
      <c r="A56" s="5" t="s">
        <v>26</v>
      </c>
      <c r="B56" s="7" t="s">
        <v>95</v>
      </c>
      <c r="C56" s="34" t="s">
        <v>33</v>
      </c>
      <c r="D56" s="9">
        <v>450</v>
      </c>
      <c r="E56" s="9">
        <v>450</v>
      </c>
      <c r="F56" s="9">
        <v>450</v>
      </c>
      <c r="G56" s="9">
        <v>450</v>
      </c>
      <c r="H56" s="9">
        <v>450</v>
      </c>
      <c r="I56" s="9">
        <v>450</v>
      </c>
      <c r="J56" s="9" t="s">
        <v>147</v>
      </c>
      <c r="L56" s="6">
        <f t="shared" si="11"/>
        <v>2700</v>
      </c>
      <c r="M56">
        <f t="shared" si="12"/>
        <v>2700</v>
      </c>
      <c r="N56">
        <f t="shared" si="22"/>
        <v>2250</v>
      </c>
      <c r="O56">
        <f t="shared" si="14"/>
        <v>-450</v>
      </c>
      <c r="P56">
        <f t="shared" si="15"/>
        <v>-0.2</v>
      </c>
    </row>
    <row r="57" spans="1:17">
      <c r="A57" s="5" t="s">
        <v>22</v>
      </c>
      <c r="B57" s="5" t="s">
        <v>23</v>
      </c>
      <c r="C57" s="5" t="s">
        <v>25</v>
      </c>
      <c r="D57" s="9" t="s">
        <v>147</v>
      </c>
      <c r="E57" s="9">
        <v>14</v>
      </c>
      <c r="F57" s="9" t="s">
        <v>12</v>
      </c>
      <c r="G57" s="9" t="s">
        <v>148</v>
      </c>
      <c r="H57" s="9" t="s">
        <v>148</v>
      </c>
      <c r="I57" s="9" t="s">
        <v>148</v>
      </c>
      <c r="J57" s="9" t="s">
        <v>147</v>
      </c>
      <c r="K57">
        <f t="shared" si="23"/>
        <v>14</v>
      </c>
      <c r="L57" s="6">
        <f t="shared" si="11"/>
        <v>0</v>
      </c>
      <c r="M57">
        <f t="shared" si="12"/>
        <v>14</v>
      </c>
      <c r="N57">
        <f>450*4</f>
        <v>1800</v>
      </c>
      <c r="O57">
        <f t="shared" si="14"/>
        <v>1786</v>
      </c>
      <c r="P57">
        <f t="shared" si="15"/>
        <v>0.99222222222222223</v>
      </c>
      <c r="Q57">
        <v>1</v>
      </c>
    </row>
    <row r="58" spans="1:17">
      <c r="A58" s="5" t="s">
        <v>37</v>
      </c>
      <c r="B58" s="5" t="s">
        <v>96</v>
      </c>
      <c r="C58" s="5" t="s">
        <v>40</v>
      </c>
      <c r="D58" s="9" t="s">
        <v>147</v>
      </c>
      <c r="E58" s="9" t="s">
        <v>147</v>
      </c>
      <c r="F58" s="9" t="s">
        <v>148</v>
      </c>
      <c r="G58" s="9" t="s">
        <v>148</v>
      </c>
      <c r="H58" s="9" t="s">
        <v>148</v>
      </c>
      <c r="I58" s="9" t="s">
        <v>148</v>
      </c>
      <c r="J58" s="9">
        <v>450</v>
      </c>
      <c r="L58" s="6">
        <f t="shared" si="11"/>
        <v>450</v>
      </c>
      <c r="M58">
        <f t="shared" si="12"/>
        <v>450</v>
      </c>
      <c r="N58">
        <f t="shared" ref="N58:N62" si="24">450*5</f>
        <v>2250</v>
      </c>
      <c r="O58">
        <f t="shared" si="14"/>
        <v>1800</v>
      </c>
      <c r="P58">
        <f t="shared" si="15"/>
        <v>0.8</v>
      </c>
    </row>
    <row r="59" spans="1:17">
      <c r="A59" s="5" t="s">
        <v>26</v>
      </c>
      <c r="B59" s="7" t="s">
        <v>97</v>
      </c>
      <c r="C59" s="34" t="s">
        <v>56</v>
      </c>
      <c r="D59" s="9" t="s">
        <v>147</v>
      </c>
      <c r="E59" s="9" t="s">
        <v>148</v>
      </c>
      <c r="F59" s="9" t="s">
        <v>148</v>
      </c>
      <c r="G59" s="9" t="s">
        <v>148</v>
      </c>
      <c r="H59" s="9" t="s">
        <v>148</v>
      </c>
      <c r="I59" s="9">
        <v>4</v>
      </c>
      <c r="J59" s="9" t="s">
        <v>147</v>
      </c>
      <c r="K59">
        <f t="shared" si="23"/>
        <v>4</v>
      </c>
      <c r="L59" s="6">
        <f t="shared" si="11"/>
        <v>0</v>
      </c>
      <c r="M59">
        <f t="shared" si="12"/>
        <v>4</v>
      </c>
      <c r="N59">
        <f t="shared" si="24"/>
        <v>2250</v>
      </c>
      <c r="O59">
        <f t="shared" si="14"/>
        <v>2246</v>
      </c>
      <c r="P59">
        <f t="shared" si="15"/>
        <v>0.99822222222222223</v>
      </c>
    </row>
    <row r="60" spans="1:17">
      <c r="A60" s="5" t="s">
        <v>37</v>
      </c>
      <c r="B60" s="5" t="s">
        <v>38</v>
      </c>
      <c r="C60" s="5" t="s">
        <v>40</v>
      </c>
      <c r="D60" s="9" t="s">
        <v>147</v>
      </c>
      <c r="E60" s="9" t="s">
        <v>147</v>
      </c>
      <c r="F60" s="9" t="s">
        <v>148</v>
      </c>
      <c r="G60" s="9" t="s">
        <v>148</v>
      </c>
      <c r="H60" s="9" t="s">
        <v>148</v>
      </c>
      <c r="I60" s="9" t="s">
        <v>148</v>
      </c>
      <c r="J60" s="9" t="s">
        <v>148</v>
      </c>
      <c r="K60">
        <f t="shared" si="23"/>
        <v>0</v>
      </c>
      <c r="L60" s="6">
        <f t="shared" si="11"/>
        <v>0</v>
      </c>
      <c r="M60">
        <f t="shared" si="12"/>
        <v>0</v>
      </c>
      <c r="N60">
        <f t="shared" si="24"/>
        <v>2250</v>
      </c>
      <c r="O60">
        <f t="shared" si="14"/>
        <v>2250</v>
      </c>
      <c r="P60">
        <f t="shared" si="15"/>
        <v>1</v>
      </c>
    </row>
    <row r="61" spans="1:17">
      <c r="A61" s="5" t="s">
        <v>26</v>
      </c>
      <c r="B61" s="7" t="s">
        <v>98</v>
      </c>
      <c r="C61" s="34" t="s">
        <v>30</v>
      </c>
      <c r="D61" s="9" t="s">
        <v>147</v>
      </c>
      <c r="E61" s="9" t="s">
        <v>148</v>
      </c>
      <c r="F61" s="9" t="s">
        <v>148</v>
      </c>
      <c r="G61" s="9" t="s">
        <v>148</v>
      </c>
      <c r="H61" s="9" t="s">
        <v>148</v>
      </c>
      <c r="I61" s="9" t="s">
        <v>148</v>
      </c>
      <c r="J61" s="9" t="s">
        <v>147</v>
      </c>
      <c r="K61">
        <f t="shared" si="23"/>
        <v>0</v>
      </c>
      <c r="L61" s="6">
        <f t="shared" si="11"/>
        <v>0</v>
      </c>
      <c r="M61">
        <f t="shared" si="12"/>
        <v>0</v>
      </c>
      <c r="N61">
        <f t="shared" si="24"/>
        <v>2250</v>
      </c>
      <c r="O61">
        <f t="shared" si="14"/>
        <v>2250</v>
      </c>
      <c r="P61">
        <f t="shared" si="15"/>
        <v>1</v>
      </c>
    </row>
    <row r="62" spans="1:17">
      <c r="A62" s="5" t="s">
        <v>22</v>
      </c>
      <c r="B62" s="5" t="s">
        <v>99</v>
      </c>
      <c r="C62" s="5" t="s">
        <v>63</v>
      </c>
      <c r="D62" s="9" t="s">
        <v>147</v>
      </c>
      <c r="E62" s="9" t="s">
        <v>148</v>
      </c>
      <c r="F62" s="9" t="s">
        <v>148</v>
      </c>
      <c r="G62" s="9" t="s">
        <v>148</v>
      </c>
      <c r="H62" s="9" t="s">
        <v>148</v>
      </c>
      <c r="I62" s="9" t="s">
        <v>148</v>
      </c>
      <c r="J62" s="9" t="s">
        <v>147</v>
      </c>
      <c r="K62">
        <f t="shared" si="23"/>
        <v>0</v>
      </c>
      <c r="L62" s="6">
        <f t="shared" si="11"/>
        <v>0</v>
      </c>
      <c r="M62">
        <f t="shared" si="12"/>
        <v>0</v>
      </c>
      <c r="N62">
        <f t="shared" si="24"/>
        <v>2250</v>
      </c>
      <c r="O62">
        <f t="shared" si="14"/>
        <v>2250</v>
      </c>
      <c r="P62">
        <f t="shared" si="15"/>
        <v>1</v>
      </c>
    </row>
    <row r="63" spans="1:17">
      <c r="A63" s="5" t="s">
        <v>22</v>
      </c>
      <c r="B63" s="32" t="s">
        <v>100</v>
      </c>
      <c r="C63" s="35" t="s">
        <v>63</v>
      </c>
      <c r="D63" s="9" t="s">
        <v>147</v>
      </c>
      <c r="E63" s="9" t="s">
        <v>148</v>
      </c>
      <c r="F63" s="9" t="s">
        <v>148</v>
      </c>
      <c r="G63" s="9" t="s">
        <v>12</v>
      </c>
      <c r="H63" s="9" t="s">
        <v>12</v>
      </c>
      <c r="I63" s="9">
        <v>450</v>
      </c>
      <c r="J63" s="9" t="s">
        <v>147</v>
      </c>
      <c r="L63" s="6">
        <f t="shared" si="11"/>
        <v>450</v>
      </c>
      <c r="M63">
        <f t="shared" si="12"/>
        <v>450</v>
      </c>
      <c r="N63">
        <f>450*3</f>
        <v>1350</v>
      </c>
      <c r="O63">
        <f t="shared" si="14"/>
        <v>900</v>
      </c>
      <c r="P63">
        <f t="shared" si="15"/>
        <v>0.66666666666666663</v>
      </c>
      <c r="Q63">
        <v>2</v>
      </c>
    </row>
    <row r="64" spans="1:17">
      <c r="A64" s="5" t="s">
        <v>57</v>
      </c>
      <c r="B64" s="10" t="s">
        <v>101</v>
      </c>
      <c r="C64" s="35" t="s">
        <v>40</v>
      </c>
      <c r="D64" s="9" t="s">
        <v>147</v>
      </c>
      <c r="E64" s="9" t="s">
        <v>148</v>
      </c>
      <c r="F64" s="9" t="s">
        <v>148</v>
      </c>
      <c r="G64" s="9" t="s">
        <v>148</v>
      </c>
      <c r="H64" s="9" t="s">
        <v>148</v>
      </c>
      <c r="I64" s="9" t="s">
        <v>148</v>
      </c>
      <c r="J64" s="9" t="s">
        <v>147</v>
      </c>
      <c r="K64">
        <f t="shared" si="23"/>
        <v>0</v>
      </c>
      <c r="L64" s="6">
        <f t="shared" si="11"/>
        <v>0</v>
      </c>
      <c r="M64">
        <f t="shared" si="12"/>
        <v>0</v>
      </c>
      <c r="N64">
        <f t="shared" ref="N64:N72" si="25">450*5</f>
        <v>2250</v>
      </c>
      <c r="O64">
        <f t="shared" si="14"/>
        <v>2250</v>
      </c>
      <c r="P64">
        <f t="shared" si="15"/>
        <v>1</v>
      </c>
    </row>
    <row r="65" spans="1:17">
      <c r="A65" s="5" t="s">
        <v>22</v>
      </c>
      <c r="B65" s="32" t="s">
        <v>102</v>
      </c>
      <c r="C65" s="35" t="s">
        <v>33</v>
      </c>
      <c r="D65" s="9" t="s">
        <v>147</v>
      </c>
      <c r="E65" s="9" t="s">
        <v>148</v>
      </c>
      <c r="F65" s="9" t="s">
        <v>148</v>
      </c>
      <c r="G65" s="9" t="s">
        <v>148</v>
      </c>
      <c r="H65" s="9" t="s">
        <v>148</v>
      </c>
      <c r="I65" s="9" t="s">
        <v>148</v>
      </c>
      <c r="J65" s="9" t="s">
        <v>147</v>
      </c>
      <c r="K65">
        <f t="shared" si="23"/>
        <v>0</v>
      </c>
      <c r="L65" s="6">
        <f t="shared" si="11"/>
        <v>0</v>
      </c>
      <c r="M65">
        <f t="shared" si="12"/>
        <v>0</v>
      </c>
      <c r="N65">
        <f t="shared" si="25"/>
        <v>2250</v>
      </c>
      <c r="O65">
        <f t="shared" si="14"/>
        <v>2250</v>
      </c>
      <c r="P65">
        <f t="shared" si="15"/>
        <v>1</v>
      </c>
    </row>
    <row r="66" spans="1:17">
      <c r="A66" s="5" t="s">
        <v>22</v>
      </c>
      <c r="B66" s="32" t="s">
        <v>31</v>
      </c>
      <c r="C66" s="35" t="s">
        <v>33</v>
      </c>
      <c r="D66" s="9" t="s">
        <v>147</v>
      </c>
      <c r="E66" s="9" t="s">
        <v>148</v>
      </c>
      <c r="F66" s="9" t="s">
        <v>148</v>
      </c>
      <c r="G66" s="9" t="s">
        <v>148</v>
      </c>
      <c r="H66" s="9" t="s">
        <v>148</v>
      </c>
      <c r="I66" s="9">
        <v>15</v>
      </c>
      <c r="J66" s="9" t="s">
        <v>147</v>
      </c>
      <c r="K66">
        <f t="shared" si="23"/>
        <v>15</v>
      </c>
      <c r="L66" s="6">
        <f t="shared" si="11"/>
        <v>0</v>
      </c>
      <c r="M66">
        <f t="shared" si="12"/>
        <v>15</v>
      </c>
      <c r="N66">
        <f t="shared" si="25"/>
        <v>2250</v>
      </c>
      <c r="O66">
        <f t="shared" si="14"/>
        <v>2235</v>
      </c>
      <c r="P66">
        <f t="shared" si="15"/>
        <v>0.99333333333333329</v>
      </c>
    </row>
    <row r="67" spans="1:17">
      <c r="A67" s="5" t="s">
        <v>26</v>
      </c>
      <c r="B67" s="10" t="s">
        <v>103</v>
      </c>
      <c r="C67" s="11" t="s">
        <v>40</v>
      </c>
      <c r="D67" s="9" t="s">
        <v>148</v>
      </c>
      <c r="E67" s="9" t="s">
        <v>148</v>
      </c>
      <c r="F67" s="9">
        <v>73</v>
      </c>
      <c r="G67" s="9" t="s">
        <v>147</v>
      </c>
      <c r="H67" s="9" t="s">
        <v>147</v>
      </c>
      <c r="I67" s="9" t="s">
        <v>148</v>
      </c>
      <c r="J67" s="9" t="s">
        <v>148</v>
      </c>
      <c r="K67">
        <f t="shared" si="23"/>
        <v>73</v>
      </c>
      <c r="L67" s="6">
        <f t="shared" si="11"/>
        <v>0</v>
      </c>
      <c r="M67">
        <f t="shared" si="12"/>
        <v>73</v>
      </c>
      <c r="N67">
        <f t="shared" si="25"/>
        <v>2250</v>
      </c>
      <c r="O67">
        <f t="shared" si="14"/>
        <v>2177</v>
      </c>
      <c r="P67">
        <f t="shared" si="15"/>
        <v>0.9675555555555555</v>
      </c>
    </row>
    <row r="68" spans="1:17">
      <c r="A68" s="5" t="s">
        <v>22</v>
      </c>
      <c r="B68" s="32" t="s">
        <v>104</v>
      </c>
      <c r="C68" s="35" t="s">
        <v>25</v>
      </c>
      <c r="D68" s="9" t="s">
        <v>147</v>
      </c>
      <c r="E68" s="9">
        <v>450</v>
      </c>
      <c r="F68" s="9">
        <v>6</v>
      </c>
      <c r="G68" s="9" t="s">
        <v>148</v>
      </c>
      <c r="H68" s="9" t="s">
        <v>148</v>
      </c>
      <c r="I68" s="9" t="s">
        <v>148</v>
      </c>
      <c r="J68" s="9" t="s">
        <v>147</v>
      </c>
      <c r="K68">
        <f>F68</f>
        <v>6</v>
      </c>
      <c r="L68" s="6">
        <f t="shared" si="11"/>
        <v>450</v>
      </c>
      <c r="M68">
        <f t="shared" si="12"/>
        <v>456</v>
      </c>
      <c r="N68">
        <f t="shared" si="25"/>
        <v>2250</v>
      </c>
      <c r="O68">
        <f t="shared" si="14"/>
        <v>1794</v>
      </c>
      <c r="P68">
        <f t="shared" si="15"/>
        <v>0.79733333333333334</v>
      </c>
    </row>
    <row r="69" spans="1:17">
      <c r="A69" s="5" t="s">
        <v>22</v>
      </c>
      <c r="B69" s="32" t="s">
        <v>105</v>
      </c>
      <c r="C69" s="35" t="s">
        <v>56</v>
      </c>
      <c r="D69" s="9" t="s">
        <v>147</v>
      </c>
      <c r="E69" s="9" t="s">
        <v>148</v>
      </c>
      <c r="F69" s="9" t="s">
        <v>148</v>
      </c>
      <c r="G69" s="9" t="s">
        <v>148</v>
      </c>
      <c r="H69" s="9" t="s">
        <v>148</v>
      </c>
      <c r="I69" s="9">
        <v>9</v>
      </c>
      <c r="J69" s="9" t="s">
        <v>147</v>
      </c>
      <c r="K69">
        <f t="shared" si="23"/>
        <v>9</v>
      </c>
      <c r="L69" s="6">
        <f t="shared" si="11"/>
        <v>0</v>
      </c>
      <c r="M69">
        <f t="shared" si="12"/>
        <v>9</v>
      </c>
      <c r="N69">
        <f t="shared" si="25"/>
        <v>2250</v>
      </c>
      <c r="O69">
        <f t="shared" si="14"/>
        <v>2241</v>
      </c>
      <c r="P69">
        <f t="shared" si="15"/>
        <v>0.996</v>
      </c>
    </row>
    <row r="70" spans="1:17">
      <c r="A70" s="5" t="s">
        <v>22</v>
      </c>
      <c r="B70" s="32" t="s">
        <v>106</v>
      </c>
      <c r="C70" s="35" t="s">
        <v>30</v>
      </c>
      <c r="D70" s="9" t="s">
        <v>147</v>
      </c>
      <c r="E70" s="9" t="s">
        <v>148</v>
      </c>
      <c r="F70" s="9" t="s">
        <v>148</v>
      </c>
      <c r="G70" s="9" t="s">
        <v>148</v>
      </c>
      <c r="H70" s="9" t="s">
        <v>148</v>
      </c>
      <c r="I70" s="9" t="s">
        <v>148</v>
      </c>
      <c r="J70" s="9" t="s">
        <v>147</v>
      </c>
      <c r="K70">
        <f t="shared" si="23"/>
        <v>0</v>
      </c>
      <c r="L70" s="6">
        <f t="shared" si="11"/>
        <v>0</v>
      </c>
      <c r="M70">
        <f t="shared" si="12"/>
        <v>0</v>
      </c>
      <c r="N70">
        <f t="shared" si="25"/>
        <v>2250</v>
      </c>
      <c r="O70">
        <f t="shared" si="14"/>
        <v>2250</v>
      </c>
      <c r="P70">
        <f t="shared" si="15"/>
        <v>1</v>
      </c>
    </row>
    <row r="71" spans="1:17">
      <c r="A71" s="5" t="s">
        <v>57</v>
      </c>
      <c r="B71" s="10" t="s">
        <v>107</v>
      </c>
      <c r="C71" s="35" t="s">
        <v>40</v>
      </c>
      <c r="D71" s="9" t="s">
        <v>147</v>
      </c>
      <c r="E71" s="9" t="s">
        <v>148</v>
      </c>
      <c r="F71" s="9" t="s">
        <v>148</v>
      </c>
      <c r="G71" s="9" t="s">
        <v>148</v>
      </c>
      <c r="H71" s="9" t="s">
        <v>148</v>
      </c>
      <c r="I71" s="9">
        <v>450</v>
      </c>
      <c r="J71" s="9" t="s">
        <v>147</v>
      </c>
      <c r="L71" s="6">
        <f t="shared" si="11"/>
        <v>450</v>
      </c>
      <c r="M71">
        <f t="shared" si="12"/>
        <v>450</v>
      </c>
      <c r="N71">
        <f t="shared" si="25"/>
        <v>2250</v>
      </c>
      <c r="O71">
        <f t="shared" si="14"/>
        <v>1800</v>
      </c>
      <c r="P71">
        <f t="shared" si="15"/>
        <v>0.8</v>
      </c>
    </row>
    <row r="72" spans="1:17">
      <c r="A72" s="5" t="s">
        <v>26</v>
      </c>
      <c r="B72" s="10" t="s">
        <v>108</v>
      </c>
      <c r="C72" s="11" t="s">
        <v>30</v>
      </c>
      <c r="D72" s="9" t="s">
        <v>147</v>
      </c>
      <c r="E72" s="9" t="s">
        <v>148</v>
      </c>
      <c r="F72" s="9" t="s">
        <v>148</v>
      </c>
      <c r="G72" s="9" t="s">
        <v>148</v>
      </c>
      <c r="H72" s="9" t="s">
        <v>148</v>
      </c>
      <c r="I72" s="9" t="s">
        <v>148</v>
      </c>
      <c r="J72" s="9" t="s">
        <v>147</v>
      </c>
      <c r="K72">
        <f t="shared" si="23"/>
        <v>0</v>
      </c>
      <c r="L72" s="6">
        <f t="shared" si="11"/>
        <v>0</v>
      </c>
      <c r="M72">
        <f t="shared" si="12"/>
        <v>0</v>
      </c>
      <c r="N72">
        <f t="shared" si="25"/>
        <v>2250</v>
      </c>
      <c r="O72">
        <f t="shared" si="14"/>
        <v>2250</v>
      </c>
      <c r="P72">
        <f t="shared" si="15"/>
        <v>1</v>
      </c>
    </row>
    <row r="73" spans="1:17">
      <c r="A73" s="5" t="s">
        <v>26</v>
      </c>
      <c r="B73" s="10" t="s">
        <v>109</v>
      </c>
      <c r="C73" s="11" t="s">
        <v>36</v>
      </c>
      <c r="D73" s="9" t="s">
        <v>147</v>
      </c>
      <c r="E73" s="9" t="s">
        <v>12</v>
      </c>
      <c r="F73" s="9" t="s">
        <v>148</v>
      </c>
      <c r="G73" s="9" t="s">
        <v>148</v>
      </c>
      <c r="H73" s="9" t="s">
        <v>148</v>
      </c>
      <c r="I73" s="9" t="s">
        <v>148</v>
      </c>
      <c r="J73" s="9" t="s">
        <v>147</v>
      </c>
      <c r="K73">
        <f t="shared" si="23"/>
        <v>0</v>
      </c>
      <c r="L73" s="6">
        <f t="shared" ref="L73:L90" si="26">SUMIF(A73:J73,"450")</f>
        <v>0</v>
      </c>
      <c r="M73">
        <f t="shared" ref="M73:M90" si="27">SUM(K73:L73)</f>
        <v>0</v>
      </c>
      <c r="N73">
        <f>450*4</f>
        <v>1800</v>
      </c>
      <c r="O73">
        <f t="shared" ref="O73:O90" si="28">N73-M73</f>
        <v>1800</v>
      </c>
      <c r="P73">
        <f t="shared" ref="P73:P90" si="29">O73/N73*100%</f>
        <v>1</v>
      </c>
      <c r="Q73">
        <v>1</v>
      </c>
    </row>
    <row r="74" spans="1:17">
      <c r="A74" s="5" t="s">
        <v>111</v>
      </c>
      <c r="B74" s="10" t="s">
        <v>110</v>
      </c>
      <c r="C74" s="35" t="s">
        <v>40</v>
      </c>
      <c r="D74" s="9" t="s">
        <v>147</v>
      </c>
      <c r="E74" s="9" t="s">
        <v>148</v>
      </c>
      <c r="F74" s="9" t="s">
        <v>148</v>
      </c>
      <c r="G74" s="9" t="s">
        <v>148</v>
      </c>
      <c r="H74" s="9" t="s">
        <v>148</v>
      </c>
      <c r="I74" s="9" t="s">
        <v>148</v>
      </c>
      <c r="J74" s="9" t="s">
        <v>147</v>
      </c>
      <c r="K74">
        <f t="shared" si="23"/>
        <v>0</v>
      </c>
      <c r="L74" s="6">
        <f t="shared" si="26"/>
        <v>0</v>
      </c>
      <c r="M74">
        <f t="shared" si="27"/>
        <v>0</v>
      </c>
      <c r="N74">
        <f t="shared" ref="N74:N87" si="30">450*5</f>
        <v>2250</v>
      </c>
      <c r="O74">
        <f t="shared" si="28"/>
        <v>2250</v>
      </c>
      <c r="P74">
        <f t="shared" si="29"/>
        <v>1</v>
      </c>
    </row>
    <row r="75" spans="1:17">
      <c r="A75" s="5" t="s">
        <v>22</v>
      </c>
      <c r="B75" s="32" t="s">
        <v>112</v>
      </c>
      <c r="C75" s="35" t="s">
        <v>25</v>
      </c>
      <c r="D75" s="9" t="s">
        <v>147</v>
      </c>
      <c r="E75" s="9" t="s">
        <v>148</v>
      </c>
      <c r="F75" s="9" t="s">
        <v>148</v>
      </c>
      <c r="G75" s="9" t="s">
        <v>148</v>
      </c>
      <c r="H75" s="9" t="s">
        <v>148</v>
      </c>
      <c r="I75" s="9" t="s">
        <v>148</v>
      </c>
      <c r="J75" s="9" t="s">
        <v>147</v>
      </c>
      <c r="K75">
        <f t="shared" si="23"/>
        <v>0</v>
      </c>
      <c r="L75" s="6">
        <f t="shared" si="26"/>
        <v>0</v>
      </c>
      <c r="M75">
        <f t="shared" si="27"/>
        <v>0</v>
      </c>
      <c r="N75">
        <f t="shared" si="30"/>
        <v>2250</v>
      </c>
      <c r="O75">
        <f t="shared" si="28"/>
        <v>2250</v>
      </c>
      <c r="P75">
        <f t="shared" si="29"/>
        <v>1</v>
      </c>
    </row>
    <row r="76" spans="1:17">
      <c r="A76" s="5" t="s">
        <v>26</v>
      </c>
      <c r="B76" s="10" t="s">
        <v>113</v>
      </c>
      <c r="C76" s="11" t="s">
        <v>40</v>
      </c>
      <c r="D76" s="9" t="s">
        <v>148</v>
      </c>
      <c r="E76" s="9" t="s">
        <v>148</v>
      </c>
      <c r="F76" s="9" t="s">
        <v>147</v>
      </c>
      <c r="G76" s="9" t="s">
        <v>147</v>
      </c>
      <c r="H76" s="9" t="s">
        <v>148</v>
      </c>
      <c r="I76" s="9" t="s">
        <v>148</v>
      </c>
      <c r="J76" s="9" t="s">
        <v>148</v>
      </c>
      <c r="K76">
        <f t="shared" si="23"/>
        <v>0</v>
      </c>
      <c r="L76" s="6">
        <f t="shared" si="26"/>
        <v>0</v>
      </c>
      <c r="M76">
        <f t="shared" si="27"/>
        <v>0</v>
      </c>
      <c r="N76">
        <f t="shared" si="30"/>
        <v>2250</v>
      </c>
      <c r="O76">
        <f t="shared" si="28"/>
        <v>2250</v>
      </c>
      <c r="P76">
        <f t="shared" si="29"/>
        <v>1</v>
      </c>
    </row>
    <row r="77" spans="1:17">
      <c r="A77" s="5" t="s">
        <v>37</v>
      </c>
      <c r="B77" s="32" t="s">
        <v>114</v>
      </c>
      <c r="C77" s="35" t="s">
        <v>40</v>
      </c>
      <c r="D77" s="9" t="s">
        <v>147</v>
      </c>
      <c r="E77" s="9" t="s">
        <v>147</v>
      </c>
      <c r="F77" s="9">
        <v>21</v>
      </c>
      <c r="G77" s="9" t="s">
        <v>148</v>
      </c>
      <c r="H77" s="9" t="s">
        <v>148</v>
      </c>
      <c r="I77" s="9">
        <v>16</v>
      </c>
      <c r="J77" s="9">
        <v>450</v>
      </c>
      <c r="K77">
        <f>I77+F77</f>
        <v>37</v>
      </c>
      <c r="L77" s="6">
        <f t="shared" si="26"/>
        <v>450</v>
      </c>
      <c r="M77">
        <f t="shared" si="27"/>
        <v>487</v>
      </c>
      <c r="N77">
        <f t="shared" si="30"/>
        <v>2250</v>
      </c>
      <c r="O77">
        <f t="shared" si="28"/>
        <v>1763</v>
      </c>
      <c r="P77">
        <f t="shared" si="29"/>
        <v>0.78355555555555556</v>
      </c>
    </row>
    <row r="78" spans="1:17">
      <c r="A78" s="5" t="s">
        <v>22</v>
      </c>
      <c r="B78" s="32" t="s">
        <v>66</v>
      </c>
      <c r="C78" s="35" t="s">
        <v>30</v>
      </c>
      <c r="D78" s="9" t="s">
        <v>147</v>
      </c>
      <c r="E78" s="9">
        <v>4</v>
      </c>
      <c r="F78" s="9">
        <v>4</v>
      </c>
      <c r="G78" s="9" t="s">
        <v>148</v>
      </c>
      <c r="H78" s="9" t="s">
        <v>148</v>
      </c>
      <c r="I78" s="9" t="s">
        <v>148</v>
      </c>
      <c r="J78" s="9" t="s">
        <v>147</v>
      </c>
      <c r="K78">
        <f t="shared" si="23"/>
        <v>8</v>
      </c>
      <c r="L78" s="6">
        <f t="shared" si="26"/>
        <v>0</v>
      </c>
      <c r="M78">
        <f t="shared" si="27"/>
        <v>8</v>
      </c>
      <c r="N78">
        <f t="shared" si="30"/>
        <v>2250</v>
      </c>
      <c r="O78">
        <f t="shared" si="28"/>
        <v>2242</v>
      </c>
      <c r="P78">
        <f t="shared" si="29"/>
        <v>0.99644444444444447</v>
      </c>
    </row>
    <row r="79" spans="1:17">
      <c r="A79" s="5" t="s">
        <v>22</v>
      </c>
      <c r="B79" s="32" t="s">
        <v>115</v>
      </c>
      <c r="C79" s="35" t="s">
        <v>33</v>
      </c>
      <c r="D79" s="9" t="s">
        <v>147</v>
      </c>
      <c r="E79" s="9" t="s">
        <v>148</v>
      </c>
      <c r="F79" s="9">
        <v>7</v>
      </c>
      <c r="G79" s="9" t="s">
        <v>148</v>
      </c>
      <c r="H79" s="9" t="s">
        <v>148</v>
      </c>
      <c r="I79" s="9" t="s">
        <v>148</v>
      </c>
      <c r="J79" s="9" t="s">
        <v>147</v>
      </c>
      <c r="K79">
        <f t="shared" si="23"/>
        <v>7</v>
      </c>
      <c r="L79" s="6">
        <f t="shared" si="26"/>
        <v>0</v>
      </c>
      <c r="M79">
        <f t="shared" si="27"/>
        <v>7</v>
      </c>
      <c r="N79">
        <f t="shared" si="30"/>
        <v>2250</v>
      </c>
      <c r="O79">
        <f t="shared" si="28"/>
        <v>2243</v>
      </c>
      <c r="P79">
        <f t="shared" si="29"/>
        <v>0.99688888888888894</v>
      </c>
    </row>
    <row r="80" spans="1:17">
      <c r="A80" s="5" t="s">
        <v>22</v>
      </c>
      <c r="B80" s="32" t="s">
        <v>116</v>
      </c>
      <c r="C80" s="35" t="s">
        <v>63</v>
      </c>
      <c r="D80" s="9" t="s">
        <v>147</v>
      </c>
      <c r="E80" s="9" t="s">
        <v>148</v>
      </c>
      <c r="F80" s="9">
        <v>20</v>
      </c>
      <c r="G80" s="9" t="s">
        <v>148</v>
      </c>
      <c r="H80" s="9" t="s">
        <v>148</v>
      </c>
      <c r="I80" s="9">
        <v>7</v>
      </c>
      <c r="J80" s="9" t="s">
        <v>147</v>
      </c>
      <c r="K80">
        <f t="shared" si="23"/>
        <v>27</v>
      </c>
      <c r="L80" s="6">
        <f t="shared" si="26"/>
        <v>0</v>
      </c>
      <c r="M80">
        <f t="shared" si="27"/>
        <v>27</v>
      </c>
      <c r="N80">
        <f t="shared" si="30"/>
        <v>2250</v>
      </c>
      <c r="O80">
        <f t="shared" si="28"/>
        <v>2223</v>
      </c>
      <c r="P80">
        <f t="shared" si="29"/>
        <v>0.98799999999999999</v>
      </c>
    </row>
    <row r="81" spans="1:18">
      <c r="A81" s="5" t="s">
        <v>22</v>
      </c>
      <c r="B81" s="32" t="s">
        <v>117</v>
      </c>
      <c r="C81" s="35" t="s">
        <v>30</v>
      </c>
      <c r="D81" s="9" t="s">
        <v>147</v>
      </c>
      <c r="E81" s="9" t="s">
        <v>148</v>
      </c>
      <c r="F81" s="9" t="s">
        <v>148</v>
      </c>
      <c r="G81" s="9">
        <v>450</v>
      </c>
      <c r="H81" s="9" t="s">
        <v>148</v>
      </c>
      <c r="I81" s="9" t="s">
        <v>148</v>
      </c>
      <c r="J81" s="9" t="s">
        <v>147</v>
      </c>
      <c r="L81" s="6">
        <f t="shared" si="26"/>
        <v>450</v>
      </c>
      <c r="M81">
        <f t="shared" si="27"/>
        <v>450</v>
      </c>
      <c r="N81">
        <f t="shared" si="30"/>
        <v>2250</v>
      </c>
      <c r="O81">
        <f t="shared" si="28"/>
        <v>1800</v>
      </c>
      <c r="P81">
        <f t="shared" si="29"/>
        <v>0.8</v>
      </c>
    </row>
    <row r="82" spans="1:18">
      <c r="A82" s="5" t="s">
        <v>37</v>
      </c>
      <c r="B82" s="32" t="s">
        <v>118</v>
      </c>
      <c r="C82" s="35" t="s">
        <v>40</v>
      </c>
      <c r="D82" s="9" t="s">
        <v>147</v>
      </c>
      <c r="E82" s="9">
        <v>2</v>
      </c>
      <c r="F82" s="9" t="s">
        <v>148</v>
      </c>
      <c r="G82" s="9">
        <v>17</v>
      </c>
      <c r="H82" s="9" t="s">
        <v>148</v>
      </c>
      <c r="I82" s="9" t="s">
        <v>148</v>
      </c>
      <c r="J82" s="9" t="s">
        <v>147</v>
      </c>
      <c r="K82">
        <f t="shared" si="23"/>
        <v>19</v>
      </c>
      <c r="L82" s="6">
        <f t="shared" si="26"/>
        <v>0</v>
      </c>
      <c r="M82">
        <f t="shared" si="27"/>
        <v>19</v>
      </c>
      <c r="N82">
        <f t="shared" si="30"/>
        <v>2250</v>
      </c>
      <c r="O82">
        <f t="shared" si="28"/>
        <v>2231</v>
      </c>
      <c r="P82">
        <f t="shared" si="29"/>
        <v>0.99155555555555552</v>
      </c>
    </row>
    <row r="83" spans="1:18">
      <c r="A83" s="5" t="s">
        <v>26</v>
      </c>
      <c r="B83" s="10" t="s">
        <v>119</v>
      </c>
      <c r="C83" s="11" t="s">
        <v>25</v>
      </c>
      <c r="D83" s="9" t="s">
        <v>148</v>
      </c>
      <c r="E83" s="9" t="s">
        <v>148</v>
      </c>
      <c r="F83" s="9" t="s">
        <v>148</v>
      </c>
      <c r="G83" s="9" t="s">
        <v>147</v>
      </c>
      <c r="H83" s="9" t="s">
        <v>147</v>
      </c>
      <c r="I83" s="9" t="s">
        <v>148</v>
      </c>
      <c r="J83" s="9" t="s">
        <v>148</v>
      </c>
      <c r="K83">
        <f t="shared" si="23"/>
        <v>0</v>
      </c>
      <c r="L83" s="6">
        <f t="shared" si="26"/>
        <v>0</v>
      </c>
      <c r="M83">
        <f t="shared" si="27"/>
        <v>0</v>
      </c>
      <c r="N83">
        <f t="shared" si="30"/>
        <v>2250</v>
      </c>
      <c r="O83">
        <f t="shared" si="28"/>
        <v>2250</v>
      </c>
      <c r="P83">
        <f t="shared" si="29"/>
        <v>1</v>
      </c>
    </row>
    <row r="84" spans="1:18">
      <c r="A84" s="5" t="s">
        <v>22</v>
      </c>
      <c r="B84" s="32" t="s">
        <v>120</v>
      </c>
      <c r="C84" s="35" t="s">
        <v>30</v>
      </c>
      <c r="D84" s="9" t="s">
        <v>147</v>
      </c>
      <c r="E84" s="9" t="s">
        <v>148</v>
      </c>
      <c r="F84" s="9" t="s">
        <v>148</v>
      </c>
      <c r="G84" s="9">
        <v>7</v>
      </c>
      <c r="H84" s="9" t="s">
        <v>148</v>
      </c>
      <c r="I84" s="9" t="s">
        <v>148</v>
      </c>
      <c r="J84" s="9" t="s">
        <v>147</v>
      </c>
      <c r="K84">
        <f t="shared" si="23"/>
        <v>7</v>
      </c>
      <c r="L84" s="6">
        <f t="shared" si="26"/>
        <v>0</v>
      </c>
      <c r="M84">
        <f t="shared" si="27"/>
        <v>7</v>
      </c>
      <c r="N84">
        <f t="shared" si="30"/>
        <v>2250</v>
      </c>
      <c r="O84">
        <f t="shared" si="28"/>
        <v>2243</v>
      </c>
      <c r="P84">
        <f t="shared" si="29"/>
        <v>0.99688888888888894</v>
      </c>
    </row>
    <row r="85" spans="1:18">
      <c r="A85" s="5" t="s">
        <v>22</v>
      </c>
      <c r="B85" s="32" t="s">
        <v>121</v>
      </c>
      <c r="C85" s="35" t="s">
        <v>63</v>
      </c>
      <c r="D85" s="9" t="s">
        <v>147</v>
      </c>
      <c r="E85" s="9" t="s">
        <v>148</v>
      </c>
      <c r="F85" s="9" t="s">
        <v>148</v>
      </c>
      <c r="G85" s="9" t="s">
        <v>148</v>
      </c>
      <c r="H85" s="9">
        <v>450</v>
      </c>
      <c r="I85" s="9">
        <v>450</v>
      </c>
      <c r="J85" s="9" t="s">
        <v>147</v>
      </c>
      <c r="L85" s="6">
        <f t="shared" si="26"/>
        <v>900</v>
      </c>
      <c r="M85">
        <f t="shared" si="27"/>
        <v>900</v>
      </c>
      <c r="N85">
        <f t="shared" si="30"/>
        <v>2250</v>
      </c>
      <c r="O85">
        <f t="shared" si="28"/>
        <v>1350</v>
      </c>
      <c r="P85">
        <f t="shared" si="29"/>
        <v>0.6</v>
      </c>
    </row>
    <row r="86" spans="1:18">
      <c r="A86" s="5" t="s">
        <v>22</v>
      </c>
      <c r="B86" s="32" t="s">
        <v>122</v>
      </c>
      <c r="C86" s="35" t="s">
        <v>30</v>
      </c>
      <c r="D86" s="9" t="s">
        <v>147</v>
      </c>
      <c r="E86" s="9" t="s">
        <v>148</v>
      </c>
      <c r="F86" s="9" t="s">
        <v>148</v>
      </c>
      <c r="G86" s="9" t="s">
        <v>148</v>
      </c>
      <c r="H86" s="9" t="s">
        <v>148</v>
      </c>
      <c r="I86" s="9" t="s">
        <v>148</v>
      </c>
      <c r="J86" s="9" t="s">
        <v>147</v>
      </c>
      <c r="K86">
        <f t="shared" si="23"/>
        <v>0</v>
      </c>
      <c r="L86" s="6">
        <f t="shared" si="26"/>
        <v>0</v>
      </c>
      <c r="M86">
        <f t="shared" si="27"/>
        <v>0</v>
      </c>
      <c r="N86">
        <f t="shared" si="30"/>
        <v>2250</v>
      </c>
      <c r="O86">
        <f t="shared" si="28"/>
        <v>2250</v>
      </c>
      <c r="P86">
        <f t="shared" si="29"/>
        <v>1</v>
      </c>
    </row>
    <row r="87" spans="1:18">
      <c r="A87" s="5" t="s">
        <v>26</v>
      </c>
      <c r="B87" s="10" t="s">
        <v>123</v>
      </c>
      <c r="C87" s="11" t="s">
        <v>40</v>
      </c>
      <c r="D87" s="9" t="s">
        <v>147</v>
      </c>
      <c r="E87" s="9">
        <v>20</v>
      </c>
      <c r="F87" s="9" t="s">
        <v>148</v>
      </c>
      <c r="G87" s="9" t="s">
        <v>148</v>
      </c>
      <c r="H87" s="9" t="s">
        <v>148</v>
      </c>
      <c r="I87" s="9" t="s">
        <v>148</v>
      </c>
      <c r="J87" s="9" t="s">
        <v>147</v>
      </c>
      <c r="K87">
        <f t="shared" si="23"/>
        <v>20</v>
      </c>
      <c r="L87" s="6">
        <f t="shared" si="26"/>
        <v>0</v>
      </c>
      <c r="M87">
        <f t="shared" si="27"/>
        <v>20</v>
      </c>
      <c r="N87">
        <f t="shared" si="30"/>
        <v>2250</v>
      </c>
      <c r="O87">
        <f t="shared" si="28"/>
        <v>2230</v>
      </c>
      <c r="P87">
        <f t="shared" si="29"/>
        <v>0.99111111111111116</v>
      </c>
    </row>
    <row r="88" spans="1:18">
      <c r="A88" s="5" t="s">
        <v>26</v>
      </c>
      <c r="B88" s="10" t="s">
        <v>124</v>
      </c>
      <c r="C88" s="11" t="s">
        <v>36</v>
      </c>
      <c r="D88" s="9" t="s">
        <v>147</v>
      </c>
      <c r="E88" s="9" t="s">
        <v>148</v>
      </c>
      <c r="F88" s="9" t="s">
        <v>148</v>
      </c>
      <c r="G88" s="9" t="s">
        <v>148</v>
      </c>
      <c r="H88" s="9">
        <v>450</v>
      </c>
      <c r="I88" s="9" t="s">
        <v>12</v>
      </c>
      <c r="J88" s="9" t="s">
        <v>147</v>
      </c>
      <c r="L88" s="6">
        <f t="shared" si="26"/>
        <v>450</v>
      </c>
      <c r="M88">
        <f t="shared" si="27"/>
        <v>450</v>
      </c>
      <c r="N88">
        <f>450*4</f>
        <v>1800</v>
      </c>
      <c r="O88">
        <f t="shared" si="28"/>
        <v>1350</v>
      </c>
      <c r="P88">
        <f t="shared" si="29"/>
        <v>0.75</v>
      </c>
      <c r="Q88">
        <v>1</v>
      </c>
    </row>
    <row r="89" spans="1:18">
      <c r="A89" s="5" t="s">
        <v>22</v>
      </c>
      <c r="B89" s="32" t="s">
        <v>125</v>
      </c>
      <c r="C89" s="35" t="s">
        <v>25</v>
      </c>
      <c r="D89" s="9" t="s">
        <v>147</v>
      </c>
      <c r="E89" s="9" t="s">
        <v>148</v>
      </c>
      <c r="F89" s="9" t="s">
        <v>148</v>
      </c>
      <c r="G89" s="9" t="s">
        <v>148</v>
      </c>
      <c r="H89" s="9">
        <v>450</v>
      </c>
      <c r="I89" s="9" t="s">
        <v>148</v>
      </c>
      <c r="J89" s="9" t="s">
        <v>147</v>
      </c>
      <c r="L89" s="6">
        <f t="shared" si="26"/>
        <v>450</v>
      </c>
      <c r="M89">
        <f t="shared" si="27"/>
        <v>450</v>
      </c>
      <c r="N89">
        <f t="shared" ref="N89:N90" si="31">450*5</f>
        <v>2250</v>
      </c>
      <c r="O89">
        <f t="shared" si="28"/>
        <v>1800</v>
      </c>
      <c r="P89">
        <f t="shared" si="29"/>
        <v>0.8</v>
      </c>
    </row>
    <row r="90" spans="1:18">
      <c r="A90" s="5" t="s">
        <v>26</v>
      </c>
      <c r="B90" s="10" t="s">
        <v>126</v>
      </c>
      <c r="C90" s="11" t="s">
        <v>30</v>
      </c>
      <c r="D90" s="9" t="s">
        <v>147</v>
      </c>
      <c r="E90" s="9">
        <v>2</v>
      </c>
      <c r="F90" s="9" t="s">
        <v>148</v>
      </c>
      <c r="G90" s="9" t="s">
        <v>148</v>
      </c>
      <c r="H90" s="9">
        <v>450</v>
      </c>
      <c r="I90" s="9">
        <v>47</v>
      </c>
      <c r="J90" s="9" t="s">
        <v>147</v>
      </c>
      <c r="K90">
        <f>I90+E90</f>
        <v>49</v>
      </c>
      <c r="L90" s="6">
        <f t="shared" si="26"/>
        <v>450</v>
      </c>
      <c r="M90">
        <f t="shared" si="27"/>
        <v>499</v>
      </c>
      <c r="N90">
        <f t="shared" si="31"/>
        <v>2250</v>
      </c>
      <c r="O90">
        <f t="shared" si="28"/>
        <v>1751</v>
      </c>
      <c r="P90">
        <f t="shared" si="29"/>
        <v>0.77822222222222226</v>
      </c>
    </row>
    <row r="91" spans="1:18">
      <c r="A91" s="5" t="s">
        <v>22</v>
      </c>
      <c r="B91" s="32" t="s">
        <v>127</v>
      </c>
      <c r="C91" s="35" t="s">
        <v>33</v>
      </c>
      <c r="D91" s="9" t="s">
        <v>147</v>
      </c>
      <c r="E91" s="9" t="s">
        <v>148</v>
      </c>
      <c r="F91" s="9" t="s">
        <v>148</v>
      </c>
      <c r="G91" s="9" t="s">
        <v>148</v>
      </c>
      <c r="H91" s="9" t="s">
        <v>14</v>
      </c>
      <c r="I91" s="9">
        <v>540</v>
      </c>
      <c r="J91" s="9" t="s">
        <v>147</v>
      </c>
      <c r="L91" s="6">
        <f t="shared" ref="L91" si="32">SUMIF(A91:J91,"540")</f>
        <v>540</v>
      </c>
      <c r="N91">
        <f>450*4</f>
        <v>1800</v>
      </c>
      <c r="R91">
        <v>1</v>
      </c>
    </row>
    <row r="92" spans="1:18">
      <c r="A92" s="5" t="s">
        <v>22</v>
      </c>
      <c r="B92" s="32" t="s">
        <v>128</v>
      </c>
      <c r="C92" s="35" t="s">
        <v>33</v>
      </c>
      <c r="D92" s="9" t="s">
        <v>147</v>
      </c>
      <c r="E92" s="9" t="s">
        <v>148</v>
      </c>
      <c r="F92" s="9" t="s">
        <v>148</v>
      </c>
      <c r="G92" s="9" t="s">
        <v>148</v>
      </c>
      <c r="H92" s="9" t="s">
        <v>148</v>
      </c>
      <c r="I92" s="9">
        <v>450</v>
      </c>
      <c r="J92" s="9" t="s">
        <v>147</v>
      </c>
      <c r="L92" s="6">
        <f t="shared" ref="L92:L99" si="33">SUMIF(A92:J92,"450")</f>
        <v>450</v>
      </c>
      <c r="M92">
        <f t="shared" ref="M92:M99" si="34">SUM(K92:L92)</f>
        <v>450</v>
      </c>
      <c r="N92">
        <f t="shared" ref="N92:N99" si="35">450*5</f>
        <v>2250</v>
      </c>
      <c r="O92">
        <f t="shared" ref="O92:O99" si="36">N92-M92</f>
        <v>1800</v>
      </c>
      <c r="P92">
        <f t="shared" ref="P92:P99" si="37">O92/N92*100%</f>
        <v>0.8</v>
      </c>
    </row>
    <row r="93" spans="1:18">
      <c r="A93" s="5" t="s">
        <v>22</v>
      </c>
      <c r="B93" s="32" t="s">
        <v>129</v>
      </c>
      <c r="C93" s="35" t="s">
        <v>56</v>
      </c>
      <c r="D93" s="9" t="s">
        <v>147</v>
      </c>
      <c r="E93" s="9" t="s">
        <v>148</v>
      </c>
      <c r="F93" s="9" t="s">
        <v>148</v>
      </c>
      <c r="G93" s="9" t="s">
        <v>148</v>
      </c>
      <c r="H93" s="9" t="s">
        <v>148</v>
      </c>
      <c r="I93" s="9">
        <v>450</v>
      </c>
      <c r="J93" s="9" t="s">
        <v>147</v>
      </c>
      <c r="L93" s="6">
        <f t="shared" si="33"/>
        <v>450</v>
      </c>
      <c r="M93">
        <f t="shared" si="34"/>
        <v>450</v>
      </c>
      <c r="N93">
        <f t="shared" si="35"/>
        <v>2250</v>
      </c>
      <c r="O93">
        <f t="shared" si="36"/>
        <v>1800</v>
      </c>
      <c r="P93">
        <f t="shared" si="37"/>
        <v>0.8</v>
      </c>
    </row>
    <row r="94" spans="1:18">
      <c r="A94" s="5" t="s">
        <v>22</v>
      </c>
      <c r="B94" s="32" t="s">
        <v>130</v>
      </c>
      <c r="C94" s="35" t="s">
        <v>33</v>
      </c>
      <c r="D94" s="9" t="s">
        <v>147</v>
      </c>
      <c r="E94" s="9" t="s">
        <v>148</v>
      </c>
      <c r="F94" s="9">
        <v>17</v>
      </c>
      <c r="G94" s="9" t="s">
        <v>148</v>
      </c>
      <c r="H94" s="9">
        <v>450</v>
      </c>
      <c r="I94" s="9">
        <v>450</v>
      </c>
      <c r="J94" s="9" t="s">
        <v>147</v>
      </c>
      <c r="K94">
        <f>F94</f>
        <v>17</v>
      </c>
      <c r="L94" s="6">
        <f t="shared" si="33"/>
        <v>900</v>
      </c>
      <c r="M94">
        <f t="shared" si="34"/>
        <v>917</v>
      </c>
      <c r="N94">
        <f t="shared" si="35"/>
        <v>2250</v>
      </c>
      <c r="O94">
        <f t="shared" si="36"/>
        <v>1333</v>
      </c>
      <c r="P94">
        <f t="shared" si="37"/>
        <v>0.59244444444444444</v>
      </c>
    </row>
    <row r="95" spans="1:18">
      <c r="A95" s="5" t="s">
        <v>26</v>
      </c>
      <c r="B95" s="10" t="s">
        <v>131</v>
      </c>
      <c r="C95" s="11" t="s">
        <v>33</v>
      </c>
      <c r="D95" s="9" t="s">
        <v>147</v>
      </c>
      <c r="E95" s="9">
        <v>450</v>
      </c>
      <c r="F95" s="9" t="s">
        <v>148</v>
      </c>
      <c r="G95" s="9" t="s">
        <v>148</v>
      </c>
      <c r="H95" s="9" t="s">
        <v>148</v>
      </c>
      <c r="I95" s="9">
        <v>28</v>
      </c>
      <c r="J95" s="9" t="s">
        <v>147</v>
      </c>
      <c r="K95">
        <f>I95</f>
        <v>28</v>
      </c>
      <c r="L95" s="6">
        <f t="shared" si="33"/>
        <v>450</v>
      </c>
      <c r="M95">
        <f t="shared" si="34"/>
        <v>478</v>
      </c>
      <c r="N95">
        <f t="shared" si="35"/>
        <v>2250</v>
      </c>
      <c r="O95">
        <f t="shared" si="36"/>
        <v>1772</v>
      </c>
      <c r="P95">
        <f t="shared" si="37"/>
        <v>0.78755555555555556</v>
      </c>
    </row>
    <row r="96" spans="1:18">
      <c r="A96" s="5" t="s">
        <v>22</v>
      </c>
      <c r="B96" s="32" t="s">
        <v>132</v>
      </c>
      <c r="C96" s="35" t="s">
        <v>56</v>
      </c>
      <c r="D96" s="9" t="s">
        <v>147</v>
      </c>
      <c r="E96" s="9" t="s">
        <v>148</v>
      </c>
      <c r="F96" s="9" t="s">
        <v>148</v>
      </c>
      <c r="G96" s="9" t="s">
        <v>148</v>
      </c>
      <c r="H96" s="9" t="s">
        <v>148</v>
      </c>
      <c r="I96" s="9" t="s">
        <v>148</v>
      </c>
      <c r="J96" s="9" t="s">
        <v>147</v>
      </c>
      <c r="K96">
        <f t="shared" ref="K96:K98" si="38">SUM(D96:J96)</f>
        <v>0</v>
      </c>
      <c r="L96" s="6">
        <f t="shared" si="33"/>
        <v>0</v>
      </c>
      <c r="M96">
        <f t="shared" si="34"/>
        <v>0</v>
      </c>
      <c r="N96">
        <f t="shared" si="35"/>
        <v>2250</v>
      </c>
      <c r="O96">
        <f t="shared" si="36"/>
        <v>2250</v>
      </c>
      <c r="P96">
        <f t="shared" si="37"/>
        <v>1</v>
      </c>
    </row>
    <row r="97" spans="1:16">
      <c r="A97" s="5" t="s">
        <v>26</v>
      </c>
      <c r="B97" s="10" t="s">
        <v>133</v>
      </c>
      <c r="C97" s="11" t="s">
        <v>40</v>
      </c>
      <c r="D97" s="9" t="s">
        <v>147</v>
      </c>
      <c r="E97" s="9" t="s">
        <v>148</v>
      </c>
      <c r="F97" s="9">
        <v>30</v>
      </c>
      <c r="G97" s="9" t="s">
        <v>148</v>
      </c>
      <c r="H97" s="9" t="s">
        <v>148</v>
      </c>
      <c r="I97" s="9">
        <v>60</v>
      </c>
      <c r="J97" s="9" t="s">
        <v>147</v>
      </c>
      <c r="K97">
        <f t="shared" si="38"/>
        <v>90</v>
      </c>
      <c r="L97" s="6">
        <f t="shared" si="33"/>
        <v>0</v>
      </c>
      <c r="M97">
        <f t="shared" si="34"/>
        <v>90</v>
      </c>
      <c r="N97">
        <f t="shared" si="35"/>
        <v>2250</v>
      </c>
      <c r="O97">
        <f t="shared" si="36"/>
        <v>2160</v>
      </c>
      <c r="P97">
        <f t="shared" si="37"/>
        <v>0.96</v>
      </c>
    </row>
    <row r="98" spans="1:16">
      <c r="A98" s="12" t="s">
        <v>26</v>
      </c>
      <c r="B98" s="33" t="s">
        <v>27</v>
      </c>
      <c r="C98" s="36" t="s">
        <v>40</v>
      </c>
      <c r="D98" s="9" t="s">
        <v>147</v>
      </c>
      <c r="E98" s="9" t="s">
        <v>148</v>
      </c>
      <c r="F98" s="9" t="s">
        <v>148</v>
      </c>
      <c r="G98" s="9" t="s">
        <v>148</v>
      </c>
      <c r="H98" s="9" t="s">
        <v>148</v>
      </c>
      <c r="I98" s="9" t="s">
        <v>148</v>
      </c>
      <c r="J98" s="9" t="s">
        <v>147</v>
      </c>
      <c r="K98">
        <f t="shared" si="38"/>
        <v>0</v>
      </c>
      <c r="L98" s="6">
        <f t="shared" si="33"/>
        <v>0</v>
      </c>
      <c r="M98">
        <f t="shared" si="34"/>
        <v>0</v>
      </c>
      <c r="N98">
        <f t="shared" si="35"/>
        <v>2250</v>
      </c>
      <c r="O98">
        <f t="shared" si="36"/>
        <v>2250</v>
      </c>
      <c r="P98">
        <f t="shared" si="37"/>
        <v>1</v>
      </c>
    </row>
    <row r="99" spans="1:16">
      <c r="A99" s="5" t="s">
        <v>22</v>
      </c>
      <c r="B99" s="5" t="s">
        <v>134</v>
      </c>
      <c r="C99" s="5" t="s">
        <v>56</v>
      </c>
      <c r="D99" s="9" t="s">
        <v>147</v>
      </c>
      <c r="E99" s="9">
        <v>4</v>
      </c>
      <c r="F99" s="9">
        <v>450</v>
      </c>
      <c r="G99" s="9" t="s">
        <v>148</v>
      </c>
      <c r="H99" s="9" t="s">
        <v>148</v>
      </c>
      <c r="I99" s="9">
        <v>450</v>
      </c>
      <c r="J99" s="9" t="s">
        <v>147</v>
      </c>
      <c r="K99">
        <f>E99</f>
        <v>4</v>
      </c>
      <c r="L99" s="6">
        <f t="shared" si="33"/>
        <v>900</v>
      </c>
      <c r="M99">
        <f t="shared" si="34"/>
        <v>904</v>
      </c>
      <c r="N99">
        <f t="shared" si="35"/>
        <v>2250</v>
      </c>
      <c r="O99">
        <f t="shared" si="36"/>
        <v>1346</v>
      </c>
      <c r="P99">
        <f t="shared" si="37"/>
        <v>0.59822222222222221</v>
      </c>
    </row>
    <row r="100" spans="1:16">
      <c r="K100">
        <f>SUM(K2:K99)</f>
        <v>1340</v>
      </c>
      <c r="L100">
        <f t="shared" ref="L100:O100" si="39">SUM(L2:L99)</f>
        <v>17640</v>
      </c>
      <c r="M100">
        <f t="shared" si="39"/>
        <v>18440</v>
      </c>
      <c r="N100">
        <f t="shared" si="39"/>
        <v>213300</v>
      </c>
      <c r="O100">
        <f t="shared" si="39"/>
        <v>193060</v>
      </c>
      <c r="P100" s="38">
        <f>AVERAGE(P2:P99)</f>
        <v>0.91167277586865181</v>
      </c>
    </row>
    <row r="102" spans="1:16">
      <c r="K102" s="29">
        <f>K100/N100*100%</f>
        <v>6.2822315986872952E-3</v>
      </c>
      <c r="L102" s="29">
        <f>L100/N100*100%</f>
        <v>8.2700421940928276E-2</v>
      </c>
      <c r="M102" s="29">
        <f>M100/N100*100%</f>
        <v>8.6451007969995317E-2</v>
      </c>
    </row>
  </sheetData>
  <autoFilter ref="N1:N102" xr:uid="{5C265D24-5B35-44A5-80E3-4236704A5322}"/>
  <sortState xmlns:xlrd2="http://schemas.microsoft.com/office/spreadsheetml/2017/richdata2" ref="A2:J100">
    <sortCondition ref="B2:B100"/>
  </sortState>
  <conditionalFormatting sqref="D98">
    <cfRule type="containsText" dxfId="76" priority="15" operator="containsText" text="LWOP UA">
      <formula>NOT(ISERROR(SEARCH("LWOP UA",D98)))</formula>
    </cfRule>
    <cfRule type="containsText" dxfId="75" priority="16" operator="containsText" text="P">
      <formula>NOT(ISERROR(SEARCH("P",D98)))</formula>
    </cfRule>
    <cfRule type="containsText" dxfId="74" priority="17" operator="containsText" text="TFO">
      <formula>NOT(ISERROR(SEARCH("TFO",D98)))</formula>
    </cfRule>
    <cfRule type="containsText" dxfId="73" priority="18" operator="containsText" text="AA">
      <formula>NOT(ISERROR(SEARCH("AA",D98)))</formula>
    </cfRule>
    <cfRule type="containsText" dxfId="72" priority="19" operator="containsText" text="RESIGNED">
      <formula>NOT(ISERROR(SEARCH("RESIGNED",D98)))</formula>
    </cfRule>
    <cfRule type="containsText" dxfId="71" priority="20" operator="containsText" text="P">
      <formula>NOT(ISERROR(SEARCH("P",D98)))</formula>
    </cfRule>
    <cfRule type="containsText" dxfId="70" priority="21" operator="containsText" text="TARDY">
      <formula>NOT(ISERROR(SEARCH("TARDY",D98)))</formula>
    </cfRule>
    <cfRule type="containsText" dxfId="69" priority="22" operator="containsText" text="REST DAY">
      <formula>NOT(ISERROR(SEARCH("REST DAY",D98)))</formula>
    </cfRule>
    <cfRule type="containsText" dxfId="68" priority="23" operator="containsText" text="UA">
      <formula>NOT(ISERROR(SEARCH("UA",D98)))</formula>
    </cfRule>
  </conditionalFormatting>
  <conditionalFormatting sqref="D98:I98">
    <cfRule type="containsText" dxfId="67" priority="24" operator="containsText" text="LWOP UA">
      <formula>NOT(ISERROR(SEARCH("LWOP UA",D98)))</formula>
    </cfRule>
  </conditionalFormatting>
  <conditionalFormatting sqref="D2:J97">
    <cfRule type="containsText" dxfId="66" priority="35" operator="containsText" text="LWOP UA">
      <formula>NOT(ISERROR(SEARCH("LWOP UA",D2)))</formula>
    </cfRule>
    <cfRule type="containsText" dxfId="65" priority="36" operator="containsText" text="P">
      <formula>NOT(ISERROR(SEARCH("P",D2)))</formula>
    </cfRule>
    <cfRule type="containsText" dxfId="64" priority="37" operator="containsText" text="TFO">
      <formula>NOT(ISERROR(SEARCH("TFO",D2)))</formula>
    </cfRule>
    <cfRule type="containsText" dxfId="63" priority="38" operator="containsText" text="AA">
      <formula>NOT(ISERROR(SEARCH("AA",D2)))</formula>
    </cfRule>
    <cfRule type="containsText" dxfId="62" priority="39" operator="containsText" text="RESIGNED">
      <formula>NOT(ISERROR(SEARCH("RESIGNED",D2)))</formula>
    </cfRule>
    <cfRule type="containsText" dxfId="61" priority="40" operator="containsText" text="P">
      <formula>NOT(ISERROR(SEARCH("P",D2)))</formula>
    </cfRule>
    <cfRule type="containsText" dxfId="60" priority="41" operator="containsText" text="TARDY">
      <formula>NOT(ISERROR(SEARCH("TARDY",D2)))</formula>
    </cfRule>
    <cfRule type="containsText" dxfId="59" priority="42" operator="containsText" text="REST DAY">
      <formula>NOT(ISERROR(SEARCH("REST DAY",D2)))</formula>
    </cfRule>
    <cfRule type="containsText" dxfId="58" priority="43" operator="containsText" text="UA">
      <formula>NOT(ISERROR(SEARCH("UA",D2)))</formula>
    </cfRule>
    <cfRule type="containsText" dxfId="57" priority="44" operator="containsText" text="LWOP UA">
      <formula>NOT(ISERROR(SEARCH("LWOP UA",D2)))</formula>
    </cfRule>
  </conditionalFormatting>
  <conditionalFormatting sqref="D2:J99">
    <cfRule type="containsText" dxfId="56" priority="1" operator="containsText" text="VL">
      <formula>NOT(ISERROR(SEARCH("VL",D2)))</formula>
    </cfRule>
    <cfRule type="containsText" dxfId="55" priority="2" operator="containsText" text="RD">
      <formula>NOT(ISERROR(SEARCH("RD",D2)))</formula>
    </cfRule>
    <cfRule type="containsText" dxfId="54" priority="3" operator="containsText" text="540">
      <formula>NOT(ISERROR(SEARCH("540",D2)))</formula>
    </cfRule>
    <cfRule type="cellIs" dxfId="53" priority="4" operator="between">
      <formula>1</formula>
      <formula>400</formula>
    </cfRule>
  </conditionalFormatting>
  <conditionalFormatting sqref="D99:J99 E98:I98">
    <cfRule type="containsText" dxfId="52" priority="26" operator="containsText" text="P">
      <formula>NOT(ISERROR(SEARCH("P",D98)))</formula>
    </cfRule>
  </conditionalFormatting>
  <conditionalFormatting sqref="D99:J99">
    <cfRule type="containsText" dxfId="51" priority="25" operator="containsText" text="LWOP UA">
      <formula>NOT(ISERROR(SEARCH("LWOP UA",D99)))</formula>
    </cfRule>
  </conditionalFormatting>
  <conditionalFormatting sqref="E98:I98 D99:J99">
    <cfRule type="containsText" dxfId="50" priority="27" operator="containsText" text="TFO">
      <formula>NOT(ISERROR(SEARCH("TFO",D98)))</formula>
    </cfRule>
    <cfRule type="containsText" dxfId="49" priority="28" operator="containsText" text="AA">
      <formula>NOT(ISERROR(SEARCH("AA",D98)))</formula>
    </cfRule>
    <cfRule type="containsText" dxfId="48" priority="29" operator="containsText" text="RESIGNED">
      <formula>NOT(ISERROR(SEARCH("RESIGNED",D98)))</formula>
    </cfRule>
    <cfRule type="containsText" dxfId="47" priority="30" operator="containsText" text="P">
      <formula>NOT(ISERROR(SEARCH("P",D98)))</formula>
    </cfRule>
    <cfRule type="containsText" dxfId="46" priority="31" operator="containsText" text="TARDY">
      <formula>NOT(ISERROR(SEARCH("TARDY",D98)))</formula>
    </cfRule>
    <cfRule type="containsText" dxfId="45" priority="32" operator="containsText" text="REST DAY">
      <formula>NOT(ISERROR(SEARCH("REST DAY",D98)))</formula>
    </cfRule>
    <cfRule type="containsText" dxfId="44" priority="33" operator="containsText" text="UA">
      <formula>NOT(ISERROR(SEARCH("UA",D98)))</formula>
    </cfRule>
    <cfRule type="containsText" dxfId="43" priority="34" operator="containsText" text="LWOP UA">
      <formula>NOT(ISERROR(SEARCH("LWOP UA",D98)))</formula>
    </cfRule>
  </conditionalFormatting>
  <conditionalFormatting sqref="J98">
    <cfRule type="containsText" dxfId="42" priority="5" operator="containsText" text="LWOP UA">
      <formula>NOT(ISERROR(SEARCH("LWOP UA",J98)))</formula>
    </cfRule>
    <cfRule type="containsText" dxfId="41" priority="6" operator="containsText" text="P">
      <formula>NOT(ISERROR(SEARCH("P",J98)))</formula>
    </cfRule>
    <cfRule type="containsText" dxfId="40" priority="7" operator="containsText" text="TFO">
      <formula>NOT(ISERROR(SEARCH("TFO",J98)))</formula>
    </cfRule>
    <cfRule type="containsText" dxfId="39" priority="8" operator="containsText" text="AA">
      <formula>NOT(ISERROR(SEARCH("AA",J98)))</formula>
    </cfRule>
    <cfRule type="containsText" dxfId="38" priority="9" operator="containsText" text="RESIGNED">
      <formula>NOT(ISERROR(SEARCH("RESIGNED",J98)))</formula>
    </cfRule>
    <cfRule type="containsText" dxfId="37" priority="10" operator="containsText" text="P">
      <formula>NOT(ISERROR(SEARCH("P",J98)))</formula>
    </cfRule>
    <cfRule type="containsText" dxfId="36" priority="11" operator="containsText" text="TARDY">
      <formula>NOT(ISERROR(SEARCH("TARDY",J98)))</formula>
    </cfRule>
    <cfRule type="containsText" dxfId="35" priority="12" operator="containsText" text="REST DAY">
      <formula>NOT(ISERROR(SEARCH("REST DAY",J98)))</formula>
    </cfRule>
    <cfRule type="containsText" dxfId="34" priority="13" operator="containsText" text="UA">
      <formula>NOT(ISERROR(SEARCH("UA",J98)))</formula>
    </cfRule>
    <cfRule type="containsText" dxfId="33" priority="14" operator="containsText" text="LWOP UA">
      <formula>NOT(ISERROR(SEARCH("LWOP UA",J98)))</formula>
    </cfRule>
  </conditionalFormatting>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204B7-9BAD-4AEE-886D-72A2B7AD11B6}">
  <dimension ref="B1:T97"/>
  <sheetViews>
    <sheetView showGridLines="0" tabSelected="1" topLeftCell="I1" workbookViewId="0">
      <selection activeCell="T3" sqref="T3:T4"/>
    </sheetView>
  </sheetViews>
  <sheetFormatPr defaultRowHeight="15"/>
  <cols>
    <col min="2" max="2" width="13.42578125" customWidth="1"/>
    <col min="3" max="3" width="22.42578125" style="15" customWidth="1"/>
    <col min="4" max="4" width="21.7109375" customWidth="1"/>
    <col min="5" max="5" width="18" customWidth="1"/>
    <col min="6" max="6" width="20.85546875" customWidth="1"/>
    <col min="7" max="7" width="11.7109375" customWidth="1"/>
    <col min="8" max="8" width="21.7109375" style="15" customWidth="1"/>
    <col min="9" max="9" width="17.7109375" customWidth="1"/>
    <col min="10" max="10" width="19.85546875" customWidth="1"/>
    <col min="11" max="11" width="19.28515625" customWidth="1"/>
    <col min="12" max="12" width="11.7109375" customWidth="1"/>
    <col min="13" max="13" width="10.5703125" style="15" customWidth="1"/>
    <col min="14" max="14" width="27.7109375" style="15" customWidth="1"/>
    <col min="15" max="15" width="24.7109375" style="15" customWidth="1"/>
    <col min="16" max="16" width="23.42578125" style="15" customWidth="1"/>
    <col min="17" max="17" width="17.140625" style="15" customWidth="1"/>
    <col min="18" max="18" width="27.85546875" style="15" customWidth="1"/>
    <col min="19" max="19" width="24.7109375" style="15" bestFit="1" customWidth="1"/>
    <col min="20" max="20" width="18.42578125" style="15" customWidth="1"/>
    <col min="21" max="21" width="18.42578125" bestFit="1" customWidth="1"/>
    <col min="22" max="22" width="27.85546875" bestFit="1" customWidth="1"/>
    <col min="23" max="23" width="18.42578125" bestFit="1" customWidth="1"/>
  </cols>
  <sheetData>
    <row r="1" spans="2:20">
      <c r="M1"/>
      <c r="N1"/>
      <c r="O1"/>
      <c r="P1"/>
      <c r="Q1"/>
      <c r="R1"/>
      <c r="S1"/>
      <c r="T1"/>
    </row>
    <row r="2" spans="2:20" ht="33.75" customHeight="1">
      <c r="B2" s="367" t="s">
        <v>421</v>
      </c>
      <c r="C2" s="368" t="s">
        <v>200</v>
      </c>
      <c r="D2" s="368" t="s">
        <v>422</v>
      </c>
      <c r="E2" s="368" t="s">
        <v>423</v>
      </c>
      <c r="F2" s="368" t="s">
        <v>424</v>
      </c>
      <c r="G2" s="368" t="s">
        <v>425</v>
      </c>
      <c r="H2" s="368" t="s">
        <v>426</v>
      </c>
      <c r="I2" s="368" t="s">
        <v>427</v>
      </c>
      <c r="J2" s="369" t="s">
        <v>9</v>
      </c>
      <c r="L2" s="362" t="s">
        <v>421</v>
      </c>
      <c r="M2" s="363" t="s">
        <v>200</v>
      </c>
      <c r="N2" s="220" t="s">
        <v>428</v>
      </c>
      <c r="O2" s="220" t="s">
        <v>429</v>
      </c>
      <c r="P2" s="220" t="s">
        <v>430</v>
      </c>
      <c r="Q2" s="220" t="s">
        <v>431</v>
      </c>
      <c r="R2" s="220" t="s">
        <v>432</v>
      </c>
      <c r="S2" s="220" t="s">
        <v>433</v>
      </c>
      <c r="T2" s="408" t="s">
        <v>434</v>
      </c>
    </row>
    <row r="3" spans="2:20">
      <c r="B3" s="125" t="s">
        <v>170</v>
      </c>
      <c r="C3" s="245">
        <v>45886</v>
      </c>
      <c r="D3" s="15">
        <f>August!V124</f>
        <v>25</v>
      </c>
      <c r="E3" s="15">
        <f>August!V131</f>
        <v>2</v>
      </c>
      <c r="F3" s="15">
        <f>1</f>
        <v>1</v>
      </c>
      <c r="G3" s="15">
        <f>August!V129+August!V130</f>
        <v>0</v>
      </c>
      <c r="H3" s="46">
        <f>August!V133</f>
        <v>0.08</v>
      </c>
      <c r="I3" s="46">
        <f>August!V132</f>
        <v>2.4213075060532689E-3</v>
      </c>
      <c r="J3" s="373">
        <f>August!V127</f>
        <v>0.9177777777777778</v>
      </c>
      <c r="L3" s="125" t="s">
        <v>170</v>
      </c>
      <c r="M3" s="409">
        <v>45886</v>
      </c>
      <c r="N3" s="403">
        <v>25</v>
      </c>
      <c r="O3" s="403">
        <v>2</v>
      </c>
      <c r="P3" s="403">
        <v>1</v>
      </c>
      <c r="Q3" s="403">
        <v>0</v>
      </c>
      <c r="R3" s="406">
        <v>0.08</v>
      </c>
      <c r="S3" s="406">
        <v>2.4213075060532689E-3</v>
      </c>
      <c r="T3" s="415">
        <v>0.9177777777777778</v>
      </c>
    </row>
    <row r="4" spans="2:20">
      <c r="B4" s="125" t="s">
        <v>171</v>
      </c>
      <c r="C4" s="245">
        <v>45887</v>
      </c>
      <c r="D4" s="15">
        <f>August!W124</f>
        <v>105</v>
      </c>
      <c r="E4" s="15">
        <f>August!W131</f>
        <v>7</v>
      </c>
      <c r="F4" s="15">
        <f>4</f>
        <v>4</v>
      </c>
      <c r="G4" s="15">
        <f>August!W129+August!W130</f>
        <v>2</v>
      </c>
      <c r="H4" s="46">
        <f>August!W133</f>
        <v>6.6666666666666666E-2</v>
      </c>
      <c r="I4" s="46">
        <f>August!W132</f>
        <v>8.1699346405228761E-4</v>
      </c>
      <c r="J4" s="373">
        <f>August!W127</f>
        <v>0.93257142857142861</v>
      </c>
      <c r="L4" s="125" t="s">
        <v>171</v>
      </c>
      <c r="M4" s="409">
        <v>45887</v>
      </c>
      <c r="N4" s="403">
        <v>105</v>
      </c>
      <c r="O4" s="403">
        <v>7</v>
      </c>
      <c r="P4" s="403">
        <v>4</v>
      </c>
      <c r="Q4" s="403">
        <v>2</v>
      </c>
      <c r="R4" s="406">
        <v>6.6666666666666666E-2</v>
      </c>
      <c r="S4" s="406">
        <v>8.1699346405228761E-4</v>
      </c>
      <c r="T4" s="415">
        <v>0.93257142857142861</v>
      </c>
    </row>
    <row r="5" spans="2:20">
      <c r="B5" s="125" t="s">
        <v>172</v>
      </c>
      <c r="C5" s="245">
        <v>45888</v>
      </c>
      <c r="D5" s="15">
        <f>August!X124</f>
        <v>100</v>
      </c>
      <c r="E5" s="15">
        <f>August!X131</f>
        <v>5</v>
      </c>
      <c r="F5" s="15">
        <f>6</f>
        <v>6</v>
      </c>
      <c r="G5" s="15">
        <f>August!X129+August!X130</f>
        <v>0</v>
      </c>
      <c r="H5" s="46">
        <f>August!X133</f>
        <v>0.05</v>
      </c>
      <c r="I5" s="46">
        <f>August!X132</f>
        <v>2.1097046413502108E-3</v>
      </c>
      <c r="J5" s="373">
        <f>August!X127</f>
        <v>0.94799999999999995</v>
      </c>
      <c r="L5" s="125" t="s">
        <v>172</v>
      </c>
      <c r="M5" s="409">
        <v>45888</v>
      </c>
      <c r="N5" s="403">
        <v>100</v>
      </c>
      <c r="O5" s="403">
        <v>5</v>
      </c>
      <c r="P5" s="403">
        <v>6</v>
      </c>
      <c r="Q5" s="403">
        <v>0</v>
      </c>
      <c r="R5" s="406">
        <v>0.05</v>
      </c>
      <c r="S5" s="406">
        <v>2.1097046413502108E-3</v>
      </c>
      <c r="T5" s="414">
        <v>0.94799999999999995</v>
      </c>
    </row>
    <row r="6" spans="2:20">
      <c r="B6" s="125" t="s">
        <v>173</v>
      </c>
      <c r="C6" s="245">
        <v>45889</v>
      </c>
      <c r="D6" s="15">
        <f>August!Y124</f>
        <v>99</v>
      </c>
      <c r="E6" s="15">
        <f>August!Y131</f>
        <v>3</v>
      </c>
      <c r="F6" s="15">
        <f>11</f>
        <v>11</v>
      </c>
      <c r="G6" s="15">
        <f>August!Y129+August!Y130</f>
        <v>1</v>
      </c>
      <c r="H6" s="46">
        <f>August!Y133</f>
        <v>3.0303030303030304E-2</v>
      </c>
      <c r="I6" s="46">
        <f>August!Y132</f>
        <v>7.2277920261133131E-3</v>
      </c>
      <c r="J6" s="373">
        <f>August!Y127</f>
        <v>0.96273849607182937</v>
      </c>
      <c r="L6" s="125" t="s">
        <v>173</v>
      </c>
      <c r="M6" s="409">
        <v>45889</v>
      </c>
      <c r="N6" s="403">
        <v>99</v>
      </c>
      <c r="O6" s="403">
        <v>3</v>
      </c>
      <c r="P6" s="403">
        <v>11</v>
      </c>
      <c r="Q6" s="403">
        <v>1</v>
      </c>
      <c r="R6" s="406">
        <v>3.0303030303030304E-2</v>
      </c>
      <c r="S6" s="406">
        <v>7.2277920261133131E-3</v>
      </c>
      <c r="T6" s="414">
        <v>0.96273849607182937</v>
      </c>
    </row>
    <row r="7" spans="2:20">
      <c r="B7" s="125" t="s">
        <v>167</v>
      </c>
      <c r="C7" s="245">
        <v>45890</v>
      </c>
      <c r="D7" s="15">
        <f>August!Z124</f>
        <v>106</v>
      </c>
      <c r="E7" s="15">
        <f>August!Z131</f>
        <v>3</v>
      </c>
      <c r="F7" s="15">
        <f>7</f>
        <v>7</v>
      </c>
      <c r="G7" s="15">
        <f>August!Z129+August!Z130</f>
        <v>3</v>
      </c>
      <c r="H7" s="46">
        <f>August!Z133</f>
        <v>2.8301886792452831E-2</v>
      </c>
      <c r="I7" s="46">
        <f>August!Z132</f>
        <v>2.0105065179324209E-3</v>
      </c>
      <c r="J7" s="373">
        <f>August!Z127</f>
        <v>0.96974842767295599</v>
      </c>
      <c r="L7" s="125" t="s">
        <v>167</v>
      </c>
      <c r="M7" s="409">
        <v>45890</v>
      </c>
      <c r="N7" s="403">
        <v>106</v>
      </c>
      <c r="O7" s="403">
        <v>3</v>
      </c>
      <c r="P7" s="403">
        <v>7</v>
      </c>
      <c r="Q7" s="403">
        <v>3</v>
      </c>
      <c r="R7" s="406">
        <v>2.8301886792452831E-2</v>
      </c>
      <c r="S7" s="406">
        <v>2.0105065179324209E-3</v>
      </c>
      <c r="T7" s="414">
        <v>0.96974842767295599</v>
      </c>
    </row>
    <row r="8" spans="2:20">
      <c r="B8" s="125" t="s">
        <v>168</v>
      </c>
      <c r="C8" s="245">
        <v>45891</v>
      </c>
      <c r="D8" s="15"/>
      <c r="E8" s="15"/>
      <c r="F8" s="15"/>
      <c r="G8" s="15"/>
      <c r="H8" s="15" t="s">
        <v>435</v>
      </c>
      <c r="I8" s="15"/>
      <c r="J8" s="374"/>
      <c r="L8" s="364" t="s">
        <v>149</v>
      </c>
      <c r="M8" s="365"/>
      <c r="N8" s="404">
        <v>435</v>
      </c>
      <c r="O8" s="404">
        <v>20</v>
      </c>
      <c r="P8" s="404">
        <v>29</v>
      </c>
      <c r="Q8" s="404">
        <v>6</v>
      </c>
      <c r="R8" s="407">
        <v>0.25527158376214981</v>
      </c>
      <c r="S8" s="407">
        <v>1.4586304155501502E-2</v>
      </c>
      <c r="T8" s="405">
        <v>4.7308361300939916</v>
      </c>
    </row>
    <row r="9" spans="2:20">
      <c r="B9" s="364" t="s">
        <v>169</v>
      </c>
      <c r="C9" s="371">
        <v>45892</v>
      </c>
      <c r="D9" s="372"/>
      <c r="E9" s="372"/>
      <c r="F9" s="372"/>
      <c r="G9" s="372"/>
      <c r="H9" s="372"/>
      <c r="I9" s="372"/>
      <c r="J9" s="375"/>
      <c r="M9"/>
      <c r="N9"/>
      <c r="O9"/>
      <c r="P9"/>
      <c r="Q9"/>
      <c r="R9"/>
      <c r="S9"/>
      <c r="T9"/>
    </row>
    <row r="10" spans="2:20">
      <c r="M10"/>
      <c r="N10"/>
      <c r="O10"/>
      <c r="P10"/>
      <c r="Q10"/>
      <c r="R10"/>
      <c r="S10"/>
      <c r="T10"/>
    </row>
    <row r="11" spans="2:20">
      <c r="M11"/>
      <c r="N11"/>
      <c r="O11"/>
      <c r="P11"/>
      <c r="Q11"/>
      <c r="R11"/>
      <c r="S11"/>
      <c r="T11"/>
    </row>
    <row r="12" spans="2:20">
      <c r="M12"/>
      <c r="N12"/>
      <c r="O12"/>
      <c r="P12"/>
      <c r="Q12"/>
      <c r="R12"/>
      <c r="S12"/>
      <c r="T12"/>
    </row>
    <row r="13" spans="2:20">
      <c r="M13"/>
      <c r="N13"/>
      <c r="O13"/>
      <c r="P13"/>
      <c r="Q13"/>
      <c r="R13"/>
      <c r="S13"/>
      <c r="T13"/>
    </row>
    <row r="14" spans="2:20">
      <c r="M14"/>
      <c r="N14"/>
      <c r="O14"/>
      <c r="P14"/>
      <c r="Q14"/>
      <c r="R14"/>
      <c r="S14"/>
      <c r="T14"/>
    </row>
    <row r="15" spans="2:20">
      <c r="M15"/>
      <c r="N15"/>
      <c r="O15"/>
      <c r="P15"/>
      <c r="Q15"/>
      <c r="R15"/>
      <c r="S15"/>
      <c r="T15"/>
    </row>
    <row r="16" spans="2:20">
      <c r="M16"/>
      <c r="N16"/>
      <c r="O16"/>
      <c r="P16"/>
      <c r="Q16"/>
      <c r="R16"/>
      <c r="S16"/>
      <c r="T16"/>
    </row>
    <row r="17" spans="2:20">
      <c r="M17"/>
      <c r="N17"/>
      <c r="O17"/>
      <c r="P17"/>
      <c r="Q17"/>
      <c r="R17"/>
      <c r="S17"/>
      <c r="T17"/>
    </row>
    <row r="18" spans="2:20">
      <c r="E18" s="15"/>
      <c r="H18"/>
      <c r="M18"/>
      <c r="N18"/>
      <c r="O18"/>
      <c r="P18"/>
      <c r="Q18"/>
      <c r="R18"/>
      <c r="S18"/>
      <c r="T18"/>
    </row>
    <row r="19" spans="2:20">
      <c r="E19" s="15"/>
      <c r="H19"/>
      <c r="M19"/>
      <c r="N19"/>
      <c r="O19"/>
      <c r="P19"/>
      <c r="Q19"/>
      <c r="R19"/>
      <c r="S19"/>
      <c r="T19"/>
    </row>
    <row r="20" spans="2:20">
      <c r="B20" s="144" t="s">
        <v>436</v>
      </c>
      <c r="C20" s="144" t="s">
        <v>437</v>
      </c>
      <c r="D20" s="144" t="s">
        <v>438</v>
      </c>
      <c r="E20" s="144" t="s">
        <v>439</v>
      </c>
      <c r="H20" s="362" t="s">
        <v>436</v>
      </c>
      <c r="I20" s="363" t="s">
        <v>437</v>
      </c>
      <c r="J20" s="363" t="s">
        <v>438</v>
      </c>
      <c r="K20" s="410" t="s">
        <v>439</v>
      </c>
      <c r="M20"/>
      <c r="N20"/>
      <c r="O20"/>
      <c r="P20"/>
      <c r="Q20"/>
      <c r="R20"/>
      <c r="S20"/>
      <c r="T20"/>
    </row>
    <row r="21" spans="2:20">
      <c r="B21" s="309" t="s">
        <v>77</v>
      </c>
      <c r="C21" s="145" t="s">
        <v>354</v>
      </c>
      <c r="D21" s="164" t="s">
        <v>276</v>
      </c>
      <c r="E21" s="145" t="s">
        <v>440</v>
      </c>
      <c r="H21" s="125" t="s">
        <v>77</v>
      </c>
      <c r="I21" s="411" t="s">
        <v>354</v>
      </c>
      <c r="J21" s="412" t="s">
        <v>276</v>
      </c>
      <c r="K21" s="413" t="s">
        <v>440</v>
      </c>
      <c r="M21"/>
      <c r="N21"/>
      <c r="O21"/>
      <c r="P21"/>
      <c r="Q21"/>
      <c r="R21"/>
      <c r="S21"/>
      <c r="T21"/>
    </row>
    <row r="22" spans="2:20">
      <c r="B22" s="309" t="s">
        <v>87</v>
      </c>
      <c r="C22" s="145" t="s">
        <v>354</v>
      </c>
      <c r="D22" s="162" t="s">
        <v>237</v>
      </c>
      <c r="E22" s="145" t="s">
        <v>214</v>
      </c>
      <c r="H22" s="125" t="s">
        <v>87</v>
      </c>
      <c r="I22" s="411" t="s">
        <v>354</v>
      </c>
      <c r="J22" s="412" t="s">
        <v>237</v>
      </c>
      <c r="K22" s="413" t="s">
        <v>214</v>
      </c>
      <c r="M22"/>
      <c r="N22"/>
      <c r="O22"/>
      <c r="P22"/>
      <c r="Q22"/>
      <c r="R22"/>
      <c r="S22"/>
      <c r="T22"/>
    </row>
    <row r="23" spans="2:20">
      <c r="B23" s="309" t="s">
        <v>123</v>
      </c>
      <c r="C23" s="145" t="s">
        <v>354</v>
      </c>
      <c r="D23" s="164" t="s">
        <v>129</v>
      </c>
      <c r="E23" s="145" t="s">
        <v>214</v>
      </c>
      <c r="H23" s="125" t="s">
        <v>123</v>
      </c>
      <c r="I23" s="411" t="s">
        <v>354</v>
      </c>
      <c r="J23" s="412" t="s">
        <v>129</v>
      </c>
      <c r="K23" s="413" t="s">
        <v>214</v>
      </c>
      <c r="M23"/>
      <c r="N23"/>
      <c r="O23"/>
      <c r="P23"/>
      <c r="Q23"/>
      <c r="R23"/>
      <c r="S23"/>
      <c r="T23"/>
    </row>
    <row r="24" spans="2:20">
      <c r="B24" s="309"/>
      <c r="C24" s="145"/>
      <c r="D24" s="164" t="s">
        <v>52</v>
      </c>
      <c r="E24" s="145" t="s">
        <v>214</v>
      </c>
      <c r="H24" s="125" t="s">
        <v>153</v>
      </c>
      <c r="I24" s="411" t="s">
        <v>153</v>
      </c>
      <c r="J24" s="412" t="s">
        <v>312</v>
      </c>
      <c r="K24" s="413" t="s">
        <v>214</v>
      </c>
      <c r="M24"/>
      <c r="N24"/>
      <c r="O24"/>
      <c r="P24"/>
      <c r="Q24"/>
      <c r="R24"/>
      <c r="S24"/>
      <c r="T24"/>
    </row>
    <row r="25" spans="2:20">
      <c r="B25" s="309"/>
      <c r="C25" s="145"/>
      <c r="D25" s="164" t="s">
        <v>224</v>
      </c>
      <c r="E25" s="145" t="s">
        <v>214</v>
      </c>
      <c r="H25" s="125"/>
      <c r="I25" s="411"/>
      <c r="J25" s="412" t="s">
        <v>52</v>
      </c>
      <c r="K25" s="413" t="s">
        <v>214</v>
      </c>
      <c r="M25"/>
      <c r="N25"/>
      <c r="O25"/>
      <c r="P25"/>
      <c r="Q25"/>
      <c r="R25"/>
      <c r="S25"/>
      <c r="T25"/>
    </row>
    <row r="26" spans="2:20">
      <c r="B26" s="309"/>
      <c r="C26" s="145"/>
      <c r="D26" s="164" t="s">
        <v>312</v>
      </c>
      <c r="E26" s="145" t="s">
        <v>214</v>
      </c>
      <c r="H26" s="125"/>
      <c r="I26" s="411"/>
      <c r="J26" s="412" t="s">
        <v>224</v>
      </c>
      <c r="K26" s="413" t="s">
        <v>214</v>
      </c>
      <c r="M26"/>
      <c r="N26"/>
      <c r="O26"/>
      <c r="P26"/>
      <c r="Q26"/>
      <c r="R26"/>
      <c r="S26"/>
      <c r="T26"/>
    </row>
    <row r="27" spans="2:20">
      <c r="B27" s="309"/>
      <c r="C27" s="145"/>
      <c r="D27" s="168" t="s">
        <v>131</v>
      </c>
      <c r="E27" s="145" t="s">
        <v>214</v>
      </c>
      <c r="H27" s="125"/>
      <c r="I27" s="411"/>
      <c r="J27" s="412" t="s">
        <v>131</v>
      </c>
      <c r="K27" s="413" t="s">
        <v>214</v>
      </c>
      <c r="M27"/>
      <c r="N27"/>
      <c r="O27"/>
      <c r="P27"/>
      <c r="Q27"/>
      <c r="R27"/>
      <c r="S27"/>
      <c r="T27"/>
    </row>
    <row r="28" spans="2:20">
      <c r="B28" s="309"/>
      <c r="C28" s="145"/>
      <c r="D28" s="145"/>
      <c r="E28" s="145"/>
      <c r="H28" s="364" t="s">
        <v>149</v>
      </c>
      <c r="I28" s="365"/>
      <c r="J28" s="365"/>
      <c r="K28" s="366"/>
      <c r="M28"/>
    </row>
    <row r="29" spans="2:20" ht="15" customHeight="1">
      <c r="B29" s="370"/>
      <c r="C29" s="145"/>
      <c r="D29" s="145"/>
      <c r="E29" s="145"/>
      <c r="H29"/>
      <c r="M29"/>
    </row>
    <row r="30" spans="2:20">
      <c r="B30" s="145"/>
      <c r="C30" s="145"/>
      <c r="D30" s="145"/>
      <c r="E30" s="145"/>
      <c r="H30"/>
      <c r="M30"/>
      <c r="N30"/>
    </row>
    <row r="31" spans="2:20">
      <c r="B31" s="145"/>
      <c r="C31" s="145"/>
      <c r="D31" s="145"/>
      <c r="E31" s="145"/>
      <c r="H31"/>
      <c r="M31"/>
      <c r="N31"/>
    </row>
    <row r="32" spans="2:20">
      <c r="B32" s="145"/>
      <c r="C32" s="145"/>
      <c r="D32" s="145"/>
      <c r="E32" s="145"/>
      <c r="H32"/>
      <c r="M32"/>
      <c r="N32"/>
    </row>
    <row r="33" spans="2:14">
      <c r="B33" s="145"/>
      <c r="C33" s="145"/>
      <c r="D33" s="145"/>
      <c r="E33" s="145"/>
      <c r="H33"/>
      <c r="M33"/>
      <c r="N33"/>
    </row>
    <row r="34" spans="2:14">
      <c r="B34" s="145"/>
      <c r="C34" s="145"/>
      <c r="D34" s="145"/>
      <c r="E34" s="145"/>
      <c r="H34"/>
      <c r="M34"/>
      <c r="N34"/>
    </row>
    <row r="35" spans="2:14">
      <c r="B35" s="145"/>
      <c r="C35" s="145"/>
      <c r="D35" s="145"/>
      <c r="E35" s="145"/>
      <c r="H35"/>
      <c r="M35"/>
      <c r="N35"/>
    </row>
    <row r="36" spans="2:14">
      <c r="B36" s="145"/>
      <c r="C36" s="145"/>
      <c r="D36" s="145"/>
      <c r="E36" s="145"/>
      <c r="H36"/>
      <c r="M36"/>
      <c r="N36"/>
    </row>
    <row r="37" spans="2:14">
      <c r="C37"/>
      <c r="H37"/>
      <c r="M37"/>
      <c r="N37"/>
    </row>
    <row r="38" spans="2:14">
      <c r="H38"/>
      <c r="M38"/>
      <c r="N38"/>
    </row>
    <row r="39" spans="2:14">
      <c r="H39"/>
      <c r="M39"/>
      <c r="N39"/>
    </row>
    <row r="40" spans="2:14">
      <c r="H40"/>
      <c r="M40"/>
      <c r="N40"/>
    </row>
    <row r="41" spans="2:14">
      <c r="H41"/>
      <c r="M41"/>
      <c r="N41"/>
    </row>
    <row r="42" spans="2:14" ht="21" customHeight="1">
      <c r="H42"/>
      <c r="M42"/>
      <c r="N42"/>
    </row>
    <row r="43" spans="2:14">
      <c r="H43"/>
      <c r="M43"/>
      <c r="N43"/>
    </row>
    <row r="44" spans="2:14">
      <c r="H44"/>
      <c r="M44"/>
      <c r="N44"/>
    </row>
    <row r="45" spans="2:14" ht="30.75" customHeight="1">
      <c r="C45" s="74" t="s">
        <v>2</v>
      </c>
      <c r="D45" s="74" t="s">
        <v>0</v>
      </c>
      <c r="E45" s="213" t="s">
        <v>201</v>
      </c>
      <c r="H45"/>
      <c r="M45"/>
      <c r="N45"/>
    </row>
    <row r="46" spans="2:14" ht="22.5" customHeight="1">
      <c r="C46" s="197" t="s">
        <v>77</v>
      </c>
      <c r="D46" s="155"/>
      <c r="E46" s="214" t="s">
        <v>13</v>
      </c>
      <c r="H46"/>
      <c r="M46"/>
    </row>
    <row r="47" spans="2:14">
      <c r="C47" s="309" t="s">
        <v>87</v>
      </c>
      <c r="D47" s="145"/>
      <c r="E47" s="214" t="s">
        <v>13</v>
      </c>
      <c r="H47"/>
      <c r="M47"/>
    </row>
    <row r="48" spans="2:14">
      <c r="C48" s="7"/>
      <c r="D48" s="72"/>
      <c r="E48" s="118"/>
      <c r="H48"/>
      <c r="M48"/>
    </row>
    <row r="49" spans="3:13">
      <c r="C49" s="7"/>
      <c r="D49" s="72"/>
      <c r="E49" s="118"/>
      <c r="H49"/>
      <c r="M49"/>
    </row>
    <row r="50" spans="3:13">
      <c r="C50" s="7"/>
      <c r="D50" s="72"/>
      <c r="E50" s="118"/>
      <c r="H50"/>
      <c r="M50"/>
    </row>
    <row r="51" spans="3:13">
      <c r="C51" s="197"/>
      <c r="D51" s="145"/>
      <c r="E51" s="118"/>
      <c r="H51"/>
      <c r="M51"/>
    </row>
    <row r="52" spans="3:13">
      <c r="H52"/>
      <c r="M52"/>
    </row>
    <row r="53" spans="3:13">
      <c r="H53"/>
      <c r="M53"/>
    </row>
    <row r="54" spans="3:13">
      <c r="H54"/>
      <c r="M54"/>
    </row>
    <row r="55" spans="3:13">
      <c r="H55"/>
      <c r="M55"/>
    </row>
    <row r="56" spans="3:13">
      <c r="I56" s="15"/>
      <c r="J56" s="15"/>
      <c r="K56" s="15"/>
      <c r="L56" s="15"/>
    </row>
    <row r="57" spans="3:13">
      <c r="H57"/>
    </row>
    <row r="58" spans="3:13">
      <c r="H58"/>
    </row>
    <row r="59" spans="3:13">
      <c r="H59"/>
    </row>
    <row r="60" spans="3:13">
      <c r="H60"/>
    </row>
    <row r="61" spans="3:13">
      <c r="H61"/>
    </row>
    <row r="62" spans="3:13">
      <c r="H62"/>
    </row>
    <row r="63" spans="3:13">
      <c r="H63"/>
    </row>
    <row r="64" spans="3:13">
      <c r="H64"/>
    </row>
    <row r="65" spans="8:8">
      <c r="H65"/>
    </row>
    <row r="66" spans="8:8">
      <c r="H66"/>
    </row>
    <row r="67" spans="8:8">
      <c r="H67"/>
    </row>
    <row r="68" spans="8:8">
      <c r="H68"/>
    </row>
    <row r="69" spans="8:8">
      <c r="H69"/>
    </row>
    <row r="70" spans="8:8">
      <c r="H70"/>
    </row>
    <row r="71" spans="8:8">
      <c r="H71"/>
    </row>
    <row r="72" spans="8:8">
      <c r="H72"/>
    </row>
    <row r="73" spans="8:8">
      <c r="H73"/>
    </row>
    <row r="74" spans="8:8">
      <c r="H74"/>
    </row>
    <row r="75" spans="8:8">
      <c r="H75"/>
    </row>
    <row r="76" spans="8:8">
      <c r="H76"/>
    </row>
    <row r="77" spans="8:8">
      <c r="H77"/>
    </row>
    <row r="78" spans="8:8" ht="30.75" customHeight="1">
      <c r="H78"/>
    </row>
    <row r="79" spans="8:8">
      <c r="H79"/>
    </row>
    <row r="80" spans="8:8">
      <c r="H80"/>
    </row>
    <row r="81" spans="8:8">
      <c r="H81"/>
    </row>
    <row r="82" spans="8:8">
      <c r="H82"/>
    </row>
    <row r="83" spans="8:8">
      <c r="H83"/>
    </row>
    <row r="84" spans="8:8">
      <c r="H84"/>
    </row>
    <row r="85" spans="8:8">
      <c r="H85"/>
    </row>
    <row r="86" spans="8:8">
      <c r="H86"/>
    </row>
    <row r="87" spans="8:8">
      <c r="H87"/>
    </row>
    <row r="88" spans="8:8">
      <c r="H88"/>
    </row>
    <row r="89" spans="8:8">
      <c r="H89"/>
    </row>
    <row r="90" spans="8:8">
      <c r="H90"/>
    </row>
    <row r="91" spans="8:8">
      <c r="H91"/>
    </row>
    <row r="92" spans="8:8">
      <c r="H92"/>
    </row>
    <row r="93" spans="8:8">
      <c r="H93"/>
    </row>
    <row r="94" spans="8:8">
      <c r="H94"/>
    </row>
    <row r="95" spans="8:8">
      <c r="H95"/>
    </row>
    <row r="96" spans="8:8">
      <c r="H96"/>
    </row>
    <row r="97" spans="8:8">
      <c r="H97"/>
    </row>
  </sheetData>
  <conditionalFormatting sqref="E48:E51">
    <cfRule type="containsText" dxfId="32" priority="10" operator="containsText" text="P">
      <formula>NOT(ISERROR(SEARCH("P",E48)))</formula>
    </cfRule>
  </conditionalFormatting>
  <conditionalFormatting sqref="E48:E51">
    <cfRule type="containsText" dxfId="31" priority="9" operator="containsText" text="VL">
      <formula>NOT(ISERROR(SEARCH("VL",E48)))</formula>
    </cfRule>
  </conditionalFormatting>
  <conditionalFormatting sqref="E48:E51">
    <cfRule type="cellIs" dxfId="30" priority="8" operator="between">
      <formula>1</formula>
      <formula>449</formula>
    </cfRule>
  </conditionalFormatting>
  <conditionalFormatting sqref="E48:E51">
    <cfRule type="cellIs" dxfId="29" priority="7" operator="between">
      <formula>450</formula>
      <formula>450</formula>
    </cfRule>
  </conditionalFormatting>
  <conditionalFormatting sqref="E48:E51">
    <cfRule type="containsText" dxfId="28" priority="6" operator="containsText" text="RD">
      <formula>NOT(ISERROR(SEARCH("RD",E48)))</formula>
    </cfRule>
  </conditionalFormatting>
  <pageMargins left="0.7" right="0.7" top="0.75" bottom="0.75" header="0.3" footer="0.3"/>
  <drawing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A8543B-BE7C-4225-8193-4AEBEA6A829B}">
  <dimension ref="A1:O30"/>
  <sheetViews>
    <sheetView workbookViewId="0">
      <selection activeCell="M19" sqref="M19"/>
    </sheetView>
  </sheetViews>
  <sheetFormatPr defaultRowHeight="15"/>
  <cols>
    <col min="1" max="1" width="20.28515625" style="293" customWidth="1"/>
    <col min="2" max="4" width="11.7109375" style="293" customWidth="1"/>
    <col min="5" max="5" width="12.5703125" style="293" customWidth="1"/>
    <col min="6" max="6" width="26.42578125" style="293" customWidth="1"/>
    <col min="7" max="7" width="16.42578125" style="293" customWidth="1"/>
    <col min="8" max="8" width="12.85546875" style="293" customWidth="1"/>
    <col min="9" max="15" width="11.7109375" style="293" customWidth="1"/>
  </cols>
  <sheetData>
    <row r="1" spans="1:15">
      <c r="A1" s="393" t="s">
        <v>441</v>
      </c>
      <c r="B1" s="389" t="s">
        <v>442</v>
      </c>
      <c r="C1" s="389" t="s">
        <v>443</v>
      </c>
      <c r="D1" s="389" t="s">
        <v>444</v>
      </c>
      <c r="E1" s="389" t="s">
        <v>445</v>
      </c>
      <c r="F1" s="389" t="s">
        <v>446</v>
      </c>
      <c r="G1" s="389" t="s">
        <v>447</v>
      </c>
      <c r="H1" s="280" t="s">
        <v>171</v>
      </c>
      <c r="I1" s="280" t="s">
        <v>172</v>
      </c>
      <c r="J1" s="280" t="s">
        <v>173</v>
      </c>
      <c r="K1" s="280" t="s">
        <v>167</v>
      </c>
      <c r="L1" s="280" t="s">
        <v>168</v>
      </c>
      <c r="M1" s="280" t="s">
        <v>169</v>
      </c>
      <c r="N1" s="280" t="s">
        <v>170</v>
      </c>
      <c r="O1" s="391" t="s">
        <v>448</v>
      </c>
    </row>
    <row r="2" spans="1:15">
      <c r="A2" s="394"/>
      <c r="B2" s="390"/>
      <c r="C2" s="390"/>
      <c r="D2" s="390"/>
      <c r="E2" s="390"/>
      <c r="F2" s="390"/>
      <c r="G2" s="390"/>
      <c r="H2" s="281">
        <v>45859</v>
      </c>
      <c r="I2" s="281">
        <v>45860</v>
      </c>
      <c r="J2" s="281">
        <v>45861</v>
      </c>
      <c r="K2" s="281">
        <v>45862</v>
      </c>
      <c r="L2" s="281">
        <v>45863</v>
      </c>
      <c r="M2" s="281">
        <v>45864</v>
      </c>
      <c r="N2" s="281">
        <v>45865</v>
      </c>
      <c r="O2" s="392"/>
    </row>
    <row r="3" spans="1:15">
      <c r="A3" s="282" t="s">
        <v>23</v>
      </c>
      <c r="B3" s="283" t="s">
        <v>449</v>
      </c>
      <c r="C3" s="283" t="s">
        <v>25</v>
      </c>
      <c r="D3" s="284">
        <v>0.33333333333333331</v>
      </c>
      <c r="E3" s="284">
        <v>0.83333333333333337</v>
      </c>
      <c r="F3" s="283">
        <v>12</v>
      </c>
      <c r="G3" s="285">
        <f>F3-9</f>
        <v>3</v>
      </c>
      <c r="H3" s="284"/>
      <c r="I3" s="283">
        <v>3</v>
      </c>
      <c r="J3" s="283"/>
      <c r="K3" s="283"/>
      <c r="L3" s="283"/>
      <c r="M3" s="283"/>
      <c r="N3" s="283"/>
      <c r="O3" s="286"/>
    </row>
    <row r="4" spans="1:15">
      <c r="A4" s="282" t="s">
        <v>450</v>
      </c>
      <c r="B4" s="283" t="s">
        <v>449</v>
      </c>
      <c r="C4" s="283" t="s">
        <v>30</v>
      </c>
      <c r="D4" s="284">
        <v>0.33333333333333331</v>
      </c>
      <c r="E4" s="284">
        <v>0.83333333333333337</v>
      </c>
      <c r="F4" s="283">
        <v>12</v>
      </c>
      <c r="G4" s="285">
        <f t="shared" ref="G4:G30" si="0">F4-9</f>
        <v>3</v>
      </c>
      <c r="H4" s="283">
        <v>2</v>
      </c>
      <c r="I4" s="283">
        <v>2</v>
      </c>
      <c r="J4" s="283"/>
      <c r="K4" s="283"/>
      <c r="L4" s="283"/>
      <c r="M4" s="283"/>
      <c r="N4" s="283"/>
      <c r="O4" s="287">
        <v>4</v>
      </c>
    </row>
    <row r="5" spans="1:15">
      <c r="A5" s="282" t="s">
        <v>279</v>
      </c>
      <c r="B5" s="283" t="s">
        <v>449</v>
      </c>
      <c r="C5" s="283" t="s">
        <v>30</v>
      </c>
      <c r="D5" s="284">
        <v>0.33333333333333331</v>
      </c>
      <c r="E5" s="284">
        <v>0.70833333333333337</v>
      </c>
      <c r="F5" s="283">
        <v>12</v>
      </c>
      <c r="G5" s="285">
        <f t="shared" si="0"/>
        <v>3</v>
      </c>
      <c r="H5" s="283">
        <v>2</v>
      </c>
      <c r="I5" s="283">
        <v>2</v>
      </c>
      <c r="J5" s="283"/>
      <c r="K5" s="283"/>
      <c r="L5" s="283"/>
      <c r="M5" s="283"/>
      <c r="N5" s="283"/>
      <c r="O5" s="287">
        <v>4</v>
      </c>
    </row>
    <row r="6" spans="1:15">
      <c r="A6" s="282" t="s">
        <v>296</v>
      </c>
      <c r="B6" s="283" t="s">
        <v>449</v>
      </c>
      <c r="C6" s="283" t="s">
        <v>30</v>
      </c>
      <c r="D6" s="284">
        <v>0.33333333333333331</v>
      </c>
      <c r="E6" s="284">
        <v>0.70833333333333337</v>
      </c>
      <c r="F6" s="283">
        <v>12</v>
      </c>
      <c r="G6" s="285">
        <f t="shared" si="0"/>
        <v>3</v>
      </c>
      <c r="H6" s="283"/>
      <c r="I6" s="283">
        <v>3</v>
      </c>
      <c r="J6" s="283"/>
      <c r="K6" s="283"/>
      <c r="L6" s="283"/>
      <c r="M6" s="283"/>
      <c r="N6" s="283"/>
      <c r="O6" s="287">
        <v>5</v>
      </c>
    </row>
    <row r="7" spans="1:15">
      <c r="A7" s="282" t="s">
        <v>106</v>
      </c>
      <c r="B7" s="283" t="s">
        <v>449</v>
      </c>
      <c r="C7" s="283" t="s">
        <v>30</v>
      </c>
      <c r="D7" s="284">
        <v>0.33333333333333331</v>
      </c>
      <c r="E7" s="284">
        <v>0.70833333333333337</v>
      </c>
      <c r="F7" s="283">
        <v>12</v>
      </c>
      <c r="G7" s="285">
        <f t="shared" si="0"/>
        <v>3</v>
      </c>
      <c r="H7" s="283"/>
      <c r="I7" s="283">
        <v>3</v>
      </c>
      <c r="J7" s="283"/>
      <c r="K7" s="283"/>
      <c r="L7" s="283"/>
      <c r="M7" s="283"/>
      <c r="N7" s="283"/>
      <c r="O7" s="287">
        <v>3</v>
      </c>
    </row>
    <row r="8" spans="1:15">
      <c r="A8" s="282" t="s">
        <v>66</v>
      </c>
      <c r="B8" s="283" t="s">
        <v>449</v>
      </c>
      <c r="C8" s="283" t="s">
        <v>30</v>
      </c>
      <c r="D8" s="284">
        <v>0.33333333333333331</v>
      </c>
      <c r="E8" s="284">
        <v>0.70833333333333337</v>
      </c>
      <c r="F8" s="283">
        <v>12</v>
      </c>
      <c r="G8" s="285">
        <f t="shared" si="0"/>
        <v>3</v>
      </c>
      <c r="H8" s="283"/>
      <c r="I8" s="283">
        <v>3</v>
      </c>
      <c r="J8" s="283"/>
      <c r="K8" s="283"/>
      <c r="L8" s="283"/>
      <c r="M8" s="283"/>
      <c r="N8" s="283"/>
      <c r="O8" s="287">
        <v>3</v>
      </c>
    </row>
    <row r="9" spans="1:15">
      <c r="A9" s="282" t="s">
        <v>451</v>
      </c>
      <c r="B9" s="283" t="s">
        <v>449</v>
      </c>
      <c r="C9" s="283" t="s">
        <v>63</v>
      </c>
      <c r="D9" s="284">
        <v>0.33333333333333331</v>
      </c>
      <c r="E9" s="284">
        <v>0.70833333333333337</v>
      </c>
      <c r="F9" s="283">
        <v>12</v>
      </c>
      <c r="G9" s="285">
        <f t="shared" si="0"/>
        <v>3</v>
      </c>
      <c r="H9" s="283">
        <v>2</v>
      </c>
      <c r="I9" s="283"/>
      <c r="J9" s="283"/>
      <c r="K9" s="284"/>
      <c r="L9" s="283"/>
      <c r="M9" s="283"/>
      <c r="N9" s="283"/>
      <c r="O9" s="287">
        <v>2</v>
      </c>
    </row>
    <row r="10" spans="1:15">
      <c r="A10" s="282" t="s">
        <v>452</v>
      </c>
      <c r="B10" s="283" t="s">
        <v>449</v>
      </c>
      <c r="C10" s="283" t="s">
        <v>63</v>
      </c>
      <c r="D10" s="284">
        <v>0.33333333333333331</v>
      </c>
      <c r="E10" s="284">
        <v>0.70833333333333337</v>
      </c>
      <c r="F10" s="283">
        <v>12</v>
      </c>
      <c r="G10" s="285">
        <f t="shared" si="0"/>
        <v>3</v>
      </c>
      <c r="H10" s="283">
        <v>2</v>
      </c>
      <c r="I10" s="283">
        <v>3</v>
      </c>
      <c r="J10" s="283"/>
      <c r="K10" s="283"/>
      <c r="L10" s="283"/>
      <c r="M10" s="283"/>
      <c r="N10" s="283"/>
      <c r="O10" s="287">
        <v>5</v>
      </c>
    </row>
    <row r="11" spans="1:15">
      <c r="A11" s="282" t="s">
        <v>61</v>
      </c>
      <c r="B11" s="283" t="s">
        <v>449</v>
      </c>
      <c r="C11" s="283" t="s">
        <v>63</v>
      </c>
      <c r="D11" s="284">
        <v>0.33333333333333331</v>
      </c>
      <c r="E11" s="284">
        <v>0.70833333333333337</v>
      </c>
      <c r="F11" s="283">
        <v>12</v>
      </c>
      <c r="G11" s="285">
        <f t="shared" si="0"/>
        <v>3</v>
      </c>
      <c r="H11" s="283"/>
      <c r="I11" s="283">
        <v>3</v>
      </c>
      <c r="J11" s="283"/>
      <c r="K11" s="283"/>
      <c r="L11" s="283"/>
      <c r="M11" s="283"/>
      <c r="N11" s="283"/>
      <c r="O11" s="287">
        <v>3</v>
      </c>
    </row>
    <row r="12" spans="1:15">
      <c r="A12" s="282" t="s">
        <v>275</v>
      </c>
      <c r="B12" s="283" t="s">
        <v>449</v>
      </c>
      <c r="C12" s="283" t="s">
        <v>63</v>
      </c>
      <c r="D12" s="284">
        <v>0.33333333333333331</v>
      </c>
      <c r="E12" s="284">
        <v>0.70833333333333337</v>
      </c>
      <c r="F12" s="283">
        <v>12</v>
      </c>
      <c r="G12" s="285">
        <f t="shared" si="0"/>
        <v>3</v>
      </c>
      <c r="H12" s="283"/>
      <c r="I12" s="283">
        <v>1</v>
      </c>
      <c r="J12" s="283"/>
      <c r="K12" s="283"/>
      <c r="L12" s="283"/>
      <c r="M12" s="283"/>
      <c r="N12" s="283"/>
      <c r="O12" s="287">
        <v>1</v>
      </c>
    </row>
    <row r="13" spans="1:15">
      <c r="A13" s="282" t="s">
        <v>453</v>
      </c>
      <c r="B13" s="283" t="s">
        <v>449</v>
      </c>
      <c r="C13" s="283" t="s">
        <v>63</v>
      </c>
      <c r="D13" s="284">
        <v>0.33333333333333331</v>
      </c>
      <c r="E13" s="284">
        <v>0.70833333333333337</v>
      </c>
      <c r="F13" s="283">
        <v>12</v>
      </c>
      <c r="G13" s="285">
        <f t="shared" si="0"/>
        <v>3</v>
      </c>
      <c r="H13" s="283"/>
      <c r="I13" s="283">
        <v>3</v>
      </c>
      <c r="J13" s="283"/>
      <c r="K13" s="283"/>
      <c r="L13" s="283"/>
      <c r="M13" s="283"/>
      <c r="N13" s="283"/>
      <c r="O13" s="287">
        <v>3</v>
      </c>
    </row>
    <row r="14" spans="1:15">
      <c r="A14" s="282" t="s">
        <v>189</v>
      </c>
      <c r="B14" s="283" t="s">
        <v>449</v>
      </c>
      <c r="C14" s="283" t="s">
        <v>63</v>
      </c>
      <c r="D14" s="284">
        <v>0.33333333333333331</v>
      </c>
      <c r="E14" s="284">
        <v>0.70833333333333337</v>
      </c>
      <c r="F14" s="283">
        <v>12</v>
      </c>
      <c r="G14" s="285">
        <f t="shared" si="0"/>
        <v>3</v>
      </c>
      <c r="H14" s="283"/>
      <c r="I14" s="283">
        <v>3</v>
      </c>
      <c r="J14" s="283"/>
      <c r="K14" s="283"/>
      <c r="L14" s="283"/>
      <c r="M14" s="283"/>
      <c r="N14" s="283"/>
      <c r="O14" s="287">
        <v>3</v>
      </c>
    </row>
    <row r="15" spans="1:15">
      <c r="A15" s="282" t="s">
        <v>85</v>
      </c>
      <c r="B15" s="283" t="s">
        <v>449</v>
      </c>
      <c r="C15" s="283" t="s">
        <v>63</v>
      </c>
      <c r="D15" s="284">
        <v>0.33333333333333331</v>
      </c>
      <c r="E15" s="284">
        <v>0.70833333333333337</v>
      </c>
      <c r="F15" s="283">
        <v>12</v>
      </c>
      <c r="G15" s="285">
        <f t="shared" si="0"/>
        <v>3</v>
      </c>
      <c r="H15" s="283"/>
      <c r="I15" s="283">
        <v>3</v>
      </c>
      <c r="J15" s="283"/>
      <c r="K15" s="283"/>
      <c r="L15" s="283"/>
      <c r="M15" s="283"/>
      <c r="N15" s="283"/>
      <c r="O15" s="287">
        <v>3</v>
      </c>
    </row>
    <row r="16" spans="1:15">
      <c r="A16" s="282" t="s">
        <v>293</v>
      </c>
      <c r="B16" s="283" t="s">
        <v>449</v>
      </c>
      <c r="C16" s="283" t="s">
        <v>33</v>
      </c>
      <c r="D16" s="284">
        <v>0.33333333333333331</v>
      </c>
      <c r="E16" s="284">
        <v>0.70833333333333337</v>
      </c>
      <c r="F16" s="283">
        <v>12</v>
      </c>
      <c r="G16" s="285">
        <f t="shared" si="0"/>
        <v>3</v>
      </c>
      <c r="H16" s="283">
        <v>1</v>
      </c>
      <c r="I16" s="283"/>
      <c r="J16" s="283"/>
      <c r="K16" s="283"/>
      <c r="L16" s="283"/>
      <c r="M16" s="283"/>
      <c r="N16" s="283"/>
      <c r="O16" s="287">
        <v>1</v>
      </c>
    </row>
    <row r="17" spans="1:15">
      <c r="A17" s="282" t="s">
        <v>31</v>
      </c>
      <c r="B17" s="283" t="s">
        <v>449</v>
      </c>
      <c r="C17" s="283" t="s">
        <v>33</v>
      </c>
      <c r="D17" s="284">
        <v>0.33333333333333331</v>
      </c>
      <c r="E17" s="284">
        <v>0.70833333333333337</v>
      </c>
      <c r="F17" s="283">
        <v>12</v>
      </c>
      <c r="G17" s="285">
        <f t="shared" si="0"/>
        <v>3</v>
      </c>
      <c r="H17" s="283"/>
      <c r="I17" s="283">
        <v>4</v>
      </c>
      <c r="J17" s="283"/>
      <c r="K17" s="283"/>
      <c r="L17" s="283"/>
      <c r="M17" s="283"/>
      <c r="N17" s="283"/>
      <c r="O17" s="287">
        <v>4</v>
      </c>
    </row>
    <row r="18" spans="1:15">
      <c r="A18" s="282" t="s">
        <v>288</v>
      </c>
      <c r="B18" s="283" t="s">
        <v>449</v>
      </c>
      <c r="C18" s="283" t="s">
        <v>33</v>
      </c>
      <c r="D18" s="284">
        <v>0.33333333333333331</v>
      </c>
      <c r="E18" s="284">
        <v>0.70833333333333337</v>
      </c>
      <c r="F18" s="283">
        <v>12</v>
      </c>
      <c r="G18" s="285">
        <f t="shared" si="0"/>
        <v>3</v>
      </c>
      <c r="H18" s="283"/>
      <c r="I18" s="283">
        <v>4</v>
      </c>
      <c r="J18" s="283"/>
      <c r="K18" s="283"/>
      <c r="L18" s="283"/>
      <c r="M18" s="283"/>
      <c r="N18" s="283"/>
      <c r="O18" s="287">
        <v>4</v>
      </c>
    </row>
    <row r="19" spans="1:15">
      <c r="A19" s="282" t="s">
        <v>271</v>
      </c>
      <c r="B19" s="283" t="s">
        <v>449</v>
      </c>
      <c r="C19" s="283" t="s">
        <v>33</v>
      </c>
      <c r="D19" s="284">
        <v>0.33333333333333331</v>
      </c>
      <c r="E19" s="284">
        <v>0.70833333333333337</v>
      </c>
      <c r="F19" s="283">
        <v>12</v>
      </c>
      <c r="G19" s="285">
        <f t="shared" si="0"/>
        <v>3</v>
      </c>
      <c r="H19" s="283"/>
      <c r="I19" s="283">
        <v>4</v>
      </c>
      <c r="J19" s="283"/>
      <c r="K19" s="283"/>
      <c r="L19" s="283"/>
      <c r="M19" s="283"/>
      <c r="N19" s="283"/>
      <c r="O19" s="287">
        <v>4</v>
      </c>
    </row>
    <row r="20" spans="1:15">
      <c r="A20" s="282" t="s">
        <v>297</v>
      </c>
      <c r="B20" s="283" t="s">
        <v>449</v>
      </c>
      <c r="C20" s="283" t="s">
        <v>33</v>
      </c>
      <c r="D20" s="284">
        <v>0.33333333333333331</v>
      </c>
      <c r="E20" s="284">
        <v>0.70833333333333337</v>
      </c>
      <c r="F20" s="283">
        <v>12</v>
      </c>
      <c r="G20" s="285">
        <f t="shared" si="0"/>
        <v>3</v>
      </c>
      <c r="H20" s="283"/>
      <c r="I20" s="283">
        <v>4</v>
      </c>
      <c r="J20" s="283"/>
      <c r="K20" s="283"/>
      <c r="L20" s="283"/>
      <c r="M20" s="283"/>
      <c r="N20" s="283"/>
      <c r="O20" s="287">
        <v>4</v>
      </c>
    </row>
    <row r="21" spans="1:15">
      <c r="A21" s="282" t="s">
        <v>123</v>
      </c>
      <c r="B21" s="283" t="s">
        <v>454</v>
      </c>
      <c r="C21" s="283"/>
      <c r="D21" s="284">
        <v>0.125</v>
      </c>
      <c r="E21" s="284">
        <v>0.25</v>
      </c>
      <c r="F21" s="283">
        <v>12</v>
      </c>
      <c r="G21" s="285">
        <f t="shared" si="0"/>
        <v>3</v>
      </c>
      <c r="H21" s="283">
        <v>6</v>
      </c>
      <c r="I21" s="283"/>
      <c r="J21" s="283"/>
      <c r="K21" s="283"/>
      <c r="L21" s="283"/>
      <c r="M21" s="283"/>
      <c r="N21" s="283"/>
      <c r="O21" s="287">
        <v>6</v>
      </c>
    </row>
    <row r="22" spans="1:15">
      <c r="A22" s="282" t="s">
        <v>455</v>
      </c>
      <c r="B22" s="283" t="s">
        <v>454</v>
      </c>
      <c r="C22" s="283"/>
      <c r="D22" s="284">
        <v>0.45833333333333331</v>
      </c>
      <c r="E22" s="284">
        <v>0.83333333333333337</v>
      </c>
      <c r="F22" s="283">
        <v>12</v>
      </c>
      <c r="G22" s="285">
        <f t="shared" si="0"/>
        <v>3</v>
      </c>
      <c r="H22" s="283">
        <v>2</v>
      </c>
      <c r="I22" s="283"/>
      <c r="J22" s="283"/>
      <c r="K22" s="283"/>
      <c r="L22" s="283"/>
      <c r="M22" s="283"/>
      <c r="N22" s="283"/>
      <c r="O22" s="287">
        <v>2</v>
      </c>
    </row>
    <row r="23" spans="1:15">
      <c r="A23" s="282" t="s">
        <v>456</v>
      </c>
      <c r="B23" s="283" t="s">
        <v>454</v>
      </c>
      <c r="C23" s="283"/>
      <c r="D23" s="284">
        <v>0.45833333333333331</v>
      </c>
      <c r="E23" s="284">
        <v>0.83333333333333337</v>
      </c>
      <c r="F23" s="283">
        <v>12</v>
      </c>
      <c r="G23" s="285">
        <f t="shared" si="0"/>
        <v>3</v>
      </c>
      <c r="H23" s="283">
        <v>4</v>
      </c>
      <c r="I23" s="283">
        <v>8</v>
      </c>
      <c r="J23" s="283"/>
      <c r="K23" s="283"/>
      <c r="L23" s="283"/>
      <c r="M23" s="283"/>
      <c r="N23" s="283"/>
      <c r="O23" s="287">
        <v>12</v>
      </c>
    </row>
    <row r="24" spans="1:15">
      <c r="A24" s="282" t="s">
        <v>34</v>
      </c>
      <c r="B24" s="283" t="s">
        <v>454</v>
      </c>
      <c r="C24" s="283"/>
      <c r="D24" s="284">
        <v>0.33333333333333331</v>
      </c>
      <c r="E24" s="284">
        <v>0.83333333333333337</v>
      </c>
      <c r="F24" s="283">
        <v>12</v>
      </c>
      <c r="G24" s="285">
        <f t="shared" si="0"/>
        <v>3</v>
      </c>
      <c r="H24" s="283"/>
      <c r="I24" s="283">
        <v>8</v>
      </c>
      <c r="J24" s="283"/>
      <c r="K24" s="283"/>
      <c r="L24" s="283"/>
      <c r="M24" s="283"/>
      <c r="N24" s="283"/>
      <c r="O24" s="287">
        <v>8</v>
      </c>
    </row>
    <row r="25" spans="1:15">
      <c r="A25" s="282" t="s">
        <v>113</v>
      </c>
      <c r="B25" s="283" t="s">
        <v>454</v>
      </c>
      <c r="C25" s="283"/>
      <c r="D25" s="284">
        <v>0.33333333333333331</v>
      </c>
      <c r="E25" s="284">
        <v>0.70833333333333337</v>
      </c>
      <c r="F25" s="283">
        <v>12</v>
      </c>
      <c r="G25" s="285">
        <f t="shared" si="0"/>
        <v>3</v>
      </c>
      <c r="H25" s="283"/>
      <c r="I25" s="283">
        <v>8</v>
      </c>
      <c r="J25" s="283"/>
      <c r="K25" s="283"/>
      <c r="L25" s="283"/>
      <c r="M25" s="283"/>
      <c r="N25" s="283"/>
      <c r="O25" s="287">
        <v>8</v>
      </c>
    </row>
    <row r="26" spans="1:15">
      <c r="A26" s="282" t="s">
        <v>68</v>
      </c>
      <c r="B26" s="283" t="s">
        <v>454</v>
      </c>
      <c r="C26" s="283"/>
      <c r="D26" s="284">
        <v>0.33333333333333331</v>
      </c>
      <c r="E26" s="284">
        <v>0.70833333333333337</v>
      </c>
      <c r="F26" s="283">
        <v>12</v>
      </c>
      <c r="G26" s="285">
        <f t="shared" si="0"/>
        <v>3</v>
      </c>
      <c r="H26" s="283"/>
      <c r="I26" s="283">
        <v>5</v>
      </c>
      <c r="J26" s="283"/>
      <c r="K26" s="283"/>
      <c r="L26" s="283"/>
      <c r="M26" s="283"/>
      <c r="N26" s="283"/>
      <c r="O26" s="287">
        <v>5</v>
      </c>
    </row>
    <row r="27" spans="1:15">
      <c r="A27" s="282" t="s">
        <v>78</v>
      </c>
      <c r="B27" s="283" t="s">
        <v>454</v>
      </c>
      <c r="C27" s="283"/>
      <c r="D27" s="284">
        <v>0.41666666666666669</v>
      </c>
      <c r="E27" s="284">
        <v>0.875</v>
      </c>
      <c r="F27" s="283">
        <v>12</v>
      </c>
      <c r="G27" s="285">
        <f t="shared" si="0"/>
        <v>3</v>
      </c>
      <c r="H27" s="283"/>
      <c r="I27" s="283">
        <v>3</v>
      </c>
      <c r="J27" s="283"/>
      <c r="K27" s="283"/>
      <c r="L27" s="283"/>
      <c r="M27" s="283"/>
      <c r="N27" s="283"/>
      <c r="O27" s="287">
        <v>3</v>
      </c>
    </row>
    <row r="28" spans="1:15">
      <c r="A28" s="282" t="s">
        <v>109</v>
      </c>
      <c r="B28" s="283" t="s">
        <v>454</v>
      </c>
      <c r="C28" s="283"/>
      <c r="D28" s="284">
        <v>0.41666666666666669</v>
      </c>
      <c r="E28" s="284">
        <v>0.875</v>
      </c>
      <c r="F28" s="283">
        <v>12</v>
      </c>
      <c r="G28" s="285">
        <f t="shared" si="0"/>
        <v>3</v>
      </c>
      <c r="H28" s="283"/>
      <c r="I28" s="283">
        <v>3</v>
      </c>
      <c r="J28" s="283"/>
      <c r="K28" s="283"/>
      <c r="L28" s="283"/>
      <c r="M28" s="283"/>
      <c r="N28" s="283"/>
      <c r="O28" s="287">
        <v>3</v>
      </c>
    </row>
    <row r="29" spans="1:15">
      <c r="A29" s="282" t="s">
        <v>38</v>
      </c>
      <c r="B29" s="283" t="s">
        <v>457</v>
      </c>
      <c r="C29" s="283"/>
      <c r="D29" s="284">
        <v>0.33333333333333331</v>
      </c>
      <c r="E29" s="284">
        <v>0.70833333333333337</v>
      </c>
      <c r="F29" s="283">
        <v>12</v>
      </c>
      <c r="G29" s="285">
        <f t="shared" si="0"/>
        <v>3</v>
      </c>
      <c r="H29" s="283">
        <v>1</v>
      </c>
      <c r="I29" s="283"/>
      <c r="J29" s="283"/>
      <c r="K29" s="283"/>
      <c r="L29" s="283"/>
      <c r="M29" s="283"/>
      <c r="N29" s="283"/>
      <c r="O29" s="287" t="s">
        <v>187</v>
      </c>
    </row>
    <row r="30" spans="1:15">
      <c r="A30" s="288" t="s">
        <v>187</v>
      </c>
      <c r="B30" s="289" t="s">
        <v>187</v>
      </c>
      <c r="C30" s="289" t="s">
        <v>187</v>
      </c>
      <c r="D30" s="289" t="s">
        <v>187</v>
      </c>
      <c r="E30" s="289" t="s">
        <v>187</v>
      </c>
      <c r="F30" s="290"/>
      <c r="G30" s="291">
        <f t="shared" si="0"/>
        <v>-9</v>
      </c>
      <c r="H30" s="289">
        <v>24</v>
      </c>
      <c r="I30" s="289">
        <v>83</v>
      </c>
      <c r="J30" s="289" t="s">
        <v>187</v>
      </c>
      <c r="K30" s="289" t="s">
        <v>187</v>
      </c>
      <c r="L30" s="289" t="s">
        <v>187</v>
      </c>
      <c r="M30" s="289" t="s">
        <v>187</v>
      </c>
      <c r="N30" s="289" t="s">
        <v>187</v>
      </c>
      <c r="O30" s="292">
        <v>106</v>
      </c>
    </row>
  </sheetData>
  <mergeCells count="8">
    <mergeCell ref="G1:G2"/>
    <mergeCell ref="O1:O2"/>
    <mergeCell ref="A1:A2"/>
    <mergeCell ref="B1:B2"/>
    <mergeCell ref="C1:C2"/>
    <mergeCell ref="D1:D2"/>
    <mergeCell ref="E1:E2"/>
    <mergeCell ref="F1:F2"/>
  </mergeCells>
  <dataValidations count="2">
    <dataValidation type="list" allowBlank="1" showInputMessage="1" showErrorMessage="1" sqref="B3:B29" xr:uid="{1A5C09D7-0DD6-49E4-BB54-4DAFEF1B2E9B}">
      <formula1>"BILLING,REJECTIONS,INTAKE,MPEN,REBILL,ELIGIBILITY,"</formula1>
    </dataValidation>
    <dataValidation type="list" allowBlank="1" showInputMessage="1" showErrorMessage="1" sqref="C3:C30" xr:uid="{5EDD75A4-FBDB-489E-B024-BE4E30976E9F}">
      <formula1>"KY,IL,MA,NJ,NY,"</formula1>
    </dataValidation>
  </dataValidation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DA0DA-3826-4219-9BD4-F15A9C91D8FB}">
  <dimension ref="A1:X43"/>
  <sheetViews>
    <sheetView workbookViewId="0">
      <selection activeCell="T32" sqref="T32"/>
    </sheetView>
  </sheetViews>
  <sheetFormatPr defaultRowHeight="15"/>
  <cols>
    <col min="1" max="1" width="17.5703125" customWidth="1"/>
  </cols>
  <sheetData>
    <row r="1" spans="1:24">
      <c r="C1" s="58"/>
      <c r="D1" s="50">
        <v>45851</v>
      </c>
      <c r="E1" s="50">
        <v>45852</v>
      </c>
      <c r="F1" s="50">
        <v>45853</v>
      </c>
      <c r="G1" s="50">
        <v>45854</v>
      </c>
      <c r="H1" s="50">
        <v>45855</v>
      </c>
      <c r="I1" s="50">
        <v>45856</v>
      </c>
      <c r="J1" s="50">
        <v>45857</v>
      </c>
      <c r="K1" s="52"/>
    </row>
    <row r="2" spans="1:24">
      <c r="A2" s="1" t="s">
        <v>2</v>
      </c>
      <c r="B2" s="1" t="s">
        <v>0</v>
      </c>
      <c r="C2" s="17" t="s">
        <v>3</v>
      </c>
      <c r="D2" s="8" t="s">
        <v>135</v>
      </c>
      <c r="E2" s="8" t="s">
        <v>136</v>
      </c>
      <c r="F2" s="8" t="s">
        <v>137</v>
      </c>
      <c r="G2" s="8" t="s">
        <v>138</v>
      </c>
      <c r="H2" s="8" t="s">
        <v>139</v>
      </c>
      <c r="I2" s="8" t="s">
        <v>140</v>
      </c>
      <c r="J2" s="8" t="s">
        <v>141</v>
      </c>
      <c r="K2" s="81" t="s">
        <v>4</v>
      </c>
      <c r="L2" s="74" t="s">
        <v>186</v>
      </c>
      <c r="M2" s="74" t="s">
        <v>5</v>
      </c>
      <c r="N2" s="74" t="s">
        <v>6</v>
      </c>
      <c r="O2" s="74" t="s">
        <v>7</v>
      </c>
      <c r="P2" s="74" t="s">
        <v>8</v>
      </c>
      <c r="Q2" s="74" t="s">
        <v>9</v>
      </c>
      <c r="R2" s="74" t="s">
        <v>182</v>
      </c>
      <c r="S2" s="74" t="s">
        <v>183</v>
      </c>
      <c r="T2" s="74" t="s">
        <v>147</v>
      </c>
      <c r="U2" s="75" t="s">
        <v>12</v>
      </c>
      <c r="V2" s="75" t="s">
        <v>14</v>
      </c>
      <c r="W2" s="76" t="s">
        <v>184</v>
      </c>
      <c r="X2" s="3" t="s">
        <v>185</v>
      </c>
    </row>
    <row r="3" spans="1:24">
      <c r="A3" s="61" t="s">
        <v>208</v>
      </c>
      <c r="B3" s="62" t="s">
        <v>37</v>
      </c>
      <c r="C3" s="61" t="s">
        <v>340</v>
      </c>
      <c r="D3" s="9">
        <v>450</v>
      </c>
      <c r="E3" s="9" t="s">
        <v>147</v>
      </c>
      <c r="F3" s="9" t="s">
        <v>147</v>
      </c>
      <c r="G3" s="9">
        <v>450</v>
      </c>
      <c r="H3" s="9">
        <v>450</v>
      </c>
      <c r="I3" s="9"/>
      <c r="J3" s="80"/>
      <c r="K3" s="79">
        <f>SUM(D3:J3)</f>
        <v>1350</v>
      </c>
      <c r="L3" s="55">
        <f>K3-M3</f>
        <v>0</v>
      </c>
      <c r="M3" s="72">
        <f>SUMIF(D3:J3,"450")</f>
        <v>1350</v>
      </c>
      <c r="N3" s="55">
        <f>L3+M3</f>
        <v>1350</v>
      </c>
      <c r="O3" s="55">
        <f>R3*450</f>
        <v>2250</v>
      </c>
      <c r="P3" s="55">
        <f>O3-N3</f>
        <v>900</v>
      </c>
      <c r="Q3" s="55">
        <f>P3/O3</f>
        <v>0.4</v>
      </c>
      <c r="R3" s="55">
        <f>S3-(U3+V3)</f>
        <v>5</v>
      </c>
      <c r="S3" s="55">
        <f>7-T3</f>
        <v>5</v>
      </c>
      <c r="T3" s="72">
        <f>COUNTIF(D3:J3,"RD")</f>
        <v>2</v>
      </c>
      <c r="U3" s="72">
        <f>COUNTIF(D3:J3,"VL")</f>
        <v>0</v>
      </c>
      <c r="V3" s="72">
        <f>COUNTIF(D3:J3,"LWOP")</f>
        <v>0</v>
      </c>
      <c r="W3" s="72">
        <f>COUNTIF(D3:J3,"450")</f>
        <v>3</v>
      </c>
    </row>
    <row r="4" spans="1:24">
      <c r="A4" s="63" t="s">
        <v>215</v>
      </c>
      <c r="B4" s="62" t="s">
        <v>37</v>
      </c>
      <c r="C4" s="63" t="s">
        <v>340</v>
      </c>
      <c r="D4" s="9" t="s">
        <v>148</v>
      </c>
      <c r="E4" s="9" t="s">
        <v>147</v>
      </c>
      <c r="F4" s="9" t="s">
        <v>147</v>
      </c>
      <c r="G4" s="9">
        <v>1</v>
      </c>
      <c r="H4" s="9">
        <v>13</v>
      </c>
      <c r="I4" s="9" t="s">
        <v>174</v>
      </c>
      <c r="J4" s="80" t="s">
        <v>148</v>
      </c>
      <c r="K4" s="79">
        <f t="shared" ref="K4:K26" si="0">SUM(D4:J4)</f>
        <v>14</v>
      </c>
      <c r="L4" s="55">
        <f t="shared" ref="L4:L26" si="1">K4-M4</f>
        <v>14</v>
      </c>
      <c r="M4" s="72">
        <f t="shared" ref="M4:M26" si="2">SUMIF(D4:J4,"450")</f>
        <v>0</v>
      </c>
      <c r="N4" s="55">
        <f t="shared" ref="N4:N26" si="3">L4+M4</f>
        <v>14</v>
      </c>
      <c r="O4" s="55">
        <f t="shared" ref="O4:O26" si="4">R4*450</f>
        <v>2250</v>
      </c>
      <c r="P4" s="55">
        <f t="shared" ref="P4:P26" si="5">O4-N4</f>
        <v>2236</v>
      </c>
      <c r="Q4" s="55">
        <f t="shared" ref="Q4:Q26" si="6">P4/O4</f>
        <v>0.99377777777777776</v>
      </c>
      <c r="R4" s="55">
        <f t="shared" ref="R4:R26" si="7">S4-(U4+V4)</f>
        <v>5</v>
      </c>
      <c r="S4" s="55">
        <f t="shared" ref="S4:S26" si="8">7-T4</f>
        <v>5</v>
      </c>
      <c r="T4" s="72">
        <f t="shared" ref="T4:T26" si="9">COUNTIF(D4:J4,"RD")</f>
        <v>2</v>
      </c>
      <c r="U4" s="72">
        <f t="shared" ref="U4:U26" si="10">COUNTIF(D4:J4,"VL")</f>
        <v>0</v>
      </c>
      <c r="V4" s="72">
        <f t="shared" ref="V4:V26" si="11">COUNTIF(D4:J4,"LWOP")</f>
        <v>0</v>
      </c>
      <c r="W4" s="72">
        <f t="shared" ref="W4:W26" si="12">COUNTIF(D4:J4,"450")</f>
        <v>0</v>
      </c>
    </row>
    <row r="5" spans="1:24">
      <c r="A5" s="63" t="s">
        <v>318</v>
      </c>
      <c r="B5" s="62" t="s">
        <v>341</v>
      </c>
      <c r="C5" s="63" t="s">
        <v>340</v>
      </c>
      <c r="D5" s="9" t="s">
        <v>147</v>
      </c>
      <c r="E5" s="9" t="s">
        <v>148</v>
      </c>
      <c r="F5" s="9" t="s">
        <v>148</v>
      </c>
      <c r="G5" s="9" t="s">
        <v>148</v>
      </c>
      <c r="H5" s="9">
        <v>8</v>
      </c>
      <c r="I5" s="9" t="s">
        <v>148</v>
      </c>
      <c r="J5" s="80" t="s">
        <v>147</v>
      </c>
      <c r="K5" s="79">
        <f t="shared" si="0"/>
        <v>8</v>
      </c>
      <c r="L5" s="55">
        <f t="shared" si="1"/>
        <v>8</v>
      </c>
      <c r="M5" s="72">
        <f t="shared" si="2"/>
        <v>0</v>
      </c>
      <c r="N5" s="55">
        <f t="shared" si="3"/>
        <v>8</v>
      </c>
      <c r="O5" s="55">
        <f t="shared" si="4"/>
        <v>2250</v>
      </c>
      <c r="P5" s="55">
        <f t="shared" si="5"/>
        <v>2242</v>
      </c>
      <c r="Q5" s="55">
        <f t="shared" si="6"/>
        <v>0.99644444444444447</v>
      </c>
      <c r="R5" s="55">
        <f t="shared" si="7"/>
        <v>5</v>
      </c>
      <c r="S5" s="55">
        <f t="shared" si="8"/>
        <v>5</v>
      </c>
      <c r="T5" s="72">
        <f t="shared" si="9"/>
        <v>2</v>
      </c>
      <c r="U5" s="72">
        <f t="shared" si="10"/>
        <v>0</v>
      </c>
      <c r="V5" s="72">
        <f t="shared" si="11"/>
        <v>0</v>
      </c>
      <c r="W5" s="72">
        <f t="shared" si="12"/>
        <v>0</v>
      </c>
    </row>
    <row r="6" spans="1:24">
      <c r="A6" s="63" t="s">
        <v>217</v>
      </c>
      <c r="B6" s="62" t="s">
        <v>341</v>
      </c>
      <c r="C6" s="63" t="s">
        <v>340</v>
      </c>
      <c r="D6" s="9" t="s">
        <v>147</v>
      </c>
      <c r="E6" s="9" t="s">
        <v>148</v>
      </c>
      <c r="F6" s="9" t="s">
        <v>148</v>
      </c>
      <c r="G6" s="9" t="s">
        <v>148</v>
      </c>
      <c r="H6" s="9" t="s">
        <v>148</v>
      </c>
      <c r="I6" s="9" t="s">
        <v>148</v>
      </c>
      <c r="J6" s="80" t="s">
        <v>147</v>
      </c>
      <c r="K6" s="79">
        <f t="shared" si="0"/>
        <v>0</v>
      </c>
      <c r="L6" s="55">
        <f t="shared" si="1"/>
        <v>0</v>
      </c>
      <c r="M6" s="72">
        <f t="shared" si="2"/>
        <v>0</v>
      </c>
      <c r="N6" s="55">
        <f t="shared" si="3"/>
        <v>0</v>
      </c>
      <c r="O6" s="55">
        <f t="shared" si="4"/>
        <v>2250</v>
      </c>
      <c r="P6" s="55">
        <f t="shared" si="5"/>
        <v>2250</v>
      </c>
      <c r="Q6" s="55">
        <f t="shared" si="6"/>
        <v>1</v>
      </c>
      <c r="R6" s="55">
        <f t="shared" si="7"/>
        <v>5</v>
      </c>
      <c r="S6" s="55">
        <f t="shared" si="8"/>
        <v>5</v>
      </c>
      <c r="T6" s="72">
        <f t="shared" si="9"/>
        <v>2</v>
      </c>
      <c r="U6" s="72">
        <f t="shared" si="10"/>
        <v>0</v>
      </c>
      <c r="V6" s="72">
        <f t="shared" si="11"/>
        <v>0</v>
      </c>
      <c r="W6" s="72">
        <f t="shared" si="12"/>
        <v>0</v>
      </c>
    </row>
    <row r="7" spans="1:24">
      <c r="A7" s="63" t="s">
        <v>218</v>
      </c>
      <c r="B7" s="62" t="s">
        <v>22</v>
      </c>
      <c r="C7" s="63" t="s">
        <v>340</v>
      </c>
      <c r="D7" s="9" t="s">
        <v>147</v>
      </c>
      <c r="E7" s="9" t="s">
        <v>148</v>
      </c>
      <c r="F7" s="9" t="s">
        <v>148</v>
      </c>
      <c r="G7" s="9" t="s">
        <v>148</v>
      </c>
      <c r="H7" s="9" t="s">
        <v>148</v>
      </c>
      <c r="I7" s="9" t="s">
        <v>148</v>
      </c>
      <c r="J7" s="80" t="s">
        <v>147</v>
      </c>
      <c r="K7" s="79">
        <f t="shared" si="0"/>
        <v>0</v>
      </c>
      <c r="L7" s="55">
        <f t="shared" si="1"/>
        <v>0</v>
      </c>
      <c r="M7" s="72">
        <f t="shared" si="2"/>
        <v>0</v>
      </c>
      <c r="N7" s="55">
        <f t="shared" si="3"/>
        <v>0</v>
      </c>
      <c r="O7" s="55">
        <f t="shared" si="4"/>
        <v>2250</v>
      </c>
      <c r="P7" s="55">
        <f t="shared" si="5"/>
        <v>2250</v>
      </c>
      <c r="Q7" s="55">
        <f t="shared" si="6"/>
        <v>1</v>
      </c>
      <c r="R7" s="55">
        <f t="shared" si="7"/>
        <v>5</v>
      </c>
      <c r="S7" s="55">
        <f t="shared" si="8"/>
        <v>5</v>
      </c>
      <c r="T7" s="72">
        <f t="shared" si="9"/>
        <v>2</v>
      </c>
      <c r="U7" s="72">
        <f t="shared" si="10"/>
        <v>0</v>
      </c>
      <c r="V7" s="72">
        <f t="shared" si="11"/>
        <v>0</v>
      </c>
      <c r="W7" s="72">
        <f t="shared" si="12"/>
        <v>0</v>
      </c>
    </row>
    <row r="8" spans="1:24">
      <c r="A8" s="63" t="s">
        <v>220</v>
      </c>
      <c r="B8" s="62" t="s">
        <v>267</v>
      </c>
      <c r="C8" s="63" t="s">
        <v>340</v>
      </c>
      <c r="D8" s="9" t="s">
        <v>147</v>
      </c>
      <c r="E8" s="9">
        <v>1</v>
      </c>
      <c r="F8" s="9" t="s">
        <v>148</v>
      </c>
      <c r="G8" s="9">
        <v>2</v>
      </c>
      <c r="H8" s="9" t="s">
        <v>148</v>
      </c>
      <c r="I8" s="9" t="s">
        <v>148</v>
      </c>
      <c r="J8" s="80" t="s">
        <v>147</v>
      </c>
      <c r="K8" s="79">
        <f t="shared" si="0"/>
        <v>3</v>
      </c>
      <c r="L8" s="55">
        <f t="shared" si="1"/>
        <v>3</v>
      </c>
      <c r="M8" s="72">
        <f t="shared" si="2"/>
        <v>0</v>
      </c>
      <c r="N8" s="55">
        <f t="shared" si="3"/>
        <v>3</v>
      </c>
      <c r="O8" s="55">
        <f t="shared" si="4"/>
        <v>2250</v>
      </c>
      <c r="P8" s="55">
        <f t="shared" si="5"/>
        <v>2247</v>
      </c>
      <c r="Q8" s="55">
        <f t="shared" si="6"/>
        <v>0.9986666666666667</v>
      </c>
      <c r="R8" s="55">
        <f t="shared" si="7"/>
        <v>5</v>
      </c>
      <c r="S8" s="55">
        <f t="shared" si="8"/>
        <v>5</v>
      </c>
      <c r="T8" s="72">
        <f t="shared" si="9"/>
        <v>2</v>
      </c>
      <c r="U8" s="72">
        <f t="shared" si="10"/>
        <v>0</v>
      </c>
      <c r="V8" s="72">
        <f t="shared" si="11"/>
        <v>0</v>
      </c>
      <c r="W8" s="72">
        <f t="shared" si="12"/>
        <v>0</v>
      </c>
    </row>
    <row r="9" spans="1:24">
      <c r="A9" s="63" t="s">
        <v>321</v>
      </c>
      <c r="B9" s="62" t="s">
        <v>341</v>
      </c>
      <c r="C9" s="63" t="s">
        <v>340</v>
      </c>
      <c r="D9" s="9" t="s">
        <v>147</v>
      </c>
      <c r="E9" s="9" t="s">
        <v>148</v>
      </c>
      <c r="F9" s="9" t="s">
        <v>148</v>
      </c>
      <c r="G9" s="9" t="s">
        <v>148</v>
      </c>
      <c r="H9" s="9" t="s">
        <v>148</v>
      </c>
      <c r="I9" s="9" t="s">
        <v>148</v>
      </c>
      <c r="J9" s="80" t="s">
        <v>147</v>
      </c>
      <c r="K9" s="79">
        <f t="shared" si="0"/>
        <v>0</v>
      </c>
      <c r="L9" s="55">
        <f t="shared" si="1"/>
        <v>0</v>
      </c>
      <c r="M9" s="72">
        <f t="shared" si="2"/>
        <v>0</v>
      </c>
      <c r="N9" s="55">
        <f t="shared" si="3"/>
        <v>0</v>
      </c>
      <c r="O9" s="55">
        <f t="shared" si="4"/>
        <v>2250</v>
      </c>
      <c r="P9" s="55">
        <f t="shared" si="5"/>
        <v>2250</v>
      </c>
      <c r="Q9" s="55">
        <f t="shared" si="6"/>
        <v>1</v>
      </c>
      <c r="R9" s="55">
        <f t="shared" si="7"/>
        <v>5</v>
      </c>
      <c r="S9" s="55">
        <f t="shared" si="8"/>
        <v>5</v>
      </c>
      <c r="T9" s="72">
        <f t="shared" si="9"/>
        <v>2</v>
      </c>
      <c r="U9" s="72">
        <f t="shared" si="10"/>
        <v>0</v>
      </c>
      <c r="V9" s="72">
        <f t="shared" si="11"/>
        <v>0</v>
      </c>
      <c r="W9" s="72">
        <f t="shared" si="12"/>
        <v>0</v>
      </c>
    </row>
    <row r="10" spans="1:24">
      <c r="A10" s="63" t="s">
        <v>224</v>
      </c>
      <c r="B10" s="62" t="s">
        <v>37</v>
      </c>
      <c r="C10" s="63" t="s">
        <v>340</v>
      </c>
      <c r="D10" s="9" t="s">
        <v>148</v>
      </c>
      <c r="E10" s="9" t="s">
        <v>147</v>
      </c>
      <c r="F10" s="9" t="s">
        <v>147</v>
      </c>
      <c r="G10" s="9" t="s">
        <v>148</v>
      </c>
      <c r="H10" s="9" t="s">
        <v>148</v>
      </c>
      <c r="I10" s="9" t="s">
        <v>148</v>
      </c>
      <c r="J10" s="80" t="s">
        <v>148</v>
      </c>
      <c r="K10" s="79">
        <f t="shared" si="0"/>
        <v>0</v>
      </c>
      <c r="L10" s="55">
        <f t="shared" si="1"/>
        <v>0</v>
      </c>
      <c r="M10" s="72">
        <f t="shared" si="2"/>
        <v>0</v>
      </c>
      <c r="N10" s="55">
        <f t="shared" si="3"/>
        <v>0</v>
      </c>
      <c r="O10" s="55">
        <f t="shared" si="4"/>
        <v>2250</v>
      </c>
      <c r="P10" s="55">
        <f t="shared" si="5"/>
        <v>2250</v>
      </c>
      <c r="Q10" s="55">
        <f t="shared" si="6"/>
        <v>1</v>
      </c>
      <c r="R10" s="55">
        <f t="shared" si="7"/>
        <v>5</v>
      </c>
      <c r="S10" s="55">
        <f t="shared" si="8"/>
        <v>5</v>
      </c>
      <c r="T10" s="72">
        <f t="shared" si="9"/>
        <v>2</v>
      </c>
      <c r="U10" s="72">
        <f t="shared" si="10"/>
        <v>0</v>
      </c>
      <c r="V10" s="72">
        <f t="shared" si="11"/>
        <v>0</v>
      </c>
      <c r="W10" s="72">
        <f t="shared" si="12"/>
        <v>0</v>
      </c>
    </row>
    <row r="11" spans="1:24">
      <c r="A11" s="61" t="s">
        <v>225</v>
      </c>
      <c r="B11" s="62" t="s">
        <v>22</v>
      </c>
      <c r="C11" s="61" t="s">
        <v>63</v>
      </c>
      <c r="D11" s="9" t="s">
        <v>147</v>
      </c>
      <c r="E11" s="9" t="s">
        <v>148</v>
      </c>
      <c r="F11" s="9" t="s">
        <v>148</v>
      </c>
      <c r="G11" s="9" t="s">
        <v>148</v>
      </c>
      <c r="H11" s="9">
        <v>10</v>
      </c>
      <c r="I11" s="9" t="s">
        <v>148</v>
      </c>
      <c r="J11" s="80" t="s">
        <v>147</v>
      </c>
      <c r="K11" s="79">
        <f t="shared" si="0"/>
        <v>10</v>
      </c>
      <c r="L11" s="55">
        <f t="shared" si="1"/>
        <v>10</v>
      </c>
      <c r="M11" s="72">
        <f t="shared" si="2"/>
        <v>0</v>
      </c>
      <c r="N11" s="55">
        <f t="shared" si="3"/>
        <v>10</v>
      </c>
      <c r="O11" s="55">
        <f t="shared" si="4"/>
        <v>2250</v>
      </c>
      <c r="P11" s="55">
        <f t="shared" si="5"/>
        <v>2240</v>
      </c>
      <c r="Q11" s="55">
        <f t="shared" si="6"/>
        <v>0.99555555555555553</v>
      </c>
      <c r="R11" s="55">
        <f t="shared" si="7"/>
        <v>5</v>
      </c>
      <c r="S11" s="55">
        <f t="shared" si="8"/>
        <v>5</v>
      </c>
      <c r="T11" s="72">
        <f t="shared" si="9"/>
        <v>2</v>
      </c>
      <c r="U11" s="72">
        <f t="shared" si="10"/>
        <v>0</v>
      </c>
      <c r="V11" s="72">
        <f t="shared" si="11"/>
        <v>0</v>
      </c>
      <c r="W11" s="72">
        <f t="shared" si="12"/>
        <v>0</v>
      </c>
    </row>
    <row r="12" spans="1:24">
      <c r="A12" s="63" t="s">
        <v>227</v>
      </c>
      <c r="B12" s="62" t="s">
        <v>22</v>
      </c>
      <c r="C12" s="63" t="s">
        <v>63</v>
      </c>
      <c r="D12" s="9" t="s">
        <v>147</v>
      </c>
      <c r="E12" s="9" t="s">
        <v>148</v>
      </c>
      <c r="F12" s="9" t="s">
        <v>148</v>
      </c>
      <c r="G12" s="9" t="s">
        <v>148</v>
      </c>
      <c r="H12" s="9" t="s">
        <v>148</v>
      </c>
      <c r="I12" s="9" t="s">
        <v>148</v>
      </c>
      <c r="J12" s="80" t="s">
        <v>147</v>
      </c>
      <c r="K12" s="79">
        <f t="shared" si="0"/>
        <v>0</v>
      </c>
      <c r="L12" s="55">
        <f t="shared" si="1"/>
        <v>0</v>
      </c>
      <c r="M12" s="72">
        <f t="shared" si="2"/>
        <v>0</v>
      </c>
      <c r="N12" s="55">
        <f t="shared" si="3"/>
        <v>0</v>
      </c>
      <c r="O12" s="55">
        <f t="shared" si="4"/>
        <v>2250</v>
      </c>
      <c r="P12" s="55">
        <f t="shared" si="5"/>
        <v>2250</v>
      </c>
      <c r="Q12" s="55">
        <f t="shared" si="6"/>
        <v>1</v>
      </c>
      <c r="R12" s="55">
        <f t="shared" si="7"/>
        <v>5</v>
      </c>
      <c r="S12" s="55">
        <f t="shared" si="8"/>
        <v>5</v>
      </c>
      <c r="T12" s="72">
        <f t="shared" si="9"/>
        <v>2</v>
      </c>
      <c r="U12" s="72">
        <f t="shared" si="10"/>
        <v>0</v>
      </c>
      <c r="V12" s="72">
        <f t="shared" si="11"/>
        <v>0</v>
      </c>
      <c r="W12" s="72">
        <f t="shared" si="12"/>
        <v>0</v>
      </c>
    </row>
    <row r="13" spans="1:24">
      <c r="A13" s="63" t="s">
        <v>281</v>
      </c>
      <c r="B13" s="62" t="s">
        <v>22</v>
      </c>
      <c r="C13" s="63" t="s">
        <v>63</v>
      </c>
      <c r="D13" s="9" t="s">
        <v>147</v>
      </c>
      <c r="E13" s="9" t="s">
        <v>148</v>
      </c>
      <c r="F13" s="9" t="s">
        <v>148</v>
      </c>
      <c r="G13" s="9" t="s">
        <v>148</v>
      </c>
      <c r="H13" s="9" t="s">
        <v>148</v>
      </c>
      <c r="I13" s="9" t="s">
        <v>148</v>
      </c>
      <c r="J13" s="80" t="s">
        <v>147</v>
      </c>
      <c r="K13" s="79">
        <f t="shared" si="0"/>
        <v>0</v>
      </c>
      <c r="L13" s="55">
        <f t="shared" si="1"/>
        <v>0</v>
      </c>
      <c r="M13" s="72">
        <f t="shared" si="2"/>
        <v>0</v>
      </c>
      <c r="N13" s="55">
        <f t="shared" si="3"/>
        <v>0</v>
      </c>
      <c r="O13" s="55">
        <f t="shared" si="4"/>
        <v>2250</v>
      </c>
      <c r="P13" s="55">
        <f t="shared" si="5"/>
        <v>2250</v>
      </c>
      <c r="Q13" s="55">
        <f t="shared" si="6"/>
        <v>1</v>
      </c>
      <c r="R13" s="55">
        <f t="shared" si="7"/>
        <v>5</v>
      </c>
      <c r="S13" s="55">
        <f t="shared" si="8"/>
        <v>5</v>
      </c>
      <c r="T13" s="72">
        <f t="shared" si="9"/>
        <v>2</v>
      </c>
      <c r="U13" s="72">
        <f t="shared" si="10"/>
        <v>0</v>
      </c>
      <c r="V13" s="72">
        <f t="shared" si="11"/>
        <v>0</v>
      </c>
      <c r="W13" s="72">
        <f t="shared" si="12"/>
        <v>0</v>
      </c>
    </row>
    <row r="14" spans="1:24">
      <c r="A14" s="63" t="s">
        <v>286</v>
      </c>
      <c r="B14" s="62" t="s">
        <v>22</v>
      </c>
      <c r="C14" s="63" t="s">
        <v>63</v>
      </c>
      <c r="D14" s="9" t="s">
        <v>147</v>
      </c>
      <c r="E14" s="9" t="s">
        <v>148</v>
      </c>
      <c r="F14" s="9" t="s">
        <v>148</v>
      </c>
      <c r="G14" s="9" t="s">
        <v>148</v>
      </c>
      <c r="H14" s="9" t="s">
        <v>148</v>
      </c>
      <c r="I14" s="9" t="s">
        <v>148</v>
      </c>
      <c r="J14" s="80" t="s">
        <v>147</v>
      </c>
      <c r="K14" s="79">
        <f t="shared" si="0"/>
        <v>0</v>
      </c>
      <c r="L14" s="55">
        <f t="shared" si="1"/>
        <v>0</v>
      </c>
      <c r="M14" s="72">
        <f t="shared" si="2"/>
        <v>0</v>
      </c>
      <c r="N14" s="55">
        <f t="shared" si="3"/>
        <v>0</v>
      </c>
      <c r="O14" s="55">
        <f t="shared" si="4"/>
        <v>2250</v>
      </c>
      <c r="P14" s="55">
        <f t="shared" si="5"/>
        <v>2250</v>
      </c>
      <c r="Q14" s="55">
        <f t="shared" si="6"/>
        <v>1</v>
      </c>
      <c r="R14" s="55">
        <f t="shared" si="7"/>
        <v>5</v>
      </c>
      <c r="S14" s="55">
        <f t="shared" si="8"/>
        <v>5</v>
      </c>
      <c r="T14" s="72">
        <f t="shared" si="9"/>
        <v>2</v>
      </c>
      <c r="U14" s="72">
        <f t="shared" si="10"/>
        <v>0</v>
      </c>
      <c r="V14" s="72">
        <f t="shared" si="11"/>
        <v>0</v>
      </c>
      <c r="W14" s="72">
        <f t="shared" si="12"/>
        <v>0</v>
      </c>
    </row>
    <row r="15" spans="1:24">
      <c r="A15" s="63" t="s">
        <v>229</v>
      </c>
      <c r="B15" s="62" t="s">
        <v>22</v>
      </c>
      <c r="C15" s="63" t="s">
        <v>33</v>
      </c>
      <c r="D15" s="9" t="s">
        <v>147</v>
      </c>
      <c r="E15" s="9" t="s">
        <v>148</v>
      </c>
      <c r="F15" s="9" t="s">
        <v>148</v>
      </c>
      <c r="G15" s="9" t="s">
        <v>148</v>
      </c>
      <c r="H15" s="9">
        <v>72</v>
      </c>
      <c r="I15" s="9" t="s">
        <v>148</v>
      </c>
      <c r="J15" s="80" t="s">
        <v>147</v>
      </c>
      <c r="K15" s="79">
        <f t="shared" si="0"/>
        <v>72</v>
      </c>
      <c r="L15" s="55">
        <f t="shared" si="1"/>
        <v>72</v>
      </c>
      <c r="M15" s="72">
        <f t="shared" si="2"/>
        <v>0</v>
      </c>
      <c r="N15" s="55">
        <f t="shared" si="3"/>
        <v>72</v>
      </c>
      <c r="O15" s="55">
        <f t="shared" si="4"/>
        <v>2250</v>
      </c>
      <c r="P15" s="55">
        <f t="shared" si="5"/>
        <v>2178</v>
      </c>
      <c r="Q15" s="55">
        <f t="shared" si="6"/>
        <v>0.96799999999999997</v>
      </c>
      <c r="R15" s="55">
        <f t="shared" si="7"/>
        <v>5</v>
      </c>
      <c r="S15" s="55">
        <f t="shared" si="8"/>
        <v>5</v>
      </c>
      <c r="T15" s="72">
        <f t="shared" si="9"/>
        <v>2</v>
      </c>
      <c r="U15" s="72">
        <f t="shared" si="10"/>
        <v>0</v>
      </c>
      <c r="V15" s="72">
        <f t="shared" si="11"/>
        <v>0</v>
      </c>
      <c r="W15" s="72">
        <f t="shared" si="12"/>
        <v>0</v>
      </c>
    </row>
    <row r="16" spans="1:24">
      <c r="A16" s="63" t="s">
        <v>230</v>
      </c>
      <c r="B16" s="62" t="s">
        <v>60</v>
      </c>
      <c r="C16" s="63" t="s">
        <v>340</v>
      </c>
      <c r="D16" s="9" t="s">
        <v>147</v>
      </c>
      <c r="E16" s="9" t="s">
        <v>148</v>
      </c>
      <c r="F16" s="9" t="s">
        <v>148</v>
      </c>
      <c r="G16" s="9" t="s">
        <v>148</v>
      </c>
      <c r="H16" s="9" t="s">
        <v>148</v>
      </c>
      <c r="I16" s="9" t="s">
        <v>148</v>
      </c>
      <c r="J16" s="80" t="s">
        <v>147</v>
      </c>
      <c r="K16" s="79">
        <f t="shared" si="0"/>
        <v>0</v>
      </c>
      <c r="L16" s="55">
        <f t="shared" si="1"/>
        <v>0</v>
      </c>
      <c r="M16" s="72">
        <f t="shared" si="2"/>
        <v>0</v>
      </c>
      <c r="N16" s="55">
        <f t="shared" si="3"/>
        <v>0</v>
      </c>
      <c r="O16" s="55">
        <f t="shared" si="4"/>
        <v>2250</v>
      </c>
      <c r="P16" s="55">
        <f t="shared" si="5"/>
        <v>2250</v>
      </c>
      <c r="Q16" s="55">
        <f t="shared" si="6"/>
        <v>1</v>
      </c>
      <c r="R16" s="55">
        <f t="shared" si="7"/>
        <v>5</v>
      </c>
      <c r="S16" s="55">
        <f t="shared" si="8"/>
        <v>5</v>
      </c>
      <c r="T16" s="72">
        <f t="shared" si="9"/>
        <v>2</v>
      </c>
      <c r="U16" s="72">
        <f t="shared" si="10"/>
        <v>0</v>
      </c>
      <c r="V16" s="72">
        <f t="shared" si="11"/>
        <v>0</v>
      </c>
      <c r="W16" s="72">
        <f t="shared" si="12"/>
        <v>0</v>
      </c>
    </row>
    <row r="17" spans="1:23">
      <c r="A17" s="63" t="s">
        <v>231</v>
      </c>
      <c r="B17" s="62" t="s">
        <v>22</v>
      </c>
      <c r="C17" s="63" t="s">
        <v>33</v>
      </c>
      <c r="D17" s="9" t="s">
        <v>147</v>
      </c>
      <c r="E17" s="9" t="s">
        <v>148</v>
      </c>
      <c r="F17" s="9" t="s">
        <v>148</v>
      </c>
      <c r="G17" s="9" t="s">
        <v>148</v>
      </c>
      <c r="H17" s="9" t="s">
        <v>148</v>
      </c>
      <c r="I17" s="9" t="s">
        <v>148</v>
      </c>
      <c r="J17" s="80" t="s">
        <v>147</v>
      </c>
      <c r="K17" s="79">
        <f t="shared" si="0"/>
        <v>0</v>
      </c>
      <c r="L17" s="55">
        <f t="shared" si="1"/>
        <v>0</v>
      </c>
      <c r="M17" s="72">
        <f t="shared" si="2"/>
        <v>0</v>
      </c>
      <c r="N17" s="55">
        <f t="shared" si="3"/>
        <v>0</v>
      </c>
      <c r="O17" s="55">
        <f t="shared" si="4"/>
        <v>2250</v>
      </c>
      <c r="P17" s="55">
        <f t="shared" si="5"/>
        <v>2250</v>
      </c>
      <c r="Q17" s="55">
        <f t="shared" si="6"/>
        <v>1</v>
      </c>
      <c r="R17" s="55">
        <f t="shared" si="7"/>
        <v>5</v>
      </c>
      <c r="S17" s="55">
        <f t="shared" si="8"/>
        <v>5</v>
      </c>
      <c r="T17" s="72">
        <f t="shared" si="9"/>
        <v>2</v>
      </c>
      <c r="U17" s="72">
        <f t="shared" si="10"/>
        <v>0</v>
      </c>
      <c r="V17" s="72">
        <f t="shared" si="11"/>
        <v>0</v>
      </c>
      <c r="W17" s="72">
        <f t="shared" si="12"/>
        <v>0</v>
      </c>
    </row>
    <row r="18" spans="1:23">
      <c r="A18" s="61" t="s">
        <v>232</v>
      </c>
      <c r="B18" s="62" t="s">
        <v>341</v>
      </c>
      <c r="C18" s="63" t="s">
        <v>340</v>
      </c>
      <c r="D18" s="9" t="s">
        <v>147</v>
      </c>
      <c r="E18" s="9" t="s">
        <v>148</v>
      </c>
      <c r="F18" s="9" t="s">
        <v>148</v>
      </c>
      <c r="G18" s="9" t="s">
        <v>148</v>
      </c>
      <c r="H18" s="9">
        <v>450</v>
      </c>
      <c r="I18" s="9"/>
      <c r="J18" s="80" t="s">
        <v>147</v>
      </c>
      <c r="K18" s="79">
        <f t="shared" si="0"/>
        <v>450</v>
      </c>
      <c r="L18" s="55">
        <f t="shared" si="1"/>
        <v>0</v>
      </c>
      <c r="M18" s="72">
        <f t="shared" si="2"/>
        <v>450</v>
      </c>
      <c r="N18" s="55">
        <f t="shared" si="3"/>
        <v>450</v>
      </c>
      <c r="O18" s="55">
        <f t="shared" si="4"/>
        <v>2250</v>
      </c>
      <c r="P18" s="55">
        <f t="shared" si="5"/>
        <v>1800</v>
      </c>
      <c r="Q18" s="55">
        <f t="shared" si="6"/>
        <v>0.8</v>
      </c>
      <c r="R18" s="55">
        <f t="shared" si="7"/>
        <v>5</v>
      </c>
      <c r="S18" s="55">
        <f t="shared" si="8"/>
        <v>5</v>
      </c>
      <c r="T18" s="72">
        <f t="shared" si="9"/>
        <v>2</v>
      </c>
      <c r="U18" s="72">
        <f t="shared" si="10"/>
        <v>0</v>
      </c>
      <c r="V18" s="72">
        <f t="shared" si="11"/>
        <v>0</v>
      </c>
      <c r="W18" s="72">
        <f t="shared" si="12"/>
        <v>1</v>
      </c>
    </row>
    <row r="19" spans="1:23">
      <c r="A19" s="63" t="s">
        <v>333</v>
      </c>
      <c r="B19" s="62" t="s">
        <v>341</v>
      </c>
      <c r="C19" s="63" t="s">
        <v>340</v>
      </c>
      <c r="D19" s="9" t="s">
        <v>147</v>
      </c>
      <c r="E19" s="9" t="s">
        <v>148</v>
      </c>
      <c r="F19" s="9" t="s">
        <v>148</v>
      </c>
      <c r="G19" s="9" t="s">
        <v>148</v>
      </c>
      <c r="H19" s="9" t="s">
        <v>148</v>
      </c>
      <c r="I19" s="9">
        <v>1</v>
      </c>
      <c r="J19" s="80" t="s">
        <v>147</v>
      </c>
      <c r="K19" s="79">
        <f t="shared" si="0"/>
        <v>1</v>
      </c>
      <c r="L19" s="55">
        <f t="shared" si="1"/>
        <v>1</v>
      </c>
      <c r="M19" s="72">
        <f t="shared" si="2"/>
        <v>0</v>
      </c>
      <c r="N19" s="55">
        <f t="shared" si="3"/>
        <v>1</v>
      </c>
      <c r="O19" s="55">
        <f t="shared" si="4"/>
        <v>2250</v>
      </c>
      <c r="P19" s="55">
        <f t="shared" si="5"/>
        <v>2249</v>
      </c>
      <c r="Q19" s="55">
        <f t="shared" si="6"/>
        <v>0.99955555555555553</v>
      </c>
      <c r="R19" s="55">
        <f t="shared" si="7"/>
        <v>5</v>
      </c>
      <c r="S19" s="55">
        <f t="shared" si="8"/>
        <v>5</v>
      </c>
      <c r="T19" s="72">
        <f t="shared" si="9"/>
        <v>2</v>
      </c>
      <c r="U19" s="72">
        <f t="shared" si="10"/>
        <v>0</v>
      </c>
      <c r="V19" s="72">
        <f t="shared" si="11"/>
        <v>0</v>
      </c>
      <c r="W19" s="72">
        <f t="shared" si="12"/>
        <v>0</v>
      </c>
    </row>
    <row r="20" spans="1:23">
      <c r="A20" s="63" t="s">
        <v>235</v>
      </c>
      <c r="B20" s="62" t="s">
        <v>341</v>
      </c>
      <c r="C20" s="63" t="s">
        <v>340</v>
      </c>
      <c r="D20" s="9" t="s">
        <v>147</v>
      </c>
      <c r="E20" s="9" t="s">
        <v>148</v>
      </c>
      <c r="F20" s="9" t="s">
        <v>148</v>
      </c>
      <c r="G20" s="9" t="s">
        <v>148</v>
      </c>
      <c r="H20" s="9" t="s">
        <v>148</v>
      </c>
      <c r="I20" s="9" t="s">
        <v>148</v>
      </c>
      <c r="J20" s="80" t="s">
        <v>147</v>
      </c>
      <c r="K20" s="79">
        <f t="shared" si="0"/>
        <v>0</v>
      </c>
      <c r="L20" s="55">
        <f t="shared" si="1"/>
        <v>0</v>
      </c>
      <c r="M20" s="72">
        <f t="shared" si="2"/>
        <v>0</v>
      </c>
      <c r="N20" s="55">
        <f t="shared" si="3"/>
        <v>0</v>
      </c>
      <c r="O20" s="55">
        <f t="shared" si="4"/>
        <v>2250</v>
      </c>
      <c r="P20" s="55">
        <f t="shared" si="5"/>
        <v>2250</v>
      </c>
      <c r="Q20" s="55">
        <f t="shared" si="6"/>
        <v>1</v>
      </c>
      <c r="R20" s="55">
        <f t="shared" si="7"/>
        <v>5</v>
      </c>
      <c r="S20" s="55">
        <f t="shared" si="8"/>
        <v>5</v>
      </c>
      <c r="T20" s="72">
        <f t="shared" si="9"/>
        <v>2</v>
      </c>
      <c r="U20" s="72">
        <f t="shared" si="10"/>
        <v>0</v>
      </c>
      <c r="V20" s="72">
        <f t="shared" si="11"/>
        <v>0</v>
      </c>
      <c r="W20" s="72">
        <f t="shared" si="12"/>
        <v>0</v>
      </c>
    </row>
    <row r="21" spans="1:23">
      <c r="A21" s="63" t="s">
        <v>268</v>
      </c>
      <c r="B21" s="62" t="s">
        <v>267</v>
      </c>
      <c r="C21" s="63" t="s">
        <v>340</v>
      </c>
      <c r="D21" s="9" t="s">
        <v>147</v>
      </c>
      <c r="E21" s="9" t="s">
        <v>148</v>
      </c>
      <c r="F21" s="9" t="s">
        <v>148</v>
      </c>
      <c r="G21" s="9" t="s">
        <v>148</v>
      </c>
      <c r="H21" s="9" t="s">
        <v>148</v>
      </c>
      <c r="I21" s="9" t="s">
        <v>148</v>
      </c>
      <c r="J21" s="80" t="s">
        <v>147</v>
      </c>
      <c r="K21" s="79">
        <f t="shared" si="0"/>
        <v>0</v>
      </c>
      <c r="L21" s="55">
        <f t="shared" si="1"/>
        <v>0</v>
      </c>
      <c r="M21" s="72">
        <f t="shared" si="2"/>
        <v>0</v>
      </c>
      <c r="N21" s="55">
        <f t="shared" si="3"/>
        <v>0</v>
      </c>
      <c r="O21" s="55">
        <f t="shared" si="4"/>
        <v>2250</v>
      </c>
      <c r="P21" s="55">
        <f t="shared" si="5"/>
        <v>2250</v>
      </c>
      <c r="Q21" s="55">
        <f t="shared" si="6"/>
        <v>1</v>
      </c>
      <c r="R21" s="55">
        <f t="shared" si="7"/>
        <v>5</v>
      </c>
      <c r="S21" s="55">
        <f t="shared" si="8"/>
        <v>5</v>
      </c>
      <c r="T21" s="72">
        <f t="shared" si="9"/>
        <v>2</v>
      </c>
      <c r="U21" s="72">
        <f t="shared" si="10"/>
        <v>0</v>
      </c>
      <c r="V21" s="72">
        <f t="shared" si="11"/>
        <v>0</v>
      </c>
      <c r="W21" s="72">
        <f t="shared" si="12"/>
        <v>0</v>
      </c>
    </row>
    <row r="22" spans="1:23">
      <c r="A22" s="63" t="s">
        <v>236</v>
      </c>
      <c r="B22" s="62" t="s">
        <v>37</v>
      </c>
      <c r="C22" s="63" t="s">
        <v>340</v>
      </c>
      <c r="D22" s="9">
        <v>450</v>
      </c>
      <c r="E22" s="9" t="s">
        <v>147</v>
      </c>
      <c r="F22" s="9" t="s">
        <v>147</v>
      </c>
      <c r="G22" s="9" t="s">
        <v>148</v>
      </c>
      <c r="H22" s="9" t="s">
        <v>148</v>
      </c>
      <c r="I22" s="9" t="s">
        <v>148</v>
      </c>
      <c r="J22" s="80" t="s">
        <v>148</v>
      </c>
      <c r="K22" s="79">
        <f t="shared" si="0"/>
        <v>450</v>
      </c>
      <c r="L22" s="55">
        <f t="shared" si="1"/>
        <v>0</v>
      </c>
      <c r="M22" s="72">
        <f t="shared" si="2"/>
        <v>450</v>
      </c>
      <c r="N22" s="55">
        <f t="shared" si="3"/>
        <v>450</v>
      </c>
      <c r="O22" s="55">
        <f t="shared" si="4"/>
        <v>2250</v>
      </c>
      <c r="P22" s="55">
        <f t="shared" si="5"/>
        <v>1800</v>
      </c>
      <c r="Q22" s="55">
        <f t="shared" si="6"/>
        <v>0.8</v>
      </c>
      <c r="R22" s="55">
        <f t="shared" si="7"/>
        <v>5</v>
      </c>
      <c r="S22" s="55">
        <f t="shared" si="8"/>
        <v>5</v>
      </c>
      <c r="T22" s="72">
        <f t="shared" si="9"/>
        <v>2</v>
      </c>
      <c r="U22" s="72">
        <f t="shared" si="10"/>
        <v>0</v>
      </c>
      <c r="V22" s="72">
        <f t="shared" si="11"/>
        <v>0</v>
      </c>
      <c r="W22" s="72">
        <f t="shared" si="12"/>
        <v>1</v>
      </c>
    </row>
    <row r="23" spans="1:23">
      <c r="A23" s="63" t="s">
        <v>237</v>
      </c>
      <c r="B23" s="62" t="s">
        <v>22</v>
      </c>
      <c r="C23" s="63" t="s">
        <v>30</v>
      </c>
      <c r="D23" s="9" t="s">
        <v>147</v>
      </c>
      <c r="E23" s="9" t="s">
        <v>148</v>
      </c>
      <c r="F23" s="9" t="s">
        <v>148</v>
      </c>
      <c r="G23" s="9" t="s">
        <v>148</v>
      </c>
      <c r="H23" s="9">
        <v>17</v>
      </c>
      <c r="I23" s="9" t="s">
        <v>148</v>
      </c>
      <c r="J23" s="80" t="s">
        <v>147</v>
      </c>
      <c r="K23" s="79">
        <f t="shared" si="0"/>
        <v>17</v>
      </c>
      <c r="L23" s="55">
        <f t="shared" si="1"/>
        <v>17</v>
      </c>
      <c r="M23" s="72">
        <f t="shared" si="2"/>
        <v>0</v>
      </c>
      <c r="N23" s="55">
        <f t="shared" si="3"/>
        <v>17</v>
      </c>
      <c r="O23" s="55">
        <f t="shared" si="4"/>
        <v>2250</v>
      </c>
      <c r="P23" s="55">
        <f t="shared" si="5"/>
        <v>2233</v>
      </c>
      <c r="Q23" s="55">
        <f t="shared" si="6"/>
        <v>0.99244444444444446</v>
      </c>
      <c r="R23" s="55">
        <f t="shared" si="7"/>
        <v>5</v>
      </c>
      <c r="S23" s="55">
        <f t="shared" si="8"/>
        <v>5</v>
      </c>
      <c r="T23" s="72">
        <f t="shared" si="9"/>
        <v>2</v>
      </c>
      <c r="U23" s="72">
        <f t="shared" si="10"/>
        <v>0</v>
      </c>
      <c r="V23" s="72">
        <f t="shared" si="11"/>
        <v>0</v>
      </c>
      <c r="W23" s="72">
        <f t="shared" si="12"/>
        <v>0</v>
      </c>
    </row>
    <row r="24" spans="1:23">
      <c r="A24" s="61" t="s">
        <v>238</v>
      </c>
      <c r="B24" s="62" t="s">
        <v>22</v>
      </c>
      <c r="C24" s="63" t="s">
        <v>30</v>
      </c>
      <c r="D24" s="9" t="s">
        <v>147</v>
      </c>
      <c r="E24" s="9">
        <v>5</v>
      </c>
      <c r="F24" s="9">
        <v>4</v>
      </c>
      <c r="G24" s="9" t="s">
        <v>148</v>
      </c>
      <c r="H24" s="9" t="s">
        <v>148</v>
      </c>
      <c r="I24" s="9">
        <v>25</v>
      </c>
      <c r="J24" s="80" t="s">
        <v>147</v>
      </c>
      <c r="K24" s="79">
        <f t="shared" si="0"/>
        <v>34</v>
      </c>
      <c r="L24" s="55">
        <f t="shared" si="1"/>
        <v>34</v>
      </c>
      <c r="M24" s="72">
        <f t="shared" si="2"/>
        <v>0</v>
      </c>
      <c r="N24" s="55">
        <f t="shared" si="3"/>
        <v>34</v>
      </c>
      <c r="O24" s="55">
        <f t="shared" si="4"/>
        <v>2250</v>
      </c>
      <c r="P24" s="55">
        <f t="shared" si="5"/>
        <v>2216</v>
      </c>
      <c r="Q24" s="55">
        <f t="shared" si="6"/>
        <v>0.98488888888888892</v>
      </c>
      <c r="R24" s="55">
        <f t="shared" si="7"/>
        <v>5</v>
      </c>
      <c r="S24" s="55">
        <f t="shared" si="8"/>
        <v>5</v>
      </c>
      <c r="T24" s="72">
        <f t="shared" si="9"/>
        <v>2</v>
      </c>
      <c r="U24" s="72">
        <f t="shared" si="10"/>
        <v>0</v>
      </c>
      <c r="V24" s="72">
        <f t="shared" si="11"/>
        <v>0</v>
      </c>
      <c r="W24" s="72">
        <f t="shared" si="12"/>
        <v>0</v>
      </c>
    </row>
    <row r="25" spans="1:23">
      <c r="A25" s="63" t="s">
        <v>240</v>
      </c>
      <c r="B25" s="62" t="s">
        <v>37</v>
      </c>
      <c r="C25" s="63" t="s">
        <v>340</v>
      </c>
      <c r="D25" s="9" t="s">
        <v>148</v>
      </c>
      <c r="E25" s="9" t="s">
        <v>147</v>
      </c>
      <c r="F25" s="9" t="s">
        <v>147</v>
      </c>
      <c r="G25" s="9" t="s">
        <v>148</v>
      </c>
      <c r="H25" s="9" t="s">
        <v>148</v>
      </c>
      <c r="I25" s="9" t="s">
        <v>174</v>
      </c>
      <c r="J25" s="80" t="s">
        <v>174</v>
      </c>
      <c r="K25" s="79">
        <f t="shared" si="0"/>
        <v>0</v>
      </c>
      <c r="L25" s="55">
        <f t="shared" si="1"/>
        <v>0</v>
      </c>
      <c r="M25" s="72">
        <f t="shared" si="2"/>
        <v>0</v>
      </c>
      <c r="N25" s="55">
        <f t="shared" si="3"/>
        <v>0</v>
      </c>
      <c r="O25" s="55">
        <f t="shared" si="4"/>
        <v>2250</v>
      </c>
      <c r="P25" s="55">
        <f t="shared" si="5"/>
        <v>2250</v>
      </c>
      <c r="Q25" s="55">
        <f t="shared" si="6"/>
        <v>1</v>
      </c>
      <c r="R25" s="55">
        <f t="shared" si="7"/>
        <v>5</v>
      </c>
      <c r="S25" s="55">
        <f t="shared" si="8"/>
        <v>5</v>
      </c>
      <c r="T25" s="72">
        <f t="shared" si="9"/>
        <v>2</v>
      </c>
      <c r="U25" s="72">
        <f t="shared" si="10"/>
        <v>0</v>
      </c>
      <c r="V25" s="72">
        <f t="shared" si="11"/>
        <v>0</v>
      </c>
      <c r="W25" s="72">
        <f t="shared" si="12"/>
        <v>0</v>
      </c>
    </row>
    <row r="26" spans="1:23">
      <c r="A26" s="61" t="s">
        <v>239</v>
      </c>
      <c r="B26" s="62" t="s">
        <v>37</v>
      </c>
      <c r="C26" s="63" t="s">
        <v>340</v>
      </c>
      <c r="D26" s="9">
        <v>42</v>
      </c>
      <c r="E26" s="9" t="s">
        <v>147</v>
      </c>
      <c r="F26" s="9" t="s">
        <v>147</v>
      </c>
      <c r="G26" s="9" t="s">
        <v>148</v>
      </c>
      <c r="H26" s="9">
        <v>25</v>
      </c>
      <c r="I26" s="9">
        <v>16</v>
      </c>
      <c r="J26" s="80" t="s">
        <v>148</v>
      </c>
      <c r="K26" s="79">
        <f t="shared" si="0"/>
        <v>83</v>
      </c>
      <c r="L26" s="55">
        <f t="shared" si="1"/>
        <v>83</v>
      </c>
      <c r="M26" s="72">
        <f t="shared" si="2"/>
        <v>0</v>
      </c>
      <c r="N26" s="55">
        <f t="shared" si="3"/>
        <v>83</v>
      </c>
      <c r="O26" s="55">
        <f t="shared" si="4"/>
        <v>2250</v>
      </c>
      <c r="P26" s="55">
        <f t="shared" si="5"/>
        <v>2167</v>
      </c>
      <c r="Q26" s="55">
        <f t="shared" si="6"/>
        <v>0.96311111111111114</v>
      </c>
      <c r="R26" s="55">
        <f t="shared" si="7"/>
        <v>5</v>
      </c>
      <c r="S26" s="55">
        <f t="shared" si="8"/>
        <v>5</v>
      </c>
      <c r="T26" s="72">
        <f t="shared" si="9"/>
        <v>2</v>
      </c>
      <c r="U26" s="72">
        <f t="shared" si="10"/>
        <v>0</v>
      </c>
      <c r="V26" s="72">
        <f t="shared" si="11"/>
        <v>0</v>
      </c>
      <c r="W26" s="72">
        <f t="shared" si="12"/>
        <v>0</v>
      </c>
    </row>
    <row r="27" spans="1:23">
      <c r="L27">
        <f>SUM(L3:L26)</f>
        <v>242</v>
      </c>
      <c r="M27">
        <f t="shared" ref="M27:W27" si="13">SUM(M3:M26)</f>
        <v>2250</v>
      </c>
      <c r="N27">
        <f t="shared" si="13"/>
        <v>2492</v>
      </c>
      <c r="O27">
        <f t="shared" si="13"/>
        <v>54000</v>
      </c>
      <c r="P27">
        <f t="shared" si="13"/>
        <v>51508</v>
      </c>
      <c r="Q27" s="39">
        <f>P27/O27</f>
        <v>0.95385185185185184</v>
      </c>
      <c r="R27">
        <f t="shared" si="13"/>
        <v>120</v>
      </c>
      <c r="S27">
        <f t="shared" si="13"/>
        <v>120</v>
      </c>
      <c r="T27">
        <f t="shared" si="13"/>
        <v>48</v>
      </c>
      <c r="U27">
        <f t="shared" si="13"/>
        <v>0</v>
      </c>
      <c r="V27">
        <f t="shared" si="13"/>
        <v>0</v>
      </c>
      <c r="W27">
        <f t="shared" si="13"/>
        <v>5</v>
      </c>
    </row>
    <row r="28" spans="1:23" ht="15.75">
      <c r="D28" s="56">
        <f t="shared" ref="D28:J28" si="14">SUM(D3:D26)</f>
        <v>942</v>
      </c>
      <c r="E28" s="71">
        <f>SUM(E3:E26)</f>
        <v>6</v>
      </c>
      <c r="F28" s="71">
        <f>SUM(F3:F26)</f>
        <v>4</v>
      </c>
      <c r="G28" s="71">
        <f>SUM(G3:G26)</f>
        <v>453</v>
      </c>
      <c r="H28" s="71">
        <f t="shared" si="14"/>
        <v>1045</v>
      </c>
      <c r="I28" s="71">
        <f t="shared" si="14"/>
        <v>42</v>
      </c>
      <c r="J28" s="71">
        <f>SUM(J3:J26)</f>
        <v>0</v>
      </c>
    </row>
    <row r="29" spans="1:23" ht="15.75">
      <c r="D29" s="69">
        <f t="shared" ref="D29:J29" si="15">D28-D30</f>
        <v>42</v>
      </c>
      <c r="E29" s="69">
        <f t="shared" si="15"/>
        <v>6</v>
      </c>
      <c r="F29" s="69">
        <f t="shared" si="15"/>
        <v>4</v>
      </c>
      <c r="G29" s="69">
        <f t="shared" si="15"/>
        <v>3</v>
      </c>
      <c r="H29" s="69">
        <f t="shared" si="15"/>
        <v>145</v>
      </c>
      <c r="I29" s="69">
        <f t="shared" si="15"/>
        <v>42</v>
      </c>
      <c r="J29" s="69">
        <f t="shared" si="15"/>
        <v>0</v>
      </c>
      <c r="L29" s="39">
        <f>L27/P27</f>
        <v>4.6982992933136602E-3</v>
      </c>
      <c r="M29" s="39">
        <f>M27/P27</f>
        <v>4.3682534751883204E-2</v>
      </c>
    </row>
    <row r="30" spans="1:23" ht="15.75">
      <c r="D30" s="69">
        <f t="shared" ref="D30:J30" si="16">SUMIF(D3:D26,"450")</f>
        <v>900</v>
      </c>
      <c r="E30" s="69">
        <f t="shared" si="16"/>
        <v>0</v>
      </c>
      <c r="F30" s="69">
        <f t="shared" si="16"/>
        <v>0</v>
      </c>
      <c r="G30" s="69">
        <f t="shared" si="16"/>
        <v>450</v>
      </c>
      <c r="H30" s="69">
        <f t="shared" si="16"/>
        <v>900</v>
      </c>
      <c r="I30" s="69">
        <f t="shared" si="16"/>
        <v>0</v>
      </c>
      <c r="J30" s="69">
        <f>SUMIF(J3:J26,"450")</f>
        <v>0</v>
      </c>
    </row>
    <row r="31" spans="1:23" ht="15.75">
      <c r="D31" s="69">
        <f t="shared" ref="D31:J31" si="17">D29+D30</f>
        <v>942</v>
      </c>
      <c r="E31" s="69">
        <f t="shared" si="17"/>
        <v>6</v>
      </c>
      <c r="F31" s="69">
        <f t="shared" si="17"/>
        <v>4</v>
      </c>
      <c r="G31" s="69">
        <f t="shared" si="17"/>
        <v>453</v>
      </c>
      <c r="H31" s="69">
        <f t="shared" si="17"/>
        <v>1045</v>
      </c>
      <c r="I31" s="69">
        <f t="shared" si="17"/>
        <v>42</v>
      </c>
      <c r="J31" s="69">
        <f t="shared" si="17"/>
        <v>0</v>
      </c>
    </row>
    <row r="32" spans="1:23" ht="15.75">
      <c r="D32" s="69">
        <f t="shared" ref="D32:J32" si="18">COUNTA(D3:D26)</f>
        <v>24</v>
      </c>
      <c r="E32" s="69">
        <f t="shared" si="18"/>
        <v>24</v>
      </c>
      <c r="F32" s="69">
        <f t="shared" si="18"/>
        <v>24</v>
      </c>
      <c r="G32" s="69">
        <f t="shared" si="18"/>
        <v>24</v>
      </c>
      <c r="H32" s="69">
        <f t="shared" si="18"/>
        <v>24</v>
      </c>
      <c r="I32" s="69">
        <f t="shared" si="18"/>
        <v>22</v>
      </c>
      <c r="J32" s="69">
        <f>COUNTA(J3:J26)</f>
        <v>23</v>
      </c>
    </row>
    <row r="33" spans="4:10" ht="15.75">
      <c r="D33" s="69">
        <f t="shared" ref="D33:J33" si="19">D32-D38-D39-D40-D41</f>
        <v>4</v>
      </c>
      <c r="E33" s="69">
        <f t="shared" si="19"/>
        <v>18</v>
      </c>
      <c r="F33" s="69">
        <f t="shared" si="19"/>
        <v>18</v>
      </c>
      <c r="G33" s="69">
        <f t="shared" si="19"/>
        <v>23</v>
      </c>
      <c r="H33" s="69">
        <f t="shared" si="19"/>
        <v>22</v>
      </c>
      <c r="I33" s="69">
        <f t="shared" si="19"/>
        <v>22</v>
      </c>
      <c r="J33" s="69">
        <f t="shared" si="19"/>
        <v>5</v>
      </c>
    </row>
    <row r="34" spans="4:10" ht="15.75">
      <c r="D34" s="57">
        <f t="shared" ref="D34:J34" si="20">D33-D41</f>
        <v>2</v>
      </c>
      <c r="E34" s="57">
        <f t="shared" si="20"/>
        <v>18</v>
      </c>
      <c r="F34" s="57">
        <f t="shared" si="20"/>
        <v>18</v>
      </c>
      <c r="G34" s="57">
        <f t="shared" si="20"/>
        <v>22</v>
      </c>
      <c r="H34" s="57">
        <f t="shared" si="20"/>
        <v>20</v>
      </c>
      <c r="I34" s="57">
        <f t="shared" si="20"/>
        <v>22</v>
      </c>
      <c r="J34" s="57">
        <f t="shared" si="20"/>
        <v>5</v>
      </c>
    </row>
    <row r="35" spans="4:10" ht="15.75">
      <c r="D35" s="69">
        <f>D33*450</f>
        <v>1800</v>
      </c>
      <c r="E35" s="69">
        <f t="shared" ref="E35:J35" si="21">E33*450</f>
        <v>8100</v>
      </c>
      <c r="F35" s="69">
        <f t="shared" si="21"/>
        <v>8100</v>
      </c>
      <c r="G35" s="69">
        <f t="shared" si="21"/>
        <v>10350</v>
      </c>
      <c r="H35" s="69">
        <f t="shared" si="21"/>
        <v>9900</v>
      </c>
      <c r="I35" s="69">
        <f t="shared" si="21"/>
        <v>9900</v>
      </c>
      <c r="J35" s="69">
        <f t="shared" si="21"/>
        <v>2250</v>
      </c>
    </row>
    <row r="36" spans="4:10" ht="15.75">
      <c r="D36" s="69">
        <f t="shared" ref="D36:J36" si="22">D35-D31</f>
        <v>858</v>
      </c>
      <c r="E36" s="69">
        <f>E35-E31</f>
        <v>8094</v>
      </c>
      <c r="F36" s="69">
        <f t="shared" ref="F36:J36" si="23">F35-F31</f>
        <v>8096</v>
      </c>
      <c r="G36" s="69">
        <f t="shared" si="23"/>
        <v>9897</v>
      </c>
      <c r="H36" s="69">
        <f t="shared" si="23"/>
        <v>8855</v>
      </c>
      <c r="I36" s="69">
        <f t="shared" si="23"/>
        <v>9858</v>
      </c>
      <c r="J36" s="69">
        <f t="shared" si="23"/>
        <v>2250</v>
      </c>
    </row>
    <row r="37" spans="4:10" ht="15.75">
      <c r="D37" s="70">
        <f t="shared" ref="D37:J37" si="24">D36/D35</f>
        <v>0.47666666666666668</v>
      </c>
      <c r="E37" s="64">
        <f t="shared" si="24"/>
        <v>0.99925925925925929</v>
      </c>
      <c r="F37" s="64">
        <f>F36/F35</f>
        <v>0.99950617283950616</v>
      </c>
      <c r="G37" s="64">
        <f>G36/G35</f>
        <v>0.95623188405797099</v>
      </c>
      <c r="H37" s="64">
        <f>H36/H35</f>
        <v>0.89444444444444449</v>
      </c>
      <c r="I37" s="64">
        <f t="shared" ref="I37:J37" si="25">I36/I35</f>
        <v>0.99575757575757573</v>
      </c>
      <c r="J37" s="64">
        <f t="shared" si="25"/>
        <v>1</v>
      </c>
    </row>
    <row r="38" spans="4:10" ht="15.75">
      <c r="D38" s="69">
        <f>COUNTIF(D3:D26,"RD")</f>
        <v>18</v>
      </c>
      <c r="E38" s="69">
        <f>COUNTIF(E3:E26,"RD")</f>
        <v>6</v>
      </c>
      <c r="F38" s="69">
        <f t="shared" ref="F38:J38" si="26">COUNTIF(F3:F26,"RD")</f>
        <v>6</v>
      </c>
      <c r="G38" s="69">
        <f t="shared" si="26"/>
        <v>0</v>
      </c>
      <c r="H38" s="69">
        <f t="shared" si="26"/>
        <v>0</v>
      </c>
      <c r="I38" s="69">
        <f t="shared" si="26"/>
        <v>0</v>
      </c>
      <c r="J38" s="69">
        <f>COUNTIF(J3:J26,"RD")</f>
        <v>18</v>
      </c>
    </row>
    <row r="39" spans="4:10" ht="15.75">
      <c r="D39" s="69">
        <f>COUNTIF(D3:D26,"VL")</f>
        <v>0</v>
      </c>
      <c r="E39" s="69">
        <f>COUNTIF(E3:E26,"VL")</f>
        <v>0</v>
      </c>
      <c r="F39" s="69">
        <f t="shared" ref="F39:J39" si="27">COUNTIF(F3:F26,"VL")</f>
        <v>0</v>
      </c>
      <c r="G39" s="69">
        <f t="shared" si="27"/>
        <v>0</v>
      </c>
      <c r="H39" s="69">
        <f t="shared" si="27"/>
        <v>0</v>
      </c>
      <c r="I39" s="69">
        <f t="shared" si="27"/>
        <v>0</v>
      </c>
      <c r="J39" s="69">
        <f>COUNTIF(J3:J26,"VL")</f>
        <v>0</v>
      </c>
    </row>
    <row r="40" spans="4:10" ht="15.75">
      <c r="D40" s="69">
        <f>COUNTIF(D3:D26,"LWOP")</f>
        <v>0</v>
      </c>
      <c r="E40" s="69">
        <f t="shared" ref="E40:I40" si="28">COUNTIF(E3:E26,"LWOP")</f>
        <v>0</v>
      </c>
      <c r="F40" s="69">
        <f t="shared" si="28"/>
        <v>0</v>
      </c>
      <c r="G40" s="69">
        <f t="shared" si="28"/>
        <v>0</v>
      </c>
      <c r="H40" s="69">
        <f t="shared" si="28"/>
        <v>0</v>
      </c>
      <c r="I40" s="69">
        <f t="shared" si="28"/>
        <v>0</v>
      </c>
      <c r="J40" s="69">
        <f>COUNTIF(J3:J26,"LWOP")</f>
        <v>0</v>
      </c>
    </row>
    <row r="41" spans="4:10" ht="15.75">
      <c r="D41" s="69">
        <f>COUNTIF(D3:D26,"450")</f>
        <v>2</v>
      </c>
      <c r="E41" s="69">
        <f t="shared" ref="E41:I41" si="29">COUNTIF(E3:E26,"450")</f>
        <v>0</v>
      </c>
      <c r="F41" s="69">
        <f t="shared" si="29"/>
        <v>0</v>
      </c>
      <c r="G41" s="69">
        <f t="shared" si="29"/>
        <v>1</v>
      </c>
      <c r="H41" s="69">
        <f>COUNTIF(H3:H26,"450")</f>
        <v>2</v>
      </c>
      <c r="I41" s="69">
        <f t="shared" si="29"/>
        <v>0</v>
      </c>
      <c r="J41" s="69">
        <f>COUNTIF(J3:J26,"450")</f>
        <v>0</v>
      </c>
    </row>
    <row r="42" spans="4:10">
      <c r="D42" s="39">
        <f t="shared" ref="D42:J42" si="30">D29/D36</f>
        <v>4.8951048951048952E-2</v>
      </c>
      <c r="E42" s="39">
        <f t="shared" si="30"/>
        <v>7.4128984432913266E-4</v>
      </c>
      <c r="F42" s="39">
        <f t="shared" si="30"/>
        <v>4.9407114624505926E-4</v>
      </c>
      <c r="G42" s="39">
        <f t="shared" si="30"/>
        <v>3.031221582297666E-4</v>
      </c>
      <c r="H42" s="39">
        <f t="shared" si="30"/>
        <v>1.637492941840768E-2</v>
      </c>
      <c r="I42" s="39">
        <f t="shared" si="30"/>
        <v>4.2604990870359098E-3</v>
      </c>
      <c r="J42" s="39">
        <f t="shared" si="30"/>
        <v>0</v>
      </c>
    </row>
    <row r="43" spans="4:10">
      <c r="D43" s="39">
        <f>D36/D31</f>
        <v>0.91082802547770703</v>
      </c>
      <c r="E43" s="39">
        <f>E30/E36</f>
        <v>0</v>
      </c>
      <c r="F43" s="39">
        <f>F30/F36</f>
        <v>0</v>
      </c>
      <c r="G43" s="39">
        <f>G30/G36</f>
        <v>4.5468323734464987E-2</v>
      </c>
      <c r="H43" s="39">
        <f>H30/H35</f>
        <v>9.0909090909090912E-2</v>
      </c>
      <c r="I43" s="39">
        <f>I30/I35</f>
        <v>0</v>
      </c>
      <c r="J43" s="39">
        <f t="shared" ref="J43" si="31">J30/J36</f>
        <v>0</v>
      </c>
    </row>
  </sheetData>
  <conditionalFormatting sqref="D3:J26">
    <cfRule type="containsText" dxfId="27" priority="7" operator="containsText" text="TFO">
      <formula>NOT(ISERROR(SEARCH("TFO",D3)))</formula>
    </cfRule>
    <cfRule type="containsText" dxfId="26" priority="8" operator="containsText" text="AA">
      <formula>NOT(ISERROR(SEARCH("AA",D3)))</formula>
    </cfRule>
    <cfRule type="containsText" dxfId="25" priority="9" operator="containsText" text="RESIGNED">
      <formula>NOT(ISERROR(SEARCH("RESIGNED",D3)))</formula>
    </cfRule>
    <cfRule type="containsText" dxfId="24" priority="10" operator="containsText" text="P">
      <formula>NOT(ISERROR(SEARCH("P",D3)))</formula>
    </cfRule>
    <cfRule type="containsText" dxfId="23" priority="11" operator="containsText" text="TARDY">
      <formula>NOT(ISERROR(SEARCH("TARDY",D3)))</formula>
    </cfRule>
    <cfRule type="containsText" dxfId="22" priority="12" operator="containsText" text="REST DAY">
      <formula>NOT(ISERROR(SEARCH("REST DAY",D3)))</formula>
    </cfRule>
    <cfRule type="containsText" dxfId="21" priority="13" operator="containsText" text="UA">
      <formula>NOT(ISERROR(SEARCH("UA",D3)))</formula>
    </cfRule>
    <cfRule type="containsText" dxfId="20" priority="14" operator="containsText" text="LWOP UA">
      <formula>NOT(ISERROR(SEARCH("LWOP UA",D3)))</formula>
    </cfRule>
  </conditionalFormatting>
  <conditionalFormatting sqref="D3:J26">
    <cfRule type="containsText" dxfId="19" priority="1" operator="containsText" text="VL">
      <formula>NOT(ISERROR(SEARCH("VL",D3)))</formula>
    </cfRule>
    <cfRule type="containsText" dxfId="18" priority="2" operator="containsText" text="RD">
      <formula>NOT(ISERROR(SEARCH("RD",D3)))</formula>
    </cfRule>
    <cfRule type="containsText" dxfId="17" priority="3" operator="containsText" text="540">
      <formula>NOT(ISERROR(SEARCH("540",D3)))</formula>
    </cfRule>
    <cfRule type="cellIs" dxfId="16" priority="4" operator="between">
      <formula>1</formula>
      <formula>400</formula>
    </cfRule>
    <cfRule type="containsText" dxfId="15" priority="5" operator="containsText" text="LWOP UA">
      <formula>NOT(ISERROR(SEARCH("LWOP UA",D3)))</formula>
    </cfRule>
  </conditionalFormatting>
  <conditionalFormatting sqref="D3:J26">
    <cfRule type="containsText" dxfId="14" priority="6" operator="containsText" text="P">
      <formula>NOT(ISERROR(SEARCH("P",D3)))</formula>
    </cfRule>
  </conditionalFormatting>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77FDE4-694E-4633-8D70-5525F7BC348A}">
  <dimension ref="A1:W29"/>
  <sheetViews>
    <sheetView workbookViewId="0"/>
  </sheetViews>
  <sheetFormatPr defaultRowHeight="15"/>
  <cols>
    <col min="1" max="1" width="17.7109375" bestFit="1" customWidth="1"/>
  </cols>
  <sheetData>
    <row r="1" spans="1:23">
      <c r="C1" s="58"/>
      <c r="D1" s="50">
        <v>45844</v>
      </c>
      <c r="E1" s="50">
        <v>45845</v>
      </c>
      <c r="F1" s="50">
        <v>45846</v>
      </c>
      <c r="G1" s="50">
        <v>45847</v>
      </c>
      <c r="H1" s="50">
        <v>45848</v>
      </c>
      <c r="I1" s="50">
        <v>45849</v>
      </c>
      <c r="J1" s="50">
        <v>45850</v>
      </c>
    </row>
    <row r="2" spans="1:23">
      <c r="A2" s="1" t="s">
        <v>2</v>
      </c>
      <c r="B2" s="1" t="s">
        <v>0</v>
      </c>
      <c r="C2" s="17" t="s">
        <v>3</v>
      </c>
      <c r="D2" s="8" t="s">
        <v>135</v>
      </c>
      <c r="E2" s="8" t="s">
        <v>136</v>
      </c>
      <c r="F2" s="8" t="s">
        <v>137</v>
      </c>
      <c r="G2" s="8" t="s">
        <v>138</v>
      </c>
      <c r="H2" s="8" t="s">
        <v>139</v>
      </c>
      <c r="I2" s="8" t="s">
        <v>140</v>
      </c>
      <c r="J2" s="8" t="s">
        <v>141</v>
      </c>
      <c r="K2" s="53" t="s">
        <v>4</v>
      </c>
      <c r="L2" s="1" t="s">
        <v>186</v>
      </c>
      <c r="M2" s="1" t="s">
        <v>5</v>
      </c>
      <c r="N2" s="1" t="s">
        <v>6</v>
      </c>
      <c r="O2" s="1" t="s">
        <v>7</v>
      </c>
      <c r="P2" s="1" t="s">
        <v>8</v>
      </c>
      <c r="Q2" s="1" t="s">
        <v>9</v>
      </c>
      <c r="R2" s="1" t="s">
        <v>182</v>
      </c>
      <c r="S2" s="1" t="s">
        <v>183</v>
      </c>
      <c r="T2" s="1" t="s">
        <v>147</v>
      </c>
      <c r="U2" s="2" t="s">
        <v>12</v>
      </c>
      <c r="V2" s="2" t="s">
        <v>14</v>
      </c>
      <c r="W2" s="3" t="s">
        <v>184</v>
      </c>
    </row>
    <row r="3" spans="1:23">
      <c r="A3" s="61" t="s">
        <v>208</v>
      </c>
      <c r="B3" s="62" t="s">
        <v>37</v>
      </c>
      <c r="C3" s="61" t="s">
        <v>340</v>
      </c>
      <c r="D3" s="9" t="s">
        <v>148</v>
      </c>
      <c r="E3" s="9" t="s">
        <v>147</v>
      </c>
      <c r="F3" s="9" t="s">
        <v>147</v>
      </c>
      <c r="G3" s="9">
        <v>450</v>
      </c>
      <c r="H3" s="9">
        <v>450</v>
      </c>
      <c r="I3" s="9">
        <v>450</v>
      </c>
      <c r="J3" s="9">
        <v>450</v>
      </c>
      <c r="K3" s="54">
        <f>SUM(F3:J3)</f>
        <v>1800</v>
      </c>
      <c r="L3" s="16">
        <f>K3-M3</f>
        <v>0</v>
      </c>
      <c r="M3" s="5">
        <f>SUMIF(F3:J3,"450")</f>
        <v>1800</v>
      </c>
      <c r="N3" s="16">
        <f>L3+M3</f>
        <v>1800</v>
      </c>
      <c r="O3">
        <f>R3*450</f>
        <v>2250</v>
      </c>
      <c r="P3">
        <f>O3-N3</f>
        <v>450</v>
      </c>
      <c r="Q3">
        <f>P3/O3</f>
        <v>0.2</v>
      </c>
      <c r="R3">
        <f>S3-(U3+V3)</f>
        <v>5</v>
      </c>
      <c r="S3">
        <f>7-T3</f>
        <v>5</v>
      </c>
      <c r="T3" s="5">
        <f>COUNTIF(D3:J3,"RD")</f>
        <v>2</v>
      </c>
      <c r="U3" s="5">
        <f>COUNTIF(D3:J3,"VL")</f>
        <v>0</v>
      </c>
      <c r="V3" s="5">
        <f>COUNTIF(D3:J3,"LWOP")</f>
        <v>0</v>
      </c>
      <c r="W3" s="5">
        <f>COUNTIF(D3:J3,"450")</f>
        <v>4</v>
      </c>
    </row>
    <row r="4" spans="1:23">
      <c r="A4" s="63" t="s">
        <v>215</v>
      </c>
      <c r="B4" s="62" t="s">
        <v>37</v>
      </c>
      <c r="C4" s="63" t="s">
        <v>340</v>
      </c>
      <c r="D4" s="9" t="s">
        <v>148</v>
      </c>
      <c r="E4" s="9" t="s">
        <v>147</v>
      </c>
      <c r="F4" s="9" t="s">
        <v>147</v>
      </c>
      <c r="G4" s="9">
        <v>13</v>
      </c>
      <c r="H4" s="9">
        <v>4</v>
      </c>
      <c r="I4" s="9">
        <v>450</v>
      </c>
      <c r="J4" s="9" t="s">
        <v>148</v>
      </c>
      <c r="K4" s="54">
        <f t="shared" ref="K4:K26" si="0">SUM(F4:J4)</f>
        <v>467</v>
      </c>
      <c r="L4" s="16">
        <f t="shared" ref="L4:L26" si="1">K4-M4</f>
        <v>17</v>
      </c>
      <c r="M4" s="5">
        <f t="shared" ref="M4:M26" si="2">SUMIF(F4:J4,"450")</f>
        <v>450</v>
      </c>
      <c r="N4" s="16">
        <f t="shared" ref="N4:N26" si="3">L4+M4</f>
        <v>467</v>
      </c>
      <c r="O4">
        <f t="shared" ref="O4:O26" si="4">R4*450</f>
        <v>2250</v>
      </c>
      <c r="P4">
        <f t="shared" ref="P4:P26" si="5">O4-N4</f>
        <v>1783</v>
      </c>
      <c r="Q4">
        <f t="shared" ref="Q4:Q26" si="6">P4/O4</f>
        <v>0.7924444444444444</v>
      </c>
      <c r="R4">
        <f t="shared" ref="R4:R26" si="7">S4-(U4+V4)</f>
        <v>5</v>
      </c>
      <c r="S4">
        <f t="shared" ref="S4:S26" si="8">7-T4</f>
        <v>5</v>
      </c>
      <c r="T4" s="5">
        <f t="shared" ref="T4:T26" si="9">COUNTIF(D4:J4,"RD")</f>
        <v>2</v>
      </c>
      <c r="U4" s="5">
        <f t="shared" ref="U4:U26" si="10">COUNTIF(D4:J4,"VL")</f>
        <v>0</v>
      </c>
      <c r="V4" s="5">
        <f t="shared" ref="V4:V26" si="11">COUNTIF(D4:J4,"LWOP")</f>
        <v>0</v>
      </c>
      <c r="W4" s="5">
        <f t="shared" ref="W4:W26" si="12">COUNTIF(D4:J4,"450")</f>
        <v>1</v>
      </c>
    </row>
    <row r="5" spans="1:23">
      <c r="A5" s="63" t="s">
        <v>318</v>
      </c>
      <c r="B5" s="62" t="s">
        <v>341</v>
      </c>
      <c r="C5" s="63" t="s">
        <v>340</v>
      </c>
      <c r="D5" s="9" t="s">
        <v>147</v>
      </c>
      <c r="E5" s="9" t="s">
        <v>148</v>
      </c>
      <c r="F5" s="9" t="s">
        <v>148</v>
      </c>
      <c r="G5" s="9" t="s">
        <v>148</v>
      </c>
      <c r="H5" s="9" t="s">
        <v>148</v>
      </c>
      <c r="I5" s="9" t="s">
        <v>148</v>
      </c>
      <c r="J5" s="9" t="s">
        <v>147</v>
      </c>
      <c r="K5" s="54">
        <f t="shared" si="0"/>
        <v>0</v>
      </c>
      <c r="L5" s="16">
        <f t="shared" si="1"/>
        <v>0</v>
      </c>
      <c r="M5" s="5">
        <f t="shared" si="2"/>
        <v>0</v>
      </c>
      <c r="N5" s="16">
        <f t="shared" si="3"/>
        <v>0</v>
      </c>
      <c r="O5">
        <f t="shared" si="4"/>
        <v>2250</v>
      </c>
      <c r="P5">
        <f t="shared" si="5"/>
        <v>2250</v>
      </c>
      <c r="Q5">
        <f t="shared" si="6"/>
        <v>1</v>
      </c>
      <c r="R5">
        <f t="shared" si="7"/>
        <v>5</v>
      </c>
      <c r="S5">
        <f t="shared" si="8"/>
        <v>5</v>
      </c>
      <c r="T5" s="5">
        <f t="shared" si="9"/>
        <v>2</v>
      </c>
      <c r="U5" s="5">
        <f t="shared" si="10"/>
        <v>0</v>
      </c>
      <c r="V5" s="5">
        <f t="shared" si="11"/>
        <v>0</v>
      </c>
      <c r="W5" s="5">
        <f t="shared" si="12"/>
        <v>0</v>
      </c>
    </row>
    <row r="6" spans="1:23">
      <c r="A6" s="63" t="s">
        <v>217</v>
      </c>
      <c r="B6" s="62" t="s">
        <v>341</v>
      </c>
      <c r="C6" s="63" t="s">
        <v>340</v>
      </c>
      <c r="D6" s="9" t="s">
        <v>147</v>
      </c>
      <c r="E6" s="9" t="s">
        <v>148</v>
      </c>
      <c r="F6" s="9">
        <v>6</v>
      </c>
      <c r="G6" s="9" t="s">
        <v>148</v>
      </c>
      <c r="H6" s="9" t="s">
        <v>148</v>
      </c>
      <c r="I6" s="9" t="s">
        <v>148</v>
      </c>
      <c r="J6" s="9" t="s">
        <v>147</v>
      </c>
      <c r="K6" s="54">
        <f t="shared" si="0"/>
        <v>6</v>
      </c>
      <c r="L6" s="16">
        <f t="shared" si="1"/>
        <v>6</v>
      </c>
      <c r="M6" s="5">
        <f t="shared" si="2"/>
        <v>0</v>
      </c>
      <c r="N6" s="16">
        <f t="shared" si="3"/>
        <v>6</v>
      </c>
      <c r="O6">
        <f t="shared" si="4"/>
        <v>2250</v>
      </c>
      <c r="P6">
        <f t="shared" si="5"/>
        <v>2244</v>
      </c>
      <c r="Q6">
        <f t="shared" si="6"/>
        <v>0.99733333333333329</v>
      </c>
      <c r="R6">
        <f t="shared" si="7"/>
        <v>5</v>
      </c>
      <c r="S6">
        <f t="shared" si="8"/>
        <v>5</v>
      </c>
      <c r="T6" s="5">
        <f t="shared" si="9"/>
        <v>2</v>
      </c>
      <c r="U6" s="5">
        <f t="shared" si="10"/>
        <v>0</v>
      </c>
      <c r="V6" s="5">
        <f t="shared" si="11"/>
        <v>0</v>
      </c>
      <c r="W6" s="5">
        <f t="shared" si="12"/>
        <v>0</v>
      </c>
    </row>
    <row r="7" spans="1:23">
      <c r="A7" s="63" t="s">
        <v>218</v>
      </c>
      <c r="B7" s="62" t="s">
        <v>22</v>
      </c>
      <c r="C7" s="63" t="s">
        <v>340</v>
      </c>
      <c r="D7" s="9" t="s">
        <v>147</v>
      </c>
      <c r="E7" s="9" t="s">
        <v>148</v>
      </c>
      <c r="F7" s="9" t="s">
        <v>148</v>
      </c>
      <c r="G7" s="9">
        <v>42</v>
      </c>
      <c r="H7" s="9">
        <v>1</v>
      </c>
      <c r="I7" s="9" t="s">
        <v>148</v>
      </c>
      <c r="J7" s="9" t="s">
        <v>147</v>
      </c>
      <c r="K7" s="54">
        <f t="shared" si="0"/>
        <v>43</v>
      </c>
      <c r="L7" s="16">
        <f t="shared" si="1"/>
        <v>43</v>
      </c>
      <c r="M7" s="5">
        <f t="shared" si="2"/>
        <v>0</v>
      </c>
      <c r="N7" s="16">
        <f t="shared" si="3"/>
        <v>43</v>
      </c>
      <c r="O7">
        <f t="shared" si="4"/>
        <v>2250</v>
      </c>
      <c r="P7">
        <f t="shared" si="5"/>
        <v>2207</v>
      </c>
      <c r="Q7">
        <f t="shared" si="6"/>
        <v>0.98088888888888892</v>
      </c>
      <c r="R7">
        <f t="shared" si="7"/>
        <v>5</v>
      </c>
      <c r="S7">
        <f t="shared" si="8"/>
        <v>5</v>
      </c>
      <c r="T7" s="5">
        <f t="shared" si="9"/>
        <v>2</v>
      </c>
      <c r="U7" s="5">
        <f t="shared" si="10"/>
        <v>0</v>
      </c>
      <c r="V7" s="5">
        <f t="shared" si="11"/>
        <v>0</v>
      </c>
      <c r="W7" s="5">
        <f t="shared" si="12"/>
        <v>0</v>
      </c>
    </row>
    <row r="8" spans="1:23">
      <c r="A8" s="63" t="s">
        <v>220</v>
      </c>
      <c r="B8" s="62" t="s">
        <v>267</v>
      </c>
      <c r="C8" s="63" t="s">
        <v>340</v>
      </c>
      <c r="D8" s="9" t="s">
        <v>147</v>
      </c>
      <c r="E8" s="9" t="s">
        <v>148</v>
      </c>
      <c r="F8" s="9">
        <v>28</v>
      </c>
      <c r="G8" s="9" t="s">
        <v>148</v>
      </c>
      <c r="H8" s="9" t="s">
        <v>148</v>
      </c>
      <c r="I8" s="9" t="s">
        <v>148</v>
      </c>
      <c r="J8" s="9" t="s">
        <v>147</v>
      </c>
      <c r="K8" s="54">
        <f t="shared" si="0"/>
        <v>28</v>
      </c>
      <c r="L8" s="16">
        <f t="shared" si="1"/>
        <v>28</v>
      </c>
      <c r="M8" s="5">
        <f t="shared" si="2"/>
        <v>0</v>
      </c>
      <c r="N8" s="16">
        <f t="shared" si="3"/>
        <v>28</v>
      </c>
      <c r="O8">
        <f t="shared" si="4"/>
        <v>2250</v>
      </c>
      <c r="P8">
        <f t="shared" si="5"/>
        <v>2222</v>
      </c>
      <c r="Q8">
        <f t="shared" si="6"/>
        <v>0.98755555555555552</v>
      </c>
      <c r="R8">
        <f t="shared" si="7"/>
        <v>5</v>
      </c>
      <c r="S8">
        <f t="shared" si="8"/>
        <v>5</v>
      </c>
      <c r="T8" s="5">
        <f t="shared" si="9"/>
        <v>2</v>
      </c>
      <c r="U8" s="5">
        <f t="shared" si="10"/>
        <v>0</v>
      </c>
      <c r="V8" s="5">
        <f t="shared" si="11"/>
        <v>0</v>
      </c>
      <c r="W8" s="5">
        <f t="shared" si="12"/>
        <v>0</v>
      </c>
    </row>
    <row r="9" spans="1:23">
      <c r="A9" s="63" t="s">
        <v>321</v>
      </c>
      <c r="B9" s="62" t="s">
        <v>341</v>
      </c>
      <c r="C9" s="63" t="s">
        <v>340</v>
      </c>
      <c r="D9" s="9" t="s">
        <v>147</v>
      </c>
      <c r="E9" s="9" t="s">
        <v>148</v>
      </c>
      <c r="F9" s="9" t="s">
        <v>148</v>
      </c>
      <c r="G9" s="9" t="s">
        <v>148</v>
      </c>
      <c r="H9" s="9" t="s">
        <v>148</v>
      </c>
      <c r="I9" s="9" t="s">
        <v>148</v>
      </c>
      <c r="J9" s="9" t="s">
        <v>147</v>
      </c>
      <c r="K9" s="54">
        <f t="shared" si="0"/>
        <v>0</v>
      </c>
      <c r="L9" s="16">
        <f t="shared" si="1"/>
        <v>0</v>
      </c>
      <c r="M9" s="5">
        <f t="shared" si="2"/>
        <v>0</v>
      </c>
      <c r="N9" s="16">
        <f t="shared" si="3"/>
        <v>0</v>
      </c>
      <c r="O9">
        <f t="shared" si="4"/>
        <v>2250</v>
      </c>
      <c r="P9">
        <f t="shared" si="5"/>
        <v>2250</v>
      </c>
      <c r="Q9">
        <f t="shared" si="6"/>
        <v>1</v>
      </c>
      <c r="R9">
        <f t="shared" si="7"/>
        <v>5</v>
      </c>
      <c r="S9">
        <f t="shared" si="8"/>
        <v>5</v>
      </c>
      <c r="T9" s="5">
        <f t="shared" si="9"/>
        <v>2</v>
      </c>
      <c r="U9" s="5">
        <f t="shared" si="10"/>
        <v>0</v>
      </c>
      <c r="V9" s="5">
        <f t="shared" si="11"/>
        <v>0</v>
      </c>
      <c r="W9" s="5">
        <f t="shared" si="12"/>
        <v>0</v>
      </c>
    </row>
    <row r="10" spans="1:23">
      <c r="A10" s="63" t="s">
        <v>224</v>
      </c>
      <c r="B10" s="62" t="s">
        <v>37</v>
      </c>
      <c r="C10" s="63" t="s">
        <v>340</v>
      </c>
      <c r="D10" s="9" t="s">
        <v>148</v>
      </c>
      <c r="E10" s="9" t="s">
        <v>147</v>
      </c>
      <c r="F10" s="9" t="s">
        <v>147</v>
      </c>
      <c r="G10" s="9">
        <v>26</v>
      </c>
      <c r="H10" s="9">
        <v>18</v>
      </c>
      <c r="I10" s="9" t="s">
        <v>148</v>
      </c>
      <c r="J10" s="9">
        <v>33</v>
      </c>
      <c r="K10" s="54">
        <f t="shared" si="0"/>
        <v>77</v>
      </c>
      <c r="L10" s="16">
        <f t="shared" si="1"/>
        <v>77</v>
      </c>
      <c r="M10" s="5">
        <f t="shared" si="2"/>
        <v>0</v>
      </c>
      <c r="N10" s="16">
        <f t="shared" si="3"/>
        <v>77</v>
      </c>
      <c r="O10">
        <f t="shared" si="4"/>
        <v>2250</v>
      </c>
      <c r="P10">
        <f t="shared" si="5"/>
        <v>2173</v>
      </c>
      <c r="Q10">
        <f t="shared" si="6"/>
        <v>0.96577777777777774</v>
      </c>
      <c r="R10">
        <f t="shared" si="7"/>
        <v>5</v>
      </c>
      <c r="S10">
        <f t="shared" si="8"/>
        <v>5</v>
      </c>
      <c r="T10" s="5">
        <f t="shared" si="9"/>
        <v>2</v>
      </c>
      <c r="U10" s="5">
        <f t="shared" si="10"/>
        <v>0</v>
      </c>
      <c r="V10" s="5">
        <f t="shared" si="11"/>
        <v>0</v>
      </c>
      <c r="W10" s="5">
        <f t="shared" si="12"/>
        <v>0</v>
      </c>
    </row>
    <row r="11" spans="1:23">
      <c r="A11" s="61" t="s">
        <v>225</v>
      </c>
      <c r="B11" s="62" t="s">
        <v>22</v>
      </c>
      <c r="C11" s="61" t="s">
        <v>63</v>
      </c>
      <c r="D11" s="9" t="s">
        <v>147</v>
      </c>
      <c r="E11" s="9" t="s">
        <v>148</v>
      </c>
      <c r="F11" s="9" t="s">
        <v>148</v>
      </c>
      <c r="G11" s="9" t="s">
        <v>148</v>
      </c>
      <c r="H11" s="9">
        <v>15</v>
      </c>
      <c r="I11" s="9">
        <v>20</v>
      </c>
      <c r="J11" s="9" t="s">
        <v>147</v>
      </c>
      <c r="K11" s="54">
        <f t="shared" si="0"/>
        <v>35</v>
      </c>
      <c r="L11" s="16">
        <f t="shared" si="1"/>
        <v>35</v>
      </c>
      <c r="M11" s="5">
        <f t="shared" si="2"/>
        <v>0</v>
      </c>
      <c r="N11" s="16">
        <f t="shared" si="3"/>
        <v>35</v>
      </c>
      <c r="O11">
        <f t="shared" si="4"/>
        <v>2250</v>
      </c>
      <c r="P11">
        <f t="shared" si="5"/>
        <v>2215</v>
      </c>
      <c r="Q11">
        <f t="shared" si="6"/>
        <v>0.98444444444444446</v>
      </c>
      <c r="R11">
        <f t="shared" si="7"/>
        <v>5</v>
      </c>
      <c r="S11">
        <f t="shared" si="8"/>
        <v>5</v>
      </c>
      <c r="T11" s="5">
        <f t="shared" si="9"/>
        <v>2</v>
      </c>
      <c r="U11" s="5">
        <f t="shared" si="10"/>
        <v>0</v>
      </c>
      <c r="V11" s="5">
        <f t="shared" si="11"/>
        <v>0</v>
      </c>
      <c r="W11" s="5">
        <f t="shared" si="12"/>
        <v>0</v>
      </c>
    </row>
    <row r="12" spans="1:23">
      <c r="A12" s="63" t="s">
        <v>227</v>
      </c>
      <c r="B12" s="62" t="s">
        <v>22</v>
      </c>
      <c r="C12" s="63" t="s">
        <v>63</v>
      </c>
      <c r="D12" s="9" t="s">
        <v>147</v>
      </c>
      <c r="E12" s="9" t="s">
        <v>148</v>
      </c>
      <c r="F12" s="9" t="s">
        <v>148</v>
      </c>
      <c r="G12" s="9" t="s">
        <v>148</v>
      </c>
      <c r="H12" s="9">
        <v>11</v>
      </c>
      <c r="I12" s="9" t="s">
        <v>148</v>
      </c>
      <c r="J12" s="9" t="s">
        <v>147</v>
      </c>
      <c r="K12" s="54">
        <f t="shared" si="0"/>
        <v>11</v>
      </c>
      <c r="L12" s="16">
        <f t="shared" si="1"/>
        <v>11</v>
      </c>
      <c r="M12" s="5">
        <f t="shared" si="2"/>
        <v>0</v>
      </c>
      <c r="N12" s="16">
        <f t="shared" si="3"/>
        <v>11</v>
      </c>
      <c r="O12">
        <f t="shared" si="4"/>
        <v>2250</v>
      </c>
      <c r="P12">
        <f t="shared" si="5"/>
        <v>2239</v>
      </c>
      <c r="Q12">
        <f t="shared" si="6"/>
        <v>0.99511111111111106</v>
      </c>
      <c r="R12">
        <f t="shared" si="7"/>
        <v>5</v>
      </c>
      <c r="S12">
        <f t="shared" si="8"/>
        <v>5</v>
      </c>
      <c r="T12" s="5">
        <f t="shared" si="9"/>
        <v>2</v>
      </c>
      <c r="U12" s="5">
        <f t="shared" si="10"/>
        <v>0</v>
      </c>
      <c r="V12" s="5">
        <f t="shared" si="11"/>
        <v>0</v>
      </c>
      <c r="W12" s="5">
        <f t="shared" si="12"/>
        <v>0</v>
      </c>
    </row>
    <row r="13" spans="1:23">
      <c r="A13" s="63" t="s">
        <v>281</v>
      </c>
      <c r="B13" s="62" t="s">
        <v>22</v>
      </c>
      <c r="C13" s="63" t="s">
        <v>63</v>
      </c>
      <c r="D13" s="9" t="s">
        <v>147</v>
      </c>
      <c r="E13" s="9" t="s">
        <v>148</v>
      </c>
      <c r="F13" s="9" t="s">
        <v>148</v>
      </c>
      <c r="G13" s="9" t="s">
        <v>148</v>
      </c>
      <c r="H13" s="9" t="s">
        <v>148</v>
      </c>
      <c r="I13" s="9" t="s">
        <v>148</v>
      </c>
      <c r="J13" s="9" t="s">
        <v>147</v>
      </c>
      <c r="K13" s="54">
        <f t="shared" si="0"/>
        <v>0</v>
      </c>
      <c r="L13" s="16">
        <f t="shared" si="1"/>
        <v>0</v>
      </c>
      <c r="M13" s="5">
        <f t="shared" si="2"/>
        <v>0</v>
      </c>
      <c r="N13" s="16">
        <f t="shared" si="3"/>
        <v>0</v>
      </c>
      <c r="O13">
        <f t="shared" si="4"/>
        <v>2250</v>
      </c>
      <c r="P13">
        <f t="shared" si="5"/>
        <v>2250</v>
      </c>
      <c r="Q13">
        <f t="shared" si="6"/>
        <v>1</v>
      </c>
      <c r="R13">
        <f t="shared" si="7"/>
        <v>5</v>
      </c>
      <c r="S13">
        <f t="shared" si="8"/>
        <v>5</v>
      </c>
      <c r="T13" s="5">
        <f t="shared" si="9"/>
        <v>2</v>
      </c>
      <c r="U13" s="5">
        <f t="shared" si="10"/>
        <v>0</v>
      </c>
      <c r="V13" s="5">
        <f t="shared" si="11"/>
        <v>0</v>
      </c>
      <c r="W13" s="5">
        <f t="shared" si="12"/>
        <v>0</v>
      </c>
    </row>
    <row r="14" spans="1:23">
      <c r="A14" s="63" t="s">
        <v>286</v>
      </c>
      <c r="B14" s="62" t="s">
        <v>22</v>
      </c>
      <c r="C14" s="63" t="s">
        <v>63</v>
      </c>
      <c r="D14" s="9" t="s">
        <v>147</v>
      </c>
      <c r="E14" s="9" t="s">
        <v>148</v>
      </c>
      <c r="F14" s="9" t="s">
        <v>148</v>
      </c>
      <c r="G14" s="9" t="s">
        <v>148</v>
      </c>
      <c r="H14" s="9" t="s">
        <v>148</v>
      </c>
      <c r="I14" s="9" t="s">
        <v>148</v>
      </c>
      <c r="J14" s="9" t="s">
        <v>147</v>
      </c>
      <c r="K14" s="54">
        <f t="shared" si="0"/>
        <v>0</v>
      </c>
      <c r="L14" s="16">
        <f t="shared" si="1"/>
        <v>0</v>
      </c>
      <c r="M14" s="5">
        <f t="shared" si="2"/>
        <v>0</v>
      </c>
      <c r="N14" s="16">
        <f t="shared" si="3"/>
        <v>0</v>
      </c>
      <c r="O14">
        <f t="shared" si="4"/>
        <v>2250</v>
      </c>
      <c r="P14">
        <f t="shared" si="5"/>
        <v>2250</v>
      </c>
      <c r="Q14">
        <f t="shared" si="6"/>
        <v>1</v>
      </c>
      <c r="R14">
        <f t="shared" si="7"/>
        <v>5</v>
      </c>
      <c r="S14">
        <f t="shared" si="8"/>
        <v>5</v>
      </c>
      <c r="T14" s="5">
        <f t="shared" si="9"/>
        <v>2</v>
      </c>
      <c r="U14" s="5">
        <f t="shared" si="10"/>
        <v>0</v>
      </c>
      <c r="V14" s="5">
        <f t="shared" si="11"/>
        <v>0</v>
      </c>
      <c r="W14" s="5">
        <f t="shared" si="12"/>
        <v>0</v>
      </c>
    </row>
    <row r="15" spans="1:23">
      <c r="A15" s="63" t="s">
        <v>229</v>
      </c>
      <c r="B15" s="62" t="s">
        <v>22</v>
      </c>
      <c r="C15" s="63" t="s">
        <v>33</v>
      </c>
      <c r="D15" s="9" t="s">
        <v>147</v>
      </c>
      <c r="E15" s="9" t="s">
        <v>148</v>
      </c>
      <c r="F15" s="9" t="s">
        <v>148</v>
      </c>
      <c r="G15" s="9" t="s">
        <v>148</v>
      </c>
      <c r="H15" s="9" t="s">
        <v>148</v>
      </c>
      <c r="I15" s="9" t="s">
        <v>148</v>
      </c>
      <c r="J15" s="9" t="s">
        <v>147</v>
      </c>
      <c r="K15" s="54">
        <f t="shared" si="0"/>
        <v>0</v>
      </c>
      <c r="L15" s="16">
        <f t="shared" si="1"/>
        <v>0</v>
      </c>
      <c r="M15" s="5">
        <f t="shared" si="2"/>
        <v>0</v>
      </c>
      <c r="N15" s="16">
        <f t="shared" si="3"/>
        <v>0</v>
      </c>
      <c r="O15">
        <f t="shared" si="4"/>
        <v>2250</v>
      </c>
      <c r="P15">
        <f t="shared" si="5"/>
        <v>2250</v>
      </c>
      <c r="Q15">
        <f t="shared" si="6"/>
        <v>1</v>
      </c>
      <c r="R15">
        <f t="shared" si="7"/>
        <v>5</v>
      </c>
      <c r="S15">
        <f t="shared" si="8"/>
        <v>5</v>
      </c>
      <c r="T15" s="5">
        <f t="shared" si="9"/>
        <v>2</v>
      </c>
      <c r="U15" s="5">
        <f t="shared" si="10"/>
        <v>0</v>
      </c>
      <c r="V15" s="5">
        <f t="shared" si="11"/>
        <v>0</v>
      </c>
      <c r="W15" s="5">
        <f t="shared" si="12"/>
        <v>0</v>
      </c>
    </row>
    <row r="16" spans="1:23">
      <c r="A16" s="63" t="s">
        <v>230</v>
      </c>
      <c r="B16" s="62" t="s">
        <v>60</v>
      </c>
      <c r="C16" s="63" t="s">
        <v>340</v>
      </c>
      <c r="D16" s="9" t="s">
        <v>147</v>
      </c>
      <c r="E16" s="9" t="s">
        <v>148</v>
      </c>
      <c r="F16" s="9" t="s">
        <v>148</v>
      </c>
      <c r="G16" s="9" t="s">
        <v>148</v>
      </c>
      <c r="H16" s="9" t="s">
        <v>148</v>
      </c>
      <c r="I16" s="9" t="s">
        <v>148</v>
      </c>
      <c r="J16" s="9" t="s">
        <v>147</v>
      </c>
      <c r="K16" s="54">
        <f t="shared" si="0"/>
        <v>0</v>
      </c>
      <c r="L16" s="16">
        <f t="shared" si="1"/>
        <v>0</v>
      </c>
      <c r="M16" s="5">
        <f t="shared" si="2"/>
        <v>0</v>
      </c>
      <c r="N16" s="16">
        <f t="shared" si="3"/>
        <v>0</v>
      </c>
      <c r="O16">
        <f t="shared" si="4"/>
        <v>2250</v>
      </c>
      <c r="P16">
        <f t="shared" si="5"/>
        <v>2250</v>
      </c>
      <c r="Q16">
        <f t="shared" si="6"/>
        <v>1</v>
      </c>
      <c r="R16">
        <f t="shared" si="7"/>
        <v>5</v>
      </c>
      <c r="S16">
        <f t="shared" si="8"/>
        <v>5</v>
      </c>
      <c r="T16" s="5">
        <f t="shared" si="9"/>
        <v>2</v>
      </c>
      <c r="U16" s="5">
        <f t="shared" si="10"/>
        <v>0</v>
      </c>
      <c r="V16" s="5">
        <f t="shared" si="11"/>
        <v>0</v>
      </c>
      <c r="W16" s="5">
        <f t="shared" si="12"/>
        <v>0</v>
      </c>
    </row>
    <row r="17" spans="1:23">
      <c r="A17" s="63" t="s">
        <v>231</v>
      </c>
      <c r="B17" s="62" t="s">
        <v>22</v>
      </c>
      <c r="C17" s="63" t="s">
        <v>33</v>
      </c>
      <c r="D17" s="9" t="s">
        <v>147</v>
      </c>
      <c r="E17" s="9" t="s">
        <v>148</v>
      </c>
      <c r="F17" s="9" t="s">
        <v>148</v>
      </c>
      <c r="G17" s="9" t="s">
        <v>148</v>
      </c>
      <c r="H17" s="9" t="s">
        <v>148</v>
      </c>
      <c r="I17" s="9" t="s">
        <v>148</v>
      </c>
      <c r="J17" s="9" t="s">
        <v>147</v>
      </c>
      <c r="K17" s="54">
        <f t="shared" si="0"/>
        <v>0</v>
      </c>
      <c r="L17" s="16">
        <f t="shared" si="1"/>
        <v>0</v>
      </c>
      <c r="M17" s="5">
        <f t="shared" si="2"/>
        <v>0</v>
      </c>
      <c r="N17" s="16">
        <f t="shared" si="3"/>
        <v>0</v>
      </c>
      <c r="O17">
        <f t="shared" si="4"/>
        <v>2250</v>
      </c>
      <c r="P17">
        <f t="shared" si="5"/>
        <v>2250</v>
      </c>
      <c r="Q17">
        <f t="shared" si="6"/>
        <v>1</v>
      </c>
      <c r="R17">
        <f t="shared" si="7"/>
        <v>5</v>
      </c>
      <c r="S17">
        <f t="shared" si="8"/>
        <v>5</v>
      </c>
      <c r="T17" s="5">
        <f t="shared" si="9"/>
        <v>2</v>
      </c>
      <c r="U17" s="5">
        <f t="shared" si="10"/>
        <v>0</v>
      </c>
      <c r="V17" s="5">
        <f t="shared" si="11"/>
        <v>0</v>
      </c>
      <c r="W17" s="5">
        <f t="shared" si="12"/>
        <v>0</v>
      </c>
    </row>
    <row r="18" spans="1:23">
      <c r="A18" s="61" t="s">
        <v>232</v>
      </c>
      <c r="B18" s="62" t="s">
        <v>341</v>
      </c>
      <c r="C18" s="63" t="s">
        <v>340</v>
      </c>
      <c r="D18" s="9" t="s">
        <v>147</v>
      </c>
      <c r="E18" s="9" t="s">
        <v>148</v>
      </c>
      <c r="F18" s="9" t="s">
        <v>148</v>
      </c>
      <c r="G18" s="9" t="s">
        <v>148</v>
      </c>
      <c r="H18" s="9" t="s">
        <v>148</v>
      </c>
      <c r="I18" s="9" t="s">
        <v>148</v>
      </c>
      <c r="J18" s="9" t="s">
        <v>147</v>
      </c>
      <c r="K18" s="54">
        <f t="shared" si="0"/>
        <v>0</v>
      </c>
      <c r="L18" s="16">
        <f t="shared" si="1"/>
        <v>0</v>
      </c>
      <c r="M18" s="5">
        <f t="shared" si="2"/>
        <v>0</v>
      </c>
      <c r="N18" s="16">
        <f t="shared" si="3"/>
        <v>0</v>
      </c>
      <c r="O18">
        <f t="shared" si="4"/>
        <v>2250</v>
      </c>
      <c r="P18">
        <f t="shared" si="5"/>
        <v>2250</v>
      </c>
      <c r="Q18">
        <f t="shared" si="6"/>
        <v>1</v>
      </c>
      <c r="R18">
        <f t="shared" si="7"/>
        <v>5</v>
      </c>
      <c r="S18">
        <f t="shared" si="8"/>
        <v>5</v>
      </c>
      <c r="T18" s="5">
        <f t="shared" si="9"/>
        <v>2</v>
      </c>
      <c r="U18" s="5">
        <f t="shared" si="10"/>
        <v>0</v>
      </c>
      <c r="V18" s="5">
        <f t="shared" si="11"/>
        <v>0</v>
      </c>
      <c r="W18" s="5">
        <f t="shared" si="12"/>
        <v>0</v>
      </c>
    </row>
    <row r="19" spans="1:23">
      <c r="A19" s="63" t="s">
        <v>333</v>
      </c>
      <c r="B19" s="62" t="s">
        <v>341</v>
      </c>
      <c r="C19" s="63" t="s">
        <v>340</v>
      </c>
      <c r="D19" s="9" t="s">
        <v>147</v>
      </c>
      <c r="E19" s="9" t="s">
        <v>148</v>
      </c>
      <c r="F19" s="9" t="s">
        <v>148</v>
      </c>
      <c r="G19" s="9" t="s">
        <v>148</v>
      </c>
      <c r="H19" s="9" t="s">
        <v>148</v>
      </c>
      <c r="I19" s="9" t="s">
        <v>148</v>
      </c>
      <c r="J19" s="9" t="s">
        <v>147</v>
      </c>
      <c r="K19" s="54">
        <f t="shared" si="0"/>
        <v>0</v>
      </c>
      <c r="L19" s="16">
        <f t="shared" si="1"/>
        <v>0</v>
      </c>
      <c r="M19" s="5">
        <f t="shared" si="2"/>
        <v>0</v>
      </c>
      <c r="N19" s="16">
        <f t="shared" si="3"/>
        <v>0</v>
      </c>
      <c r="O19">
        <f t="shared" si="4"/>
        <v>2250</v>
      </c>
      <c r="P19">
        <f t="shared" si="5"/>
        <v>2250</v>
      </c>
      <c r="Q19">
        <f t="shared" si="6"/>
        <v>1</v>
      </c>
      <c r="R19">
        <f t="shared" si="7"/>
        <v>5</v>
      </c>
      <c r="S19">
        <f t="shared" si="8"/>
        <v>5</v>
      </c>
      <c r="T19" s="5">
        <f t="shared" si="9"/>
        <v>2</v>
      </c>
      <c r="U19" s="5">
        <f t="shared" si="10"/>
        <v>0</v>
      </c>
      <c r="V19" s="5">
        <f t="shared" si="11"/>
        <v>0</v>
      </c>
      <c r="W19" s="5">
        <f t="shared" si="12"/>
        <v>0</v>
      </c>
    </row>
    <row r="20" spans="1:23">
      <c r="A20" s="63" t="s">
        <v>235</v>
      </c>
      <c r="B20" s="62" t="s">
        <v>341</v>
      </c>
      <c r="C20" s="63" t="s">
        <v>340</v>
      </c>
      <c r="D20" s="9" t="s">
        <v>147</v>
      </c>
      <c r="E20" s="9" t="s">
        <v>148</v>
      </c>
      <c r="F20" s="9" t="s">
        <v>148</v>
      </c>
      <c r="G20" s="9" t="s">
        <v>148</v>
      </c>
      <c r="H20" s="9" t="s">
        <v>148</v>
      </c>
      <c r="I20" s="9" t="s">
        <v>148</v>
      </c>
      <c r="J20" s="9" t="s">
        <v>147</v>
      </c>
      <c r="K20" s="54">
        <f t="shared" si="0"/>
        <v>0</v>
      </c>
      <c r="L20" s="16">
        <f t="shared" si="1"/>
        <v>0</v>
      </c>
      <c r="M20" s="5">
        <f t="shared" si="2"/>
        <v>0</v>
      </c>
      <c r="N20" s="16">
        <f t="shared" si="3"/>
        <v>0</v>
      </c>
      <c r="O20">
        <f t="shared" si="4"/>
        <v>2250</v>
      </c>
      <c r="P20">
        <f t="shared" si="5"/>
        <v>2250</v>
      </c>
      <c r="Q20">
        <f t="shared" si="6"/>
        <v>1</v>
      </c>
      <c r="R20">
        <f t="shared" si="7"/>
        <v>5</v>
      </c>
      <c r="S20">
        <f t="shared" si="8"/>
        <v>5</v>
      </c>
      <c r="T20" s="5">
        <f t="shared" si="9"/>
        <v>2</v>
      </c>
      <c r="U20" s="5">
        <f t="shared" si="10"/>
        <v>0</v>
      </c>
      <c r="V20" s="5">
        <f t="shared" si="11"/>
        <v>0</v>
      </c>
      <c r="W20" s="5">
        <f t="shared" si="12"/>
        <v>0</v>
      </c>
    </row>
    <row r="21" spans="1:23">
      <c r="A21" s="63" t="s">
        <v>268</v>
      </c>
      <c r="B21" s="62" t="s">
        <v>267</v>
      </c>
      <c r="C21" s="63" t="s">
        <v>340</v>
      </c>
      <c r="D21" s="9" t="s">
        <v>147</v>
      </c>
      <c r="E21" s="9" t="s">
        <v>148</v>
      </c>
      <c r="F21" s="9" t="s">
        <v>148</v>
      </c>
      <c r="G21" s="9" t="s">
        <v>148</v>
      </c>
      <c r="H21" s="9" t="s">
        <v>148</v>
      </c>
      <c r="I21" s="9" t="s">
        <v>148</v>
      </c>
      <c r="J21" s="9" t="s">
        <v>147</v>
      </c>
      <c r="K21" s="54">
        <f t="shared" si="0"/>
        <v>0</v>
      </c>
      <c r="L21" s="16">
        <f t="shared" si="1"/>
        <v>0</v>
      </c>
      <c r="M21" s="5">
        <f t="shared" si="2"/>
        <v>0</v>
      </c>
      <c r="N21" s="16">
        <f t="shared" si="3"/>
        <v>0</v>
      </c>
      <c r="O21">
        <f t="shared" si="4"/>
        <v>2250</v>
      </c>
      <c r="P21">
        <f t="shared" si="5"/>
        <v>2250</v>
      </c>
      <c r="Q21">
        <f t="shared" si="6"/>
        <v>1</v>
      </c>
      <c r="R21">
        <f t="shared" si="7"/>
        <v>5</v>
      </c>
      <c r="S21">
        <f t="shared" si="8"/>
        <v>5</v>
      </c>
      <c r="T21" s="5">
        <f t="shared" si="9"/>
        <v>2</v>
      </c>
      <c r="U21" s="5">
        <f t="shared" si="10"/>
        <v>0</v>
      </c>
      <c r="V21" s="5">
        <f t="shared" si="11"/>
        <v>0</v>
      </c>
      <c r="W21" s="5">
        <f t="shared" si="12"/>
        <v>0</v>
      </c>
    </row>
    <row r="22" spans="1:23">
      <c r="A22" s="63" t="s">
        <v>236</v>
      </c>
      <c r="B22" s="62" t="s">
        <v>37</v>
      </c>
      <c r="C22" s="63" t="s">
        <v>340</v>
      </c>
      <c r="D22" s="9" t="s">
        <v>148</v>
      </c>
      <c r="E22" s="9" t="s">
        <v>147</v>
      </c>
      <c r="F22" s="9" t="s">
        <v>147</v>
      </c>
      <c r="G22" s="9">
        <v>23</v>
      </c>
      <c r="H22" s="9">
        <v>19</v>
      </c>
      <c r="I22" s="9" t="s">
        <v>148</v>
      </c>
      <c r="J22" s="9">
        <v>450</v>
      </c>
      <c r="K22" s="54">
        <f t="shared" si="0"/>
        <v>492</v>
      </c>
      <c r="L22" s="16">
        <f t="shared" si="1"/>
        <v>42</v>
      </c>
      <c r="M22" s="5">
        <f t="shared" si="2"/>
        <v>450</v>
      </c>
      <c r="N22" s="16">
        <f t="shared" si="3"/>
        <v>492</v>
      </c>
      <c r="O22">
        <f t="shared" si="4"/>
        <v>2250</v>
      </c>
      <c r="P22">
        <f t="shared" si="5"/>
        <v>1758</v>
      </c>
      <c r="Q22">
        <f t="shared" si="6"/>
        <v>0.78133333333333332</v>
      </c>
      <c r="R22">
        <f t="shared" si="7"/>
        <v>5</v>
      </c>
      <c r="S22">
        <f t="shared" si="8"/>
        <v>5</v>
      </c>
      <c r="T22" s="5">
        <f t="shared" si="9"/>
        <v>2</v>
      </c>
      <c r="U22" s="5">
        <f t="shared" si="10"/>
        <v>0</v>
      </c>
      <c r="V22" s="5">
        <f t="shared" si="11"/>
        <v>0</v>
      </c>
      <c r="W22" s="5">
        <f t="shared" si="12"/>
        <v>1</v>
      </c>
    </row>
    <row r="23" spans="1:23">
      <c r="A23" s="63" t="s">
        <v>237</v>
      </c>
      <c r="B23" s="62" t="s">
        <v>22</v>
      </c>
      <c r="C23" s="63" t="s">
        <v>30</v>
      </c>
      <c r="D23" s="9" t="s">
        <v>147</v>
      </c>
      <c r="E23" s="9" t="s">
        <v>148</v>
      </c>
      <c r="F23" s="9">
        <v>32</v>
      </c>
      <c r="G23" s="9" t="s">
        <v>148</v>
      </c>
      <c r="H23" s="9" t="s">
        <v>148</v>
      </c>
      <c r="I23" s="9">
        <v>28</v>
      </c>
      <c r="J23" s="9" t="s">
        <v>147</v>
      </c>
      <c r="K23" s="54">
        <f t="shared" si="0"/>
        <v>60</v>
      </c>
      <c r="L23" s="16">
        <f t="shared" si="1"/>
        <v>60</v>
      </c>
      <c r="M23" s="5">
        <f t="shared" si="2"/>
        <v>0</v>
      </c>
      <c r="N23" s="16">
        <f t="shared" si="3"/>
        <v>60</v>
      </c>
      <c r="O23">
        <f t="shared" si="4"/>
        <v>2250</v>
      </c>
      <c r="P23">
        <f t="shared" si="5"/>
        <v>2190</v>
      </c>
      <c r="Q23">
        <f t="shared" si="6"/>
        <v>0.97333333333333338</v>
      </c>
      <c r="R23">
        <f t="shared" si="7"/>
        <v>5</v>
      </c>
      <c r="S23">
        <f t="shared" si="8"/>
        <v>5</v>
      </c>
      <c r="T23" s="5">
        <f t="shared" si="9"/>
        <v>2</v>
      </c>
      <c r="U23" s="5">
        <f t="shared" si="10"/>
        <v>0</v>
      </c>
      <c r="V23" s="5">
        <f t="shared" si="11"/>
        <v>0</v>
      </c>
      <c r="W23" s="5">
        <f t="shared" si="12"/>
        <v>0</v>
      </c>
    </row>
    <row r="24" spans="1:23">
      <c r="A24" s="61" t="s">
        <v>238</v>
      </c>
      <c r="B24" s="62" t="s">
        <v>22</v>
      </c>
      <c r="C24" s="63" t="s">
        <v>30</v>
      </c>
      <c r="D24" s="9" t="s">
        <v>147</v>
      </c>
      <c r="E24" s="9" t="s">
        <v>148</v>
      </c>
      <c r="F24" s="9">
        <v>35</v>
      </c>
      <c r="G24" s="9">
        <v>3</v>
      </c>
      <c r="H24" s="9">
        <v>2</v>
      </c>
      <c r="I24" s="9">
        <v>4</v>
      </c>
      <c r="J24" s="9" t="s">
        <v>147</v>
      </c>
      <c r="K24" s="54">
        <f t="shared" si="0"/>
        <v>44</v>
      </c>
      <c r="L24" s="16">
        <f t="shared" si="1"/>
        <v>44</v>
      </c>
      <c r="M24" s="5">
        <f t="shared" si="2"/>
        <v>0</v>
      </c>
      <c r="N24" s="16">
        <f t="shared" si="3"/>
        <v>44</v>
      </c>
      <c r="O24">
        <f t="shared" si="4"/>
        <v>2250</v>
      </c>
      <c r="P24">
        <f t="shared" si="5"/>
        <v>2206</v>
      </c>
      <c r="Q24">
        <f t="shared" si="6"/>
        <v>0.98044444444444445</v>
      </c>
      <c r="R24">
        <f t="shared" si="7"/>
        <v>5</v>
      </c>
      <c r="S24">
        <f t="shared" si="8"/>
        <v>5</v>
      </c>
      <c r="T24" s="5">
        <f t="shared" si="9"/>
        <v>2</v>
      </c>
      <c r="U24" s="5">
        <f t="shared" si="10"/>
        <v>0</v>
      </c>
      <c r="V24" s="5">
        <f t="shared" si="11"/>
        <v>0</v>
      </c>
      <c r="W24" s="5">
        <f t="shared" si="12"/>
        <v>0</v>
      </c>
    </row>
    <row r="25" spans="1:23">
      <c r="A25" s="63" t="s">
        <v>240</v>
      </c>
      <c r="B25" s="62" t="s">
        <v>37</v>
      </c>
      <c r="C25" s="63" t="s">
        <v>340</v>
      </c>
      <c r="D25" s="9" t="s">
        <v>148</v>
      </c>
      <c r="E25" s="9" t="s">
        <v>147</v>
      </c>
      <c r="F25" s="9" t="s">
        <v>147</v>
      </c>
      <c r="G25" s="9" t="s">
        <v>148</v>
      </c>
      <c r="H25" s="9" t="s">
        <v>148</v>
      </c>
      <c r="I25" s="9" t="s">
        <v>148</v>
      </c>
      <c r="J25" s="9" t="s">
        <v>148</v>
      </c>
      <c r="K25" s="54">
        <f t="shared" si="0"/>
        <v>0</v>
      </c>
      <c r="L25" s="16">
        <f t="shared" si="1"/>
        <v>0</v>
      </c>
      <c r="M25" s="5">
        <f t="shared" si="2"/>
        <v>0</v>
      </c>
      <c r="N25" s="16">
        <f t="shared" si="3"/>
        <v>0</v>
      </c>
      <c r="O25">
        <f t="shared" si="4"/>
        <v>2250</v>
      </c>
      <c r="P25">
        <f t="shared" si="5"/>
        <v>2250</v>
      </c>
      <c r="Q25">
        <f t="shared" si="6"/>
        <v>1</v>
      </c>
      <c r="R25">
        <f t="shared" si="7"/>
        <v>5</v>
      </c>
      <c r="S25">
        <f t="shared" si="8"/>
        <v>5</v>
      </c>
      <c r="T25" s="5">
        <f t="shared" si="9"/>
        <v>2</v>
      </c>
      <c r="U25" s="5">
        <f t="shared" si="10"/>
        <v>0</v>
      </c>
      <c r="V25" s="5">
        <f t="shared" si="11"/>
        <v>0</v>
      </c>
      <c r="W25" s="5">
        <f t="shared" si="12"/>
        <v>0</v>
      </c>
    </row>
    <row r="26" spans="1:23">
      <c r="A26" s="61" t="s">
        <v>239</v>
      </c>
      <c r="B26" s="62" t="s">
        <v>37</v>
      </c>
      <c r="C26" s="63" t="s">
        <v>340</v>
      </c>
      <c r="D26" s="9">
        <v>54</v>
      </c>
      <c r="E26" s="9" t="s">
        <v>147</v>
      </c>
      <c r="F26" s="9" t="s">
        <v>147</v>
      </c>
      <c r="G26" s="9">
        <v>7</v>
      </c>
      <c r="H26" s="9">
        <v>450</v>
      </c>
      <c r="I26" s="9">
        <v>450</v>
      </c>
      <c r="J26" s="9">
        <v>22</v>
      </c>
      <c r="K26" s="54">
        <f t="shared" si="0"/>
        <v>929</v>
      </c>
      <c r="L26" s="16">
        <f t="shared" si="1"/>
        <v>29</v>
      </c>
      <c r="M26" s="5">
        <f t="shared" si="2"/>
        <v>900</v>
      </c>
      <c r="N26" s="16">
        <f t="shared" si="3"/>
        <v>929</v>
      </c>
      <c r="O26">
        <f t="shared" si="4"/>
        <v>2250</v>
      </c>
      <c r="P26">
        <f t="shared" si="5"/>
        <v>1321</v>
      </c>
      <c r="Q26">
        <f t="shared" si="6"/>
        <v>0.58711111111111114</v>
      </c>
      <c r="R26">
        <f t="shared" si="7"/>
        <v>5</v>
      </c>
      <c r="S26">
        <f t="shared" si="8"/>
        <v>5</v>
      </c>
      <c r="T26" s="5">
        <f t="shared" si="9"/>
        <v>2</v>
      </c>
      <c r="U26" s="5">
        <f t="shared" si="10"/>
        <v>0</v>
      </c>
      <c r="V26" s="5">
        <f t="shared" si="11"/>
        <v>0</v>
      </c>
      <c r="W26" s="5">
        <f t="shared" si="12"/>
        <v>2</v>
      </c>
    </row>
    <row r="27" spans="1:23">
      <c r="L27">
        <f>SUM(L3:L26)</f>
        <v>392</v>
      </c>
      <c r="M27">
        <f t="shared" ref="M27:P27" si="13">SUM(M3:M26)</f>
        <v>3600</v>
      </c>
      <c r="N27">
        <f t="shared" si="13"/>
        <v>3992</v>
      </c>
      <c r="P27">
        <f t="shared" si="13"/>
        <v>50008</v>
      </c>
      <c r="Q27" s="39">
        <f>AVERAGE(Q3:Q26)</f>
        <v>0.92607407407407394</v>
      </c>
    </row>
    <row r="29" spans="1:23">
      <c r="L29">
        <f>L27/P27</f>
        <v>7.8387458006718928E-3</v>
      </c>
      <c r="M29">
        <f>M27/P27</f>
        <v>7.1988481842905142E-2</v>
      </c>
    </row>
  </sheetData>
  <autoFilter ref="A2:W2" xr:uid="{7B77FDE4-694E-4633-8D70-5525F7BC348A}"/>
  <conditionalFormatting sqref="D3:J26">
    <cfRule type="containsText" dxfId="13" priority="7" operator="containsText" text="TFO">
      <formula>NOT(ISERROR(SEARCH("TFO",D3)))</formula>
    </cfRule>
    <cfRule type="containsText" dxfId="12" priority="8" operator="containsText" text="AA">
      <formula>NOT(ISERROR(SEARCH("AA",D3)))</formula>
    </cfRule>
    <cfRule type="containsText" dxfId="11" priority="9" operator="containsText" text="RESIGNED">
      <formula>NOT(ISERROR(SEARCH("RESIGNED",D3)))</formula>
    </cfRule>
    <cfRule type="containsText" dxfId="10" priority="10" operator="containsText" text="P">
      <formula>NOT(ISERROR(SEARCH("P",D3)))</formula>
    </cfRule>
    <cfRule type="containsText" dxfId="9" priority="11" operator="containsText" text="TARDY">
      <formula>NOT(ISERROR(SEARCH("TARDY",D3)))</formula>
    </cfRule>
    <cfRule type="containsText" dxfId="8" priority="12" operator="containsText" text="REST DAY">
      <formula>NOT(ISERROR(SEARCH("REST DAY",D3)))</formula>
    </cfRule>
    <cfRule type="containsText" dxfId="7" priority="13" operator="containsText" text="UA">
      <formula>NOT(ISERROR(SEARCH("UA",D3)))</formula>
    </cfRule>
    <cfRule type="containsText" dxfId="6" priority="14" operator="containsText" text="LWOP UA">
      <formula>NOT(ISERROR(SEARCH("LWOP UA",D3)))</formula>
    </cfRule>
  </conditionalFormatting>
  <conditionalFormatting sqref="D3:J26">
    <cfRule type="containsText" dxfId="5" priority="1" operator="containsText" text="VL">
      <formula>NOT(ISERROR(SEARCH("VL",D3)))</formula>
    </cfRule>
    <cfRule type="containsText" dxfId="4" priority="2" operator="containsText" text="RD">
      <formula>NOT(ISERROR(SEARCH("RD",D3)))</formula>
    </cfRule>
    <cfRule type="containsText" dxfId="3" priority="3" operator="containsText" text="540">
      <formula>NOT(ISERROR(SEARCH("540",D3)))</formula>
    </cfRule>
    <cfRule type="cellIs" dxfId="2" priority="4" operator="between">
      <formula>1</formula>
      <formula>400</formula>
    </cfRule>
    <cfRule type="containsText" dxfId="1" priority="5" operator="containsText" text="LWOP UA">
      <formula>NOT(ISERROR(SEARCH("LWOP UA",D3)))</formula>
    </cfRule>
  </conditionalFormatting>
  <conditionalFormatting sqref="D3:J26">
    <cfRule type="containsText" dxfId="0" priority="6" operator="containsText" text="P">
      <formula>NOT(ISERROR(SEARCH("P",D3)))</formula>
    </cfRule>
  </conditionalFormatting>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3090FA-194E-4A27-A519-6B97BE7E737D}">
  <dimension ref="A1:J28"/>
  <sheetViews>
    <sheetView workbookViewId="0">
      <selection activeCell="V23" sqref="V23"/>
    </sheetView>
  </sheetViews>
  <sheetFormatPr defaultRowHeight="15"/>
  <sheetData>
    <row r="1" spans="1:10">
      <c r="D1" s="395" t="s">
        <v>458</v>
      </c>
      <c r="E1" s="395"/>
      <c r="F1" s="395"/>
      <c r="G1" s="395"/>
    </row>
    <row r="2" spans="1:10" ht="15.75">
      <c r="A2" s="175" t="s">
        <v>191</v>
      </c>
      <c r="B2" s="176">
        <v>2165</v>
      </c>
      <c r="C2" s="176">
        <v>78</v>
      </c>
      <c r="D2" s="176">
        <v>42</v>
      </c>
      <c r="E2" s="176">
        <v>1313</v>
      </c>
      <c r="F2" s="176">
        <v>3081</v>
      </c>
      <c r="G2" s="176">
        <v>2318</v>
      </c>
      <c r="H2" s="176">
        <v>2331</v>
      </c>
      <c r="I2" s="176">
        <v>3295</v>
      </c>
      <c r="J2" s="176">
        <v>98</v>
      </c>
    </row>
    <row r="3" spans="1:10" ht="15.75">
      <c r="A3" s="177" t="s">
        <v>4</v>
      </c>
      <c r="B3" s="179">
        <v>365</v>
      </c>
      <c r="C3" s="179">
        <v>78</v>
      </c>
      <c r="D3" s="179">
        <v>42</v>
      </c>
      <c r="E3" s="179">
        <v>413</v>
      </c>
      <c r="F3" s="179">
        <v>381</v>
      </c>
      <c r="G3" s="179">
        <v>68</v>
      </c>
      <c r="H3" s="179">
        <v>81</v>
      </c>
      <c r="I3" s="179">
        <v>145</v>
      </c>
      <c r="J3" s="179">
        <v>98</v>
      </c>
    </row>
    <row r="4" spans="1:10" ht="15.75">
      <c r="A4" s="180" t="s">
        <v>11</v>
      </c>
      <c r="B4" s="179">
        <v>1800</v>
      </c>
      <c r="C4" s="179">
        <v>0</v>
      </c>
      <c r="D4" s="179">
        <v>0</v>
      </c>
      <c r="E4" s="179">
        <v>900</v>
      </c>
      <c r="F4" s="179">
        <v>2700</v>
      </c>
      <c r="G4" s="179">
        <v>2250</v>
      </c>
      <c r="H4" s="179">
        <v>2250</v>
      </c>
      <c r="I4" s="179">
        <v>3150</v>
      </c>
      <c r="J4" s="179">
        <v>0</v>
      </c>
    </row>
    <row r="5" spans="1:10" ht="15.75">
      <c r="A5" s="182" t="s">
        <v>192</v>
      </c>
      <c r="B5" s="179">
        <v>2165</v>
      </c>
      <c r="C5" s="179">
        <v>78</v>
      </c>
      <c r="D5" s="179">
        <v>42</v>
      </c>
      <c r="E5" s="179">
        <v>1313</v>
      </c>
      <c r="F5" s="179">
        <v>3081</v>
      </c>
      <c r="G5" s="179">
        <v>2318</v>
      </c>
      <c r="H5" s="179">
        <v>2331</v>
      </c>
      <c r="I5" s="179">
        <v>3295</v>
      </c>
      <c r="J5" s="179">
        <v>98</v>
      </c>
    </row>
    <row r="6" spans="1:10" ht="15.75">
      <c r="A6" s="182" t="s">
        <v>193</v>
      </c>
      <c r="B6" s="179">
        <v>88</v>
      </c>
      <c r="C6" s="179">
        <v>88</v>
      </c>
      <c r="D6" s="179">
        <v>88</v>
      </c>
      <c r="E6" s="179">
        <v>87</v>
      </c>
      <c r="F6" s="179">
        <v>87</v>
      </c>
      <c r="G6" s="179">
        <v>87</v>
      </c>
      <c r="H6" s="179">
        <v>87</v>
      </c>
      <c r="I6" s="179">
        <v>87</v>
      </c>
      <c r="J6" s="179">
        <v>88</v>
      </c>
    </row>
    <row r="7" spans="1:10" ht="15.75">
      <c r="A7" s="182" t="s">
        <v>194</v>
      </c>
      <c r="B7" s="179">
        <v>79</v>
      </c>
      <c r="C7" s="179">
        <v>32</v>
      </c>
      <c r="D7" s="179">
        <v>27</v>
      </c>
      <c r="E7" s="179">
        <v>73</v>
      </c>
      <c r="F7" s="179">
        <v>69</v>
      </c>
      <c r="G7" s="179">
        <v>70</v>
      </c>
      <c r="H7" s="179">
        <v>75</v>
      </c>
      <c r="I7" s="179">
        <v>73</v>
      </c>
      <c r="J7" s="179">
        <v>23</v>
      </c>
    </row>
    <row r="8" spans="1:10" ht="15.75">
      <c r="A8" s="182" t="s">
        <v>195</v>
      </c>
      <c r="B8" s="179">
        <v>83</v>
      </c>
      <c r="C8" s="179">
        <v>32</v>
      </c>
      <c r="D8" s="179">
        <v>27</v>
      </c>
      <c r="E8" s="179">
        <v>75</v>
      </c>
      <c r="F8" s="179">
        <v>75</v>
      </c>
      <c r="G8" s="179">
        <v>75</v>
      </c>
      <c r="H8" s="179">
        <v>80</v>
      </c>
      <c r="I8" s="179">
        <v>80</v>
      </c>
      <c r="J8" s="179">
        <v>23</v>
      </c>
    </row>
    <row r="9" spans="1:10" ht="15.75">
      <c r="A9" s="182" t="s">
        <v>7</v>
      </c>
      <c r="B9" s="179">
        <v>37350</v>
      </c>
      <c r="C9" s="179">
        <v>14400</v>
      </c>
      <c r="D9" s="179">
        <v>12150</v>
      </c>
      <c r="E9" s="179">
        <v>33750</v>
      </c>
      <c r="F9" s="179">
        <v>33750</v>
      </c>
      <c r="G9" s="179">
        <v>33750</v>
      </c>
      <c r="H9" s="179">
        <v>36000</v>
      </c>
      <c r="I9" s="179">
        <v>36000</v>
      </c>
      <c r="J9" s="179">
        <v>10350</v>
      </c>
    </row>
    <row r="10" spans="1:10" ht="15.75">
      <c r="A10" s="177" t="s">
        <v>8</v>
      </c>
      <c r="B10" s="179">
        <v>35185</v>
      </c>
      <c r="C10" s="179">
        <v>14322</v>
      </c>
      <c r="D10" s="179">
        <v>12108</v>
      </c>
      <c r="E10" s="179">
        <v>32437</v>
      </c>
      <c r="F10" s="179">
        <v>30669</v>
      </c>
      <c r="G10" s="179">
        <v>31432</v>
      </c>
      <c r="H10" s="179">
        <v>33669</v>
      </c>
      <c r="I10" s="179">
        <v>32705</v>
      </c>
      <c r="J10" s="179">
        <v>10252</v>
      </c>
    </row>
    <row r="11" spans="1:10" ht="15.75">
      <c r="A11" s="183" t="s">
        <v>9</v>
      </c>
      <c r="B11" s="185">
        <v>0.94</v>
      </c>
      <c r="C11" s="185">
        <v>0.99</v>
      </c>
      <c r="D11" s="185">
        <v>1</v>
      </c>
      <c r="E11" s="185">
        <v>0.96</v>
      </c>
      <c r="F11" s="185">
        <v>0.91</v>
      </c>
      <c r="G11" s="185">
        <v>0.93</v>
      </c>
      <c r="H11" s="185">
        <v>0.94</v>
      </c>
      <c r="I11" s="185">
        <v>0.91</v>
      </c>
      <c r="J11" s="185">
        <v>0.99</v>
      </c>
    </row>
    <row r="13" spans="1:10">
      <c r="B13" s="38"/>
    </row>
    <row r="17" spans="1:8">
      <c r="A17" s="146"/>
      <c r="B17" s="146"/>
      <c r="C17" s="396" t="s">
        <v>459</v>
      </c>
      <c r="D17" s="396"/>
      <c r="E17" s="396"/>
      <c r="F17" s="146"/>
      <c r="G17" s="146"/>
      <c r="H17" s="146"/>
    </row>
    <row r="18" spans="1:8">
      <c r="A18" s="146"/>
      <c r="B18" s="146"/>
      <c r="C18" s="397"/>
      <c r="D18" s="397"/>
      <c r="E18" s="397"/>
      <c r="F18" s="146"/>
      <c r="G18" s="146"/>
      <c r="H18" s="146"/>
    </row>
    <row r="19" spans="1:8" ht="15.75">
      <c r="A19" s="175" t="s">
        <v>191</v>
      </c>
      <c r="B19" s="176">
        <v>3224</v>
      </c>
      <c r="C19" s="299">
        <v>1839</v>
      </c>
      <c r="D19" s="299">
        <v>976</v>
      </c>
      <c r="E19" s="299">
        <v>1861</v>
      </c>
      <c r="F19" s="176">
        <v>2780</v>
      </c>
      <c r="G19" s="176">
        <v>450</v>
      </c>
      <c r="H19" s="176">
        <v>1375</v>
      </c>
    </row>
    <row r="20" spans="1:8" ht="15.75">
      <c r="A20" s="177" t="s">
        <v>4</v>
      </c>
      <c r="B20" s="179">
        <v>74</v>
      </c>
      <c r="C20" s="179">
        <v>39</v>
      </c>
      <c r="D20" s="179">
        <v>76</v>
      </c>
      <c r="E20" s="179">
        <v>61</v>
      </c>
      <c r="F20" s="179">
        <v>530</v>
      </c>
      <c r="G20" s="179">
        <v>0</v>
      </c>
      <c r="H20" s="179">
        <v>25</v>
      </c>
    </row>
    <row r="21" spans="1:8" ht="15.75">
      <c r="A21" s="180" t="s">
        <v>11</v>
      </c>
      <c r="B21" s="179">
        <v>3150</v>
      </c>
      <c r="C21" s="179">
        <v>1800</v>
      </c>
      <c r="D21" s="179">
        <v>900</v>
      </c>
      <c r="E21" s="179">
        <v>1800</v>
      </c>
      <c r="F21" s="179">
        <v>2250</v>
      </c>
      <c r="G21" s="179">
        <v>450</v>
      </c>
      <c r="H21" s="179">
        <v>1350</v>
      </c>
    </row>
    <row r="22" spans="1:8" ht="15.75">
      <c r="A22" s="182" t="s">
        <v>192</v>
      </c>
      <c r="B22" s="179">
        <v>3224</v>
      </c>
      <c r="C22" s="179">
        <v>1839</v>
      </c>
      <c r="D22" s="179">
        <v>976</v>
      </c>
      <c r="E22" s="179">
        <v>1861</v>
      </c>
      <c r="F22" s="179">
        <v>2780</v>
      </c>
      <c r="G22" s="179">
        <v>450</v>
      </c>
      <c r="H22" s="179">
        <v>1375</v>
      </c>
    </row>
    <row r="23" spans="1:8" ht="15.75">
      <c r="A23" s="182" t="s">
        <v>193</v>
      </c>
      <c r="B23" s="179">
        <v>111</v>
      </c>
      <c r="C23" s="179">
        <v>111</v>
      </c>
      <c r="D23" s="179">
        <v>111</v>
      </c>
      <c r="E23" s="179">
        <v>111</v>
      </c>
      <c r="F23" s="179">
        <v>111</v>
      </c>
      <c r="G23" s="179">
        <v>111</v>
      </c>
      <c r="H23" s="179">
        <v>111</v>
      </c>
    </row>
    <row r="24" spans="1:8" ht="15.75">
      <c r="A24" s="182" t="s">
        <v>194</v>
      </c>
      <c r="B24" s="179">
        <v>95</v>
      </c>
      <c r="C24" s="179">
        <v>94</v>
      </c>
      <c r="D24" s="179">
        <v>96</v>
      </c>
      <c r="E24" s="179">
        <v>100</v>
      </c>
      <c r="F24" s="179">
        <v>98</v>
      </c>
      <c r="G24" s="179">
        <v>19</v>
      </c>
      <c r="H24" s="179">
        <v>21</v>
      </c>
    </row>
    <row r="25" spans="1:8" ht="15.75">
      <c r="A25" s="182" t="s">
        <v>195</v>
      </c>
      <c r="B25" s="179">
        <v>102</v>
      </c>
      <c r="C25" s="179">
        <v>98</v>
      </c>
      <c r="D25" s="179">
        <v>98</v>
      </c>
      <c r="E25" s="179">
        <v>104</v>
      </c>
      <c r="F25" s="179">
        <v>103</v>
      </c>
      <c r="G25" s="179">
        <v>20</v>
      </c>
      <c r="H25" s="179">
        <v>24</v>
      </c>
    </row>
    <row r="26" spans="1:8" ht="15.75">
      <c r="A26" s="182" t="s">
        <v>7</v>
      </c>
      <c r="B26" s="179">
        <v>45900</v>
      </c>
      <c r="C26" s="179">
        <v>44100</v>
      </c>
      <c r="D26" s="179">
        <v>44100</v>
      </c>
      <c r="E26" s="179">
        <v>46800</v>
      </c>
      <c r="F26" s="179">
        <v>46350</v>
      </c>
      <c r="G26" s="179">
        <v>9000</v>
      </c>
      <c r="H26" s="179">
        <v>10800</v>
      </c>
    </row>
    <row r="27" spans="1:8" ht="15.75">
      <c r="A27" s="177" t="s">
        <v>8</v>
      </c>
      <c r="B27" s="179">
        <v>42676</v>
      </c>
      <c r="C27" s="179">
        <v>42261</v>
      </c>
      <c r="D27" s="179">
        <v>43124</v>
      </c>
      <c r="E27" s="179">
        <v>44939</v>
      </c>
      <c r="F27" s="179">
        <v>43570</v>
      </c>
      <c r="G27" s="179">
        <v>8550</v>
      </c>
      <c r="H27" s="179">
        <v>9425</v>
      </c>
    </row>
    <row r="28" spans="1:8" ht="15.75">
      <c r="A28" s="183" t="s">
        <v>9</v>
      </c>
      <c r="B28" s="185">
        <v>0.93</v>
      </c>
      <c r="C28" s="185">
        <v>0.96</v>
      </c>
      <c r="D28" s="185">
        <v>0.98</v>
      </c>
      <c r="E28" s="185">
        <v>0.96</v>
      </c>
      <c r="F28" s="185">
        <v>0.94</v>
      </c>
      <c r="G28" s="185">
        <v>0.95</v>
      </c>
      <c r="H28" s="185">
        <v>0.87</v>
      </c>
    </row>
  </sheetData>
  <mergeCells count="2">
    <mergeCell ref="D1:G1"/>
    <mergeCell ref="C17:E18"/>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20F9D-DEC6-4F06-B383-5B33A56AC5D0}">
  <dimension ref="A2:B10"/>
  <sheetViews>
    <sheetView workbookViewId="0">
      <selection activeCell="V36" sqref="V36"/>
    </sheetView>
  </sheetViews>
  <sheetFormatPr defaultRowHeight="15"/>
  <cols>
    <col min="1" max="1" width="14.28515625" bestFit="1" customWidth="1"/>
    <col min="2" max="2" width="23.42578125" bestFit="1" customWidth="1"/>
  </cols>
  <sheetData>
    <row r="2" spans="1:2">
      <c r="A2" s="13" t="s">
        <v>142</v>
      </c>
      <c r="B2" t="s">
        <v>430</v>
      </c>
    </row>
    <row r="3" spans="1:2">
      <c r="A3" s="246">
        <v>45879</v>
      </c>
      <c r="B3">
        <v>0</v>
      </c>
    </row>
    <row r="4" spans="1:2">
      <c r="A4" s="246">
        <v>45880</v>
      </c>
      <c r="B4">
        <v>10</v>
      </c>
    </row>
    <row r="5" spans="1:2">
      <c r="A5" s="246">
        <v>45881</v>
      </c>
      <c r="B5">
        <v>7</v>
      </c>
    </row>
    <row r="6" spans="1:2">
      <c r="A6" s="246">
        <v>45882</v>
      </c>
      <c r="B6">
        <v>7</v>
      </c>
    </row>
    <row r="7" spans="1:2">
      <c r="A7" s="246">
        <v>45883</v>
      </c>
      <c r="B7">
        <v>7</v>
      </c>
    </row>
    <row r="8" spans="1:2">
      <c r="A8" s="246">
        <v>45884</v>
      </c>
    </row>
    <row r="9" spans="1:2">
      <c r="A9" s="246">
        <v>45885</v>
      </c>
    </row>
    <row r="10" spans="1:2">
      <c r="A10" s="246" t="s">
        <v>149</v>
      </c>
      <c r="B10">
        <v>31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6CE64-89D8-45C9-9E92-F8317B53B2CC}">
  <dimension ref="A1:I16"/>
  <sheetViews>
    <sheetView showGridLines="0" workbookViewId="0">
      <selection activeCell="B47" sqref="B47:J54"/>
    </sheetView>
  </sheetViews>
  <sheetFormatPr defaultRowHeight="15"/>
  <cols>
    <col min="1" max="1" width="11.7109375" customWidth="1"/>
    <col min="2" max="2" width="10.42578125" customWidth="1"/>
    <col min="3" max="9" width="18.7109375" customWidth="1"/>
  </cols>
  <sheetData>
    <row r="1" spans="1:9" ht="32.25">
      <c r="A1" s="215" t="s">
        <v>421</v>
      </c>
      <c r="B1" s="215" t="s">
        <v>200</v>
      </c>
      <c r="C1" s="215" t="s">
        <v>422</v>
      </c>
      <c r="D1" s="215" t="s">
        <v>423</v>
      </c>
      <c r="E1" s="215" t="s">
        <v>424</v>
      </c>
      <c r="F1" s="215" t="s">
        <v>425</v>
      </c>
      <c r="G1" s="215" t="s">
        <v>427</v>
      </c>
      <c r="H1" s="215" t="s">
        <v>426</v>
      </c>
      <c r="I1" s="215" t="s">
        <v>9</v>
      </c>
    </row>
    <row r="2" spans="1:9">
      <c r="A2" s="216" t="s">
        <v>170</v>
      </c>
      <c r="B2" s="122">
        <v>45879</v>
      </c>
      <c r="C2" s="123">
        <f>August!O124</f>
        <v>17</v>
      </c>
      <c r="D2" s="123">
        <f>August!O131</f>
        <v>0</v>
      </c>
      <c r="E2" s="123">
        <f>0</f>
        <v>0</v>
      </c>
      <c r="F2" s="123">
        <f>August!O129+August!O130</f>
        <v>2</v>
      </c>
      <c r="G2" s="124">
        <f>August!O132</f>
        <v>0</v>
      </c>
      <c r="H2" s="124">
        <f>August!O133</f>
        <v>0</v>
      </c>
      <c r="I2" s="186">
        <f>August!O127</f>
        <v>1</v>
      </c>
    </row>
    <row r="3" spans="1:9">
      <c r="A3" s="216" t="s">
        <v>171</v>
      </c>
      <c r="B3" s="122">
        <v>45880</v>
      </c>
      <c r="C3" s="123">
        <f>August!P124</f>
        <v>104</v>
      </c>
      <c r="D3" s="123">
        <f>August!P131</f>
        <v>9</v>
      </c>
      <c r="E3" s="123">
        <f>10</f>
        <v>10</v>
      </c>
      <c r="F3" s="123">
        <f>August!Q129+August!Q130</f>
        <v>1</v>
      </c>
      <c r="G3" s="124">
        <f>August!P132</f>
        <v>1.5227831791027294E-3</v>
      </c>
      <c r="H3" s="124">
        <f>August!P133</f>
        <v>8.6538461538461536E-2</v>
      </c>
      <c r="I3" s="186">
        <f>August!P127</f>
        <v>0.91207264957264955</v>
      </c>
    </row>
    <row r="4" spans="1:9">
      <c r="A4" s="216" t="s">
        <v>172</v>
      </c>
      <c r="B4" s="122">
        <v>45881</v>
      </c>
      <c r="C4" s="123">
        <f>August!Q124</f>
        <v>103</v>
      </c>
      <c r="D4" s="123">
        <f>August!Q131</f>
        <v>4</v>
      </c>
      <c r="E4" s="123">
        <f>7</f>
        <v>7</v>
      </c>
      <c r="F4" s="123">
        <f>August!Q129+August!Q130</f>
        <v>1</v>
      </c>
      <c r="G4" s="124">
        <f>August!Q132</f>
        <v>1.7539125742039934E-3</v>
      </c>
      <c r="H4" s="124">
        <f>August!Q133</f>
        <v>3.8834951456310676E-2</v>
      </c>
      <c r="I4" s="186">
        <f>August!Q127</f>
        <v>0.95948220064724921</v>
      </c>
    </row>
    <row r="5" spans="1:9">
      <c r="A5" s="216" t="s">
        <v>173</v>
      </c>
      <c r="B5" s="122">
        <v>45882</v>
      </c>
      <c r="C5" s="123">
        <f>August!R124</f>
        <v>101</v>
      </c>
      <c r="D5" s="123">
        <f>August!R131</f>
        <v>2</v>
      </c>
      <c r="E5" s="123">
        <f>7</f>
        <v>7</v>
      </c>
      <c r="F5" s="123">
        <f>August!R129+August!R130</f>
        <v>1</v>
      </c>
      <c r="G5" s="124">
        <f>August!R132</f>
        <v>2.0693688425030368E-3</v>
      </c>
      <c r="H5" s="124">
        <f>August!R133</f>
        <v>1.9801980198019802E-2</v>
      </c>
      <c r="I5" s="186">
        <f>August!R127</f>
        <v>0.97817381738173814</v>
      </c>
    </row>
    <row r="6" spans="1:9">
      <c r="A6" s="216" t="s">
        <v>167</v>
      </c>
      <c r="B6" s="122">
        <v>45883</v>
      </c>
      <c r="C6" s="123">
        <f>August!S124</f>
        <v>106</v>
      </c>
      <c r="D6" s="123">
        <f>August!S131</f>
        <v>5</v>
      </c>
      <c r="E6" s="123">
        <f>7</f>
        <v>7</v>
      </c>
      <c r="F6" s="123">
        <f>August!S129+August!S130</f>
        <v>0</v>
      </c>
      <c r="G6" s="124">
        <f>August!S132</f>
        <v>1.7412003261995548E-3</v>
      </c>
      <c r="H6" s="124">
        <f>August!S133</f>
        <v>4.716981132075472E-2</v>
      </c>
      <c r="I6" s="186">
        <f>August!S127</f>
        <v>0.95117400419287212</v>
      </c>
    </row>
    <row r="7" spans="1:9">
      <c r="A7" s="216" t="s">
        <v>168</v>
      </c>
      <c r="B7" s="122">
        <v>45884</v>
      </c>
      <c r="C7" s="123">
        <f>August!T124</f>
        <v>106</v>
      </c>
      <c r="D7" s="123">
        <f>August!T131</f>
        <v>5</v>
      </c>
      <c r="E7" s="123">
        <f>12</f>
        <v>12</v>
      </c>
      <c r="F7" s="123">
        <f>August!T129+August!T130</f>
        <v>1</v>
      </c>
      <c r="G7" s="124">
        <f>August!T132</f>
        <v>1.146099922109714E-2</v>
      </c>
      <c r="H7" s="124">
        <f>August!T133</f>
        <v>4.716981132075472E-2</v>
      </c>
      <c r="I7" s="186">
        <f>August!T127</f>
        <v>0.9420335429769392</v>
      </c>
    </row>
    <row r="8" spans="1:9">
      <c r="A8" s="216" t="s">
        <v>169</v>
      </c>
      <c r="B8" s="122">
        <v>45885</v>
      </c>
      <c r="C8" s="123"/>
      <c r="D8" s="123"/>
      <c r="E8" s="123"/>
      <c r="F8" s="123"/>
      <c r="G8" s="124"/>
      <c r="H8" s="124"/>
      <c r="I8" s="186"/>
    </row>
    <row r="9" spans="1:9" ht="32.25">
      <c r="A9" s="215" t="s">
        <v>421</v>
      </c>
      <c r="B9" s="215" t="s">
        <v>200</v>
      </c>
      <c r="C9" s="215" t="s">
        <v>422</v>
      </c>
      <c r="D9" s="215" t="s">
        <v>423</v>
      </c>
      <c r="E9" s="215" t="s">
        <v>424</v>
      </c>
      <c r="F9" s="215" t="s">
        <v>425</v>
      </c>
      <c r="G9" s="215" t="s">
        <v>427</v>
      </c>
      <c r="H9" s="215" t="s">
        <v>426</v>
      </c>
      <c r="I9" s="215" t="s">
        <v>9</v>
      </c>
    </row>
    <row r="10" spans="1:9">
      <c r="A10" s="311" t="s">
        <v>170</v>
      </c>
      <c r="B10" s="312">
        <v>45886</v>
      </c>
      <c r="C10" s="313">
        <f>August!U131</f>
        <v>0</v>
      </c>
      <c r="D10" s="313" t="str">
        <f>August!U74</f>
        <v>P</v>
      </c>
      <c r="E10" s="313">
        <f>1</f>
        <v>1</v>
      </c>
      <c r="F10" s="313">
        <f>August!U136+August!U137</f>
        <v>0</v>
      </c>
      <c r="G10" s="314">
        <f>August!U139</f>
        <v>0</v>
      </c>
      <c r="H10" s="314">
        <f>August!U140</f>
        <v>0</v>
      </c>
      <c r="I10" s="315">
        <f>August!U134</f>
        <v>0</v>
      </c>
    </row>
    <row r="11" spans="1:9">
      <c r="A11" s="311" t="s">
        <v>171</v>
      </c>
      <c r="B11" s="312">
        <v>45887</v>
      </c>
      <c r="C11" s="313">
        <f>August!V131</f>
        <v>2</v>
      </c>
      <c r="D11" s="313">
        <f>August!V138</f>
        <v>0</v>
      </c>
      <c r="E11" s="313">
        <f>3</f>
        <v>3</v>
      </c>
      <c r="F11" s="313">
        <f>August!V136+August!V137</f>
        <v>0</v>
      </c>
      <c r="G11" s="314">
        <f>August!V139</f>
        <v>0</v>
      </c>
      <c r="H11" s="316">
        <f>August!V140</f>
        <v>0</v>
      </c>
      <c r="I11" s="315">
        <f>August!V134</f>
        <v>0</v>
      </c>
    </row>
    <row r="12" spans="1:9">
      <c r="A12" s="311" t="s">
        <v>172</v>
      </c>
      <c r="B12" s="312">
        <v>45888</v>
      </c>
      <c r="C12" s="313">
        <f>August!W131</f>
        <v>7</v>
      </c>
      <c r="D12" s="313">
        <f>August!W138</f>
        <v>0</v>
      </c>
      <c r="E12" s="313">
        <f>5</f>
        <v>5</v>
      </c>
      <c r="F12" s="313">
        <f>August!W136+August!W137</f>
        <v>0</v>
      </c>
      <c r="G12" s="314">
        <f>August!W139</f>
        <v>0</v>
      </c>
      <c r="H12" s="314">
        <f>August!W140</f>
        <v>0</v>
      </c>
      <c r="I12" s="315">
        <f>August!W134</f>
        <v>0</v>
      </c>
    </row>
    <row r="13" spans="1:9">
      <c r="A13" s="311" t="s">
        <v>173</v>
      </c>
      <c r="B13" s="312">
        <v>45889</v>
      </c>
      <c r="C13" s="313">
        <f>August!X131</f>
        <v>5</v>
      </c>
      <c r="D13" s="313">
        <f>August!X138</f>
        <v>0</v>
      </c>
      <c r="E13" s="313">
        <f>6</f>
        <v>6</v>
      </c>
      <c r="F13" s="313">
        <f>August!X136+August!X137</f>
        <v>0</v>
      </c>
      <c r="G13" s="314">
        <f>August!X139</f>
        <v>0</v>
      </c>
      <c r="H13" s="317">
        <f>August!X140</f>
        <v>0</v>
      </c>
      <c r="I13" s="318">
        <f>August!X134</f>
        <v>0</v>
      </c>
    </row>
    <row r="14" spans="1:9">
      <c r="A14" s="311" t="s">
        <v>167</v>
      </c>
      <c r="B14" s="312"/>
      <c r="C14" s="313"/>
      <c r="D14" s="313"/>
      <c r="E14" s="313"/>
      <c r="F14" s="313"/>
      <c r="G14" s="314"/>
      <c r="H14" s="314"/>
      <c r="I14" s="319"/>
    </row>
    <row r="15" spans="1:9">
      <c r="A15" s="311" t="s">
        <v>168</v>
      </c>
      <c r="B15" s="312"/>
      <c r="C15" s="313"/>
      <c r="D15" s="313"/>
      <c r="E15" s="313"/>
      <c r="F15" s="313"/>
      <c r="G15" s="314"/>
      <c r="H15" s="314"/>
      <c r="I15" s="319"/>
    </row>
    <row r="16" spans="1:9">
      <c r="A16" s="320" t="s">
        <v>169</v>
      </c>
      <c r="B16" s="321"/>
      <c r="C16" s="322"/>
      <c r="D16" s="322"/>
      <c r="E16" s="322"/>
      <c r="F16" s="322"/>
      <c r="G16" s="323"/>
      <c r="H16" s="323"/>
      <c r="I16" s="324"/>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Rhoda Arellano</dc:creator>
  <cp:keywords/>
  <dc:description/>
  <cp:lastModifiedBy/>
  <cp:revision/>
  <dcterms:created xsi:type="dcterms:W3CDTF">2025-05-26T03:21:37Z</dcterms:created>
  <dcterms:modified xsi:type="dcterms:W3CDTF">2025-08-21T19:38:21Z</dcterms:modified>
  <cp:category/>
  <cp:contentStatus/>
</cp:coreProperties>
</file>